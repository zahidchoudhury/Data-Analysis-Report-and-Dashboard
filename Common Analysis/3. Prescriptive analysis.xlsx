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ZYadmin\Desktop\Data-Analysis-Report-and-Dashboard\Common Analysis\"/>
    </mc:Choice>
  </mc:AlternateContent>
  <xr:revisionPtr revIDLastSave="0" documentId="13_ncr:1_{2EB444A4-359A-406B-9C29-E9BB60A24D79}" xr6:coauthVersionLast="47" xr6:coauthVersionMax="47" xr10:uidLastSave="{00000000-0000-0000-0000-000000000000}"/>
  <bookViews>
    <workbookView xWindow="-120" yWindow="-120" windowWidth="20730" windowHeight="11160" activeTab="1" xr2:uid="{A33B48DC-0DAA-478D-B81C-A01A167E180B}"/>
  </bookViews>
  <sheets>
    <sheet name="Sheet1" sheetId="1" r:id="rId1"/>
    <sheet name="Prescritive-pivot" sheetId="2" r:id="rId2"/>
  </sheets>
  <externalReferences>
    <externalReference r:id="rId3"/>
  </externalReferences>
  <calcPr calcId="191029"/>
  <pivotCaches>
    <pivotCache cacheId="4"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8" i="2" l="1"/>
  <c r="B29" i="2"/>
  <c r="B27" i="2"/>
  <c r="D16" i="2"/>
  <c r="B19" i="2"/>
  <c r="B20" i="2"/>
  <c r="B18" i="2"/>
  <c r="L1001" i="1"/>
  <c r="F1001" i="1"/>
  <c r="C1001" i="1"/>
  <c r="L1000" i="1"/>
  <c r="F1000" i="1"/>
  <c r="C1000" i="1"/>
  <c r="L999" i="1"/>
  <c r="F999" i="1"/>
  <c r="C999" i="1"/>
  <c r="L998" i="1"/>
  <c r="F998" i="1"/>
  <c r="C998" i="1"/>
  <c r="L997" i="1"/>
  <c r="F997" i="1"/>
  <c r="C997" i="1"/>
  <c r="L996" i="1"/>
  <c r="F996" i="1"/>
  <c r="C996" i="1"/>
  <c r="L995" i="1"/>
  <c r="F995" i="1"/>
  <c r="C995" i="1"/>
  <c r="L994" i="1"/>
  <c r="F994" i="1"/>
  <c r="C994" i="1"/>
  <c r="L993" i="1"/>
  <c r="F993" i="1"/>
  <c r="C993" i="1"/>
  <c r="L992" i="1"/>
  <c r="F992" i="1"/>
  <c r="C992" i="1"/>
  <c r="L991" i="1"/>
  <c r="F991" i="1"/>
  <c r="C991" i="1"/>
  <c r="L990" i="1"/>
  <c r="F990" i="1"/>
  <c r="C990" i="1"/>
  <c r="L989" i="1"/>
  <c r="F989" i="1"/>
  <c r="C989" i="1"/>
  <c r="L988" i="1"/>
  <c r="F988" i="1"/>
  <c r="C988" i="1"/>
  <c r="L987" i="1"/>
  <c r="F987" i="1"/>
  <c r="C987" i="1"/>
  <c r="L986" i="1"/>
  <c r="F986" i="1"/>
  <c r="C986" i="1"/>
  <c r="L985" i="1"/>
  <c r="F985" i="1"/>
  <c r="C985" i="1"/>
  <c r="L984" i="1"/>
  <c r="F984" i="1"/>
  <c r="C984" i="1"/>
  <c r="L983" i="1"/>
  <c r="F983" i="1"/>
  <c r="C983" i="1"/>
  <c r="L982" i="1"/>
  <c r="F982" i="1"/>
  <c r="C982" i="1"/>
  <c r="L981" i="1"/>
  <c r="F981" i="1"/>
  <c r="C981" i="1"/>
  <c r="L980" i="1"/>
  <c r="F980" i="1"/>
  <c r="C980" i="1"/>
  <c r="L979" i="1"/>
  <c r="F979" i="1"/>
  <c r="C979" i="1"/>
  <c r="L978" i="1"/>
  <c r="F978" i="1"/>
  <c r="C978" i="1"/>
  <c r="L977" i="1"/>
  <c r="F977" i="1"/>
  <c r="C977" i="1"/>
  <c r="L976" i="1"/>
  <c r="F976" i="1"/>
  <c r="C976" i="1"/>
  <c r="L975" i="1"/>
  <c r="F975" i="1"/>
  <c r="C975" i="1"/>
  <c r="L974" i="1"/>
  <c r="F974" i="1"/>
  <c r="C974" i="1"/>
  <c r="L973" i="1"/>
  <c r="F973" i="1"/>
  <c r="C973" i="1"/>
  <c r="L972" i="1"/>
  <c r="F972" i="1"/>
  <c r="C972" i="1"/>
  <c r="L971" i="1"/>
  <c r="F971" i="1"/>
  <c r="C971" i="1"/>
  <c r="L970" i="1"/>
  <c r="F970" i="1"/>
  <c r="C970" i="1"/>
  <c r="L969" i="1"/>
  <c r="F969" i="1"/>
  <c r="C969" i="1"/>
  <c r="L968" i="1"/>
  <c r="F968" i="1"/>
  <c r="C968" i="1"/>
  <c r="L967" i="1"/>
  <c r="F967" i="1"/>
  <c r="C967" i="1"/>
  <c r="L966" i="1"/>
  <c r="F966" i="1"/>
  <c r="C966" i="1"/>
  <c r="L965" i="1"/>
  <c r="F965" i="1"/>
  <c r="C965" i="1"/>
  <c r="L964" i="1"/>
  <c r="F964" i="1"/>
  <c r="C964" i="1"/>
  <c r="L963" i="1"/>
  <c r="F963" i="1"/>
  <c r="C963" i="1"/>
  <c r="L962" i="1"/>
  <c r="F962" i="1"/>
  <c r="C962" i="1"/>
  <c r="L961" i="1"/>
  <c r="F961" i="1"/>
  <c r="C961" i="1"/>
  <c r="L960" i="1"/>
  <c r="F960" i="1"/>
  <c r="C960" i="1"/>
  <c r="L959" i="1"/>
  <c r="F959" i="1"/>
  <c r="C959" i="1"/>
  <c r="L958" i="1"/>
  <c r="F958" i="1"/>
  <c r="C958" i="1"/>
  <c r="L957" i="1"/>
  <c r="F957" i="1"/>
  <c r="C957" i="1"/>
  <c r="L956" i="1"/>
  <c r="F956" i="1"/>
  <c r="C956" i="1"/>
  <c r="L955" i="1"/>
  <c r="F955" i="1"/>
  <c r="C955" i="1"/>
  <c r="L954" i="1"/>
  <c r="F954" i="1"/>
  <c r="C954" i="1"/>
  <c r="L953" i="1"/>
  <c r="F953" i="1"/>
  <c r="C953" i="1"/>
  <c r="L952" i="1"/>
  <c r="F952" i="1"/>
  <c r="C952" i="1"/>
  <c r="L951" i="1"/>
  <c r="F951" i="1"/>
  <c r="C951" i="1"/>
  <c r="L950" i="1"/>
  <c r="F950" i="1"/>
  <c r="C950" i="1"/>
  <c r="L949" i="1"/>
  <c r="F949" i="1"/>
  <c r="C949" i="1"/>
  <c r="L948" i="1"/>
  <c r="F948" i="1"/>
  <c r="C948" i="1"/>
  <c r="L947" i="1"/>
  <c r="F947" i="1"/>
  <c r="C947" i="1"/>
  <c r="L946" i="1"/>
  <c r="F946" i="1"/>
  <c r="C946" i="1"/>
  <c r="L945" i="1"/>
  <c r="F945" i="1"/>
  <c r="C945" i="1"/>
  <c r="L944" i="1"/>
  <c r="F944" i="1"/>
  <c r="C944" i="1"/>
  <c r="L943" i="1"/>
  <c r="F943" i="1"/>
  <c r="C943" i="1"/>
  <c r="L942" i="1"/>
  <c r="F942" i="1"/>
  <c r="C942" i="1"/>
  <c r="L941" i="1"/>
  <c r="F941" i="1"/>
  <c r="C941" i="1"/>
  <c r="L940" i="1"/>
  <c r="F940" i="1"/>
  <c r="C940" i="1"/>
  <c r="L939" i="1"/>
  <c r="F939" i="1"/>
  <c r="C939" i="1"/>
  <c r="L938" i="1"/>
  <c r="F938" i="1"/>
  <c r="C938" i="1"/>
  <c r="L937" i="1"/>
  <c r="F937" i="1"/>
  <c r="C937" i="1"/>
  <c r="L936" i="1"/>
  <c r="F936" i="1"/>
  <c r="C936" i="1"/>
  <c r="L935" i="1"/>
  <c r="F935" i="1"/>
  <c r="C935" i="1"/>
  <c r="L934" i="1"/>
  <c r="F934" i="1"/>
  <c r="C934" i="1"/>
  <c r="L933" i="1"/>
  <c r="F933" i="1"/>
  <c r="C933" i="1"/>
  <c r="L932" i="1"/>
  <c r="F932" i="1"/>
  <c r="C932" i="1"/>
  <c r="L931" i="1"/>
  <c r="F931" i="1"/>
  <c r="C931" i="1"/>
  <c r="L930" i="1"/>
  <c r="F930" i="1"/>
  <c r="C930" i="1"/>
  <c r="L929" i="1"/>
  <c r="F929" i="1"/>
  <c r="C929" i="1"/>
  <c r="L928" i="1"/>
  <c r="F928" i="1"/>
  <c r="C928" i="1"/>
  <c r="L927" i="1"/>
  <c r="F927" i="1"/>
  <c r="C927" i="1"/>
  <c r="L926" i="1"/>
  <c r="F926" i="1"/>
  <c r="C926" i="1"/>
  <c r="L925" i="1"/>
  <c r="F925" i="1"/>
  <c r="C925" i="1"/>
  <c r="L924" i="1"/>
  <c r="F924" i="1"/>
  <c r="C924" i="1"/>
  <c r="L923" i="1"/>
  <c r="F923" i="1"/>
  <c r="C923" i="1"/>
  <c r="L922" i="1"/>
  <c r="F922" i="1"/>
  <c r="C922" i="1"/>
  <c r="L921" i="1"/>
  <c r="F921" i="1"/>
  <c r="C921" i="1"/>
  <c r="L920" i="1"/>
  <c r="F920" i="1"/>
  <c r="C920" i="1"/>
  <c r="L919" i="1"/>
  <c r="F919" i="1"/>
  <c r="C919" i="1"/>
  <c r="L918" i="1"/>
  <c r="F918" i="1"/>
  <c r="C918" i="1"/>
  <c r="L917" i="1"/>
  <c r="F917" i="1"/>
  <c r="C917" i="1"/>
  <c r="L916" i="1"/>
  <c r="F916" i="1"/>
  <c r="C916" i="1"/>
  <c r="L915" i="1"/>
  <c r="F915" i="1"/>
  <c r="C915" i="1"/>
  <c r="L914" i="1"/>
  <c r="F914" i="1"/>
  <c r="C914" i="1"/>
  <c r="L913" i="1"/>
  <c r="F913" i="1"/>
  <c r="C913" i="1"/>
  <c r="L912" i="1"/>
  <c r="F912" i="1"/>
  <c r="C912" i="1"/>
  <c r="L911" i="1"/>
  <c r="F911" i="1"/>
  <c r="C911" i="1"/>
  <c r="L910" i="1"/>
  <c r="F910" i="1"/>
  <c r="C910" i="1"/>
  <c r="L909" i="1"/>
  <c r="F909" i="1"/>
  <c r="C909" i="1"/>
  <c r="L908" i="1"/>
  <c r="F908" i="1"/>
  <c r="C908" i="1"/>
  <c r="L907" i="1"/>
  <c r="F907" i="1"/>
  <c r="C907" i="1"/>
  <c r="L906" i="1"/>
  <c r="F906" i="1"/>
  <c r="C906" i="1"/>
  <c r="L905" i="1"/>
  <c r="F905" i="1"/>
  <c r="C905" i="1"/>
  <c r="L904" i="1"/>
  <c r="F904" i="1"/>
  <c r="C904" i="1"/>
  <c r="L903" i="1"/>
  <c r="F903" i="1"/>
  <c r="C903" i="1"/>
  <c r="L902" i="1"/>
  <c r="F902" i="1"/>
  <c r="C902" i="1"/>
  <c r="L901" i="1"/>
  <c r="F901" i="1"/>
  <c r="C901" i="1"/>
  <c r="L900" i="1"/>
  <c r="F900" i="1"/>
  <c r="C900" i="1"/>
  <c r="L899" i="1"/>
  <c r="F899" i="1"/>
  <c r="C899" i="1"/>
  <c r="L898" i="1"/>
  <c r="F898" i="1"/>
  <c r="C898" i="1"/>
  <c r="L897" i="1"/>
  <c r="F897" i="1"/>
  <c r="C897" i="1"/>
  <c r="L896" i="1"/>
  <c r="F896" i="1"/>
  <c r="C896" i="1"/>
  <c r="L895" i="1"/>
  <c r="F895" i="1"/>
  <c r="C895" i="1"/>
  <c r="L894" i="1"/>
  <c r="F894" i="1"/>
  <c r="C894" i="1"/>
  <c r="L893" i="1"/>
  <c r="F893" i="1"/>
  <c r="C893" i="1"/>
  <c r="L892" i="1"/>
  <c r="F892" i="1"/>
  <c r="C892" i="1"/>
  <c r="L891" i="1"/>
  <c r="F891" i="1"/>
  <c r="C891" i="1"/>
  <c r="L890" i="1"/>
  <c r="F890" i="1"/>
  <c r="C890" i="1"/>
  <c r="L889" i="1"/>
  <c r="F889" i="1"/>
  <c r="C889" i="1"/>
  <c r="L888" i="1"/>
  <c r="F888" i="1"/>
  <c r="C888" i="1"/>
  <c r="L887" i="1"/>
  <c r="F887" i="1"/>
  <c r="C887" i="1"/>
  <c r="L886" i="1"/>
  <c r="F886" i="1"/>
  <c r="C886" i="1"/>
  <c r="L885" i="1"/>
  <c r="F885" i="1"/>
  <c r="C885" i="1"/>
  <c r="L884" i="1"/>
  <c r="F884" i="1"/>
  <c r="C884" i="1"/>
  <c r="L883" i="1"/>
  <c r="F883" i="1"/>
  <c r="C883" i="1"/>
  <c r="L882" i="1"/>
  <c r="F882" i="1"/>
  <c r="C882" i="1"/>
  <c r="L881" i="1"/>
  <c r="F881" i="1"/>
  <c r="C881" i="1"/>
  <c r="L880" i="1"/>
  <c r="F880" i="1"/>
  <c r="C880" i="1"/>
  <c r="L879" i="1"/>
  <c r="F879" i="1"/>
  <c r="C879" i="1"/>
  <c r="L878" i="1"/>
  <c r="F878" i="1"/>
  <c r="C878" i="1"/>
  <c r="L877" i="1"/>
  <c r="F877" i="1"/>
  <c r="C877" i="1"/>
  <c r="L876" i="1"/>
  <c r="F876" i="1"/>
  <c r="C876" i="1"/>
  <c r="L875" i="1"/>
  <c r="F875" i="1"/>
  <c r="C875" i="1"/>
  <c r="L874" i="1"/>
  <c r="F874" i="1"/>
  <c r="C874" i="1"/>
  <c r="L873" i="1"/>
  <c r="F873" i="1"/>
  <c r="C873" i="1"/>
  <c r="L872" i="1"/>
  <c r="F872" i="1"/>
  <c r="C872" i="1"/>
  <c r="L871" i="1"/>
  <c r="F871" i="1"/>
  <c r="C871" i="1"/>
  <c r="L870" i="1"/>
  <c r="F870" i="1"/>
  <c r="C870" i="1"/>
  <c r="L869" i="1"/>
  <c r="F869" i="1"/>
  <c r="C869" i="1"/>
  <c r="L868" i="1"/>
  <c r="F868" i="1"/>
  <c r="C868" i="1"/>
  <c r="L867" i="1"/>
  <c r="F867" i="1"/>
  <c r="C867" i="1"/>
  <c r="L866" i="1"/>
  <c r="F866" i="1"/>
  <c r="C866" i="1"/>
  <c r="L865" i="1"/>
  <c r="F865" i="1"/>
  <c r="C865" i="1"/>
  <c r="L864" i="1"/>
  <c r="F864" i="1"/>
  <c r="C864" i="1"/>
  <c r="L863" i="1"/>
  <c r="F863" i="1"/>
  <c r="C863" i="1"/>
  <c r="L862" i="1"/>
  <c r="F862" i="1"/>
  <c r="C862" i="1"/>
  <c r="L861" i="1"/>
  <c r="F861" i="1"/>
  <c r="C861" i="1"/>
  <c r="L860" i="1"/>
  <c r="F860" i="1"/>
  <c r="C860" i="1"/>
  <c r="L859" i="1"/>
  <c r="F859" i="1"/>
  <c r="C859" i="1"/>
  <c r="L858" i="1"/>
  <c r="F858" i="1"/>
  <c r="C858" i="1"/>
  <c r="L857" i="1"/>
  <c r="F857" i="1"/>
  <c r="C857" i="1"/>
  <c r="L856" i="1"/>
  <c r="F856" i="1"/>
  <c r="C856" i="1"/>
  <c r="L855" i="1"/>
  <c r="F855" i="1"/>
  <c r="C855" i="1"/>
  <c r="L854" i="1"/>
  <c r="F854" i="1"/>
  <c r="C854" i="1"/>
  <c r="L853" i="1"/>
  <c r="F853" i="1"/>
  <c r="C853" i="1"/>
  <c r="L852" i="1"/>
  <c r="F852" i="1"/>
  <c r="C852" i="1"/>
  <c r="L851" i="1"/>
  <c r="F851" i="1"/>
  <c r="C851" i="1"/>
  <c r="L850" i="1"/>
  <c r="F850" i="1"/>
  <c r="C850" i="1"/>
  <c r="L849" i="1"/>
  <c r="F849" i="1"/>
  <c r="C849" i="1"/>
  <c r="L848" i="1"/>
  <c r="F848" i="1"/>
  <c r="C848" i="1"/>
  <c r="L847" i="1"/>
  <c r="F847" i="1"/>
  <c r="C847" i="1"/>
  <c r="L846" i="1"/>
  <c r="F846" i="1"/>
  <c r="C846" i="1"/>
  <c r="L845" i="1"/>
  <c r="F845" i="1"/>
  <c r="C845" i="1"/>
  <c r="L844" i="1"/>
  <c r="F844" i="1"/>
  <c r="C844" i="1"/>
  <c r="L843" i="1"/>
  <c r="F843" i="1"/>
  <c r="C843" i="1"/>
  <c r="L842" i="1"/>
  <c r="F842" i="1"/>
  <c r="C842" i="1"/>
  <c r="L841" i="1"/>
  <c r="F841" i="1"/>
  <c r="C841" i="1"/>
  <c r="L840" i="1"/>
  <c r="F840" i="1"/>
  <c r="C840" i="1"/>
  <c r="L839" i="1"/>
  <c r="F839" i="1"/>
  <c r="C839" i="1"/>
  <c r="L838" i="1"/>
  <c r="F838" i="1"/>
  <c r="C838" i="1"/>
  <c r="L837" i="1"/>
  <c r="F837" i="1"/>
  <c r="C837" i="1"/>
  <c r="L836" i="1"/>
  <c r="F836" i="1"/>
  <c r="C836" i="1"/>
  <c r="L835" i="1"/>
  <c r="F835" i="1"/>
  <c r="C835" i="1"/>
  <c r="L834" i="1"/>
  <c r="F834" i="1"/>
  <c r="C834" i="1"/>
  <c r="L833" i="1"/>
  <c r="F833" i="1"/>
  <c r="C833" i="1"/>
  <c r="L832" i="1"/>
  <c r="F832" i="1"/>
  <c r="C832" i="1"/>
  <c r="L831" i="1"/>
  <c r="F831" i="1"/>
  <c r="C831" i="1"/>
  <c r="L830" i="1"/>
  <c r="F830" i="1"/>
  <c r="C830" i="1"/>
  <c r="L829" i="1"/>
  <c r="F829" i="1"/>
  <c r="C829" i="1"/>
  <c r="L828" i="1"/>
  <c r="F828" i="1"/>
  <c r="C828" i="1"/>
  <c r="L827" i="1"/>
  <c r="F827" i="1"/>
  <c r="C827" i="1"/>
  <c r="L826" i="1"/>
  <c r="F826" i="1"/>
  <c r="C826" i="1"/>
  <c r="L825" i="1"/>
  <c r="F825" i="1"/>
  <c r="C825" i="1"/>
  <c r="L824" i="1"/>
  <c r="F824" i="1"/>
  <c r="C824" i="1"/>
  <c r="L823" i="1"/>
  <c r="F823" i="1"/>
  <c r="C823" i="1"/>
  <c r="L822" i="1"/>
  <c r="F822" i="1"/>
  <c r="C822" i="1"/>
  <c r="L821" i="1"/>
  <c r="F821" i="1"/>
  <c r="C821" i="1"/>
  <c r="L820" i="1"/>
  <c r="F820" i="1"/>
  <c r="C820" i="1"/>
  <c r="L819" i="1"/>
  <c r="F819" i="1"/>
  <c r="C819" i="1"/>
  <c r="L818" i="1"/>
  <c r="F818" i="1"/>
  <c r="C818" i="1"/>
  <c r="L817" i="1"/>
  <c r="F817" i="1"/>
  <c r="C817" i="1"/>
  <c r="L816" i="1"/>
  <c r="F816" i="1"/>
  <c r="C816" i="1"/>
  <c r="L815" i="1"/>
  <c r="F815" i="1"/>
  <c r="C815" i="1"/>
  <c r="L814" i="1"/>
  <c r="F814" i="1"/>
  <c r="C814" i="1"/>
  <c r="L813" i="1"/>
  <c r="F813" i="1"/>
  <c r="C813" i="1"/>
  <c r="L812" i="1"/>
  <c r="F812" i="1"/>
  <c r="C812" i="1"/>
  <c r="L811" i="1"/>
  <c r="F811" i="1"/>
  <c r="C811" i="1"/>
  <c r="L810" i="1"/>
  <c r="F810" i="1"/>
  <c r="C810" i="1"/>
  <c r="L809" i="1"/>
  <c r="F809" i="1"/>
  <c r="C809" i="1"/>
  <c r="L808" i="1"/>
  <c r="F808" i="1"/>
  <c r="C808" i="1"/>
  <c r="L807" i="1"/>
  <c r="F807" i="1"/>
  <c r="C807" i="1"/>
  <c r="L806" i="1"/>
  <c r="F806" i="1"/>
  <c r="C806" i="1"/>
  <c r="L805" i="1"/>
  <c r="F805" i="1"/>
  <c r="C805" i="1"/>
  <c r="L804" i="1"/>
  <c r="F804" i="1"/>
  <c r="C804" i="1"/>
  <c r="L803" i="1"/>
  <c r="F803" i="1"/>
  <c r="C803" i="1"/>
  <c r="L802" i="1"/>
  <c r="F802" i="1"/>
  <c r="C802" i="1"/>
  <c r="L801" i="1"/>
  <c r="F801" i="1"/>
  <c r="C801" i="1"/>
  <c r="L800" i="1"/>
  <c r="F800" i="1"/>
  <c r="C800" i="1"/>
  <c r="L799" i="1"/>
  <c r="F799" i="1"/>
  <c r="C799" i="1"/>
  <c r="L798" i="1"/>
  <c r="F798" i="1"/>
  <c r="C798" i="1"/>
  <c r="L797" i="1"/>
  <c r="F797" i="1"/>
  <c r="C797" i="1"/>
  <c r="L796" i="1"/>
  <c r="F796" i="1"/>
  <c r="C796" i="1"/>
  <c r="L795" i="1"/>
  <c r="F795" i="1"/>
  <c r="C795" i="1"/>
  <c r="L794" i="1"/>
  <c r="F794" i="1"/>
  <c r="C794" i="1"/>
  <c r="L793" i="1"/>
  <c r="F793" i="1"/>
  <c r="C793" i="1"/>
  <c r="L792" i="1"/>
  <c r="F792" i="1"/>
  <c r="C792" i="1"/>
  <c r="L791" i="1"/>
  <c r="F791" i="1"/>
  <c r="C791" i="1"/>
  <c r="L790" i="1"/>
  <c r="F790" i="1"/>
  <c r="C790" i="1"/>
  <c r="L789" i="1"/>
  <c r="F789" i="1"/>
  <c r="C789" i="1"/>
  <c r="L788" i="1"/>
  <c r="F788" i="1"/>
  <c r="C788" i="1"/>
  <c r="L787" i="1"/>
  <c r="F787" i="1"/>
  <c r="C787" i="1"/>
  <c r="L786" i="1"/>
  <c r="F786" i="1"/>
  <c r="C786" i="1"/>
  <c r="L785" i="1"/>
  <c r="F785" i="1"/>
  <c r="C785" i="1"/>
  <c r="L784" i="1"/>
  <c r="F784" i="1"/>
  <c r="C784" i="1"/>
  <c r="L783" i="1"/>
  <c r="F783" i="1"/>
  <c r="C783" i="1"/>
  <c r="L782" i="1"/>
  <c r="F782" i="1"/>
  <c r="C782" i="1"/>
  <c r="L781" i="1"/>
  <c r="F781" i="1"/>
  <c r="C781" i="1"/>
  <c r="L780" i="1"/>
  <c r="F780" i="1"/>
  <c r="C780" i="1"/>
  <c r="L779" i="1"/>
  <c r="F779" i="1"/>
  <c r="C779" i="1"/>
  <c r="L778" i="1"/>
  <c r="F778" i="1"/>
  <c r="C778" i="1"/>
  <c r="L777" i="1"/>
  <c r="F777" i="1"/>
  <c r="C777" i="1"/>
  <c r="L776" i="1"/>
  <c r="F776" i="1"/>
  <c r="C776" i="1"/>
  <c r="L775" i="1"/>
  <c r="F775" i="1"/>
  <c r="C775" i="1"/>
  <c r="L774" i="1"/>
  <c r="F774" i="1"/>
  <c r="C774" i="1"/>
  <c r="L773" i="1"/>
  <c r="F773" i="1"/>
  <c r="C773" i="1"/>
  <c r="L772" i="1"/>
  <c r="F772" i="1"/>
  <c r="C772" i="1"/>
  <c r="L771" i="1"/>
  <c r="F771" i="1"/>
  <c r="C771" i="1"/>
  <c r="L770" i="1"/>
  <c r="F770" i="1"/>
  <c r="C770" i="1"/>
  <c r="L769" i="1"/>
  <c r="F769" i="1"/>
  <c r="C769" i="1"/>
  <c r="L768" i="1"/>
  <c r="F768" i="1"/>
  <c r="C768" i="1"/>
  <c r="L767" i="1"/>
  <c r="F767" i="1"/>
  <c r="C767" i="1"/>
  <c r="L766" i="1"/>
  <c r="F766" i="1"/>
  <c r="C766" i="1"/>
  <c r="L765" i="1"/>
  <c r="F765" i="1"/>
  <c r="C765" i="1"/>
  <c r="L764" i="1"/>
  <c r="F764" i="1"/>
  <c r="C764" i="1"/>
  <c r="L763" i="1"/>
  <c r="F763" i="1"/>
  <c r="C763" i="1"/>
  <c r="L762" i="1"/>
  <c r="F762" i="1"/>
  <c r="C762" i="1"/>
  <c r="L761" i="1"/>
  <c r="F761" i="1"/>
  <c r="C761" i="1"/>
  <c r="L760" i="1"/>
  <c r="F760" i="1"/>
  <c r="C760" i="1"/>
  <c r="L759" i="1"/>
  <c r="F759" i="1"/>
  <c r="C759" i="1"/>
  <c r="L758" i="1"/>
  <c r="F758" i="1"/>
  <c r="C758" i="1"/>
  <c r="L757" i="1"/>
  <c r="F757" i="1"/>
  <c r="C757" i="1"/>
  <c r="L756" i="1"/>
  <c r="F756" i="1"/>
  <c r="C756" i="1"/>
  <c r="L755" i="1"/>
  <c r="F755" i="1"/>
  <c r="C755" i="1"/>
  <c r="L754" i="1"/>
  <c r="F754" i="1"/>
  <c r="C754" i="1"/>
  <c r="L753" i="1"/>
  <c r="F753" i="1"/>
  <c r="C753" i="1"/>
  <c r="L752" i="1"/>
  <c r="F752" i="1"/>
  <c r="C752" i="1"/>
  <c r="L751" i="1"/>
  <c r="F751" i="1"/>
  <c r="C751" i="1"/>
  <c r="L750" i="1"/>
  <c r="F750" i="1"/>
  <c r="C750" i="1"/>
  <c r="L749" i="1"/>
  <c r="F749" i="1"/>
  <c r="C749" i="1"/>
  <c r="L748" i="1"/>
  <c r="F748" i="1"/>
  <c r="C748" i="1"/>
  <c r="L747" i="1"/>
  <c r="F747" i="1"/>
  <c r="C747" i="1"/>
  <c r="L746" i="1"/>
  <c r="F746" i="1"/>
  <c r="C746" i="1"/>
  <c r="L745" i="1"/>
  <c r="F745" i="1"/>
  <c r="C745" i="1"/>
  <c r="L744" i="1"/>
  <c r="F744" i="1"/>
  <c r="C744" i="1"/>
  <c r="L743" i="1"/>
  <c r="F743" i="1"/>
  <c r="C743" i="1"/>
  <c r="L742" i="1"/>
  <c r="F742" i="1"/>
  <c r="C742" i="1"/>
  <c r="L741" i="1"/>
  <c r="F741" i="1"/>
  <c r="C741" i="1"/>
  <c r="L740" i="1"/>
  <c r="F740" i="1"/>
  <c r="C740" i="1"/>
  <c r="L739" i="1"/>
  <c r="F739" i="1"/>
  <c r="C739" i="1"/>
  <c r="L738" i="1"/>
  <c r="F738" i="1"/>
  <c r="C738" i="1"/>
  <c r="L737" i="1"/>
  <c r="F737" i="1"/>
  <c r="C737" i="1"/>
  <c r="L736" i="1"/>
  <c r="F736" i="1"/>
  <c r="C736" i="1"/>
  <c r="L735" i="1"/>
  <c r="F735" i="1"/>
  <c r="C735" i="1"/>
  <c r="L734" i="1"/>
  <c r="F734" i="1"/>
  <c r="C734" i="1"/>
  <c r="L733" i="1"/>
  <c r="F733" i="1"/>
  <c r="C733" i="1"/>
  <c r="L732" i="1"/>
  <c r="F732" i="1"/>
  <c r="C732" i="1"/>
  <c r="L731" i="1"/>
  <c r="F731" i="1"/>
  <c r="C731" i="1"/>
  <c r="L730" i="1"/>
  <c r="F730" i="1"/>
  <c r="C730" i="1"/>
  <c r="L729" i="1"/>
  <c r="F729" i="1"/>
  <c r="C729" i="1"/>
  <c r="L728" i="1"/>
  <c r="F728" i="1"/>
  <c r="C728" i="1"/>
  <c r="L727" i="1"/>
  <c r="F727" i="1"/>
  <c r="C727" i="1"/>
  <c r="L726" i="1"/>
  <c r="F726" i="1"/>
  <c r="C726" i="1"/>
  <c r="L725" i="1"/>
  <c r="F725" i="1"/>
  <c r="C725" i="1"/>
  <c r="L724" i="1"/>
  <c r="F724" i="1"/>
  <c r="C724" i="1"/>
  <c r="L723" i="1"/>
  <c r="F723" i="1"/>
  <c r="C723" i="1"/>
  <c r="L722" i="1"/>
  <c r="F722" i="1"/>
  <c r="C722" i="1"/>
  <c r="L721" i="1"/>
  <c r="F721" i="1"/>
  <c r="C721" i="1"/>
  <c r="L720" i="1"/>
  <c r="F720" i="1"/>
  <c r="C720" i="1"/>
  <c r="L719" i="1"/>
  <c r="F719" i="1"/>
  <c r="C719" i="1"/>
  <c r="L718" i="1"/>
  <c r="F718" i="1"/>
  <c r="C718" i="1"/>
  <c r="L717" i="1"/>
  <c r="F717" i="1"/>
  <c r="C717" i="1"/>
  <c r="L716" i="1"/>
  <c r="F716" i="1"/>
  <c r="C716" i="1"/>
  <c r="L715" i="1"/>
  <c r="F715" i="1"/>
  <c r="C715" i="1"/>
  <c r="L714" i="1"/>
  <c r="F714" i="1"/>
  <c r="C714" i="1"/>
  <c r="L713" i="1"/>
  <c r="F713" i="1"/>
  <c r="C713" i="1"/>
  <c r="L712" i="1"/>
  <c r="F712" i="1"/>
  <c r="C712" i="1"/>
  <c r="L711" i="1"/>
  <c r="F711" i="1"/>
  <c r="C711" i="1"/>
  <c r="L710" i="1"/>
  <c r="F710" i="1"/>
  <c r="C710" i="1"/>
  <c r="L709" i="1"/>
  <c r="F709" i="1"/>
  <c r="C709" i="1"/>
  <c r="L708" i="1"/>
  <c r="F708" i="1"/>
  <c r="C708" i="1"/>
  <c r="L707" i="1"/>
  <c r="F707" i="1"/>
  <c r="C707" i="1"/>
  <c r="L706" i="1"/>
  <c r="F706" i="1"/>
  <c r="C706" i="1"/>
  <c r="L705" i="1"/>
  <c r="F705" i="1"/>
  <c r="C705" i="1"/>
  <c r="L704" i="1"/>
  <c r="F704" i="1"/>
  <c r="C704" i="1"/>
  <c r="L703" i="1"/>
  <c r="F703" i="1"/>
  <c r="C703" i="1"/>
  <c r="L702" i="1"/>
  <c r="F702" i="1"/>
  <c r="C702" i="1"/>
  <c r="L701" i="1"/>
  <c r="F701" i="1"/>
  <c r="C701" i="1"/>
  <c r="L700" i="1"/>
  <c r="F700" i="1"/>
  <c r="C700" i="1"/>
  <c r="L699" i="1"/>
  <c r="F699" i="1"/>
  <c r="C699" i="1"/>
  <c r="L698" i="1"/>
  <c r="F698" i="1"/>
  <c r="C698" i="1"/>
  <c r="L697" i="1"/>
  <c r="F697" i="1"/>
  <c r="C697" i="1"/>
  <c r="L696" i="1"/>
  <c r="F696" i="1"/>
  <c r="C696" i="1"/>
  <c r="L695" i="1"/>
  <c r="F695" i="1"/>
  <c r="C695" i="1"/>
  <c r="L694" i="1"/>
  <c r="F694" i="1"/>
  <c r="C694" i="1"/>
  <c r="L693" i="1"/>
  <c r="F693" i="1"/>
  <c r="C693" i="1"/>
  <c r="L692" i="1"/>
  <c r="F692" i="1"/>
  <c r="C692" i="1"/>
  <c r="L691" i="1"/>
  <c r="F691" i="1"/>
  <c r="C691" i="1"/>
  <c r="L690" i="1"/>
  <c r="F690" i="1"/>
  <c r="C690" i="1"/>
  <c r="L689" i="1"/>
  <c r="F689" i="1"/>
  <c r="C689" i="1"/>
  <c r="L688" i="1"/>
  <c r="F688" i="1"/>
  <c r="C688" i="1"/>
  <c r="L687" i="1"/>
  <c r="F687" i="1"/>
  <c r="C687" i="1"/>
  <c r="L686" i="1"/>
  <c r="F686" i="1"/>
  <c r="C686" i="1"/>
  <c r="L685" i="1"/>
  <c r="F685" i="1"/>
  <c r="C685" i="1"/>
  <c r="L684" i="1"/>
  <c r="F684" i="1"/>
  <c r="C684" i="1"/>
  <c r="L683" i="1"/>
  <c r="F683" i="1"/>
  <c r="C683" i="1"/>
  <c r="L682" i="1"/>
  <c r="F682" i="1"/>
  <c r="C682" i="1"/>
  <c r="L681" i="1"/>
  <c r="F681" i="1"/>
  <c r="C681" i="1"/>
  <c r="L680" i="1"/>
  <c r="F680" i="1"/>
  <c r="C680" i="1"/>
  <c r="L679" i="1"/>
  <c r="F679" i="1"/>
  <c r="C679" i="1"/>
  <c r="L678" i="1"/>
  <c r="F678" i="1"/>
  <c r="C678" i="1"/>
  <c r="L677" i="1"/>
  <c r="F677" i="1"/>
  <c r="C677" i="1"/>
  <c r="L676" i="1"/>
  <c r="F676" i="1"/>
  <c r="C676" i="1"/>
  <c r="L675" i="1"/>
  <c r="F675" i="1"/>
  <c r="C675" i="1"/>
  <c r="L674" i="1"/>
  <c r="F674" i="1"/>
  <c r="C674" i="1"/>
  <c r="L673" i="1"/>
  <c r="F673" i="1"/>
  <c r="C673" i="1"/>
  <c r="L672" i="1"/>
  <c r="F672" i="1"/>
  <c r="C672" i="1"/>
  <c r="L671" i="1"/>
  <c r="F671" i="1"/>
  <c r="C671" i="1"/>
  <c r="L670" i="1"/>
  <c r="F670" i="1"/>
  <c r="C670" i="1"/>
  <c r="L669" i="1"/>
  <c r="F669" i="1"/>
  <c r="C669" i="1"/>
  <c r="L668" i="1"/>
  <c r="F668" i="1"/>
  <c r="C668" i="1"/>
  <c r="L667" i="1"/>
  <c r="F667" i="1"/>
  <c r="C667" i="1"/>
  <c r="L666" i="1"/>
  <c r="F666" i="1"/>
  <c r="C666" i="1"/>
  <c r="L665" i="1"/>
  <c r="F665" i="1"/>
  <c r="C665" i="1"/>
  <c r="L664" i="1"/>
  <c r="F664" i="1"/>
  <c r="C664" i="1"/>
  <c r="L663" i="1"/>
  <c r="F663" i="1"/>
  <c r="C663" i="1"/>
  <c r="L662" i="1"/>
  <c r="F662" i="1"/>
  <c r="C662" i="1"/>
  <c r="L661" i="1"/>
  <c r="F661" i="1"/>
  <c r="C661" i="1"/>
  <c r="L660" i="1"/>
  <c r="F660" i="1"/>
  <c r="C660" i="1"/>
  <c r="L659" i="1"/>
  <c r="F659" i="1"/>
  <c r="C659" i="1"/>
  <c r="L658" i="1"/>
  <c r="F658" i="1"/>
  <c r="C658" i="1"/>
  <c r="L657" i="1"/>
  <c r="F657" i="1"/>
  <c r="C657" i="1"/>
  <c r="L656" i="1"/>
  <c r="F656" i="1"/>
  <c r="C656" i="1"/>
  <c r="L655" i="1"/>
  <c r="F655" i="1"/>
  <c r="C655" i="1"/>
  <c r="L654" i="1"/>
  <c r="F654" i="1"/>
  <c r="C654" i="1"/>
  <c r="L653" i="1"/>
  <c r="F653" i="1"/>
  <c r="C653" i="1"/>
  <c r="L652" i="1"/>
  <c r="F652" i="1"/>
  <c r="C652" i="1"/>
  <c r="L651" i="1"/>
  <c r="F651" i="1"/>
  <c r="C651" i="1"/>
  <c r="L650" i="1"/>
  <c r="F650" i="1"/>
  <c r="C650" i="1"/>
  <c r="L649" i="1"/>
  <c r="F649" i="1"/>
  <c r="C649" i="1"/>
  <c r="L648" i="1"/>
  <c r="F648" i="1"/>
  <c r="C648" i="1"/>
  <c r="L647" i="1"/>
  <c r="F647" i="1"/>
  <c r="C647" i="1"/>
  <c r="L646" i="1"/>
  <c r="F646" i="1"/>
  <c r="C646" i="1"/>
  <c r="L645" i="1"/>
  <c r="F645" i="1"/>
  <c r="C645" i="1"/>
  <c r="L644" i="1"/>
  <c r="F644" i="1"/>
  <c r="C644" i="1"/>
  <c r="L643" i="1"/>
  <c r="F643" i="1"/>
  <c r="C643" i="1"/>
  <c r="L642" i="1"/>
  <c r="F642" i="1"/>
  <c r="C642" i="1"/>
  <c r="L641" i="1"/>
  <c r="F641" i="1"/>
  <c r="C641" i="1"/>
  <c r="L640" i="1"/>
  <c r="F640" i="1"/>
  <c r="C640" i="1"/>
  <c r="L639" i="1"/>
  <c r="F639" i="1"/>
  <c r="C639" i="1"/>
  <c r="L638" i="1"/>
  <c r="F638" i="1"/>
  <c r="C638" i="1"/>
  <c r="L637" i="1"/>
  <c r="F637" i="1"/>
  <c r="C637" i="1"/>
  <c r="L636" i="1"/>
  <c r="F636" i="1"/>
  <c r="C636" i="1"/>
  <c r="L635" i="1"/>
  <c r="F635" i="1"/>
  <c r="C635" i="1"/>
  <c r="L634" i="1"/>
  <c r="F634" i="1"/>
  <c r="C634" i="1"/>
  <c r="L633" i="1"/>
  <c r="F633" i="1"/>
  <c r="C633" i="1"/>
  <c r="L632" i="1"/>
  <c r="F632" i="1"/>
  <c r="C632" i="1"/>
  <c r="L631" i="1"/>
  <c r="F631" i="1"/>
  <c r="C631" i="1"/>
  <c r="L630" i="1"/>
  <c r="F630" i="1"/>
  <c r="C630" i="1"/>
  <c r="L629" i="1"/>
  <c r="F629" i="1"/>
  <c r="C629" i="1"/>
  <c r="L628" i="1"/>
  <c r="F628" i="1"/>
  <c r="C628" i="1"/>
  <c r="L627" i="1"/>
  <c r="F627" i="1"/>
  <c r="C627" i="1"/>
  <c r="L626" i="1"/>
  <c r="F626" i="1"/>
  <c r="C626" i="1"/>
  <c r="L625" i="1"/>
  <c r="F625" i="1"/>
  <c r="C625" i="1"/>
  <c r="L624" i="1"/>
  <c r="F624" i="1"/>
  <c r="C624" i="1"/>
  <c r="L623" i="1"/>
  <c r="F623" i="1"/>
  <c r="C623" i="1"/>
  <c r="L622" i="1"/>
  <c r="F622" i="1"/>
  <c r="C622" i="1"/>
  <c r="L621" i="1"/>
  <c r="F621" i="1"/>
  <c r="C621" i="1"/>
  <c r="L620" i="1"/>
  <c r="F620" i="1"/>
  <c r="C620" i="1"/>
  <c r="L619" i="1"/>
  <c r="F619" i="1"/>
  <c r="C619" i="1"/>
  <c r="L618" i="1"/>
  <c r="F618" i="1"/>
  <c r="C618" i="1"/>
  <c r="L617" i="1"/>
  <c r="F617" i="1"/>
  <c r="C617" i="1"/>
  <c r="L616" i="1"/>
  <c r="F616" i="1"/>
  <c r="C616" i="1"/>
  <c r="L615" i="1"/>
  <c r="F615" i="1"/>
  <c r="C615" i="1"/>
  <c r="L614" i="1"/>
  <c r="F614" i="1"/>
  <c r="C614" i="1"/>
  <c r="L613" i="1"/>
  <c r="F613" i="1"/>
  <c r="C613" i="1"/>
  <c r="L612" i="1"/>
  <c r="F612" i="1"/>
  <c r="C612" i="1"/>
  <c r="L611" i="1"/>
  <c r="F611" i="1"/>
  <c r="C611" i="1"/>
  <c r="L610" i="1"/>
  <c r="F610" i="1"/>
  <c r="C610" i="1"/>
  <c r="L609" i="1"/>
  <c r="F609" i="1"/>
  <c r="C609" i="1"/>
  <c r="L608" i="1"/>
  <c r="F608" i="1"/>
  <c r="C608" i="1"/>
  <c r="L607" i="1"/>
  <c r="F607" i="1"/>
  <c r="C607" i="1"/>
  <c r="L606" i="1"/>
  <c r="F606" i="1"/>
  <c r="C606" i="1"/>
  <c r="L605" i="1"/>
  <c r="F605" i="1"/>
  <c r="C605" i="1"/>
  <c r="L604" i="1"/>
  <c r="F604" i="1"/>
  <c r="C604" i="1"/>
  <c r="L603" i="1"/>
  <c r="F603" i="1"/>
  <c r="C603" i="1"/>
  <c r="L602" i="1"/>
  <c r="F602" i="1"/>
  <c r="C602" i="1"/>
  <c r="L601" i="1"/>
  <c r="F601" i="1"/>
  <c r="C601" i="1"/>
  <c r="L600" i="1"/>
  <c r="F600" i="1"/>
  <c r="C600" i="1"/>
  <c r="L599" i="1"/>
  <c r="F599" i="1"/>
  <c r="C599" i="1"/>
  <c r="L598" i="1"/>
  <c r="F598" i="1"/>
  <c r="C598" i="1"/>
  <c r="L597" i="1"/>
  <c r="F597" i="1"/>
  <c r="C597" i="1"/>
  <c r="L596" i="1"/>
  <c r="F596" i="1"/>
  <c r="C596" i="1"/>
  <c r="L595" i="1"/>
  <c r="F595" i="1"/>
  <c r="C595" i="1"/>
  <c r="L594" i="1"/>
  <c r="F594" i="1"/>
  <c r="C594" i="1"/>
  <c r="L593" i="1"/>
  <c r="F593" i="1"/>
  <c r="C593" i="1"/>
  <c r="L592" i="1"/>
  <c r="F592" i="1"/>
  <c r="C592" i="1"/>
  <c r="L591" i="1"/>
  <c r="F591" i="1"/>
  <c r="C591" i="1"/>
  <c r="L590" i="1"/>
  <c r="F590" i="1"/>
  <c r="C590" i="1"/>
  <c r="L589" i="1"/>
  <c r="F589" i="1"/>
  <c r="C589" i="1"/>
  <c r="L588" i="1"/>
  <c r="F588" i="1"/>
  <c r="C588" i="1"/>
  <c r="L587" i="1"/>
  <c r="F587" i="1"/>
  <c r="C587" i="1"/>
  <c r="L586" i="1"/>
  <c r="F586" i="1"/>
  <c r="C586" i="1"/>
  <c r="L585" i="1"/>
  <c r="F585" i="1"/>
  <c r="C585" i="1"/>
  <c r="L584" i="1"/>
  <c r="F584" i="1"/>
  <c r="C584" i="1"/>
  <c r="L583" i="1"/>
  <c r="F583" i="1"/>
  <c r="C583" i="1"/>
  <c r="L582" i="1"/>
  <c r="F582" i="1"/>
  <c r="C582" i="1"/>
  <c r="L581" i="1"/>
  <c r="F581" i="1"/>
  <c r="C581" i="1"/>
  <c r="L580" i="1"/>
  <c r="F580" i="1"/>
  <c r="C580" i="1"/>
  <c r="L579" i="1"/>
  <c r="F579" i="1"/>
  <c r="C579" i="1"/>
  <c r="L578" i="1"/>
  <c r="F578" i="1"/>
  <c r="C578" i="1"/>
  <c r="L577" i="1"/>
  <c r="F577" i="1"/>
  <c r="C577" i="1"/>
  <c r="L576" i="1"/>
  <c r="F576" i="1"/>
  <c r="C576" i="1"/>
  <c r="L575" i="1"/>
  <c r="F575" i="1"/>
  <c r="C575" i="1"/>
  <c r="L574" i="1"/>
  <c r="F574" i="1"/>
  <c r="C574" i="1"/>
  <c r="L573" i="1"/>
  <c r="F573" i="1"/>
  <c r="C573" i="1"/>
  <c r="L572" i="1"/>
  <c r="F572" i="1"/>
  <c r="C572" i="1"/>
  <c r="L571" i="1"/>
  <c r="F571" i="1"/>
  <c r="C571" i="1"/>
  <c r="L570" i="1"/>
  <c r="F570" i="1"/>
  <c r="C570" i="1"/>
  <c r="L569" i="1"/>
  <c r="F569" i="1"/>
  <c r="C569" i="1"/>
  <c r="L568" i="1"/>
  <c r="F568" i="1"/>
  <c r="C568" i="1"/>
  <c r="L567" i="1"/>
  <c r="F567" i="1"/>
  <c r="C567" i="1"/>
  <c r="L566" i="1"/>
  <c r="F566" i="1"/>
  <c r="C566" i="1"/>
  <c r="L565" i="1"/>
  <c r="F565" i="1"/>
  <c r="C565" i="1"/>
  <c r="L564" i="1"/>
  <c r="F564" i="1"/>
  <c r="C564" i="1"/>
  <c r="L563" i="1"/>
  <c r="F563" i="1"/>
  <c r="C563" i="1"/>
  <c r="L562" i="1"/>
  <c r="F562" i="1"/>
  <c r="C562" i="1"/>
  <c r="L561" i="1"/>
  <c r="F561" i="1"/>
  <c r="C561" i="1"/>
  <c r="L560" i="1"/>
  <c r="F560" i="1"/>
  <c r="C560" i="1"/>
  <c r="L559" i="1"/>
  <c r="F559" i="1"/>
  <c r="C559" i="1"/>
  <c r="L558" i="1"/>
  <c r="F558" i="1"/>
  <c r="C558" i="1"/>
  <c r="L557" i="1"/>
  <c r="F557" i="1"/>
  <c r="C557" i="1"/>
  <c r="L556" i="1"/>
  <c r="F556" i="1"/>
  <c r="C556" i="1"/>
  <c r="L555" i="1"/>
  <c r="F555" i="1"/>
  <c r="C555" i="1"/>
  <c r="L554" i="1"/>
  <c r="F554" i="1"/>
  <c r="C554" i="1"/>
  <c r="L553" i="1"/>
  <c r="F553" i="1"/>
  <c r="C553" i="1"/>
  <c r="L552" i="1"/>
  <c r="F552" i="1"/>
  <c r="C552" i="1"/>
  <c r="L551" i="1"/>
  <c r="F551" i="1"/>
  <c r="C551" i="1"/>
  <c r="L550" i="1"/>
  <c r="F550" i="1"/>
  <c r="C550" i="1"/>
  <c r="L549" i="1"/>
  <c r="F549" i="1"/>
  <c r="C549" i="1"/>
  <c r="L548" i="1"/>
  <c r="F548" i="1"/>
  <c r="C548" i="1"/>
  <c r="L547" i="1"/>
  <c r="F547" i="1"/>
  <c r="C547" i="1"/>
  <c r="L546" i="1"/>
  <c r="F546" i="1"/>
  <c r="C546" i="1"/>
  <c r="L545" i="1"/>
  <c r="F545" i="1"/>
  <c r="C545" i="1"/>
  <c r="L544" i="1"/>
  <c r="F544" i="1"/>
  <c r="C544" i="1"/>
  <c r="L543" i="1"/>
  <c r="F543" i="1"/>
  <c r="C543" i="1"/>
  <c r="L542" i="1"/>
  <c r="F542" i="1"/>
  <c r="C542" i="1"/>
  <c r="L541" i="1"/>
  <c r="F541" i="1"/>
  <c r="C541" i="1"/>
  <c r="L540" i="1"/>
  <c r="F540" i="1"/>
  <c r="C540" i="1"/>
  <c r="L539" i="1"/>
  <c r="F539" i="1"/>
  <c r="C539" i="1"/>
  <c r="L538" i="1"/>
  <c r="F538" i="1"/>
  <c r="C538" i="1"/>
  <c r="L537" i="1"/>
  <c r="F537" i="1"/>
  <c r="C537" i="1"/>
  <c r="L536" i="1"/>
  <c r="F536" i="1"/>
  <c r="C536" i="1"/>
  <c r="L535" i="1"/>
  <c r="F535" i="1"/>
  <c r="C535" i="1"/>
  <c r="L534" i="1"/>
  <c r="F534" i="1"/>
  <c r="C534" i="1"/>
  <c r="L533" i="1"/>
  <c r="F533" i="1"/>
  <c r="C533" i="1"/>
  <c r="L532" i="1"/>
  <c r="F532" i="1"/>
  <c r="C532" i="1"/>
  <c r="L531" i="1"/>
  <c r="F531" i="1"/>
  <c r="C531" i="1"/>
  <c r="L530" i="1"/>
  <c r="F530" i="1"/>
  <c r="C530" i="1"/>
  <c r="L529" i="1"/>
  <c r="F529" i="1"/>
  <c r="C529" i="1"/>
  <c r="L528" i="1"/>
  <c r="F528" i="1"/>
  <c r="C528" i="1"/>
  <c r="L527" i="1"/>
  <c r="F527" i="1"/>
  <c r="C527" i="1"/>
  <c r="L526" i="1"/>
  <c r="F526" i="1"/>
  <c r="C526" i="1"/>
  <c r="L525" i="1"/>
  <c r="F525" i="1"/>
  <c r="C525" i="1"/>
  <c r="L524" i="1"/>
  <c r="F524" i="1"/>
  <c r="C524" i="1"/>
  <c r="L523" i="1"/>
  <c r="F523" i="1"/>
  <c r="C523" i="1"/>
  <c r="L522" i="1"/>
  <c r="F522" i="1"/>
  <c r="C522" i="1"/>
  <c r="L521" i="1"/>
  <c r="F521" i="1"/>
  <c r="C521" i="1"/>
  <c r="L520" i="1"/>
  <c r="F520" i="1"/>
  <c r="C520" i="1"/>
  <c r="L519" i="1"/>
  <c r="F519" i="1"/>
  <c r="C519" i="1"/>
  <c r="L518" i="1"/>
  <c r="F518" i="1"/>
  <c r="C518" i="1"/>
  <c r="L517" i="1"/>
  <c r="F517" i="1"/>
  <c r="C517" i="1"/>
  <c r="L516" i="1"/>
  <c r="F516" i="1"/>
  <c r="C516" i="1"/>
  <c r="L515" i="1"/>
  <c r="F515" i="1"/>
  <c r="C515" i="1"/>
  <c r="L514" i="1"/>
  <c r="F514" i="1"/>
  <c r="C514" i="1"/>
  <c r="L513" i="1"/>
  <c r="F513" i="1"/>
  <c r="C513" i="1"/>
  <c r="L512" i="1"/>
  <c r="F512" i="1"/>
  <c r="C512" i="1"/>
  <c r="L511" i="1"/>
  <c r="F511" i="1"/>
  <c r="C511" i="1"/>
  <c r="L510" i="1"/>
  <c r="F510" i="1"/>
  <c r="C510" i="1"/>
  <c r="L509" i="1"/>
  <c r="F509" i="1"/>
  <c r="C509" i="1"/>
  <c r="L508" i="1"/>
  <c r="F508" i="1"/>
  <c r="C508" i="1"/>
  <c r="L507" i="1"/>
  <c r="F507" i="1"/>
  <c r="C507" i="1"/>
  <c r="L506" i="1"/>
  <c r="F506" i="1"/>
  <c r="C506" i="1"/>
  <c r="L505" i="1"/>
  <c r="F505" i="1"/>
  <c r="C505" i="1"/>
  <c r="L504" i="1"/>
  <c r="F504" i="1"/>
  <c r="C504" i="1"/>
  <c r="L503" i="1"/>
  <c r="F503" i="1"/>
  <c r="C503" i="1"/>
  <c r="L502" i="1"/>
  <c r="F502" i="1"/>
  <c r="C502" i="1"/>
  <c r="L501" i="1"/>
  <c r="F501" i="1"/>
  <c r="C501" i="1"/>
  <c r="L500" i="1"/>
  <c r="F500" i="1"/>
  <c r="C500" i="1"/>
  <c r="L499" i="1"/>
  <c r="F499" i="1"/>
  <c r="C499" i="1"/>
  <c r="L498" i="1"/>
  <c r="F498" i="1"/>
  <c r="C498" i="1"/>
  <c r="L497" i="1"/>
  <c r="F497" i="1"/>
  <c r="C497" i="1"/>
  <c r="L496" i="1"/>
  <c r="F496" i="1"/>
  <c r="C496" i="1"/>
  <c r="L495" i="1"/>
  <c r="F495" i="1"/>
  <c r="C495" i="1"/>
  <c r="L494" i="1"/>
  <c r="F494" i="1"/>
  <c r="C494" i="1"/>
  <c r="L493" i="1"/>
  <c r="F493" i="1"/>
  <c r="C493" i="1"/>
  <c r="L492" i="1"/>
  <c r="F492" i="1"/>
  <c r="C492" i="1"/>
  <c r="L491" i="1"/>
  <c r="F491" i="1"/>
  <c r="C491" i="1"/>
  <c r="L490" i="1"/>
  <c r="F490" i="1"/>
  <c r="C490" i="1"/>
  <c r="L489" i="1"/>
  <c r="F489" i="1"/>
  <c r="C489" i="1"/>
  <c r="L488" i="1"/>
  <c r="F488" i="1"/>
  <c r="C488" i="1"/>
  <c r="L487" i="1"/>
  <c r="F487" i="1"/>
  <c r="C487" i="1"/>
  <c r="L486" i="1"/>
  <c r="F486" i="1"/>
  <c r="C486" i="1"/>
  <c r="L485" i="1"/>
  <c r="F485" i="1"/>
  <c r="C485" i="1"/>
  <c r="L484" i="1"/>
  <c r="F484" i="1"/>
  <c r="C484" i="1"/>
  <c r="L483" i="1"/>
  <c r="F483" i="1"/>
  <c r="C483" i="1"/>
  <c r="L482" i="1"/>
  <c r="F482" i="1"/>
  <c r="C482" i="1"/>
  <c r="L481" i="1"/>
  <c r="F481" i="1"/>
  <c r="C481" i="1"/>
  <c r="L480" i="1"/>
  <c r="F480" i="1"/>
  <c r="C480" i="1"/>
  <c r="L479" i="1"/>
  <c r="F479" i="1"/>
  <c r="C479" i="1"/>
  <c r="L478" i="1"/>
  <c r="F478" i="1"/>
  <c r="C478" i="1"/>
  <c r="L477" i="1"/>
  <c r="F477" i="1"/>
  <c r="C477" i="1"/>
  <c r="L476" i="1"/>
  <c r="F476" i="1"/>
  <c r="C476" i="1"/>
  <c r="L475" i="1"/>
  <c r="F475" i="1"/>
  <c r="C475" i="1"/>
  <c r="L474" i="1"/>
  <c r="F474" i="1"/>
  <c r="C474" i="1"/>
  <c r="L473" i="1"/>
  <c r="F473" i="1"/>
  <c r="C473" i="1"/>
  <c r="L472" i="1"/>
  <c r="F472" i="1"/>
  <c r="C472" i="1"/>
  <c r="L471" i="1"/>
  <c r="F471" i="1"/>
  <c r="C471" i="1"/>
  <c r="L470" i="1"/>
  <c r="F470" i="1"/>
  <c r="C470" i="1"/>
  <c r="L469" i="1"/>
  <c r="F469" i="1"/>
  <c r="C469" i="1"/>
  <c r="L468" i="1"/>
  <c r="F468" i="1"/>
  <c r="C468" i="1"/>
  <c r="L467" i="1"/>
  <c r="F467" i="1"/>
  <c r="C467" i="1"/>
  <c r="L466" i="1"/>
  <c r="F466" i="1"/>
  <c r="C466" i="1"/>
  <c r="L465" i="1"/>
  <c r="F465" i="1"/>
  <c r="C465" i="1"/>
  <c r="L464" i="1"/>
  <c r="F464" i="1"/>
  <c r="C464" i="1"/>
  <c r="L463" i="1"/>
  <c r="F463" i="1"/>
  <c r="C463" i="1"/>
  <c r="L462" i="1"/>
  <c r="F462" i="1"/>
  <c r="C462" i="1"/>
  <c r="L461" i="1"/>
  <c r="F461" i="1"/>
  <c r="C461" i="1"/>
  <c r="L460" i="1"/>
  <c r="F460" i="1"/>
  <c r="C460" i="1"/>
  <c r="L459" i="1"/>
  <c r="F459" i="1"/>
  <c r="C459" i="1"/>
  <c r="L458" i="1"/>
  <c r="F458" i="1"/>
  <c r="C458" i="1"/>
  <c r="L457" i="1"/>
  <c r="F457" i="1"/>
  <c r="C457" i="1"/>
  <c r="L456" i="1"/>
  <c r="F456" i="1"/>
  <c r="C456" i="1"/>
  <c r="L455" i="1"/>
  <c r="F455" i="1"/>
  <c r="C455" i="1"/>
  <c r="L454" i="1"/>
  <c r="F454" i="1"/>
  <c r="C454" i="1"/>
  <c r="L453" i="1"/>
  <c r="F453" i="1"/>
  <c r="C453" i="1"/>
  <c r="L452" i="1"/>
  <c r="F452" i="1"/>
  <c r="C452" i="1"/>
  <c r="L451" i="1"/>
  <c r="F451" i="1"/>
  <c r="C451" i="1"/>
  <c r="L450" i="1"/>
  <c r="F450" i="1"/>
  <c r="C450" i="1"/>
  <c r="L449" i="1"/>
  <c r="F449" i="1"/>
  <c r="C449" i="1"/>
  <c r="L448" i="1"/>
  <c r="F448" i="1"/>
  <c r="C448" i="1"/>
  <c r="L447" i="1"/>
  <c r="F447" i="1"/>
  <c r="C447" i="1"/>
  <c r="L446" i="1"/>
  <c r="F446" i="1"/>
  <c r="C446" i="1"/>
  <c r="L445" i="1"/>
  <c r="F445" i="1"/>
  <c r="C445" i="1"/>
  <c r="L444" i="1"/>
  <c r="F444" i="1"/>
  <c r="C444" i="1"/>
  <c r="L443" i="1"/>
  <c r="F443" i="1"/>
  <c r="C443" i="1"/>
  <c r="L442" i="1"/>
  <c r="F442" i="1"/>
  <c r="C442" i="1"/>
  <c r="L441" i="1"/>
  <c r="F441" i="1"/>
  <c r="C441" i="1"/>
  <c r="L440" i="1"/>
  <c r="F440" i="1"/>
  <c r="C440" i="1"/>
  <c r="L439" i="1"/>
  <c r="F439" i="1"/>
  <c r="C439" i="1"/>
  <c r="L438" i="1"/>
  <c r="F438" i="1"/>
  <c r="C438" i="1"/>
  <c r="L437" i="1"/>
  <c r="F437" i="1"/>
  <c r="C437" i="1"/>
  <c r="L436" i="1"/>
  <c r="F436" i="1"/>
  <c r="C436" i="1"/>
  <c r="L435" i="1"/>
  <c r="F435" i="1"/>
  <c r="C435" i="1"/>
  <c r="L434" i="1"/>
  <c r="F434" i="1"/>
  <c r="C434" i="1"/>
  <c r="L433" i="1"/>
  <c r="F433" i="1"/>
  <c r="C433" i="1"/>
  <c r="L432" i="1"/>
  <c r="F432" i="1"/>
  <c r="C432" i="1"/>
  <c r="L431" i="1"/>
  <c r="F431" i="1"/>
  <c r="C431" i="1"/>
  <c r="L430" i="1"/>
  <c r="F430" i="1"/>
  <c r="C430" i="1"/>
  <c r="L429" i="1"/>
  <c r="F429" i="1"/>
  <c r="C429" i="1"/>
  <c r="L428" i="1"/>
  <c r="F428" i="1"/>
  <c r="C428" i="1"/>
  <c r="L427" i="1"/>
  <c r="F427" i="1"/>
  <c r="C427" i="1"/>
  <c r="L426" i="1"/>
  <c r="F426" i="1"/>
  <c r="C426" i="1"/>
  <c r="L425" i="1"/>
  <c r="F425" i="1"/>
  <c r="C425" i="1"/>
  <c r="L424" i="1"/>
  <c r="F424" i="1"/>
  <c r="C424" i="1"/>
  <c r="L423" i="1"/>
  <c r="F423" i="1"/>
  <c r="C423" i="1"/>
  <c r="L422" i="1"/>
  <c r="F422" i="1"/>
  <c r="C422" i="1"/>
  <c r="L421" i="1"/>
  <c r="F421" i="1"/>
  <c r="C421" i="1"/>
  <c r="L420" i="1"/>
  <c r="F420" i="1"/>
  <c r="C420" i="1"/>
  <c r="L419" i="1"/>
  <c r="F419" i="1"/>
  <c r="C419" i="1"/>
  <c r="L418" i="1"/>
  <c r="F418" i="1"/>
  <c r="C418" i="1"/>
  <c r="L417" i="1"/>
  <c r="F417" i="1"/>
  <c r="C417" i="1"/>
  <c r="L416" i="1"/>
  <c r="F416" i="1"/>
  <c r="C416" i="1"/>
  <c r="L415" i="1"/>
  <c r="F415" i="1"/>
  <c r="C415" i="1"/>
  <c r="L414" i="1"/>
  <c r="F414" i="1"/>
  <c r="C414" i="1"/>
  <c r="L413" i="1"/>
  <c r="F413" i="1"/>
  <c r="C413" i="1"/>
  <c r="L412" i="1"/>
  <c r="F412" i="1"/>
  <c r="C412" i="1"/>
  <c r="L411" i="1"/>
  <c r="F411" i="1"/>
  <c r="C411" i="1"/>
  <c r="L410" i="1"/>
  <c r="F410" i="1"/>
  <c r="C410" i="1"/>
  <c r="L409" i="1"/>
  <c r="F409" i="1"/>
  <c r="C409" i="1"/>
  <c r="L408" i="1"/>
  <c r="F408" i="1"/>
  <c r="C408" i="1"/>
  <c r="L407" i="1"/>
  <c r="F407" i="1"/>
  <c r="C407" i="1"/>
  <c r="L406" i="1"/>
  <c r="F406" i="1"/>
  <c r="C406" i="1"/>
  <c r="L405" i="1"/>
  <c r="F405" i="1"/>
  <c r="C405" i="1"/>
  <c r="L404" i="1"/>
  <c r="F404" i="1"/>
  <c r="C404" i="1"/>
  <c r="L403" i="1"/>
  <c r="F403" i="1"/>
  <c r="C403" i="1"/>
  <c r="L402" i="1"/>
  <c r="F402" i="1"/>
  <c r="C402" i="1"/>
  <c r="L401" i="1"/>
  <c r="F401" i="1"/>
  <c r="C401" i="1"/>
  <c r="L400" i="1"/>
  <c r="F400" i="1"/>
  <c r="C400" i="1"/>
  <c r="L399" i="1"/>
  <c r="F399" i="1"/>
  <c r="C399" i="1"/>
  <c r="L398" i="1"/>
  <c r="F398" i="1"/>
  <c r="C398" i="1"/>
  <c r="L397" i="1"/>
  <c r="F397" i="1"/>
  <c r="C397" i="1"/>
  <c r="L396" i="1"/>
  <c r="F396" i="1"/>
  <c r="C396" i="1"/>
  <c r="L395" i="1"/>
  <c r="F395" i="1"/>
  <c r="C395" i="1"/>
  <c r="L394" i="1"/>
  <c r="F394" i="1"/>
  <c r="C394" i="1"/>
  <c r="L393" i="1"/>
  <c r="F393" i="1"/>
  <c r="C393" i="1"/>
  <c r="L392" i="1"/>
  <c r="F392" i="1"/>
  <c r="C392" i="1"/>
  <c r="L391" i="1"/>
  <c r="F391" i="1"/>
  <c r="C391" i="1"/>
  <c r="L390" i="1"/>
  <c r="F390" i="1"/>
  <c r="C390" i="1"/>
  <c r="L389" i="1"/>
  <c r="F389" i="1"/>
  <c r="C389" i="1"/>
  <c r="L388" i="1"/>
  <c r="F388" i="1"/>
  <c r="C388" i="1"/>
  <c r="L387" i="1"/>
  <c r="F387" i="1"/>
  <c r="C387" i="1"/>
  <c r="L386" i="1"/>
  <c r="F386" i="1"/>
  <c r="C386" i="1"/>
  <c r="L385" i="1"/>
  <c r="F385" i="1"/>
  <c r="C385" i="1"/>
  <c r="L384" i="1"/>
  <c r="F384" i="1"/>
  <c r="C384" i="1"/>
  <c r="L383" i="1"/>
  <c r="F383" i="1"/>
  <c r="C383" i="1"/>
  <c r="L382" i="1"/>
  <c r="F382" i="1"/>
  <c r="C382" i="1"/>
  <c r="L381" i="1"/>
  <c r="F381" i="1"/>
  <c r="C381" i="1"/>
  <c r="L380" i="1"/>
  <c r="F380" i="1"/>
  <c r="C380" i="1"/>
  <c r="L379" i="1"/>
  <c r="F379" i="1"/>
  <c r="C379" i="1"/>
  <c r="L378" i="1"/>
  <c r="F378" i="1"/>
  <c r="C378" i="1"/>
  <c r="L377" i="1"/>
  <c r="F377" i="1"/>
  <c r="C377" i="1"/>
  <c r="L376" i="1"/>
  <c r="F376" i="1"/>
  <c r="C376" i="1"/>
  <c r="L375" i="1"/>
  <c r="F375" i="1"/>
  <c r="C375" i="1"/>
  <c r="L374" i="1"/>
  <c r="F374" i="1"/>
  <c r="C374" i="1"/>
  <c r="L373" i="1"/>
  <c r="F373" i="1"/>
  <c r="C373" i="1"/>
  <c r="L372" i="1"/>
  <c r="F372" i="1"/>
  <c r="C372" i="1"/>
  <c r="L371" i="1"/>
  <c r="F371" i="1"/>
  <c r="C371" i="1"/>
  <c r="L370" i="1"/>
  <c r="F370" i="1"/>
  <c r="C370" i="1"/>
  <c r="L369" i="1"/>
  <c r="F369" i="1"/>
  <c r="C369" i="1"/>
  <c r="L368" i="1"/>
  <c r="F368" i="1"/>
  <c r="C368" i="1"/>
  <c r="L367" i="1"/>
  <c r="F367" i="1"/>
  <c r="C367" i="1"/>
  <c r="L366" i="1"/>
  <c r="F366" i="1"/>
  <c r="C366" i="1"/>
  <c r="L365" i="1"/>
  <c r="F365" i="1"/>
  <c r="C365" i="1"/>
  <c r="L364" i="1"/>
  <c r="F364" i="1"/>
  <c r="C364" i="1"/>
  <c r="L363" i="1"/>
  <c r="F363" i="1"/>
  <c r="C363" i="1"/>
  <c r="L362" i="1"/>
  <c r="F362" i="1"/>
  <c r="C362" i="1"/>
  <c r="L361" i="1"/>
  <c r="F361" i="1"/>
  <c r="C361" i="1"/>
  <c r="L360" i="1"/>
  <c r="F360" i="1"/>
  <c r="C360" i="1"/>
  <c r="L359" i="1"/>
  <c r="F359" i="1"/>
  <c r="C359" i="1"/>
  <c r="L358" i="1"/>
  <c r="F358" i="1"/>
  <c r="C358" i="1"/>
  <c r="L357" i="1"/>
  <c r="F357" i="1"/>
  <c r="C357" i="1"/>
  <c r="L356" i="1"/>
  <c r="F356" i="1"/>
  <c r="C356" i="1"/>
  <c r="L355" i="1"/>
  <c r="F355" i="1"/>
  <c r="C355" i="1"/>
  <c r="L354" i="1"/>
  <c r="F354" i="1"/>
  <c r="C354" i="1"/>
  <c r="L353" i="1"/>
  <c r="F353" i="1"/>
  <c r="C353" i="1"/>
  <c r="L352" i="1"/>
  <c r="F352" i="1"/>
  <c r="C352" i="1"/>
  <c r="L351" i="1"/>
  <c r="F351" i="1"/>
  <c r="C351" i="1"/>
  <c r="L350" i="1"/>
  <c r="F350" i="1"/>
  <c r="C350" i="1"/>
  <c r="L349" i="1"/>
  <c r="F349" i="1"/>
  <c r="C349" i="1"/>
  <c r="L348" i="1"/>
  <c r="F348" i="1"/>
  <c r="C348" i="1"/>
  <c r="L347" i="1"/>
  <c r="F347" i="1"/>
  <c r="C347" i="1"/>
  <c r="L346" i="1"/>
  <c r="F346" i="1"/>
  <c r="C346" i="1"/>
  <c r="L345" i="1"/>
  <c r="F345" i="1"/>
  <c r="C345" i="1"/>
  <c r="L344" i="1"/>
  <c r="F344" i="1"/>
  <c r="C344" i="1"/>
  <c r="L343" i="1"/>
  <c r="F343" i="1"/>
  <c r="C343" i="1"/>
  <c r="L342" i="1"/>
  <c r="F342" i="1"/>
  <c r="C342" i="1"/>
  <c r="L341" i="1"/>
  <c r="F341" i="1"/>
  <c r="C341" i="1"/>
  <c r="L340" i="1"/>
  <c r="F340" i="1"/>
  <c r="C340" i="1"/>
  <c r="L339" i="1"/>
  <c r="F339" i="1"/>
  <c r="C339" i="1"/>
  <c r="L338" i="1"/>
  <c r="F338" i="1"/>
  <c r="C338" i="1"/>
  <c r="L337" i="1"/>
  <c r="F337" i="1"/>
  <c r="C337" i="1"/>
  <c r="L336" i="1"/>
  <c r="F336" i="1"/>
  <c r="C336" i="1"/>
  <c r="L335" i="1"/>
  <c r="F335" i="1"/>
  <c r="C335" i="1"/>
  <c r="L334" i="1"/>
  <c r="F334" i="1"/>
  <c r="C334" i="1"/>
  <c r="L333" i="1"/>
  <c r="F333" i="1"/>
  <c r="C333" i="1"/>
  <c r="L332" i="1"/>
  <c r="F332" i="1"/>
  <c r="C332" i="1"/>
  <c r="L331" i="1"/>
  <c r="F331" i="1"/>
  <c r="C331" i="1"/>
  <c r="L330" i="1"/>
  <c r="F330" i="1"/>
  <c r="C330" i="1"/>
  <c r="L329" i="1"/>
  <c r="F329" i="1"/>
  <c r="C329" i="1"/>
  <c r="L328" i="1"/>
  <c r="F328" i="1"/>
  <c r="C328" i="1"/>
  <c r="L327" i="1"/>
  <c r="F327" i="1"/>
  <c r="C327" i="1"/>
  <c r="L326" i="1"/>
  <c r="F326" i="1"/>
  <c r="C326" i="1"/>
  <c r="L325" i="1"/>
  <c r="F325" i="1"/>
  <c r="C325" i="1"/>
  <c r="L324" i="1"/>
  <c r="F324" i="1"/>
  <c r="C324" i="1"/>
  <c r="L323" i="1"/>
  <c r="F323" i="1"/>
  <c r="C323" i="1"/>
  <c r="L322" i="1"/>
  <c r="F322" i="1"/>
  <c r="C322" i="1"/>
  <c r="L321" i="1"/>
  <c r="F321" i="1"/>
  <c r="C321" i="1"/>
  <c r="L320" i="1"/>
  <c r="F320" i="1"/>
  <c r="C320" i="1"/>
  <c r="L319" i="1"/>
  <c r="F319" i="1"/>
  <c r="C319" i="1"/>
  <c r="L318" i="1"/>
  <c r="F318" i="1"/>
  <c r="C318" i="1"/>
  <c r="L317" i="1"/>
  <c r="F317" i="1"/>
  <c r="C317" i="1"/>
  <c r="L316" i="1"/>
  <c r="F316" i="1"/>
  <c r="C316" i="1"/>
  <c r="L315" i="1"/>
  <c r="F315" i="1"/>
  <c r="C315" i="1"/>
  <c r="L314" i="1"/>
  <c r="F314" i="1"/>
  <c r="C314" i="1"/>
  <c r="L313" i="1"/>
  <c r="F313" i="1"/>
  <c r="C313" i="1"/>
  <c r="L312" i="1"/>
  <c r="F312" i="1"/>
  <c r="C312" i="1"/>
  <c r="L311" i="1"/>
  <c r="F311" i="1"/>
  <c r="C311" i="1"/>
  <c r="L310" i="1"/>
  <c r="F310" i="1"/>
  <c r="C310" i="1"/>
  <c r="L309" i="1"/>
  <c r="F309" i="1"/>
  <c r="C309" i="1"/>
  <c r="L308" i="1"/>
  <c r="F308" i="1"/>
  <c r="C308" i="1"/>
  <c r="L307" i="1"/>
  <c r="F307" i="1"/>
  <c r="C307" i="1"/>
  <c r="L306" i="1"/>
  <c r="F306" i="1"/>
  <c r="C306" i="1"/>
  <c r="L305" i="1"/>
  <c r="F305" i="1"/>
  <c r="C305" i="1"/>
  <c r="L304" i="1"/>
  <c r="F304" i="1"/>
  <c r="C304" i="1"/>
  <c r="L303" i="1"/>
  <c r="F303" i="1"/>
  <c r="C303" i="1"/>
  <c r="L302" i="1"/>
  <c r="F302" i="1"/>
  <c r="C302" i="1"/>
  <c r="L301" i="1"/>
  <c r="F301" i="1"/>
  <c r="C301" i="1"/>
  <c r="L300" i="1"/>
  <c r="F300" i="1"/>
  <c r="C300" i="1"/>
  <c r="L299" i="1"/>
  <c r="F299" i="1"/>
  <c r="C299" i="1"/>
  <c r="L298" i="1"/>
  <c r="F298" i="1"/>
  <c r="C298" i="1"/>
  <c r="L297" i="1"/>
  <c r="F297" i="1"/>
  <c r="C297" i="1"/>
  <c r="L296" i="1"/>
  <c r="F296" i="1"/>
  <c r="C296" i="1"/>
  <c r="L295" i="1"/>
  <c r="F295" i="1"/>
  <c r="C295" i="1"/>
  <c r="L294" i="1"/>
  <c r="F294" i="1"/>
  <c r="C294" i="1"/>
  <c r="L293" i="1"/>
  <c r="F293" i="1"/>
  <c r="C293" i="1"/>
  <c r="L292" i="1"/>
  <c r="F292" i="1"/>
  <c r="C292" i="1"/>
  <c r="L291" i="1"/>
  <c r="F291" i="1"/>
  <c r="C291" i="1"/>
  <c r="L290" i="1"/>
  <c r="F290" i="1"/>
  <c r="C290" i="1"/>
  <c r="L289" i="1"/>
  <c r="F289" i="1"/>
  <c r="C289" i="1"/>
  <c r="L288" i="1"/>
  <c r="F288" i="1"/>
  <c r="C288" i="1"/>
  <c r="L287" i="1"/>
  <c r="F287" i="1"/>
  <c r="C287" i="1"/>
  <c r="L286" i="1"/>
  <c r="F286" i="1"/>
  <c r="C286" i="1"/>
  <c r="L285" i="1"/>
  <c r="F285" i="1"/>
  <c r="C285" i="1"/>
  <c r="L284" i="1"/>
  <c r="F284" i="1"/>
  <c r="C284" i="1"/>
  <c r="L283" i="1"/>
  <c r="F283" i="1"/>
  <c r="C283" i="1"/>
  <c r="L282" i="1"/>
  <c r="F282" i="1"/>
  <c r="C282" i="1"/>
  <c r="L281" i="1"/>
  <c r="F281" i="1"/>
  <c r="C281" i="1"/>
  <c r="L280" i="1"/>
  <c r="F280" i="1"/>
  <c r="C280" i="1"/>
  <c r="L279" i="1"/>
  <c r="F279" i="1"/>
  <c r="C279" i="1"/>
  <c r="L278" i="1"/>
  <c r="F278" i="1"/>
  <c r="C278" i="1"/>
  <c r="L277" i="1"/>
  <c r="F277" i="1"/>
  <c r="C277" i="1"/>
  <c r="L276" i="1"/>
  <c r="F276" i="1"/>
  <c r="C276" i="1"/>
  <c r="L275" i="1"/>
  <c r="F275" i="1"/>
  <c r="C275" i="1"/>
  <c r="L274" i="1"/>
  <c r="F274" i="1"/>
  <c r="C274" i="1"/>
  <c r="L273" i="1"/>
  <c r="F273" i="1"/>
  <c r="C273" i="1"/>
  <c r="L272" i="1"/>
  <c r="F272" i="1"/>
  <c r="C272" i="1"/>
  <c r="L271" i="1"/>
  <c r="F271" i="1"/>
  <c r="C271" i="1"/>
  <c r="L270" i="1"/>
  <c r="F270" i="1"/>
  <c r="C270" i="1"/>
  <c r="L269" i="1"/>
  <c r="F269" i="1"/>
  <c r="C269" i="1"/>
  <c r="L268" i="1"/>
  <c r="F268" i="1"/>
  <c r="C268" i="1"/>
  <c r="L267" i="1"/>
  <c r="F267" i="1"/>
  <c r="C267" i="1"/>
  <c r="L266" i="1"/>
  <c r="F266" i="1"/>
  <c r="C266" i="1"/>
  <c r="L265" i="1"/>
  <c r="F265" i="1"/>
  <c r="C265" i="1"/>
  <c r="L264" i="1"/>
  <c r="F264" i="1"/>
  <c r="C264" i="1"/>
  <c r="L263" i="1"/>
  <c r="F263" i="1"/>
  <c r="C263" i="1"/>
  <c r="L262" i="1"/>
  <c r="F262" i="1"/>
  <c r="C262" i="1"/>
  <c r="L261" i="1"/>
  <c r="F261" i="1"/>
  <c r="C261" i="1"/>
  <c r="L260" i="1"/>
  <c r="F260" i="1"/>
  <c r="C260" i="1"/>
  <c r="L259" i="1"/>
  <c r="F259" i="1"/>
  <c r="C259" i="1"/>
  <c r="L258" i="1"/>
  <c r="F258" i="1"/>
  <c r="C258" i="1"/>
  <c r="L257" i="1"/>
  <c r="F257" i="1"/>
  <c r="C257" i="1"/>
  <c r="L256" i="1"/>
  <c r="F256" i="1"/>
  <c r="C256" i="1"/>
  <c r="L255" i="1"/>
  <c r="F255" i="1"/>
  <c r="C255" i="1"/>
  <c r="L254" i="1"/>
  <c r="F254" i="1"/>
  <c r="C254" i="1"/>
  <c r="L253" i="1"/>
  <c r="F253" i="1"/>
  <c r="C253" i="1"/>
  <c r="L252" i="1"/>
  <c r="F252" i="1"/>
  <c r="C252" i="1"/>
  <c r="L251" i="1"/>
  <c r="F251" i="1"/>
  <c r="C251" i="1"/>
  <c r="L250" i="1"/>
  <c r="F250" i="1"/>
  <c r="C250" i="1"/>
  <c r="L249" i="1"/>
  <c r="F249" i="1"/>
  <c r="C249" i="1"/>
  <c r="L248" i="1"/>
  <c r="F248" i="1"/>
  <c r="C248" i="1"/>
  <c r="L247" i="1"/>
  <c r="F247" i="1"/>
  <c r="C247" i="1"/>
  <c r="L246" i="1"/>
  <c r="F246" i="1"/>
  <c r="C246" i="1"/>
  <c r="L245" i="1"/>
  <c r="F245" i="1"/>
  <c r="C245" i="1"/>
  <c r="L244" i="1"/>
  <c r="F244" i="1"/>
  <c r="C244" i="1"/>
  <c r="L243" i="1"/>
  <c r="F243" i="1"/>
  <c r="C243" i="1"/>
  <c r="L242" i="1"/>
  <c r="F242" i="1"/>
  <c r="C242" i="1"/>
  <c r="L241" i="1"/>
  <c r="F241" i="1"/>
  <c r="C241" i="1"/>
  <c r="L240" i="1"/>
  <c r="F240" i="1"/>
  <c r="C240" i="1"/>
  <c r="L239" i="1"/>
  <c r="F239" i="1"/>
  <c r="C239" i="1"/>
  <c r="L238" i="1"/>
  <c r="F238" i="1"/>
  <c r="C238" i="1"/>
  <c r="L237" i="1"/>
  <c r="F237" i="1"/>
  <c r="C237" i="1"/>
  <c r="L236" i="1"/>
  <c r="F236" i="1"/>
  <c r="C236" i="1"/>
  <c r="L235" i="1"/>
  <c r="F235" i="1"/>
  <c r="C235" i="1"/>
  <c r="L234" i="1"/>
  <c r="F234" i="1"/>
  <c r="C234" i="1"/>
  <c r="L233" i="1"/>
  <c r="F233" i="1"/>
  <c r="C233" i="1"/>
  <c r="L232" i="1"/>
  <c r="F232" i="1"/>
  <c r="C232" i="1"/>
  <c r="L231" i="1"/>
  <c r="F231" i="1"/>
  <c r="C231" i="1"/>
  <c r="L230" i="1"/>
  <c r="F230" i="1"/>
  <c r="C230" i="1"/>
  <c r="L229" i="1"/>
  <c r="F229" i="1"/>
  <c r="C229" i="1"/>
  <c r="L228" i="1"/>
  <c r="F228" i="1"/>
  <c r="C228" i="1"/>
  <c r="L227" i="1"/>
  <c r="F227" i="1"/>
  <c r="C227" i="1"/>
  <c r="L226" i="1"/>
  <c r="F226" i="1"/>
  <c r="C226" i="1"/>
  <c r="L225" i="1"/>
  <c r="F225" i="1"/>
  <c r="C225" i="1"/>
  <c r="L224" i="1"/>
  <c r="F224" i="1"/>
  <c r="C224" i="1"/>
  <c r="L223" i="1"/>
  <c r="F223" i="1"/>
  <c r="C223" i="1"/>
  <c r="L222" i="1"/>
  <c r="F222" i="1"/>
  <c r="C222" i="1"/>
  <c r="L221" i="1"/>
  <c r="F221" i="1"/>
  <c r="C221" i="1"/>
  <c r="L220" i="1"/>
  <c r="F220" i="1"/>
  <c r="C220" i="1"/>
  <c r="L219" i="1"/>
  <c r="F219" i="1"/>
  <c r="C219" i="1"/>
  <c r="L218" i="1"/>
  <c r="F218" i="1"/>
  <c r="C218" i="1"/>
  <c r="L217" i="1"/>
  <c r="F217" i="1"/>
  <c r="C217" i="1"/>
  <c r="L216" i="1"/>
  <c r="F216" i="1"/>
  <c r="C216" i="1"/>
  <c r="L215" i="1"/>
  <c r="F215" i="1"/>
  <c r="C215" i="1"/>
  <c r="L214" i="1"/>
  <c r="F214" i="1"/>
  <c r="C214" i="1"/>
  <c r="L213" i="1"/>
  <c r="F213" i="1"/>
  <c r="C213" i="1"/>
  <c r="L212" i="1"/>
  <c r="F212" i="1"/>
  <c r="C212" i="1"/>
  <c r="L211" i="1"/>
  <c r="F211" i="1"/>
  <c r="C211" i="1"/>
  <c r="L210" i="1"/>
  <c r="F210" i="1"/>
  <c r="C210" i="1"/>
  <c r="L209" i="1"/>
  <c r="F209" i="1"/>
  <c r="C209" i="1"/>
  <c r="L208" i="1"/>
  <c r="F208" i="1"/>
  <c r="C208" i="1"/>
  <c r="L207" i="1"/>
  <c r="F207" i="1"/>
  <c r="C207" i="1"/>
  <c r="L206" i="1"/>
  <c r="F206" i="1"/>
  <c r="C206" i="1"/>
  <c r="L205" i="1"/>
  <c r="F205" i="1"/>
  <c r="C205" i="1"/>
  <c r="L204" i="1"/>
  <c r="F204" i="1"/>
  <c r="C204" i="1"/>
  <c r="L203" i="1"/>
  <c r="F203" i="1"/>
  <c r="C203" i="1"/>
  <c r="L202" i="1"/>
  <c r="F202" i="1"/>
  <c r="C202" i="1"/>
  <c r="L201" i="1"/>
  <c r="F201" i="1"/>
  <c r="C201" i="1"/>
  <c r="L200" i="1"/>
  <c r="F200" i="1"/>
  <c r="C200" i="1"/>
  <c r="L199" i="1"/>
  <c r="F199" i="1"/>
  <c r="C199" i="1"/>
  <c r="L198" i="1"/>
  <c r="F198" i="1"/>
  <c r="C198" i="1"/>
  <c r="L197" i="1"/>
  <c r="F197" i="1"/>
  <c r="C197" i="1"/>
  <c r="L196" i="1"/>
  <c r="F196" i="1"/>
  <c r="C196" i="1"/>
  <c r="L195" i="1"/>
  <c r="F195" i="1"/>
  <c r="C195" i="1"/>
  <c r="L194" i="1"/>
  <c r="F194" i="1"/>
  <c r="C194" i="1"/>
  <c r="L193" i="1"/>
  <c r="F193" i="1"/>
  <c r="C193" i="1"/>
  <c r="L192" i="1"/>
  <c r="F192" i="1"/>
  <c r="C192" i="1"/>
  <c r="L191" i="1"/>
  <c r="F191" i="1"/>
  <c r="C191" i="1"/>
  <c r="L190" i="1"/>
  <c r="F190" i="1"/>
  <c r="C190" i="1"/>
  <c r="L189" i="1"/>
  <c r="F189" i="1"/>
  <c r="C189" i="1"/>
  <c r="L188" i="1"/>
  <c r="F188" i="1"/>
  <c r="C188" i="1"/>
  <c r="L187" i="1"/>
  <c r="F187" i="1"/>
  <c r="C187" i="1"/>
  <c r="L186" i="1"/>
  <c r="F186" i="1"/>
  <c r="C186" i="1"/>
  <c r="L185" i="1"/>
  <c r="F185" i="1"/>
  <c r="C185" i="1"/>
  <c r="L184" i="1"/>
  <c r="F184" i="1"/>
  <c r="C184" i="1"/>
  <c r="L183" i="1"/>
  <c r="F183" i="1"/>
  <c r="C183" i="1"/>
  <c r="L182" i="1"/>
  <c r="F182" i="1"/>
  <c r="C182" i="1"/>
  <c r="L181" i="1"/>
  <c r="F181" i="1"/>
  <c r="C181" i="1"/>
  <c r="L180" i="1"/>
  <c r="F180" i="1"/>
  <c r="C180" i="1"/>
  <c r="L179" i="1"/>
  <c r="F179" i="1"/>
  <c r="C179" i="1"/>
  <c r="L178" i="1"/>
  <c r="F178" i="1"/>
  <c r="C178" i="1"/>
  <c r="L177" i="1"/>
  <c r="F177" i="1"/>
  <c r="C177" i="1"/>
  <c r="L176" i="1"/>
  <c r="F176" i="1"/>
  <c r="C176" i="1"/>
  <c r="L175" i="1"/>
  <c r="F175" i="1"/>
  <c r="C175" i="1"/>
  <c r="L174" i="1"/>
  <c r="F174" i="1"/>
  <c r="C174" i="1"/>
  <c r="L173" i="1"/>
  <c r="F173" i="1"/>
  <c r="C173" i="1"/>
  <c r="L172" i="1"/>
  <c r="F172" i="1"/>
  <c r="C172" i="1"/>
  <c r="L171" i="1"/>
  <c r="F171" i="1"/>
  <c r="C171" i="1"/>
  <c r="L170" i="1"/>
  <c r="F170" i="1"/>
  <c r="C170" i="1"/>
  <c r="L169" i="1"/>
  <c r="F169" i="1"/>
  <c r="C169" i="1"/>
  <c r="L168" i="1"/>
  <c r="F168" i="1"/>
  <c r="C168" i="1"/>
  <c r="L167" i="1"/>
  <c r="F167" i="1"/>
  <c r="C167" i="1"/>
  <c r="L166" i="1"/>
  <c r="F166" i="1"/>
  <c r="C166" i="1"/>
  <c r="L165" i="1"/>
  <c r="F165" i="1"/>
  <c r="C165" i="1"/>
  <c r="L164" i="1"/>
  <c r="F164" i="1"/>
  <c r="C164" i="1"/>
  <c r="L163" i="1"/>
  <c r="F163" i="1"/>
  <c r="C163" i="1"/>
  <c r="L162" i="1"/>
  <c r="F162" i="1"/>
  <c r="C162" i="1"/>
  <c r="L161" i="1"/>
  <c r="F161" i="1"/>
  <c r="C161" i="1"/>
  <c r="L160" i="1"/>
  <c r="F160" i="1"/>
  <c r="C160" i="1"/>
  <c r="L159" i="1"/>
  <c r="F159" i="1"/>
  <c r="C159" i="1"/>
  <c r="L158" i="1"/>
  <c r="F158" i="1"/>
  <c r="C158" i="1"/>
  <c r="L157" i="1"/>
  <c r="F157" i="1"/>
  <c r="C157" i="1"/>
  <c r="L156" i="1"/>
  <c r="F156" i="1"/>
  <c r="C156" i="1"/>
  <c r="L155" i="1"/>
  <c r="F155" i="1"/>
  <c r="C155" i="1"/>
  <c r="L154" i="1"/>
  <c r="F154" i="1"/>
  <c r="C154" i="1"/>
  <c r="L153" i="1"/>
  <c r="F153" i="1"/>
  <c r="C153" i="1"/>
  <c r="L152" i="1"/>
  <c r="F152" i="1"/>
  <c r="C152" i="1"/>
  <c r="L151" i="1"/>
  <c r="F151" i="1"/>
  <c r="C151" i="1"/>
  <c r="L150" i="1"/>
  <c r="F150" i="1"/>
  <c r="C150" i="1"/>
  <c r="L149" i="1"/>
  <c r="F149" i="1"/>
  <c r="C149" i="1"/>
  <c r="L148" i="1"/>
  <c r="F148" i="1"/>
  <c r="C148" i="1"/>
  <c r="L147" i="1"/>
  <c r="F147" i="1"/>
  <c r="C147" i="1"/>
  <c r="L146" i="1"/>
  <c r="F146" i="1"/>
  <c r="C146" i="1"/>
  <c r="L145" i="1"/>
  <c r="F145" i="1"/>
  <c r="C145" i="1"/>
  <c r="L144" i="1"/>
  <c r="F144" i="1"/>
  <c r="C144" i="1"/>
  <c r="L143" i="1"/>
  <c r="F143" i="1"/>
  <c r="C143" i="1"/>
  <c r="L142" i="1"/>
  <c r="F142" i="1"/>
  <c r="C142" i="1"/>
  <c r="L141" i="1"/>
  <c r="F141" i="1"/>
  <c r="C141" i="1"/>
  <c r="L140" i="1"/>
  <c r="F140" i="1"/>
  <c r="C140" i="1"/>
  <c r="L139" i="1"/>
  <c r="F139" i="1"/>
  <c r="C139" i="1"/>
  <c r="L138" i="1"/>
  <c r="F138" i="1"/>
  <c r="C138" i="1"/>
  <c r="L137" i="1"/>
  <c r="F137" i="1"/>
  <c r="C137" i="1"/>
  <c r="L136" i="1"/>
  <c r="F136" i="1"/>
  <c r="C136" i="1"/>
  <c r="L135" i="1"/>
  <c r="F135" i="1"/>
  <c r="C135" i="1"/>
  <c r="L134" i="1"/>
  <c r="F134" i="1"/>
  <c r="C134" i="1"/>
  <c r="L133" i="1"/>
  <c r="F133" i="1"/>
  <c r="C133" i="1"/>
  <c r="L132" i="1"/>
  <c r="F132" i="1"/>
  <c r="C132" i="1"/>
  <c r="L131" i="1"/>
  <c r="F131" i="1"/>
  <c r="C131" i="1"/>
  <c r="L130" i="1"/>
  <c r="F130" i="1"/>
  <c r="C130" i="1"/>
  <c r="L129" i="1"/>
  <c r="F129" i="1"/>
  <c r="C129" i="1"/>
  <c r="L128" i="1"/>
  <c r="F128" i="1"/>
  <c r="C128" i="1"/>
  <c r="L127" i="1"/>
  <c r="F127" i="1"/>
  <c r="C127" i="1"/>
  <c r="L126" i="1"/>
  <c r="F126" i="1"/>
  <c r="C126" i="1"/>
  <c r="L125" i="1"/>
  <c r="F125" i="1"/>
  <c r="C125" i="1"/>
  <c r="L124" i="1"/>
  <c r="F124" i="1"/>
  <c r="C124" i="1"/>
  <c r="L123" i="1"/>
  <c r="F123" i="1"/>
  <c r="C123" i="1"/>
  <c r="L122" i="1"/>
  <c r="F122" i="1"/>
  <c r="C122" i="1"/>
  <c r="L121" i="1"/>
  <c r="F121" i="1"/>
  <c r="C121" i="1"/>
  <c r="L120" i="1"/>
  <c r="F120" i="1"/>
  <c r="C120" i="1"/>
  <c r="L119" i="1"/>
  <c r="F119" i="1"/>
  <c r="C119" i="1"/>
  <c r="L118" i="1"/>
  <c r="F118" i="1"/>
  <c r="C118" i="1"/>
  <c r="L117" i="1"/>
  <c r="F117" i="1"/>
  <c r="C117" i="1"/>
  <c r="L116" i="1"/>
  <c r="F116" i="1"/>
  <c r="C116" i="1"/>
  <c r="L115" i="1"/>
  <c r="F115" i="1"/>
  <c r="C115" i="1"/>
  <c r="L114" i="1"/>
  <c r="F114" i="1"/>
  <c r="C114" i="1"/>
  <c r="L113" i="1"/>
  <c r="F113" i="1"/>
  <c r="C113" i="1"/>
  <c r="L112" i="1"/>
  <c r="F112" i="1"/>
  <c r="C112" i="1"/>
  <c r="L111" i="1"/>
  <c r="F111" i="1"/>
  <c r="C111" i="1"/>
  <c r="L110" i="1"/>
  <c r="F110" i="1"/>
  <c r="C110" i="1"/>
  <c r="L109" i="1"/>
  <c r="F109" i="1"/>
  <c r="C109" i="1"/>
  <c r="L108" i="1"/>
  <c r="F108" i="1"/>
  <c r="C108" i="1"/>
  <c r="L107" i="1"/>
  <c r="F107" i="1"/>
  <c r="C107" i="1"/>
  <c r="L106" i="1"/>
  <c r="F106" i="1"/>
  <c r="C106" i="1"/>
  <c r="L105" i="1"/>
  <c r="F105" i="1"/>
  <c r="C105" i="1"/>
  <c r="L104" i="1"/>
  <c r="F104" i="1"/>
  <c r="C104" i="1"/>
  <c r="L103" i="1"/>
  <c r="F103" i="1"/>
  <c r="C103" i="1"/>
  <c r="L102" i="1"/>
  <c r="F102" i="1"/>
  <c r="C102" i="1"/>
  <c r="L101" i="1"/>
  <c r="F101" i="1"/>
  <c r="C101" i="1"/>
  <c r="L100" i="1"/>
  <c r="F100" i="1"/>
  <c r="C100" i="1"/>
  <c r="L99" i="1"/>
  <c r="F99" i="1"/>
  <c r="C99" i="1"/>
  <c r="L98" i="1"/>
  <c r="F98" i="1"/>
  <c r="C98" i="1"/>
  <c r="L97" i="1"/>
  <c r="F97" i="1"/>
  <c r="C97" i="1"/>
  <c r="L96" i="1"/>
  <c r="F96" i="1"/>
  <c r="C96" i="1"/>
  <c r="L95" i="1"/>
  <c r="F95" i="1"/>
  <c r="C95" i="1"/>
  <c r="L94" i="1"/>
  <c r="F94" i="1"/>
  <c r="C94" i="1"/>
  <c r="L93" i="1"/>
  <c r="F93" i="1"/>
  <c r="C93" i="1"/>
  <c r="L92" i="1"/>
  <c r="F92" i="1"/>
  <c r="C92" i="1"/>
  <c r="L91" i="1"/>
  <c r="F91" i="1"/>
  <c r="C91" i="1"/>
  <c r="L90" i="1"/>
  <c r="F90" i="1"/>
  <c r="C90" i="1"/>
  <c r="L89" i="1"/>
  <c r="F89" i="1"/>
  <c r="C89" i="1"/>
  <c r="L88" i="1"/>
  <c r="F88" i="1"/>
  <c r="C88" i="1"/>
  <c r="L87" i="1"/>
  <c r="F87" i="1"/>
  <c r="C87" i="1"/>
  <c r="L86" i="1"/>
  <c r="F86" i="1"/>
  <c r="C86" i="1"/>
  <c r="L85" i="1"/>
  <c r="F85" i="1"/>
  <c r="C85" i="1"/>
  <c r="L84" i="1"/>
  <c r="F84" i="1"/>
  <c r="C84" i="1"/>
  <c r="L83" i="1"/>
  <c r="F83" i="1"/>
  <c r="C83" i="1"/>
  <c r="L82" i="1"/>
  <c r="F82" i="1"/>
  <c r="C82" i="1"/>
  <c r="L81" i="1"/>
  <c r="F81" i="1"/>
  <c r="C81" i="1"/>
  <c r="L80" i="1"/>
  <c r="F80" i="1"/>
  <c r="C80" i="1"/>
  <c r="L79" i="1"/>
  <c r="F79" i="1"/>
  <c r="C79" i="1"/>
  <c r="L78" i="1"/>
  <c r="F78" i="1"/>
  <c r="C78" i="1"/>
  <c r="L77" i="1"/>
  <c r="F77" i="1"/>
  <c r="C77" i="1"/>
  <c r="L76" i="1"/>
  <c r="F76" i="1"/>
  <c r="C76" i="1"/>
  <c r="L75" i="1"/>
  <c r="F75" i="1"/>
  <c r="C75" i="1"/>
  <c r="L74" i="1"/>
  <c r="F74" i="1"/>
  <c r="C74" i="1"/>
  <c r="L73" i="1"/>
  <c r="F73" i="1"/>
  <c r="C73" i="1"/>
  <c r="L72" i="1"/>
  <c r="F72" i="1"/>
  <c r="C72" i="1"/>
  <c r="L71" i="1"/>
  <c r="F71" i="1"/>
  <c r="C71" i="1"/>
  <c r="L70" i="1"/>
  <c r="F70" i="1"/>
  <c r="C70" i="1"/>
  <c r="L69" i="1"/>
  <c r="F69" i="1"/>
  <c r="C69" i="1"/>
  <c r="L68" i="1"/>
  <c r="F68" i="1"/>
  <c r="C68" i="1"/>
  <c r="L67" i="1"/>
  <c r="F67" i="1"/>
  <c r="C67" i="1"/>
  <c r="L66" i="1"/>
  <c r="F66" i="1"/>
  <c r="C66" i="1"/>
  <c r="L65" i="1"/>
  <c r="F65" i="1"/>
  <c r="C65" i="1"/>
  <c r="L64" i="1"/>
  <c r="F64" i="1"/>
  <c r="C64" i="1"/>
  <c r="L63" i="1"/>
  <c r="F63" i="1"/>
  <c r="C63" i="1"/>
  <c r="L62" i="1"/>
  <c r="F62" i="1"/>
  <c r="C62" i="1"/>
  <c r="L61" i="1"/>
  <c r="F61" i="1"/>
  <c r="C61" i="1"/>
  <c r="L60" i="1"/>
  <c r="F60" i="1"/>
  <c r="C60" i="1"/>
  <c r="L59" i="1"/>
  <c r="F59" i="1"/>
  <c r="C59" i="1"/>
  <c r="L58" i="1"/>
  <c r="F58" i="1"/>
  <c r="C58" i="1"/>
  <c r="L57" i="1"/>
  <c r="F57" i="1"/>
  <c r="C57" i="1"/>
  <c r="L56" i="1"/>
  <c r="F56" i="1"/>
  <c r="C56" i="1"/>
  <c r="L55" i="1"/>
  <c r="F55" i="1"/>
  <c r="C55" i="1"/>
  <c r="L54" i="1"/>
  <c r="F54" i="1"/>
  <c r="C54" i="1"/>
  <c r="L53" i="1"/>
  <c r="F53" i="1"/>
  <c r="C53" i="1"/>
  <c r="L52" i="1"/>
  <c r="F52" i="1"/>
  <c r="C52" i="1"/>
  <c r="L51" i="1"/>
  <c r="F51" i="1"/>
  <c r="C51" i="1"/>
  <c r="L50" i="1"/>
  <c r="F50" i="1"/>
  <c r="C50" i="1"/>
  <c r="L49" i="1"/>
  <c r="F49" i="1"/>
  <c r="C49" i="1"/>
  <c r="L48" i="1"/>
  <c r="F48" i="1"/>
  <c r="C48" i="1"/>
  <c r="L47" i="1"/>
  <c r="F47" i="1"/>
  <c r="C47" i="1"/>
  <c r="L46" i="1"/>
  <c r="F46" i="1"/>
  <c r="C46" i="1"/>
  <c r="L45" i="1"/>
  <c r="F45" i="1"/>
  <c r="C45" i="1"/>
  <c r="L44" i="1"/>
  <c r="F44" i="1"/>
  <c r="C44" i="1"/>
  <c r="L43" i="1"/>
  <c r="F43" i="1"/>
  <c r="C43" i="1"/>
  <c r="L42" i="1"/>
  <c r="F42" i="1"/>
  <c r="C42" i="1"/>
  <c r="L41" i="1"/>
  <c r="F41" i="1"/>
  <c r="C41" i="1"/>
  <c r="L40" i="1"/>
  <c r="F40" i="1"/>
  <c r="C40" i="1"/>
  <c r="L39" i="1"/>
  <c r="F39" i="1"/>
  <c r="C39" i="1"/>
  <c r="L38" i="1"/>
  <c r="F38" i="1"/>
  <c r="C38" i="1"/>
  <c r="L37" i="1"/>
  <c r="F37" i="1"/>
  <c r="C37" i="1"/>
  <c r="L36" i="1"/>
  <c r="F36" i="1"/>
  <c r="C36" i="1"/>
  <c r="L35" i="1"/>
  <c r="F35" i="1"/>
  <c r="C35" i="1"/>
  <c r="L34" i="1"/>
  <c r="F34" i="1"/>
  <c r="C34" i="1"/>
  <c r="L33" i="1"/>
  <c r="F33" i="1"/>
  <c r="C33" i="1"/>
  <c r="L32" i="1"/>
  <c r="F32" i="1"/>
  <c r="C32" i="1"/>
  <c r="L31" i="1"/>
  <c r="F31" i="1"/>
  <c r="C31" i="1"/>
  <c r="L30" i="1"/>
  <c r="F30" i="1"/>
  <c r="C30" i="1"/>
  <c r="L29" i="1"/>
  <c r="F29" i="1"/>
  <c r="C29" i="1"/>
  <c r="L28" i="1"/>
  <c r="F28" i="1"/>
  <c r="C28" i="1"/>
  <c r="L27" i="1"/>
  <c r="F27" i="1"/>
  <c r="C27" i="1"/>
  <c r="L26" i="1"/>
  <c r="F26" i="1"/>
  <c r="C26" i="1"/>
  <c r="L25" i="1"/>
  <c r="F25" i="1"/>
  <c r="C25" i="1"/>
  <c r="L24" i="1"/>
  <c r="F24" i="1"/>
  <c r="C24" i="1"/>
  <c r="L23" i="1"/>
  <c r="F23" i="1"/>
  <c r="C23" i="1"/>
  <c r="L22" i="1"/>
  <c r="F22" i="1"/>
  <c r="C22" i="1"/>
  <c r="L21" i="1"/>
  <c r="F21" i="1"/>
  <c r="C21" i="1"/>
  <c r="L20" i="1"/>
  <c r="F20" i="1"/>
  <c r="C20" i="1"/>
  <c r="L19" i="1"/>
  <c r="F19" i="1"/>
  <c r="C19" i="1"/>
  <c r="L18" i="1"/>
  <c r="F18" i="1"/>
  <c r="C18" i="1"/>
  <c r="L17" i="1"/>
  <c r="F17" i="1"/>
  <c r="C17" i="1"/>
  <c r="L16" i="1"/>
  <c r="F16" i="1"/>
  <c r="C16" i="1"/>
  <c r="L15" i="1"/>
  <c r="F15" i="1"/>
  <c r="C15" i="1"/>
  <c r="L14" i="1"/>
  <c r="F14" i="1"/>
  <c r="C14" i="1"/>
  <c r="L13" i="1"/>
  <c r="F13" i="1"/>
  <c r="C13" i="1"/>
  <c r="L12" i="1"/>
  <c r="F12" i="1"/>
  <c r="C12" i="1"/>
  <c r="L11" i="1"/>
  <c r="F11" i="1"/>
  <c r="C11" i="1"/>
  <c r="L10" i="1"/>
  <c r="F10" i="1"/>
  <c r="C10" i="1"/>
  <c r="L9" i="1"/>
  <c r="F9" i="1"/>
  <c r="C9" i="1"/>
  <c r="L8" i="1"/>
  <c r="F8" i="1"/>
  <c r="C8" i="1"/>
  <c r="L7" i="1"/>
  <c r="F7" i="1"/>
  <c r="C7" i="1"/>
  <c r="L6" i="1"/>
  <c r="F6" i="1"/>
  <c r="C6" i="1"/>
  <c r="L5" i="1"/>
  <c r="F5" i="1"/>
  <c r="C5" i="1"/>
  <c r="L4" i="1"/>
  <c r="F4" i="1"/>
  <c r="C4" i="1"/>
  <c r="L3" i="1"/>
  <c r="F3" i="1"/>
  <c r="C3" i="1"/>
  <c r="L2" i="1"/>
  <c r="F2" i="1"/>
  <c r="C2" i="1"/>
  <c r="B31" i="2" l="1"/>
</calcChain>
</file>

<file path=xl/sharedStrings.xml><?xml version="1.0" encoding="utf-8"?>
<sst xmlns="http://schemas.openxmlformats.org/spreadsheetml/2006/main" count="4048" uniqueCount="331">
  <si>
    <t>Customer ID</t>
  </si>
  <si>
    <t>Gender</t>
  </si>
  <si>
    <t>Region</t>
  </si>
  <si>
    <t>Product Name</t>
  </si>
  <si>
    <t>Category</t>
  </si>
  <si>
    <t>Age</t>
  </si>
  <si>
    <t>Unit Price</t>
  </si>
  <si>
    <t>Quantity</t>
  </si>
  <si>
    <t>Total Price</t>
  </si>
  <si>
    <t>Shipping Fee</t>
  </si>
  <si>
    <t>Order Date</t>
  </si>
  <si>
    <t>Shipping Status</t>
  </si>
  <si>
    <t>CUST0268</t>
  </si>
  <si>
    <t>Male</t>
  </si>
  <si>
    <t>Monitor</t>
  </si>
  <si>
    <t>Electronics</t>
  </si>
  <si>
    <t>CUST0046</t>
  </si>
  <si>
    <t>Headphones</t>
  </si>
  <si>
    <t>Accessories</t>
  </si>
  <si>
    <t>CUST0169</t>
  </si>
  <si>
    <t>Female</t>
  </si>
  <si>
    <t>CUST0002</t>
  </si>
  <si>
    <t>CUST0173</t>
  </si>
  <si>
    <t>Laptop</t>
  </si>
  <si>
    <t>CUST0147</t>
  </si>
  <si>
    <t>Smartwatch</t>
  </si>
  <si>
    <t>Wearables</t>
  </si>
  <si>
    <t>CUST0262</t>
  </si>
  <si>
    <t>CUST0159</t>
  </si>
  <si>
    <t>Keyboard</t>
  </si>
  <si>
    <t>Mouse</t>
  </si>
  <si>
    <t>CUST0023</t>
  </si>
  <si>
    <t>CUST0201</t>
  </si>
  <si>
    <t>CUST0283</t>
  </si>
  <si>
    <t>CUST0199</t>
  </si>
  <si>
    <t>CUST0039</t>
  </si>
  <si>
    <t>CUST0276</t>
  </si>
  <si>
    <t>CUST0143</t>
  </si>
  <si>
    <t>CUST0139</t>
  </si>
  <si>
    <t>CUST0210</t>
  </si>
  <si>
    <t>Smartphone</t>
  </si>
  <si>
    <t>CUST0293</t>
  </si>
  <si>
    <t>CUST0049</t>
  </si>
  <si>
    <t>CUST0196</t>
  </si>
  <si>
    <t>CUST0050</t>
  </si>
  <si>
    <t>CUST0007</t>
  </si>
  <si>
    <t>CUST0242</t>
  </si>
  <si>
    <t>CUST0042</t>
  </si>
  <si>
    <t>CUST0264</t>
  </si>
  <si>
    <t>CUST0053</t>
  </si>
  <si>
    <t>CUST0154</t>
  </si>
  <si>
    <t>CUST0190</t>
  </si>
  <si>
    <t>CUST0038</t>
  </si>
  <si>
    <t>CUST0288</t>
  </si>
  <si>
    <t>CUST0124</t>
  </si>
  <si>
    <t>CUST0298</t>
  </si>
  <si>
    <t>CUST0211</t>
  </si>
  <si>
    <t>CUST0060</t>
  </si>
  <si>
    <t>CUST0284</t>
  </si>
  <si>
    <t>CUST0282</t>
  </si>
  <si>
    <t>CUST0205</t>
  </si>
  <si>
    <t>CUST0222</t>
  </si>
  <si>
    <t>CUST0299</t>
  </si>
  <si>
    <t>CUST0064</t>
  </si>
  <si>
    <t>CUST0073</t>
  </si>
  <si>
    <t>CUST0081</t>
  </si>
  <si>
    <t>CUST0247</t>
  </si>
  <si>
    <t>CUST0130</t>
  </si>
  <si>
    <t>CUST0178</t>
  </si>
  <si>
    <t>CUST0131</t>
  </si>
  <si>
    <t>CUST0070</t>
  </si>
  <si>
    <t>CUST0122</t>
  </si>
  <si>
    <t>CUST0168</t>
  </si>
  <si>
    <t>CUST0176</t>
  </si>
  <si>
    <t>CUST0125</t>
  </si>
  <si>
    <t>CUST0165</t>
  </si>
  <si>
    <t>CUST0057</t>
  </si>
  <si>
    <t>CUST0207</t>
  </si>
  <si>
    <t>CUST0167</t>
  </si>
  <si>
    <t>CUST0006</t>
  </si>
  <si>
    <t>CUST0041</t>
  </si>
  <si>
    <t>CUST0112</t>
  </si>
  <si>
    <t>CUST0244</t>
  </si>
  <si>
    <t>CUST0218</t>
  </si>
  <si>
    <t>CUST0083</t>
  </si>
  <si>
    <t>CUST0065</t>
  </si>
  <si>
    <t>CUST0096</t>
  </si>
  <si>
    <t>CUST0045</t>
  </si>
  <si>
    <t>CUST0296</t>
  </si>
  <si>
    <t>CUST0261</t>
  </si>
  <si>
    <t>CUST0077</t>
  </si>
  <si>
    <t>CUST0227</t>
  </si>
  <si>
    <t>CUST0245</t>
  </si>
  <si>
    <t>CUST0133</t>
  </si>
  <si>
    <t>CUST0179</t>
  </si>
  <si>
    <t>CUST0022</t>
  </si>
  <si>
    <t>CUST0269</t>
  </si>
  <si>
    <t>CUST0181</t>
  </si>
  <si>
    <t>CUST0170</t>
  </si>
  <si>
    <t>CUST0182</t>
  </si>
  <si>
    <t>CUST0219</t>
  </si>
  <si>
    <t>CUST0037</t>
  </si>
  <si>
    <t>CUST0091</t>
  </si>
  <si>
    <t>CUST0286</t>
  </si>
  <si>
    <t>CUST0019</t>
  </si>
  <si>
    <t>CUST0236</t>
  </si>
  <si>
    <t>CUST0251</t>
  </si>
  <si>
    <t>CUST0099</t>
  </si>
  <si>
    <t>CUST0228</t>
  </si>
  <si>
    <t>CUST0024</t>
  </si>
  <si>
    <t>CUST0113</t>
  </si>
  <si>
    <t>CUST0192</t>
  </si>
  <si>
    <t>CUST0153</t>
  </si>
  <si>
    <t>CUST0150</t>
  </si>
  <si>
    <t>CUST0203</t>
  </si>
  <si>
    <t>CUST0163</t>
  </si>
  <si>
    <t>CUST0223</t>
  </si>
  <si>
    <t>CUST0266</t>
  </si>
  <si>
    <t>CUST0289</t>
  </si>
  <si>
    <t>CUST0008</t>
  </si>
  <si>
    <t>CUST0015</t>
  </si>
  <si>
    <t>CUST0189</t>
  </si>
  <si>
    <t>CUST0137</t>
  </si>
  <si>
    <t>CUST0033</t>
  </si>
  <si>
    <t>CUST0297</t>
  </si>
  <si>
    <t>CUST0267</t>
  </si>
  <si>
    <t>CUST0028</t>
  </si>
  <si>
    <t>CUST0078</t>
  </si>
  <si>
    <t>CUST0003</t>
  </si>
  <si>
    <t>CUST0212</t>
  </si>
  <si>
    <t>CUST0146</t>
  </si>
  <si>
    <t>CUST0082</t>
  </si>
  <si>
    <t>CUST0036</t>
  </si>
  <si>
    <t>CUST0155</t>
  </si>
  <si>
    <t>CUST0138</t>
  </si>
  <si>
    <t>CUST0197</t>
  </si>
  <si>
    <t>CUST0066</t>
  </si>
  <si>
    <t>CUST0026</t>
  </si>
  <si>
    <t>CUST0281</t>
  </si>
  <si>
    <t>CUST0239</t>
  </si>
  <si>
    <t>CUST0069</t>
  </si>
  <si>
    <t>CUST0258</t>
  </si>
  <si>
    <t>CUST0177</t>
  </si>
  <si>
    <t>CUST0140</t>
  </si>
  <si>
    <t>CUST0089</t>
  </si>
  <si>
    <t>CUST0044</t>
  </si>
  <si>
    <t>CUST0174</t>
  </si>
  <si>
    <t>CUST0141</t>
  </si>
  <si>
    <t>CUST0202</t>
  </si>
  <si>
    <t>CUST0259</t>
  </si>
  <si>
    <t>CUST0027</t>
  </si>
  <si>
    <t>CUST0093</t>
  </si>
  <si>
    <t>CUST0216</t>
  </si>
  <si>
    <t>CUST0062</t>
  </si>
  <si>
    <t>CUST0056</t>
  </si>
  <si>
    <t>CUST0114</t>
  </si>
  <si>
    <t>CUST0184</t>
  </si>
  <si>
    <t>CUST0075</t>
  </si>
  <si>
    <t>CUST0142</t>
  </si>
  <si>
    <t>CUST0076</t>
  </si>
  <si>
    <t>CUST0105</t>
  </si>
  <si>
    <t>CUST0004</t>
  </si>
  <si>
    <t>CUST0127</t>
  </si>
  <si>
    <t>CUST0072</t>
  </si>
  <si>
    <t>CUST0156</t>
  </si>
  <si>
    <t>CUST0052</t>
  </si>
  <si>
    <t>CUST0226</t>
  </si>
  <si>
    <t>CUST0270</t>
  </si>
  <si>
    <t>CUST0183</t>
  </si>
  <si>
    <t>CUST0080</t>
  </si>
  <si>
    <t>CUST0208</t>
  </si>
  <si>
    <t>CUST0186</t>
  </si>
  <si>
    <t>CUST0109</t>
  </si>
  <si>
    <t>CUST0095</t>
  </si>
  <si>
    <t>CUST0204</t>
  </si>
  <si>
    <t>CUST0134</t>
  </si>
  <si>
    <t>CUST0116</t>
  </si>
  <si>
    <t>CUST0100</t>
  </si>
  <si>
    <t>CUST0094</t>
  </si>
  <si>
    <t>CUST0194</t>
  </si>
  <si>
    <t>CUST0273</t>
  </si>
  <si>
    <t>CUST0188</t>
  </si>
  <si>
    <t>CUST0092</t>
  </si>
  <si>
    <t>CUST0254</t>
  </si>
  <si>
    <t>CUST0253</t>
  </si>
  <si>
    <t>CUST0180</t>
  </si>
  <si>
    <t>CUST0263</t>
  </si>
  <si>
    <t>CUST0195</t>
  </si>
  <si>
    <t>CUST0272</t>
  </si>
  <si>
    <t>CUST0256</t>
  </si>
  <si>
    <t>CUST0279</t>
  </si>
  <si>
    <t>CUST0250</t>
  </si>
  <si>
    <t>CUST0012</t>
  </si>
  <si>
    <t>CUST0128</t>
  </si>
  <si>
    <t>CUST0115</t>
  </si>
  <si>
    <t>CUST0158</t>
  </si>
  <si>
    <t>CUST0088</t>
  </si>
  <si>
    <t>CUST0055</t>
  </si>
  <si>
    <t>CUST0071</t>
  </si>
  <si>
    <t>CUST0106</t>
  </si>
  <si>
    <t>CUST0280</t>
  </si>
  <si>
    <t>CUST0074</t>
  </si>
  <si>
    <t>CUST0300</t>
  </si>
  <si>
    <t>CUST0016</t>
  </si>
  <si>
    <t>CUST0152</t>
  </si>
  <si>
    <t>CUST0278</t>
  </si>
  <si>
    <t>CUST0229</t>
  </si>
  <si>
    <t>CUST0032</t>
  </si>
  <si>
    <t>CUST0238</t>
  </si>
  <si>
    <t>CUST0051</t>
  </si>
  <si>
    <t>CUST0144</t>
  </si>
  <si>
    <t>CUST0129</t>
  </si>
  <si>
    <t>CUST0148</t>
  </si>
  <si>
    <t>CUST0291</t>
  </si>
  <si>
    <t>CUST0220</t>
  </si>
  <si>
    <t>CUST0161</t>
  </si>
  <si>
    <t>CUST0102</t>
  </si>
  <si>
    <t>CUST0162</t>
  </si>
  <si>
    <t>CUST0121</t>
  </si>
  <si>
    <t>CUST0047</t>
  </si>
  <si>
    <t>CUST0085</t>
  </si>
  <si>
    <t>CUST0010</t>
  </si>
  <si>
    <t>CUST0031</t>
  </si>
  <si>
    <t>CUST0063</t>
  </si>
  <si>
    <t>CUST0097</t>
  </si>
  <si>
    <t>CUST0067</t>
  </si>
  <si>
    <t>CUST0221</t>
  </si>
  <si>
    <t>CUST0126</t>
  </si>
  <si>
    <t>CUST0043</t>
  </si>
  <si>
    <t>CUST0237</t>
  </si>
  <si>
    <t>CUST0058</t>
  </si>
  <si>
    <t>CUST0054</t>
  </si>
  <si>
    <t>CUST0187</t>
  </si>
  <si>
    <t>CUST0018</t>
  </si>
  <si>
    <t>CUST0059</t>
  </si>
  <si>
    <t>CUST0103</t>
  </si>
  <si>
    <t>CUST0224</t>
  </si>
  <si>
    <t>CUST0230</t>
  </si>
  <si>
    <t>CUST0285</t>
  </si>
  <si>
    <t>CUST0198</t>
  </si>
  <si>
    <t>CUST0241</t>
  </si>
  <si>
    <t>CUST0123</t>
  </si>
  <si>
    <t>CUST0200</t>
  </si>
  <si>
    <t>CUST0108</t>
  </si>
  <si>
    <t>CUST0118</t>
  </si>
  <si>
    <t>CUST0098</t>
  </si>
  <si>
    <t>CUST0011</t>
  </si>
  <si>
    <t>CUST0290</t>
  </si>
  <si>
    <t>CUST0164</t>
  </si>
  <si>
    <t>CUST0193</t>
  </si>
  <si>
    <t>CUST0005</t>
  </si>
  <si>
    <t>CUST0274</t>
  </si>
  <si>
    <t>CUST0013</t>
  </si>
  <si>
    <t>CUST0025</t>
  </si>
  <si>
    <t>CUST0160</t>
  </si>
  <si>
    <t>CUST0240</t>
  </si>
  <si>
    <t>CUST0136</t>
  </si>
  <si>
    <t>CUST0243</t>
  </si>
  <si>
    <t>CUST0252</t>
  </si>
  <si>
    <t>CUST0294</t>
  </si>
  <si>
    <t>CUST0215</t>
  </si>
  <si>
    <t>CUST0295</t>
  </si>
  <si>
    <t>CUST0149</t>
  </si>
  <si>
    <t>CUST0068</t>
  </si>
  <si>
    <t>CUST0246</t>
  </si>
  <si>
    <t>CUST0248</t>
  </si>
  <si>
    <t>CUST0020</t>
  </si>
  <si>
    <t>CUST0235</t>
  </si>
  <si>
    <t>CUST0206</t>
  </si>
  <si>
    <t>CUST0157</t>
  </si>
  <si>
    <t>CUST0017</t>
  </si>
  <si>
    <t>CUST0225</t>
  </si>
  <si>
    <t>CUST0145</t>
  </si>
  <si>
    <t>CUST0249</t>
  </si>
  <si>
    <t>CUST0172</t>
  </si>
  <si>
    <t>CUST0048</t>
  </si>
  <si>
    <t>CUST0260</t>
  </si>
  <si>
    <t>CUST0185</t>
  </si>
  <si>
    <t>CUST0009</t>
  </si>
  <si>
    <t>CUST0001</t>
  </si>
  <si>
    <t>CUST0086</t>
  </si>
  <si>
    <t>CUST0021</t>
  </si>
  <si>
    <t>CUST0271</t>
  </si>
  <si>
    <t>CUST0171</t>
  </si>
  <si>
    <t>CUST0213</t>
  </si>
  <si>
    <t>CUST0030</t>
  </si>
  <si>
    <t>CUST0111</t>
  </si>
  <si>
    <t>CUST0035</t>
  </si>
  <si>
    <t>CUST0029</t>
  </si>
  <si>
    <t>CUST0107</t>
  </si>
  <si>
    <t>CUST0117</t>
  </si>
  <si>
    <t>CUST0101</t>
  </si>
  <si>
    <t>CUST0135</t>
  </si>
  <si>
    <t>CUST0231</t>
  </si>
  <si>
    <t>CUST0087</t>
  </si>
  <si>
    <t>CUST0255</t>
  </si>
  <si>
    <t>CUST0034</t>
  </si>
  <si>
    <t>CUST0232</t>
  </si>
  <si>
    <t>CUST0061</t>
  </si>
  <si>
    <t>CUST0104</t>
  </si>
  <si>
    <t>CUST0191</t>
  </si>
  <si>
    <t>CUST0287</t>
  </si>
  <si>
    <t>CUST0079</t>
  </si>
  <si>
    <t>CUST0090</t>
  </si>
  <si>
    <t>CUST0120</t>
  </si>
  <si>
    <t>CUST0233</t>
  </si>
  <si>
    <t>CUST0234</t>
  </si>
  <si>
    <t>CUST0265</t>
  </si>
  <si>
    <t>CUST0214</t>
  </si>
  <si>
    <t>CUST0292</t>
  </si>
  <si>
    <t>CUST0166</t>
  </si>
  <si>
    <t>CUST0040</t>
  </si>
  <si>
    <t>CUST0209</t>
  </si>
  <si>
    <t>CUST0014</t>
  </si>
  <si>
    <t>CUST0257</t>
  </si>
  <si>
    <t>CUST0217</t>
  </si>
  <si>
    <t>Row Labels</t>
  </si>
  <si>
    <t>Grand Total</t>
  </si>
  <si>
    <t>Sum of Quantity</t>
  </si>
  <si>
    <t>Returned</t>
  </si>
  <si>
    <r>
      <t>Returned Units per Category</t>
    </r>
    <r>
      <rPr>
        <sz val="11"/>
        <color theme="1"/>
        <rFont val="Aptos Narrow"/>
        <family val="2"/>
        <scheme val="minor"/>
      </rPr>
      <t>.</t>
    </r>
  </si>
  <si>
    <t>Net Demand</t>
  </si>
  <si>
    <t xml:space="preserve"> =TotalDemand - Returns</t>
  </si>
  <si>
    <t xml:space="preserve">Holding Cost → </t>
  </si>
  <si>
    <t xml:space="preserve">Stockout Cost → </t>
  </si>
  <si>
    <t>Optimal Reorder Quantity 
per category.</t>
  </si>
  <si>
    <t>Optimal Reorder Qy.</t>
  </si>
  <si>
    <t>Total Optimal Demand</t>
  </si>
  <si>
    <t>Total Demand inc return by Category</t>
  </si>
  <si>
    <t>Conclusion</t>
  </si>
  <si>
    <t>The prescriptive inventory analysis provides actionable guidance for efficient stock management. Out of 3,008 total orders, approximately 935 units were returned, leaving a Net Demand of 2,073 units that reflects genuine customer demand. Based on the cost‑balancing model (holding cost vs. stockout cost), the system recommends an Optimal Reorder Quantity of 2,148.57 units.
This recommendation ensures that inventory levels are aligned with reliable demand while minimizing the combined impact of excess holding costs and potential stockouts. By reordering at the optimal level rather than simply matching net demand, the business can achieve cost efficiency, reduce waste, and maintain customer satisfaction
Takeaway:
Reorder ≈2,149 units across categories to strike the right balance between operational cost control and meeting customer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</si>
</sst>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6"/>
      <color theme="1"/>
      <name val="Aptos Narrow"/>
      <family val="2"/>
      <scheme val="minor"/>
    </font>
    <font>
      <sz val="18"/>
      <color theme="1"/>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s>
  <cellStyleXfs count="1">
    <xf numFmtId="0" fontId="0" fillId="0" borderId="0"/>
  </cellStyleXfs>
  <cellXfs count="29">
    <xf numFmtId="0" fontId="0" fillId="0" borderId="0" xfId="0"/>
    <xf numFmtId="0" fontId="0" fillId="2" borderId="1" xfId="0" applyFill="1" applyBorder="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4" borderId="3" xfId="0" applyFill="1" applyBorder="1"/>
    <xf numFmtId="0" fontId="0" fillId="0" borderId="4" xfId="0" applyBorder="1"/>
    <xf numFmtId="0" fontId="0" fillId="3" borderId="5" xfId="0" applyFill="1" applyBorder="1" applyAlignment="1">
      <alignment horizontal="left" vertical="center" indent="1"/>
    </xf>
    <xf numFmtId="0" fontId="0" fillId="0" borderId="6" xfId="0" applyBorder="1"/>
    <xf numFmtId="0" fontId="0" fillId="3" borderId="7" xfId="0" applyFill="1" applyBorder="1" applyAlignment="1">
      <alignment horizontal="left" vertical="center" indent="1"/>
    </xf>
    <xf numFmtId="0" fontId="0" fillId="0" borderId="8" xfId="0" applyBorder="1"/>
    <xf numFmtId="0" fontId="0" fillId="0" borderId="0" xfId="0" applyBorder="1"/>
    <xf numFmtId="0" fontId="0" fillId="3" borderId="0" xfId="0" applyFill="1" applyAlignment="1">
      <alignment horizontal="center" vertical="center"/>
    </xf>
    <xf numFmtId="0" fontId="2" fillId="3" borderId="0" xfId="0" applyFont="1" applyFill="1" applyAlignment="1">
      <alignment horizontal="center" vertical="center"/>
    </xf>
    <xf numFmtId="0" fontId="1" fillId="0" borderId="0" xfId="0" applyFont="1" applyAlignment="1">
      <alignment vertical="center"/>
    </xf>
    <xf numFmtId="0" fontId="1" fillId="3" borderId="0" xfId="0" applyFont="1" applyFill="1" applyAlignment="1">
      <alignment horizontal="center" vertical="center"/>
    </xf>
    <xf numFmtId="0" fontId="0" fillId="3" borderId="0" xfId="0" applyFill="1" applyAlignment="1">
      <alignment horizontal="center" vertical="center" wrapText="1"/>
    </xf>
    <xf numFmtId="0" fontId="0" fillId="4" borderId="4" xfId="0" applyFill="1" applyBorder="1"/>
    <xf numFmtId="0" fontId="2" fillId="0" borderId="5" xfId="0" applyFont="1" applyBorder="1" applyAlignment="1">
      <alignment horizontal="left" vertical="center" wrapText="1"/>
    </xf>
    <xf numFmtId="0" fontId="2" fillId="0" borderId="9" xfId="0" applyFont="1" applyBorder="1" applyAlignment="1">
      <alignment horizontal="left" vertical="center"/>
    </xf>
    <xf numFmtId="0" fontId="2" fillId="0" borderId="6" xfId="0" applyFont="1" applyBorder="1" applyAlignment="1">
      <alignment horizontal="left" vertical="center"/>
    </xf>
    <xf numFmtId="0" fontId="2" fillId="0" borderId="10" xfId="0" applyFont="1" applyBorder="1" applyAlignment="1">
      <alignment horizontal="left" vertical="center"/>
    </xf>
    <xf numFmtId="0" fontId="2" fillId="0" borderId="0" xfId="0" applyFont="1" applyBorder="1" applyAlignment="1">
      <alignment horizontal="left" vertical="center"/>
    </xf>
    <xf numFmtId="0" fontId="2" fillId="0" borderId="11" xfId="0" applyFont="1" applyBorder="1" applyAlignment="1">
      <alignment horizontal="left" vertical="center"/>
    </xf>
    <xf numFmtId="0" fontId="2" fillId="0" borderId="7" xfId="0" applyFont="1" applyBorder="1" applyAlignment="1">
      <alignment horizontal="left" vertical="center"/>
    </xf>
    <xf numFmtId="0" fontId="2" fillId="0" borderId="12" xfId="0" applyFont="1" applyBorder="1" applyAlignment="1">
      <alignment horizontal="left" vertical="center"/>
    </xf>
    <xf numFmtId="0" fontId="2" fillId="0" borderId="8" xfId="0" applyFont="1" applyBorder="1" applyAlignment="1">
      <alignment horizontal="left" vertical="center"/>
    </xf>
    <xf numFmtId="0" fontId="3"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Yadmin\Desktop\Data-Analysis-Report-and-Dashboard\Common%20Analysis\2.Diagnostic%20Analysis.csv" TargetMode="External"/><Relationship Id="rId1" Type="http://schemas.openxmlformats.org/officeDocument/2006/relationships/externalLinkPath" Target="2.Diagnostic%20Analysi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2.Diagnostic Analysis"/>
      <sheetName val="Clean data"/>
      <sheetName val="Pivot"/>
    </sheetNames>
    <sheetDataSet>
      <sheetData sheetId="0"/>
      <sheetData sheetId="1">
        <row r="2">
          <cell r="C2" t="str">
            <v>North</v>
          </cell>
          <cell r="K2" t="str">
            <v>Returned</v>
          </cell>
        </row>
        <row r="3">
          <cell r="C3" t="str">
            <v>West</v>
          </cell>
          <cell r="D3">
            <v>22</v>
          </cell>
          <cell r="K3" t="str">
            <v>In Transit</v>
          </cell>
          <cell r="Q3">
            <v>49</v>
          </cell>
        </row>
        <row r="4">
          <cell r="C4" t="str">
            <v>South</v>
          </cell>
          <cell r="D4">
            <v>54</v>
          </cell>
          <cell r="K4" t="str">
            <v>Returned</v>
          </cell>
        </row>
        <row r="5">
          <cell r="C5" t="str">
            <v>North</v>
          </cell>
          <cell r="D5">
            <v>23</v>
          </cell>
          <cell r="K5" t="str">
            <v>Delivered</v>
          </cell>
        </row>
        <row r="6">
          <cell r="C6" t="str">
            <v>South</v>
          </cell>
          <cell r="K6" t="str">
            <v>Delivered</v>
          </cell>
        </row>
        <row r="7">
          <cell r="C7" t="str">
            <v>North</v>
          </cell>
          <cell r="D7">
            <v>64</v>
          </cell>
          <cell r="K7" t="str">
            <v>In Transit</v>
          </cell>
        </row>
        <row r="8">
          <cell r="C8" t="str">
            <v>East</v>
          </cell>
          <cell r="D8">
            <v>27</v>
          </cell>
          <cell r="K8" t="str">
            <v>In Transit</v>
          </cell>
        </row>
        <row r="9">
          <cell r="C9" t="str">
            <v>South</v>
          </cell>
          <cell r="D9">
            <v>18</v>
          </cell>
          <cell r="K9" t="str">
            <v>Returned</v>
          </cell>
        </row>
        <row r="10">
          <cell r="C10" t="str">
            <v>East</v>
          </cell>
          <cell r="D10">
            <v>22</v>
          </cell>
          <cell r="K10" t="str">
            <v>Returned</v>
          </cell>
        </row>
        <row r="11">
          <cell r="C11" t="str">
            <v>West</v>
          </cell>
          <cell r="D11">
            <v>29</v>
          </cell>
          <cell r="K11" t="str">
            <v>Delivered</v>
          </cell>
        </row>
        <row r="12">
          <cell r="C12" t="str">
            <v>East</v>
          </cell>
          <cell r="D12">
            <v>49</v>
          </cell>
          <cell r="K12" t="str">
            <v>Returned</v>
          </cell>
        </row>
        <row r="13">
          <cell r="C13" t="str">
            <v>West</v>
          </cell>
          <cell r="D13">
            <v>67</v>
          </cell>
          <cell r="K13" t="str">
            <v>In Transit</v>
          </cell>
        </row>
        <row r="14">
          <cell r="C14" t="str">
            <v>West</v>
          </cell>
          <cell r="D14">
            <v>41</v>
          </cell>
          <cell r="K14" t="str">
            <v>Delivered</v>
          </cell>
        </row>
        <row r="15">
          <cell r="C15" t="str">
            <v>South</v>
          </cell>
          <cell r="D15">
            <v>60</v>
          </cell>
          <cell r="K15" t="str">
            <v>Returned</v>
          </cell>
        </row>
        <row r="16">
          <cell r="C16" t="str">
            <v>West</v>
          </cell>
          <cell r="D16">
            <v>66</v>
          </cell>
          <cell r="K16" t="str">
            <v>In Transit</v>
          </cell>
        </row>
        <row r="17">
          <cell r="D17">
            <v>36</v>
          </cell>
          <cell r="K17" t="str">
            <v>Delivered</v>
          </cell>
        </row>
        <row r="18">
          <cell r="C18" t="str">
            <v>North</v>
          </cell>
          <cell r="D18">
            <v>57</v>
          </cell>
          <cell r="K18" t="str">
            <v>In Transit</v>
          </cell>
        </row>
        <row r="19">
          <cell r="C19" t="str">
            <v>South</v>
          </cell>
          <cell r="D19">
            <v>30</v>
          </cell>
          <cell r="K19" t="str">
            <v>Returned</v>
          </cell>
        </row>
        <row r="20">
          <cell r="C20" t="str">
            <v>East</v>
          </cell>
          <cell r="D20">
            <v>32</v>
          </cell>
          <cell r="K20" t="str">
            <v>In Transit</v>
          </cell>
        </row>
        <row r="21">
          <cell r="C21" t="str">
            <v>West</v>
          </cell>
          <cell r="D21">
            <v>59</v>
          </cell>
          <cell r="K21" t="str">
            <v>In Transit</v>
          </cell>
        </row>
        <row r="22">
          <cell r="C22" t="str">
            <v>East</v>
          </cell>
          <cell r="D22">
            <v>67</v>
          </cell>
          <cell r="K22" t="str">
            <v>Delivered</v>
          </cell>
        </row>
        <row r="23">
          <cell r="C23" t="str">
            <v>South</v>
          </cell>
          <cell r="D23">
            <v>37</v>
          </cell>
          <cell r="K23" t="str">
            <v>Returned</v>
          </cell>
        </row>
        <row r="24">
          <cell r="C24" t="str">
            <v>North</v>
          </cell>
          <cell r="K24" t="str">
            <v>Returned</v>
          </cell>
        </row>
        <row r="25">
          <cell r="C25" t="str">
            <v>East</v>
          </cell>
          <cell r="D25">
            <v>52</v>
          </cell>
          <cell r="K25" t="str">
            <v>In Transit</v>
          </cell>
        </row>
        <row r="26">
          <cell r="C26" t="str">
            <v>North</v>
          </cell>
          <cell r="D26">
            <v>58</v>
          </cell>
        </row>
        <row r="27">
          <cell r="C27" t="str">
            <v>South</v>
          </cell>
          <cell r="D27">
            <v>57</v>
          </cell>
          <cell r="K27" t="str">
            <v>Delivered</v>
          </cell>
        </row>
        <row r="28">
          <cell r="C28" t="str">
            <v>East</v>
          </cell>
          <cell r="D28">
            <v>59</v>
          </cell>
          <cell r="K28" t="str">
            <v>In Transit</v>
          </cell>
        </row>
        <row r="29">
          <cell r="C29" t="str">
            <v>North</v>
          </cell>
          <cell r="D29">
            <v>25</v>
          </cell>
          <cell r="K29" t="str">
            <v>Delivered</v>
          </cell>
        </row>
        <row r="30">
          <cell r="C30" t="str">
            <v>East</v>
          </cell>
          <cell r="D30">
            <v>31</v>
          </cell>
          <cell r="K30" t="str">
            <v>In Transit</v>
          </cell>
        </row>
        <row r="31">
          <cell r="C31" t="str">
            <v>North</v>
          </cell>
          <cell r="D31">
            <v>28</v>
          </cell>
          <cell r="K31" t="str">
            <v>Delivered</v>
          </cell>
        </row>
        <row r="32">
          <cell r="C32" t="str">
            <v>East</v>
          </cell>
          <cell r="D32">
            <v>57</v>
          </cell>
          <cell r="K32" t="str">
            <v>Returned</v>
          </cell>
        </row>
        <row r="33">
          <cell r="C33" t="str">
            <v>South</v>
          </cell>
          <cell r="K33" t="str">
            <v>Delivered</v>
          </cell>
        </row>
        <row r="34">
          <cell r="C34" t="str">
            <v>South</v>
          </cell>
          <cell r="D34">
            <v>53</v>
          </cell>
          <cell r="K34" t="str">
            <v>In Transit</v>
          </cell>
        </row>
        <row r="35">
          <cell r="C35" t="str">
            <v>South</v>
          </cell>
          <cell r="D35">
            <v>58</v>
          </cell>
          <cell r="K35" t="str">
            <v>Delivered</v>
          </cell>
        </row>
        <row r="36">
          <cell r="C36" t="str">
            <v>South</v>
          </cell>
          <cell r="D36">
            <v>35</v>
          </cell>
          <cell r="K36" t="str">
            <v>Delivered</v>
          </cell>
        </row>
        <row r="37">
          <cell r="C37" t="str">
            <v>North</v>
          </cell>
          <cell r="D37">
            <v>41</v>
          </cell>
          <cell r="K37" t="str">
            <v>Delivered</v>
          </cell>
        </row>
        <row r="38">
          <cell r="C38" t="str">
            <v>West</v>
          </cell>
          <cell r="D38">
            <v>64</v>
          </cell>
          <cell r="K38" t="str">
            <v>Returned</v>
          </cell>
        </row>
        <row r="39">
          <cell r="C39" t="str">
            <v>North</v>
          </cell>
          <cell r="K39" t="str">
            <v>Delivered</v>
          </cell>
        </row>
        <row r="40">
          <cell r="C40" t="str">
            <v>South</v>
          </cell>
          <cell r="D40">
            <v>43</v>
          </cell>
          <cell r="K40" t="str">
            <v>In Transit</v>
          </cell>
        </row>
        <row r="41">
          <cell r="D41">
            <v>61</v>
          </cell>
          <cell r="K41" t="str">
            <v>Returned</v>
          </cell>
        </row>
        <row r="42">
          <cell r="C42" t="str">
            <v>East</v>
          </cell>
          <cell r="D42">
            <v>58</v>
          </cell>
          <cell r="K42" t="str">
            <v>Returned</v>
          </cell>
        </row>
        <row r="43">
          <cell r="C43" t="str">
            <v>West</v>
          </cell>
          <cell r="D43">
            <v>61</v>
          </cell>
          <cell r="K43" t="str">
            <v>Returned</v>
          </cell>
        </row>
        <row r="44">
          <cell r="C44" t="str">
            <v>East</v>
          </cell>
          <cell r="D44">
            <v>19</v>
          </cell>
          <cell r="K44" t="str">
            <v>Delivered</v>
          </cell>
        </row>
        <row r="45">
          <cell r="C45" t="str">
            <v>North</v>
          </cell>
          <cell r="D45">
            <v>31</v>
          </cell>
          <cell r="K45" t="str">
            <v>Delivered</v>
          </cell>
        </row>
        <row r="46">
          <cell r="C46" t="str">
            <v>North</v>
          </cell>
          <cell r="D46">
            <v>38</v>
          </cell>
          <cell r="K46" t="str">
            <v>Returned</v>
          </cell>
        </row>
        <row r="47">
          <cell r="C47" t="str">
            <v>East</v>
          </cell>
          <cell r="D47">
            <v>44</v>
          </cell>
          <cell r="K47" t="str">
            <v>In Transit</v>
          </cell>
        </row>
        <row r="48">
          <cell r="C48" t="str">
            <v>East</v>
          </cell>
          <cell r="D48">
            <v>68</v>
          </cell>
        </row>
        <row r="49">
          <cell r="C49" t="str">
            <v>West</v>
          </cell>
          <cell r="D49">
            <v>44</v>
          </cell>
          <cell r="K49" t="str">
            <v>In Transit</v>
          </cell>
        </row>
        <row r="50">
          <cell r="C50" t="str">
            <v>West</v>
          </cell>
          <cell r="D50">
            <v>67</v>
          </cell>
          <cell r="K50" t="str">
            <v>Delivered</v>
          </cell>
        </row>
        <row r="51">
          <cell r="C51" t="str">
            <v>West</v>
          </cell>
          <cell r="D51">
            <v>23</v>
          </cell>
          <cell r="K51" t="str">
            <v>Returned</v>
          </cell>
        </row>
        <row r="52">
          <cell r="C52" t="str">
            <v>West</v>
          </cell>
          <cell r="D52">
            <v>68</v>
          </cell>
          <cell r="K52" t="str">
            <v>In Transit</v>
          </cell>
        </row>
        <row r="53">
          <cell r="C53" t="str">
            <v>East</v>
          </cell>
          <cell r="D53">
            <v>42</v>
          </cell>
          <cell r="K53" t="str">
            <v>In Transit</v>
          </cell>
        </row>
        <row r="54">
          <cell r="C54" t="str">
            <v>South</v>
          </cell>
          <cell r="D54">
            <v>51</v>
          </cell>
          <cell r="K54" t="str">
            <v>Delivered</v>
          </cell>
        </row>
        <row r="55">
          <cell r="C55" t="str">
            <v>West</v>
          </cell>
          <cell r="D55">
            <v>61</v>
          </cell>
          <cell r="K55" t="str">
            <v>Returned</v>
          </cell>
        </row>
        <row r="56">
          <cell r="C56" t="str">
            <v>South</v>
          </cell>
          <cell r="D56">
            <v>46</v>
          </cell>
          <cell r="K56" t="str">
            <v>Returned</v>
          </cell>
        </row>
        <row r="57">
          <cell r="C57" t="str">
            <v>West</v>
          </cell>
          <cell r="D57">
            <v>49</v>
          </cell>
        </row>
        <row r="58">
          <cell r="C58" t="str">
            <v>North</v>
          </cell>
          <cell r="D58">
            <v>62</v>
          </cell>
          <cell r="K58" t="str">
            <v>Delivered</v>
          </cell>
        </row>
        <row r="59">
          <cell r="C59" t="str">
            <v>South</v>
          </cell>
          <cell r="D59">
            <v>54</v>
          </cell>
          <cell r="K59" t="str">
            <v>Delivered</v>
          </cell>
        </row>
        <row r="60">
          <cell r="C60" t="str">
            <v>North</v>
          </cell>
          <cell r="D60">
            <v>67</v>
          </cell>
          <cell r="K60" t="str">
            <v>Returned</v>
          </cell>
        </row>
        <row r="61">
          <cell r="C61" t="str">
            <v>South</v>
          </cell>
          <cell r="D61">
            <v>52</v>
          </cell>
          <cell r="K61" t="str">
            <v>In Transit</v>
          </cell>
        </row>
        <row r="62">
          <cell r="C62" t="str">
            <v>East</v>
          </cell>
          <cell r="D62">
            <v>64</v>
          </cell>
          <cell r="K62" t="str">
            <v>In Transit</v>
          </cell>
        </row>
        <row r="63">
          <cell r="C63" t="str">
            <v>North</v>
          </cell>
          <cell r="D63">
            <v>33</v>
          </cell>
          <cell r="K63" t="str">
            <v>Delivered</v>
          </cell>
        </row>
        <row r="64">
          <cell r="C64" t="str">
            <v>West</v>
          </cell>
          <cell r="D64">
            <v>24</v>
          </cell>
          <cell r="K64" t="str">
            <v>In Transit</v>
          </cell>
        </row>
        <row r="65">
          <cell r="C65" t="str">
            <v>East</v>
          </cell>
          <cell r="D65">
            <v>36</v>
          </cell>
          <cell r="K65" t="str">
            <v>Returned</v>
          </cell>
        </row>
        <row r="66">
          <cell r="C66" t="str">
            <v>North</v>
          </cell>
          <cell r="D66">
            <v>19</v>
          </cell>
          <cell r="K66" t="str">
            <v>In Transit</v>
          </cell>
        </row>
        <row r="67">
          <cell r="C67" t="str">
            <v>East</v>
          </cell>
          <cell r="D67">
            <v>28</v>
          </cell>
          <cell r="K67" t="str">
            <v>Returned</v>
          </cell>
        </row>
        <row r="68">
          <cell r="C68" t="str">
            <v>East</v>
          </cell>
          <cell r="K68" t="str">
            <v>Returned</v>
          </cell>
        </row>
        <row r="69">
          <cell r="D69">
            <v>61</v>
          </cell>
          <cell r="K69" t="str">
            <v>In Transit</v>
          </cell>
        </row>
        <row r="70">
          <cell r="C70" t="str">
            <v>South</v>
          </cell>
          <cell r="D70">
            <v>41</v>
          </cell>
          <cell r="K70" t="str">
            <v>Returned</v>
          </cell>
        </row>
        <row r="71">
          <cell r="C71" t="str">
            <v>East</v>
          </cell>
          <cell r="D71">
            <v>21</v>
          </cell>
          <cell r="K71" t="str">
            <v>In Transit</v>
          </cell>
        </row>
        <row r="72">
          <cell r="C72" t="str">
            <v>North</v>
          </cell>
          <cell r="D72">
            <v>50</v>
          </cell>
          <cell r="K72" t="str">
            <v>In Transit</v>
          </cell>
        </row>
        <row r="73">
          <cell r="C73" t="str">
            <v>West</v>
          </cell>
          <cell r="D73">
            <v>48</v>
          </cell>
          <cell r="K73" t="str">
            <v>Returned</v>
          </cell>
        </row>
        <row r="74">
          <cell r="C74" t="str">
            <v>South</v>
          </cell>
          <cell r="D74">
            <v>50</v>
          </cell>
          <cell r="K74" t="str">
            <v>Delivered</v>
          </cell>
        </row>
        <row r="75">
          <cell r="C75" t="str">
            <v>West</v>
          </cell>
          <cell r="D75">
            <v>54</v>
          </cell>
          <cell r="K75" t="str">
            <v>Returned</v>
          </cell>
        </row>
        <row r="76">
          <cell r="C76" t="str">
            <v>North</v>
          </cell>
          <cell r="D76">
            <v>64</v>
          </cell>
          <cell r="K76" t="str">
            <v>In Transit</v>
          </cell>
        </row>
        <row r="77">
          <cell r="C77" t="str">
            <v>North</v>
          </cell>
          <cell r="D77">
            <v>63</v>
          </cell>
          <cell r="K77" t="str">
            <v>Returned</v>
          </cell>
        </row>
        <row r="78">
          <cell r="C78" t="str">
            <v>North</v>
          </cell>
          <cell r="D78">
            <v>47</v>
          </cell>
          <cell r="K78" t="str">
            <v>Returned</v>
          </cell>
        </row>
        <row r="79">
          <cell r="C79" t="str">
            <v>North</v>
          </cell>
          <cell r="D79">
            <v>45</v>
          </cell>
          <cell r="K79" t="str">
            <v>Delivered</v>
          </cell>
        </row>
        <row r="80">
          <cell r="C80" t="str">
            <v>North</v>
          </cell>
          <cell r="D80">
            <v>33</v>
          </cell>
          <cell r="K80" t="str">
            <v>Delivered</v>
          </cell>
        </row>
        <row r="81">
          <cell r="C81" t="str">
            <v>East</v>
          </cell>
          <cell r="D81">
            <v>64</v>
          </cell>
          <cell r="K81" t="str">
            <v>Returned</v>
          </cell>
        </row>
        <row r="82">
          <cell r="C82" t="str">
            <v>East</v>
          </cell>
          <cell r="D82">
            <v>59</v>
          </cell>
          <cell r="K82" t="str">
            <v>In Transit</v>
          </cell>
        </row>
        <row r="83">
          <cell r="C83" t="str">
            <v>South</v>
          </cell>
          <cell r="D83">
            <v>40</v>
          </cell>
          <cell r="K83" t="str">
            <v>Delivered</v>
          </cell>
        </row>
        <row r="84">
          <cell r="C84" t="str">
            <v>West</v>
          </cell>
          <cell r="K84" t="str">
            <v>In Transit</v>
          </cell>
        </row>
        <row r="85">
          <cell r="D85">
            <v>48</v>
          </cell>
          <cell r="K85" t="str">
            <v>Returned</v>
          </cell>
        </row>
        <row r="86">
          <cell r="C86" t="str">
            <v>West</v>
          </cell>
          <cell r="D86">
            <v>51</v>
          </cell>
          <cell r="K86" t="str">
            <v>Returned</v>
          </cell>
        </row>
        <row r="87">
          <cell r="C87" t="str">
            <v>West</v>
          </cell>
          <cell r="D87">
            <v>52</v>
          </cell>
          <cell r="K87" t="str">
            <v>Delivered</v>
          </cell>
        </row>
        <row r="88">
          <cell r="C88" t="str">
            <v>West</v>
          </cell>
          <cell r="D88">
            <v>46</v>
          </cell>
          <cell r="K88" t="str">
            <v>Delivered</v>
          </cell>
        </row>
        <row r="89">
          <cell r="C89" t="str">
            <v>North</v>
          </cell>
          <cell r="D89">
            <v>52</v>
          </cell>
          <cell r="K89" t="str">
            <v>Delivered</v>
          </cell>
        </row>
        <row r="90">
          <cell r="C90" t="str">
            <v>South</v>
          </cell>
          <cell r="D90">
            <v>30</v>
          </cell>
          <cell r="K90" t="str">
            <v>In Transit</v>
          </cell>
        </row>
        <row r="91">
          <cell r="C91" t="str">
            <v>North</v>
          </cell>
          <cell r="D91">
            <v>61</v>
          </cell>
          <cell r="K91" t="str">
            <v>Delivered</v>
          </cell>
        </row>
        <row r="92">
          <cell r="C92" t="str">
            <v>North</v>
          </cell>
          <cell r="D92">
            <v>63</v>
          </cell>
          <cell r="K92" t="str">
            <v>Delivered</v>
          </cell>
        </row>
        <row r="93">
          <cell r="C93" t="str">
            <v>West</v>
          </cell>
          <cell r="D93">
            <v>55</v>
          </cell>
          <cell r="K93" t="str">
            <v>Returned</v>
          </cell>
        </row>
        <row r="94">
          <cell r="C94" t="str">
            <v>East</v>
          </cell>
          <cell r="D94">
            <v>69</v>
          </cell>
          <cell r="K94" t="str">
            <v>Returned</v>
          </cell>
        </row>
        <row r="95">
          <cell r="C95" t="str">
            <v>East</v>
          </cell>
          <cell r="D95">
            <v>18</v>
          </cell>
          <cell r="K95" t="str">
            <v>Returned</v>
          </cell>
        </row>
        <row r="96">
          <cell r="C96" t="str">
            <v>West</v>
          </cell>
          <cell r="D96">
            <v>18</v>
          </cell>
          <cell r="K96" t="str">
            <v>Returned</v>
          </cell>
        </row>
        <row r="97">
          <cell r="C97" t="str">
            <v>North</v>
          </cell>
          <cell r="D97">
            <v>42</v>
          </cell>
          <cell r="K97" t="str">
            <v>In Transit</v>
          </cell>
        </row>
        <row r="98">
          <cell r="C98" t="str">
            <v>North</v>
          </cell>
          <cell r="D98">
            <v>18</v>
          </cell>
          <cell r="K98" t="str">
            <v>Delivered</v>
          </cell>
        </row>
        <row r="99">
          <cell r="C99" t="str">
            <v>West</v>
          </cell>
          <cell r="D99">
            <v>61</v>
          </cell>
          <cell r="K99" t="str">
            <v>Returned</v>
          </cell>
        </row>
        <row r="100">
          <cell r="C100" t="str">
            <v>South</v>
          </cell>
          <cell r="D100">
            <v>26</v>
          </cell>
          <cell r="K100" t="str">
            <v>Returned</v>
          </cell>
        </row>
        <row r="101">
          <cell r="C101" t="str">
            <v>North</v>
          </cell>
          <cell r="D101">
            <v>25</v>
          </cell>
          <cell r="K101" t="str">
            <v>In Transit</v>
          </cell>
        </row>
        <row r="102">
          <cell r="C102" t="str">
            <v>East</v>
          </cell>
          <cell r="D102">
            <v>57</v>
          </cell>
          <cell r="K102" t="str">
            <v>In Transit</v>
          </cell>
        </row>
        <row r="103">
          <cell r="C103" t="str">
            <v>South</v>
          </cell>
          <cell r="D103">
            <v>38</v>
          </cell>
          <cell r="K103" t="str">
            <v>In Transit</v>
          </cell>
        </row>
        <row r="104">
          <cell r="C104" t="str">
            <v>North</v>
          </cell>
          <cell r="D104">
            <v>58</v>
          </cell>
          <cell r="K104" t="str">
            <v>Delivered</v>
          </cell>
        </row>
        <row r="105">
          <cell r="C105" t="str">
            <v>East</v>
          </cell>
          <cell r="D105">
            <v>40</v>
          </cell>
          <cell r="K105" t="str">
            <v>Returned</v>
          </cell>
        </row>
        <row r="106">
          <cell r="C106" t="str">
            <v>East</v>
          </cell>
          <cell r="D106">
            <v>62</v>
          </cell>
        </row>
        <row r="107">
          <cell r="D107">
            <v>58</v>
          </cell>
          <cell r="K107" t="str">
            <v>In Transit</v>
          </cell>
        </row>
        <row r="108">
          <cell r="C108" t="str">
            <v>North</v>
          </cell>
          <cell r="D108">
            <v>63</v>
          </cell>
          <cell r="K108" t="str">
            <v>Returned</v>
          </cell>
        </row>
        <row r="109">
          <cell r="C109" t="str">
            <v>South</v>
          </cell>
          <cell r="D109">
            <v>33</v>
          </cell>
          <cell r="K109" t="str">
            <v>In Transit</v>
          </cell>
        </row>
        <row r="110">
          <cell r="C110" t="str">
            <v>North</v>
          </cell>
          <cell r="D110">
            <v>22</v>
          </cell>
          <cell r="K110" t="str">
            <v>Returned</v>
          </cell>
        </row>
        <row r="111">
          <cell r="C111" t="str">
            <v>East</v>
          </cell>
          <cell r="D111">
            <v>33</v>
          </cell>
          <cell r="K111" t="str">
            <v>Returned</v>
          </cell>
        </row>
        <row r="112">
          <cell r="D112">
            <v>20</v>
          </cell>
          <cell r="K112" t="str">
            <v>In Transit</v>
          </cell>
        </row>
        <row r="113">
          <cell r="C113" t="str">
            <v>North</v>
          </cell>
          <cell r="K113" t="str">
            <v>Returned</v>
          </cell>
        </row>
        <row r="114">
          <cell r="C114" t="str">
            <v>West</v>
          </cell>
          <cell r="D114">
            <v>54</v>
          </cell>
          <cell r="K114" t="str">
            <v>In Transit</v>
          </cell>
        </row>
        <row r="115">
          <cell r="C115" t="str">
            <v>West</v>
          </cell>
          <cell r="D115">
            <v>37</v>
          </cell>
          <cell r="K115" t="str">
            <v>Delivered</v>
          </cell>
        </row>
        <row r="116">
          <cell r="C116" t="str">
            <v>South</v>
          </cell>
          <cell r="D116">
            <v>22</v>
          </cell>
          <cell r="K116" t="str">
            <v>Delivered</v>
          </cell>
        </row>
        <row r="117">
          <cell r="D117">
            <v>65</v>
          </cell>
          <cell r="K117" t="str">
            <v>Returned</v>
          </cell>
        </row>
        <row r="118">
          <cell r="C118" t="str">
            <v>North</v>
          </cell>
          <cell r="K118" t="str">
            <v>Delivered</v>
          </cell>
        </row>
        <row r="119">
          <cell r="C119" t="str">
            <v>West</v>
          </cell>
          <cell r="D119">
            <v>58</v>
          </cell>
          <cell r="K119" t="str">
            <v>Returned</v>
          </cell>
        </row>
        <row r="120">
          <cell r="C120" t="str">
            <v>East</v>
          </cell>
          <cell r="D120">
            <v>23</v>
          </cell>
          <cell r="K120" t="str">
            <v>Returned</v>
          </cell>
        </row>
        <row r="121">
          <cell r="C121" t="str">
            <v>South</v>
          </cell>
          <cell r="D121">
            <v>38</v>
          </cell>
          <cell r="K121" t="str">
            <v>Delivered</v>
          </cell>
        </row>
        <row r="122">
          <cell r="C122" t="str">
            <v>North</v>
          </cell>
          <cell r="D122">
            <v>19</v>
          </cell>
          <cell r="K122" t="str">
            <v>In Transit</v>
          </cell>
        </row>
        <row r="123">
          <cell r="C123" t="str">
            <v>South</v>
          </cell>
          <cell r="K123" t="str">
            <v>Delivered</v>
          </cell>
        </row>
        <row r="124">
          <cell r="C124" t="str">
            <v>South</v>
          </cell>
          <cell r="K124" t="str">
            <v>Delivered</v>
          </cell>
        </row>
        <row r="125">
          <cell r="C125" t="str">
            <v>North</v>
          </cell>
          <cell r="D125">
            <v>61</v>
          </cell>
          <cell r="K125" t="str">
            <v>In Transit</v>
          </cell>
        </row>
        <row r="126">
          <cell r="C126" t="str">
            <v>North</v>
          </cell>
          <cell r="D126">
            <v>18</v>
          </cell>
          <cell r="K126" t="str">
            <v>Delivered</v>
          </cell>
        </row>
        <row r="127">
          <cell r="C127" t="str">
            <v>North</v>
          </cell>
          <cell r="D127">
            <v>29</v>
          </cell>
          <cell r="K127" t="str">
            <v>Returned</v>
          </cell>
        </row>
        <row r="128">
          <cell r="D128">
            <v>50</v>
          </cell>
          <cell r="K128" t="str">
            <v>In Transit</v>
          </cell>
        </row>
        <row r="129">
          <cell r="C129" t="str">
            <v>North</v>
          </cell>
          <cell r="D129">
            <v>38</v>
          </cell>
          <cell r="K129" t="str">
            <v>In Transit</v>
          </cell>
        </row>
        <row r="130">
          <cell r="C130" t="str">
            <v>North</v>
          </cell>
          <cell r="D130">
            <v>63</v>
          </cell>
          <cell r="K130" t="str">
            <v>In Transit</v>
          </cell>
        </row>
        <row r="131">
          <cell r="C131" t="str">
            <v>North</v>
          </cell>
          <cell r="D131">
            <v>59</v>
          </cell>
          <cell r="K131" t="str">
            <v>Returned</v>
          </cell>
        </row>
        <row r="132">
          <cell r="C132" t="str">
            <v>North</v>
          </cell>
          <cell r="K132" t="str">
            <v>In Transit</v>
          </cell>
        </row>
        <row r="133">
          <cell r="C133" t="str">
            <v>North</v>
          </cell>
          <cell r="D133">
            <v>47</v>
          </cell>
        </row>
        <row r="134">
          <cell r="K134" t="str">
            <v>Returned</v>
          </cell>
        </row>
        <row r="135">
          <cell r="C135" t="str">
            <v>North</v>
          </cell>
          <cell r="D135">
            <v>33</v>
          </cell>
          <cell r="K135" t="str">
            <v>Delivered</v>
          </cell>
        </row>
        <row r="136">
          <cell r="C136" t="str">
            <v>North</v>
          </cell>
          <cell r="D136">
            <v>41</v>
          </cell>
          <cell r="K136" t="str">
            <v>Returned</v>
          </cell>
        </row>
        <row r="137">
          <cell r="C137" t="str">
            <v>North</v>
          </cell>
          <cell r="D137">
            <v>46</v>
          </cell>
          <cell r="K137" t="str">
            <v>Returned</v>
          </cell>
        </row>
        <row r="138">
          <cell r="C138" t="str">
            <v>North</v>
          </cell>
          <cell r="D138">
            <v>49</v>
          </cell>
          <cell r="K138" t="str">
            <v>In Transit</v>
          </cell>
        </row>
        <row r="139">
          <cell r="C139" t="str">
            <v>West</v>
          </cell>
          <cell r="D139">
            <v>54</v>
          </cell>
          <cell r="K139" t="str">
            <v>Delivered</v>
          </cell>
        </row>
        <row r="140">
          <cell r="C140" t="str">
            <v>West</v>
          </cell>
          <cell r="D140">
            <v>30</v>
          </cell>
          <cell r="K140" t="str">
            <v>Delivered</v>
          </cell>
        </row>
        <row r="141">
          <cell r="C141" t="str">
            <v>East</v>
          </cell>
          <cell r="D141">
            <v>30</v>
          </cell>
          <cell r="K141" t="str">
            <v>Delivered</v>
          </cell>
        </row>
        <row r="142">
          <cell r="C142" t="str">
            <v>West</v>
          </cell>
          <cell r="D142">
            <v>37</v>
          </cell>
          <cell r="K142" t="str">
            <v>Returned</v>
          </cell>
        </row>
        <row r="143">
          <cell r="C143" t="str">
            <v>East</v>
          </cell>
          <cell r="D143">
            <v>27</v>
          </cell>
          <cell r="K143" t="str">
            <v>In Transit</v>
          </cell>
        </row>
        <row r="144">
          <cell r="C144" t="str">
            <v>West</v>
          </cell>
          <cell r="D144">
            <v>38</v>
          </cell>
          <cell r="K144" t="str">
            <v>Returned</v>
          </cell>
        </row>
        <row r="145">
          <cell r="C145" t="str">
            <v>West</v>
          </cell>
          <cell r="D145">
            <v>44</v>
          </cell>
          <cell r="K145" t="str">
            <v>In Transit</v>
          </cell>
        </row>
        <row r="146">
          <cell r="C146" t="str">
            <v>West</v>
          </cell>
          <cell r="D146">
            <v>58</v>
          </cell>
          <cell r="K146" t="str">
            <v>Returned</v>
          </cell>
        </row>
        <row r="147">
          <cell r="C147" t="str">
            <v>East</v>
          </cell>
          <cell r="D147">
            <v>25</v>
          </cell>
          <cell r="K147" t="str">
            <v>In Transit</v>
          </cell>
        </row>
        <row r="148">
          <cell r="C148" t="str">
            <v>North</v>
          </cell>
          <cell r="D148">
            <v>35</v>
          </cell>
          <cell r="K148" t="str">
            <v>Delivered</v>
          </cell>
        </row>
        <row r="149">
          <cell r="C149" t="str">
            <v>East</v>
          </cell>
          <cell r="K149" t="str">
            <v>Returned</v>
          </cell>
        </row>
        <row r="150">
          <cell r="C150" t="str">
            <v>West</v>
          </cell>
          <cell r="D150">
            <v>63</v>
          </cell>
          <cell r="K150" t="str">
            <v>Returned</v>
          </cell>
        </row>
        <row r="151">
          <cell r="C151" t="str">
            <v>South</v>
          </cell>
          <cell r="D151">
            <v>39</v>
          </cell>
          <cell r="K151" t="str">
            <v>In Transit</v>
          </cell>
        </row>
        <row r="152">
          <cell r="C152" t="str">
            <v>South</v>
          </cell>
          <cell r="D152">
            <v>29</v>
          </cell>
          <cell r="K152" t="str">
            <v>In Transit</v>
          </cell>
        </row>
        <row r="153">
          <cell r="C153" t="str">
            <v>East</v>
          </cell>
          <cell r="K153" t="str">
            <v>Delivered</v>
          </cell>
        </row>
        <row r="154">
          <cell r="C154" t="str">
            <v>North</v>
          </cell>
          <cell r="D154">
            <v>27</v>
          </cell>
          <cell r="K154" t="str">
            <v>In Transit</v>
          </cell>
        </row>
        <row r="155">
          <cell r="C155" t="str">
            <v>West</v>
          </cell>
          <cell r="D155">
            <v>42</v>
          </cell>
          <cell r="K155" t="str">
            <v>In Transit</v>
          </cell>
        </row>
        <row r="156">
          <cell r="C156" t="str">
            <v>East</v>
          </cell>
          <cell r="D156">
            <v>51</v>
          </cell>
          <cell r="K156" t="str">
            <v>In Transit</v>
          </cell>
        </row>
        <row r="157">
          <cell r="C157" t="str">
            <v>South</v>
          </cell>
          <cell r="D157">
            <v>27</v>
          </cell>
          <cell r="K157" t="str">
            <v>In Transit</v>
          </cell>
        </row>
        <row r="158">
          <cell r="C158" t="str">
            <v>West</v>
          </cell>
          <cell r="D158">
            <v>44</v>
          </cell>
          <cell r="K158" t="str">
            <v>Returned</v>
          </cell>
        </row>
        <row r="159">
          <cell r="C159" t="str">
            <v>East</v>
          </cell>
          <cell r="D159">
            <v>30</v>
          </cell>
          <cell r="K159" t="str">
            <v>Returned</v>
          </cell>
        </row>
        <row r="160">
          <cell r="C160" t="str">
            <v>South</v>
          </cell>
          <cell r="K160" t="str">
            <v>Delivered</v>
          </cell>
        </row>
        <row r="161">
          <cell r="C161" t="str">
            <v>East</v>
          </cell>
          <cell r="D161">
            <v>68</v>
          </cell>
          <cell r="K161" t="str">
            <v>Delivered</v>
          </cell>
        </row>
        <row r="162">
          <cell r="C162" t="str">
            <v>East</v>
          </cell>
          <cell r="D162">
            <v>58</v>
          </cell>
          <cell r="K162" t="str">
            <v>In Transit</v>
          </cell>
        </row>
        <row r="163">
          <cell r="C163" t="str">
            <v>South</v>
          </cell>
          <cell r="D163">
            <v>56</v>
          </cell>
          <cell r="K163" t="str">
            <v>Delivered</v>
          </cell>
        </row>
        <row r="164">
          <cell r="C164" t="str">
            <v>West</v>
          </cell>
          <cell r="D164">
            <v>59</v>
          </cell>
          <cell r="K164" t="str">
            <v>Delivered</v>
          </cell>
        </row>
        <row r="165">
          <cell r="C165" t="str">
            <v>East</v>
          </cell>
          <cell r="D165">
            <v>21</v>
          </cell>
          <cell r="K165" t="str">
            <v>Delivered</v>
          </cell>
        </row>
        <row r="166">
          <cell r="C166" t="str">
            <v>West</v>
          </cell>
          <cell r="D166">
            <v>42</v>
          </cell>
          <cell r="K166" t="str">
            <v>Delivered</v>
          </cell>
        </row>
        <row r="167">
          <cell r="D167">
            <v>36</v>
          </cell>
          <cell r="K167" t="str">
            <v>Returned</v>
          </cell>
        </row>
        <row r="168">
          <cell r="C168" t="str">
            <v>South</v>
          </cell>
          <cell r="D168">
            <v>25</v>
          </cell>
          <cell r="K168" t="str">
            <v>Returned</v>
          </cell>
        </row>
        <row r="169">
          <cell r="C169" t="str">
            <v>South</v>
          </cell>
          <cell r="D169">
            <v>41</v>
          </cell>
          <cell r="K169" t="str">
            <v>In Transit</v>
          </cell>
        </row>
        <row r="170">
          <cell r="C170" t="str">
            <v>North</v>
          </cell>
          <cell r="D170">
            <v>41</v>
          </cell>
          <cell r="K170" t="str">
            <v>Delivered</v>
          </cell>
        </row>
        <row r="171">
          <cell r="C171" t="str">
            <v>East</v>
          </cell>
          <cell r="D171">
            <v>47</v>
          </cell>
          <cell r="K171" t="str">
            <v>Delivered</v>
          </cell>
        </row>
        <row r="172">
          <cell r="C172" t="str">
            <v>North</v>
          </cell>
          <cell r="D172">
            <v>66</v>
          </cell>
          <cell r="K172" t="str">
            <v>Delivered</v>
          </cell>
        </row>
        <row r="173">
          <cell r="C173" t="str">
            <v>South</v>
          </cell>
          <cell r="D173">
            <v>42</v>
          </cell>
          <cell r="K173" t="str">
            <v>Delivered</v>
          </cell>
        </row>
        <row r="174">
          <cell r="C174" t="str">
            <v>South</v>
          </cell>
          <cell r="D174">
            <v>53</v>
          </cell>
          <cell r="K174" t="str">
            <v>In Transit</v>
          </cell>
        </row>
        <row r="175">
          <cell r="C175" t="str">
            <v>West</v>
          </cell>
          <cell r="D175">
            <v>43</v>
          </cell>
          <cell r="K175" t="str">
            <v>Returned</v>
          </cell>
        </row>
        <row r="176">
          <cell r="C176" t="str">
            <v>West</v>
          </cell>
          <cell r="D176">
            <v>46</v>
          </cell>
          <cell r="K176" t="str">
            <v>In Transit</v>
          </cell>
        </row>
        <row r="177">
          <cell r="D177">
            <v>41</v>
          </cell>
          <cell r="K177" t="str">
            <v>Delivered</v>
          </cell>
        </row>
        <row r="178">
          <cell r="C178" t="str">
            <v>South</v>
          </cell>
          <cell r="D178">
            <v>23</v>
          </cell>
          <cell r="K178" t="str">
            <v>Returned</v>
          </cell>
        </row>
        <row r="179">
          <cell r="C179" t="str">
            <v>South</v>
          </cell>
          <cell r="D179">
            <v>44</v>
          </cell>
          <cell r="K179" t="str">
            <v>In Transit</v>
          </cell>
        </row>
        <row r="180">
          <cell r="C180" t="str">
            <v>East</v>
          </cell>
          <cell r="D180">
            <v>67</v>
          </cell>
        </row>
        <row r="181">
          <cell r="C181" t="str">
            <v>West</v>
          </cell>
          <cell r="D181">
            <v>60</v>
          </cell>
          <cell r="K181" t="str">
            <v>In Transit</v>
          </cell>
        </row>
        <row r="182">
          <cell r="K182" t="str">
            <v>Delivered</v>
          </cell>
        </row>
        <row r="183">
          <cell r="C183" t="str">
            <v>West</v>
          </cell>
          <cell r="D183">
            <v>54</v>
          </cell>
          <cell r="K183" t="str">
            <v>Returned</v>
          </cell>
        </row>
        <row r="184">
          <cell r="C184" t="str">
            <v>South</v>
          </cell>
          <cell r="D184">
            <v>56</v>
          </cell>
          <cell r="K184" t="str">
            <v>Delivered</v>
          </cell>
        </row>
        <row r="185">
          <cell r="C185" t="str">
            <v>East</v>
          </cell>
          <cell r="D185">
            <v>32</v>
          </cell>
          <cell r="K185" t="str">
            <v>Delivered</v>
          </cell>
        </row>
        <row r="186">
          <cell r="C186" t="str">
            <v>East</v>
          </cell>
          <cell r="D186">
            <v>26</v>
          </cell>
          <cell r="K186" t="str">
            <v>Delivered</v>
          </cell>
        </row>
        <row r="187">
          <cell r="C187" t="str">
            <v>East</v>
          </cell>
          <cell r="D187">
            <v>27</v>
          </cell>
          <cell r="K187" t="str">
            <v>In Transit</v>
          </cell>
        </row>
        <row r="188">
          <cell r="C188" t="str">
            <v>West</v>
          </cell>
          <cell r="D188">
            <v>65</v>
          </cell>
          <cell r="K188" t="str">
            <v>In Transit</v>
          </cell>
        </row>
        <row r="189">
          <cell r="C189" t="str">
            <v>North</v>
          </cell>
          <cell r="D189">
            <v>62</v>
          </cell>
          <cell r="K189" t="str">
            <v>Delivered</v>
          </cell>
        </row>
        <row r="190">
          <cell r="C190" t="str">
            <v>South</v>
          </cell>
          <cell r="D190">
            <v>21</v>
          </cell>
          <cell r="K190" t="str">
            <v>Delivered</v>
          </cell>
        </row>
        <row r="191">
          <cell r="C191" t="str">
            <v>North</v>
          </cell>
          <cell r="D191">
            <v>53</v>
          </cell>
          <cell r="K191" t="str">
            <v>Returned</v>
          </cell>
        </row>
        <row r="192">
          <cell r="C192" t="str">
            <v>South</v>
          </cell>
          <cell r="D192">
            <v>57</v>
          </cell>
          <cell r="K192" t="str">
            <v>In Transit</v>
          </cell>
        </row>
        <row r="193">
          <cell r="C193" t="str">
            <v>North</v>
          </cell>
          <cell r="D193">
            <v>66</v>
          </cell>
          <cell r="K193" t="str">
            <v>Returned</v>
          </cell>
        </row>
        <row r="194">
          <cell r="C194" t="str">
            <v>West</v>
          </cell>
          <cell r="K194" t="str">
            <v>In Transit</v>
          </cell>
        </row>
        <row r="195">
          <cell r="C195" t="str">
            <v>West</v>
          </cell>
          <cell r="D195">
            <v>64</v>
          </cell>
          <cell r="K195" t="str">
            <v>Returned</v>
          </cell>
        </row>
        <row r="196">
          <cell r="C196" t="str">
            <v>North</v>
          </cell>
          <cell r="D196">
            <v>64</v>
          </cell>
          <cell r="K196" t="str">
            <v>Delivered</v>
          </cell>
        </row>
        <row r="197">
          <cell r="C197" t="str">
            <v>West</v>
          </cell>
          <cell r="D197">
            <v>42</v>
          </cell>
          <cell r="K197" t="str">
            <v>Delivered</v>
          </cell>
        </row>
        <row r="198">
          <cell r="C198" t="str">
            <v>South</v>
          </cell>
          <cell r="D198">
            <v>43</v>
          </cell>
          <cell r="K198" t="str">
            <v>Delivered</v>
          </cell>
        </row>
        <row r="199">
          <cell r="C199" t="str">
            <v>East</v>
          </cell>
          <cell r="D199">
            <v>51</v>
          </cell>
          <cell r="K199" t="str">
            <v>Delivered</v>
          </cell>
        </row>
        <row r="200">
          <cell r="C200" t="str">
            <v>West</v>
          </cell>
          <cell r="D200">
            <v>57</v>
          </cell>
          <cell r="K200" t="str">
            <v>Returned</v>
          </cell>
        </row>
        <row r="201">
          <cell r="C201" t="str">
            <v>West</v>
          </cell>
          <cell r="D201">
            <v>55</v>
          </cell>
          <cell r="K201" t="str">
            <v>In Transit</v>
          </cell>
        </row>
        <row r="202">
          <cell r="D202">
            <v>57</v>
          </cell>
          <cell r="K202" t="str">
            <v>In Transit</v>
          </cell>
        </row>
        <row r="203">
          <cell r="C203" t="str">
            <v>East</v>
          </cell>
          <cell r="D203">
            <v>50</v>
          </cell>
          <cell r="K203" t="str">
            <v>In Transit</v>
          </cell>
        </row>
        <row r="204">
          <cell r="C204" t="str">
            <v>West</v>
          </cell>
          <cell r="D204">
            <v>28</v>
          </cell>
          <cell r="K204" t="str">
            <v>Returned</v>
          </cell>
        </row>
        <row r="205">
          <cell r="C205" t="str">
            <v>South</v>
          </cell>
          <cell r="D205">
            <v>36</v>
          </cell>
          <cell r="K205" t="str">
            <v>Returned</v>
          </cell>
        </row>
        <row r="206">
          <cell r="C206" t="str">
            <v>South</v>
          </cell>
          <cell r="D206">
            <v>33</v>
          </cell>
          <cell r="K206" t="str">
            <v>In Transit</v>
          </cell>
        </row>
        <row r="207">
          <cell r="C207" t="str">
            <v>East</v>
          </cell>
          <cell r="K207" t="str">
            <v>Returned</v>
          </cell>
        </row>
        <row r="208">
          <cell r="C208" t="str">
            <v>North</v>
          </cell>
          <cell r="D208">
            <v>54</v>
          </cell>
          <cell r="K208" t="str">
            <v>Delivered</v>
          </cell>
        </row>
        <row r="209">
          <cell r="C209" t="str">
            <v>West</v>
          </cell>
          <cell r="D209">
            <v>49</v>
          </cell>
          <cell r="K209" t="str">
            <v>Returned</v>
          </cell>
        </row>
        <row r="210">
          <cell r="C210" t="str">
            <v>North</v>
          </cell>
          <cell r="D210">
            <v>64</v>
          </cell>
          <cell r="K210" t="str">
            <v>Returned</v>
          </cell>
        </row>
        <row r="211">
          <cell r="C211" t="str">
            <v>North</v>
          </cell>
          <cell r="K211" t="str">
            <v>Returned</v>
          </cell>
        </row>
        <row r="212">
          <cell r="C212" t="str">
            <v>East</v>
          </cell>
          <cell r="K212" t="str">
            <v>Delivered</v>
          </cell>
        </row>
        <row r="213">
          <cell r="C213" t="str">
            <v>West</v>
          </cell>
          <cell r="D213">
            <v>19</v>
          </cell>
          <cell r="K213" t="str">
            <v>Returned</v>
          </cell>
        </row>
        <row r="214">
          <cell r="C214" t="str">
            <v>West</v>
          </cell>
          <cell r="D214">
            <v>29</v>
          </cell>
          <cell r="K214" t="str">
            <v>Returned</v>
          </cell>
        </row>
        <row r="215">
          <cell r="C215" t="str">
            <v>North</v>
          </cell>
          <cell r="D215">
            <v>68</v>
          </cell>
          <cell r="K215" t="str">
            <v>In Transit</v>
          </cell>
        </row>
        <row r="216">
          <cell r="C216" t="str">
            <v>North</v>
          </cell>
          <cell r="D216">
            <v>30</v>
          </cell>
          <cell r="K216" t="str">
            <v>In Transit</v>
          </cell>
        </row>
        <row r="217">
          <cell r="C217" t="str">
            <v>West</v>
          </cell>
          <cell r="D217">
            <v>61</v>
          </cell>
          <cell r="K217" t="str">
            <v>Returned</v>
          </cell>
        </row>
        <row r="218">
          <cell r="C218" t="str">
            <v>North</v>
          </cell>
          <cell r="K218" t="str">
            <v>Returned</v>
          </cell>
        </row>
        <row r="219">
          <cell r="C219" t="str">
            <v>South</v>
          </cell>
          <cell r="K219" t="str">
            <v>In Transit</v>
          </cell>
        </row>
        <row r="220">
          <cell r="C220" t="str">
            <v>North</v>
          </cell>
          <cell r="D220">
            <v>29</v>
          </cell>
          <cell r="K220" t="str">
            <v>Delivered</v>
          </cell>
        </row>
        <row r="221">
          <cell r="C221" t="str">
            <v>West</v>
          </cell>
          <cell r="D221">
            <v>57</v>
          </cell>
          <cell r="K221" t="str">
            <v>In Transit</v>
          </cell>
        </row>
        <row r="222">
          <cell r="C222" t="str">
            <v>West</v>
          </cell>
          <cell r="D222">
            <v>38</v>
          </cell>
          <cell r="K222" t="str">
            <v>Returned</v>
          </cell>
        </row>
        <row r="223">
          <cell r="C223" t="str">
            <v>North</v>
          </cell>
          <cell r="D223">
            <v>58</v>
          </cell>
        </row>
        <row r="224">
          <cell r="C224" t="str">
            <v>East</v>
          </cell>
          <cell r="D224">
            <v>38</v>
          </cell>
          <cell r="K224" t="str">
            <v>In Transit</v>
          </cell>
        </row>
        <row r="225">
          <cell r="C225" t="str">
            <v>East</v>
          </cell>
          <cell r="D225">
            <v>32</v>
          </cell>
          <cell r="K225" t="str">
            <v>In Transit</v>
          </cell>
        </row>
        <row r="226">
          <cell r="C226" t="str">
            <v>West</v>
          </cell>
          <cell r="K226" t="str">
            <v>Delivered</v>
          </cell>
        </row>
        <row r="227">
          <cell r="C227" t="str">
            <v>South</v>
          </cell>
          <cell r="D227">
            <v>63</v>
          </cell>
          <cell r="K227" t="str">
            <v>Delivered</v>
          </cell>
        </row>
        <row r="228">
          <cell r="C228" t="str">
            <v>West</v>
          </cell>
          <cell r="D228">
            <v>59</v>
          </cell>
          <cell r="K228" t="str">
            <v>Delivered</v>
          </cell>
        </row>
        <row r="229">
          <cell r="C229" t="str">
            <v>West</v>
          </cell>
          <cell r="D229">
            <v>27</v>
          </cell>
          <cell r="K229" t="str">
            <v>Returned</v>
          </cell>
        </row>
        <row r="230">
          <cell r="C230" t="str">
            <v>West</v>
          </cell>
          <cell r="D230">
            <v>51</v>
          </cell>
          <cell r="K230" t="str">
            <v>Returned</v>
          </cell>
        </row>
        <row r="231">
          <cell r="C231" t="str">
            <v>West</v>
          </cell>
          <cell r="D231">
            <v>29</v>
          </cell>
          <cell r="K231" t="str">
            <v>Delivered</v>
          </cell>
        </row>
        <row r="232">
          <cell r="C232" t="str">
            <v>East</v>
          </cell>
          <cell r="D232">
            <v>66</v>
          </cell>
        </row>
        <row r="233">
          <cell r="C233" t="str">
            <v>East</v>
          </cell>
          <cell r="D233">
            <v>54</v>
          </cell>
          <cell r="K233" t="str">
            <v>Returned</v>
          </cell>
        </row>
        <row r="234">
          <cell r="C234" t="str">
            <v>East</v>
          </cell>
          <cell r="D234">
            <v>68</v>
          </cell>
          <cell r="K234" t="str">
            <v>In Transit</v>
          </cell>
        </row>
        <row r="235">
          <cell r="C235" t="str">
            <v>West</v>
          </cell>
          <cell r="K235" t="str">
            <v>Delivered</v>
          </cell>
        </row>
        <row r="236">
          <cell r="C236" t="str">
            <v>South</v>
          </cell>
          <cell r="D236">
            <v>29</v>
          </cell>
          <cell r="K236" t="str">
            <v>Delivered</v>
          </cell>
        </row>
        <row r="237">
          <cell r="C237" t="str">
            <v>West</v>
          </cell>
          <cell r="D237">
            <v>40</v>
          </cell>
          <cell r="K237" t="str">
            <v>Returned</v>
          </cell>
        </row>
        <row r="238">
          <cell r="C238" t="str">
            <v>West</v>
          </cell>
          <cell r="D238">
            <v>48</v>
          </cell>
          <cell r="K238" t="str">
            <v>Returned</v>
          </cell>
        </row>
        <row r="239">
          <cell r="C239" t="str">
            <v>West</v>
          </cell>
          <cell r="D239">
            <v>52</v>
          </cell>
        </row>
        <row r="240">
          <cell r="C240" t="str">
            <v>East</v>
          </cell>
          <cell r="D240">
            <v>69</v>
          </cell>
          <cell r="K240" t="str">
            <v>Returned</v>
          </cell>
        </row>
        <row r="241">
          <cell r="C241" t="str">
            <v>North</v>
          </cell>
          <cell r="D241">
            <v>67</v>
          </cell>
          <cell r="K241" t="str">
            <v>In Transit</v>
          </cell>
        </row>
        <row r="242">
          <cell r="C242" t="str">
            <v>North</v>
          </cell>
          <cell r="D242">
            <v>59</v>
          </cell>
          <cell r="K242" t="str">
            <v>Returned</v>
          </cell>
        </row>
        <row r="243">
          <cell r="C243" t="str">
            <v>West</v>
          </cell>
          <cell r="D243">
            <v>64</v>
          </cell>
          <cell r="K243" t="str">
            <v>Delivered</v>
          </cell>
        </row>
        <row r="244">
          <cell r="C244" t="str">
            <v>East</v>
          </cell>
          <cell r="K244" t="str">
            <v>In Transit</v>
          </cell>
        </row>
        <row r="245">
          <cell r="C245" t="str">
            <v>South</v>
          </cell>
          <cell r="D245">
            <v>62</v>
          </cell>
          <cell r="K245" t="str">
            <v>In Transit</v>
          </cell>
        </row>
        <row r="246">
          <cell r="C246" t="str">
            <v>North</v>
          </cell>
          <cell r="D246">
            <v>52</v>
          </cell>
          <cell r="K246" t="str">
            <v>Delivered</v>
          </cell>
        </row>
        <row r="247">
          <cell r="C247" t="str">
            <v>West</v>
          </cell>
          <cell r="D247">
            <v>41</v>
          </cell>
          <cell r="K247" t="str">
            <v>Delivered</v>
          </cell>
        </row>
        <row r="248">
          <cell r="C248" t="str">
            <v>South</v>
          </cell>
          <cell r="D248">
            <v>53</v>
          </cell>
          <cell r="K248" t="str">
            <v>In Transit</v>
          </cell>
        </row>
        <row r="249">
          <cell r="C249" t="str">
            <v>West</v>
          </cell>
          <cell r="D249">
            <v>53</v>
          </cell>
          <cell r="K249" t="str">
            <v>Returned</v>
          </cell>
        </row>
        <row r="250">
          <cell r="C250" t="str">
            <v>East</v>
          </cell>
          <cell r="D250">
            <v>68</v>
          </cell>
          <cell r="K250" t="str">
            <v>Returned</v>
          </cell>
        </row>
        <row r="251">
          <cell r="C251" t="str">
            <v>West</v>
          </cell>
          <cell r="D251">
            <v>51</v>
          </cell>
          <cell r="K251" t="str">
            <v>Returned</v>
          </cell>
        </row>
        <row r="252">
          <cell r="C252" t="str">
            <v>South</v>
          </cell>
          <cell r="D252">
            <v>66</v>
          </cell>
          <cell r="K252" t="str">
            <v>In Transit</v>
          </cell>
        </row>
        <row r="253">
          <cell r="C253" t="str">
            <v>South</v>
          </cell>
          <cell r="D253">
            <v>53</v>
          </cell>
          <cell r="K253" t="str">
            <v>Returned</v>
          </cell>
        </row>
        <row r="254">
          <cell r="C254" t="str">
            <v>North</v>
          </cell>
          <cell r="D254">
            <v>45</v>
          </cell>
          <cell r="K254" t="str">
            <v>Returned</v>
          </cell>
        </row>
        <row r="255">
          <cell r="C255" t="str">
            <v>South</v>
          </cell>
          <cell r="D255">
            <v>49</v>
          </cell>
          <cell r="K255" t="str">
            <v>Returned</v>
          </cell>
        </row>
        <row r="256">
          <cell r="C256" t="str">
            <v>West</v>
          </cell>
          <cell r="D256">
            <v>69</v>
          </cell>
          <cell r="K256" t="str">
            <v>Delivered</v>
          </cell>
        </row>
        <row r="257">
          <cell r="C257" t="str">
            <v>East</v>
          </cell>
          <cell r="D257">
            <v>45</v>
          </cell>
          <cell r="K257" t="str">
            <v>Returned</v>
          </cell>
        </row>
        <row r="258">
          <cell r="C258" t="str">
            <v>South</v>
          </cell>
          <cell r="D258">
            <v>26</v>
          </cell>
          <cell r="K258" t="str">
            <v>Returned</v>
          </cell>
        </row>
        <row r="259">
          <cell r="C259" t="str">
            <v>South</v>
          </cell>
          <cell r="D259">
            <v>55</v>
          </cell>
          <cell r="K259" t="str">
            <v>In Transit</v>
          </cell>
        </row>
        <row r="260">
          <cell r="D260">
            <v>33</v>
          </cell>
          <cell r="K260" t="str">
            <v>Delivered</v>
          </cell>
        </row>
        <row r="261">
          <cell r="C261" t="str">
            <v>East</v>
          </cell>
          <cell r="D261">
            <v>54</v>
          </cell>
          <cell r="K261" t="str">
            <v>Delivered</v>
          </cell>
        </row>
        <row r="262">
          <cell r="C262" t="str">
            <v>South</v>
          </cell>
          <cell r="D262">
            <v>61</v>
          </cell>
          <cell r="K262" t="str">
            <v>In Transit</v>
          </cell>
        </row>
        <row r="263">
          <cell r="C263" t="str">
            <v>East</v>
          </cell>
          <cell r="D263">
            <v>46</v>
          </cell>
        </row>
        <row r="264">
          <cell r="C264" t="str">
            <v>North</v>
          </cell>
          <cell r="D264">
            <v>46</v>
          </cell>
          <cell r="K264" t="str">
            <v>In Transit</v>
          </cell>
        </row>
        <row r="265">
          <cell r="C265" t="str">
            <v>North</v>
          </cell>
          <cell r="D265">
            <v>30</v>
          </cell>
          <cell r="K265" t="str">
            <v>Returned</v>
          </cell>
        </row>
        <row r="266">
          <cell r="C266" t="str">
            <v>South</v>
          </cell>
          <cell r="D266">
            <v>55</v>
          </cell>
          <cell r="K266" t="str">
            <v>In Transit</v>
          </cell>
        </row>
        <row r="267">
          <cell r="C267" t="str">
            <v>East</v>
          </cell>
          <cell r="D267">
            <v>37</v>
          </cell>
          <cell r="K267" t="str">
            <v>Delivered</v>
          </cell>
        </row>
        <row r="268">
          <cell r="C268" t="str">
            <v>East</v>
          </cell>
          <cell r="D268">
            <v>62</v>
          </cell>
          <cell r="K268" t="str">
            <v>Delivered</v>
          </cell>
        </row>
        <row r="269">
          <cell r="C269" t="str">
            <v>East</v>
          </cell>
          <cell r="K269" t="str">
            <v>Delivered</v>
          </cell>
        </row>
        <row r="270">
          <cell r="C270" t="str">
            <v>North</v>
          </cell>
          <cell r="D270">
            <v>47</v>
          </cell>
          <cell r="K270" t="str">
            <v>Delivered</v>
          </cell>
        </row>
        <row r="271">
          <cell r="C271" t="str">
            <v>West</v>
          </cell>
          <cell r="D271">
            <v>27</v>
          </cell>
          <cell r="K271" t="str">
            <v>Returned</v>
          </cell>
        </row>
        <row r="272">
          <cell r="C272" t="str">
            <v>East</v>
          </cell>
          <cell r="D272">
            <v>44</v>
          </cell>
          <cell r="K272" t="str">
            <v>In Transit</v>
          </cell>
        </row>
        <row r="273">
          <cell r="C273" t="str">
            <v>North</v>
          </cell>
          <cell r="D273">
            <v>36</v>
          </cell>
          <cell r="K273" t="str">
            <v>Returned</v>
          </cell>
        </row>
        <row r="274">
          <cell r="C274" t="str">
            <v>East</v>
          </cell>
          <cell r="K274" t="str">
            <v>In Transit</v>
          </cell>
        </row>
        <row r="275">
          <cell r="C275" t="str">
            <v>North</v>
          </cell>
          <cell r="D275">
            <v>36</v>
          </cell>
        </row>
        <row r="276">
          <cell r="C276" t="str">
            <v>South</v>
          </cell>
          <cell r="D276">
            <v>61</v>
          </cell>
          <cell r="K276" t="str">
            <v>Delivered</v>
          </cell>
        </row>
        <row r="277">
          <cell r="C277" t="str">
            <v>South</v>
          </cell>
          <cell r="D277">
            <v>69</v>
          </cell>
          <cell r="K277" t="str">
            <v>Returned</v>
          </cell>
        </row>
        <row r="278">
          <cell r="C278" t="str">
            <v>East</v>
          </cell>
          <cell r="D278">
            <v>52</v>
          </cell>
          <cell r="K278" t="str">
            <v>In Transit</v>
          </cell>
        </row>
        <row r="279">
          <cell r="C279" t="str">
            <v>South</v>
          </cell>
          <cell r="D279">
            <v>60</v>
          </cell>
          <cell r="K279" t="str">
            <v>Delivered</v>
          </cell>
        </row>
        <row r="280">
          <cell r="C280" t="str">
            <v>West</v>
          </cell>
          <cell r="D280">
            <v>45</v>
          </cell>
          <cell r="K280" t="str">
            <v>Delivered</v>
          </cell>
        </row>
        <row r="281">
          <cell r="C281" t="str">
            <v>West</v>
          </cell>
          <cell r="D281">
            <v>52</v>
          </cell>
          <cell r="K281" t="str">
            <v>Delivered</v>
          </cell>
        </row>
        <row r="282">
          <cell r="C282" t="str">
            <v>South</v>
          </cell>
          <cell r="D282">
            <v>63</v>
          </cell>
          <cell r="K282" t="str">
            <v>Returned</v>
          </cell>
        </row>
        <row r="283">
          <cell r="C283" t="str">
            <v>South</v>
          </cell>
          <cell r="D283">
            <v>67</v>
          </cell>
          <cell r="K283" t="str">
            <v>In Transit</v>
          </cell>
        </row>
        <row r="284">
          <cell r="C284" t="str">
            <v>West</v>
          </cell>
          <cell r="D284">
            <v>26</v>
          </cell>
          <cell r="K284" t="str">
            <v>Delivered</v>
          </cell>
        </row>
        <row r="285">
          <cell r="C285" t="str">
            <v>West</v>
          </cell>
          <cell r="D285">
            <v>41</v>
          </cell>
          <cell r="K285" t="str">
            <v>Returned</v>
          </cell>
        </row>
        <row r="286">
          <cell r="C286" t="str">
            <v>South</v>
          </cell>
          <cell r="K286" t="str">
            <v>Delivered</v>
          </cell>
        </row>
        <row r="287">
          <cell r="C287" t="str">
            <v>South</v>
          </cell>
          <cell r="D287">
            <v>58</v>
          </cell>
          <cell r="K287" t="str">
            <v>Delivered</v>
          </cell>
        </row>
        <row r="288">
          <cell r="C288" t="str">
            <v>South</v>
          </cell>
          <cell r="D288">
            <v>66</v>
          </cell>
          <cell r="K288" t="str">
            <v>In Transit</v>
          </cell>
        </row>
        <row r="289">
          <cell r="C289" t="str">
            <v>West</v>
          </cell>
          <cell r="D289">
            <v>67</v>
          </cell>
          <cell r="K289" t="str">
            <v>Returned</v>
          </cell>
        </row>
        <row r="290">
          <cell r="C290" t="str">
            <v>North</v>
          </cell>
          <cell r="D290">
            <v>35</v>
          </cell>
          <cell r="K290" t="str">
            <v>In Transit</v>
          </cell>
        </row>
        <row r="291">
          <cell r="C291" t="str">
            <v>South</v>
          </cell>
          <cell r="D291">
            <v>52</v>
          </cell>
          <cell r="K291" t="str">
            <v>Delivered</v>
          </cell>
        </row>
        <row r="292">
          <cell r="C292" t="str">
            <v>East</v>
          </cell>
          <cell r="D292">
            <v>32</v>
          </cell>
          <cell r="K292" t="str">
            <v>Delivered</v>
          </cell>
        </row>
        <row r="293">
          <cell r="D293">
            <v>33</v>
          </cell>
          <cell r="K293" t="str">
            <v>Returned</v>
          </cell>
        </row>
        <row r="294">
          <cell r="C294" t="str">
            <v>North</v>
          </cell>
          <cell r="D294">
            <v>57</v>
          </cell>
          <cell r="K294" t="str">
            <v>Returned</v>
          </cell>
        </row>
        <row r="295">
          <cell r="C295" t="str">
            <v>South</v>
          </cell>
          <cell r="D295">
            <v>54</v>
          </cell>
          <cell r="K295" t="str">
            <v>Returned</v>
          </cell>
        </row>
        <row r="296">
          <cell r="C296" t="str">
            <v>West</v>
          </cell>
          <cell r="D296">
            <v>49</v>
          </cell>
          <cell r="K296" t="str">
            <v>Delivered</v>
          </cell>
        </row>
        <row r="297">
          <cell r="C297" t="str">
            <v>South</v>
          </cell>
          <cell r="D297">
            <v>40</v>
          </cell>
          <cell r="K297" t="str">
            <v>Delivered</v>
          </cell>
        </row>
        <row r="298">
          <cell r="C298" t="str">
            <v>North</v>
          </cell>
          <cell r="D298">
            <v>67</v>
          </cell>
          <cell r="K298" t="str">
            <v>Returned</v>
          </cell>
        </row>
        <row r="299">
          <cell r="C299" t="str">
            <v>North</v>
          </cell>
          <cell r="D299">
            <v>41</v>
          </cell>
          <cell r="K299" t="str">
            <v>Returned</v>
          </cell>
        </row>
        <row r="300">
          <cell r="C300" t="str">
            <v>West</v>
          </cell>
          <cell r="D300">
            <v>63</v>
          </cell>
          <cell r="K300" t="str">
            <v>Delivered</v>
          </cell>
        </row>
        <row r="301">
          <cell r="C301" t="str">
            <v>North</v>
          </cell>
          <cell r="D301">
            <v>25</v>
          </cell>
          <cell r="K301" t="str">
            <v>In Transit</v>
          </cell>
        </row>
        <row r="302">
          <cell r="C302" t="str">
            <v>North</v>
          </cell>
          <cell r="D302">
            <v>50</v>
          </cell>
          <cell r="K302" t="str">
            <v>In Transit</v>
          </cell>
        </row>
        <row r="303">
          <cell r="C303" t="str">
            <v>West</v>
          </cell>
          <cell r="D303">
            <v>68</v>
          </cell>
          <cell r="K303" t="str">
            <v>Returned</v>
          </cell>
        </row>
        <row r="304">
          <cell r="C304" t="str">
            <v>West</v>
          </cell>
          <cell r="D304">
            <v>62</v>
          </cell>
          <cell r="K304" t="str">
            <v>Returned</v>
          </cell>
        </row>
        <row r="305">
          <cell r="C305" t="str">
            <v>South</v>
          </cell>
          <cell r="D305">
            <v>54</v>
          </cell>
          <cell r="K305" t="str">
            <v>Returned</v>
          </cell>
        </row>
        <row r="306">
          <cell r="C306" t="str">
            <v>West</v>
          </cell>
          <cell r="D306">
            <v>43</v>
          </cell>
          <cell r="K306" t="str">
            <v>Delivered</v>
          </cell>
        </row>
        <row r="307">
          <cell r="C307" t="str">
            <v>South</v>
          </cell>
          <cell r="D307">
            <v>60</v>
          </cell>
          <cell r="K307" t="str">
            <v>In Transit</v>
          </cell>
        </row>
        <row r="308">
          <cell r="C308" t="str">
            <v>West</v>
          </cell>
          <cell r="D308">
            <v>25</v>
          </cell>
          <cell r="K308" t="str">
            <v>Delivered</v>
          </cell>
        </row>
        <row r="309">
          <cell r="C309" t="str">
            <v>East</v>
          </cell>
          <cell r="D309">
            <v>50</v>
          </cell>
          <cell r="K309" t="str">
            <v>Returned</v>
          </cell>
        </row>
        <row r="310">
          <cell r="C310" t="str">
            <v>South</v>
          </cell>
          <cell r="D310">
            <v>32</v>
          </cell>
          <cell r="K310" t="str">
            <v>Returned</v>
          </cell>
        </row>
        <row r="311">
          <cell r="C311" t="str">
            <v>East</v>
          </cell>
          <cell r="D311">
            <v>61</v>
          </cell>
          <cell r="K311" t="str">
            <v>Delivered</v>
          </cell>
        </row>
        <row r="312">
          <cell r="C312" t="str">
            <v>South</v>
          </cell>
          <cell r="K312" t="str">
            <v>Returned</v>
          </cell>
        </row>
        <row r="313">
          <cell r="C313" t="str">
            <v>West</v>
          </cell>
          <cell r="D313">
            <v>18</v>
          </cell>
          <cell r="K313" t="str">
            <v>In Transit</v>
          </cell>
        </row>
        <row r="314">
          <cell r="C314" t="str">
            <v>North</v>
          </cell>
          <cell r="D314">
            <v>21</v>
          </cell>
          <cell r="K314" t="str">
            <v>Returned</v>
          </cell>
        </row>
        <row r="315">
          <cell r="C315" t="str">
            <v>East</v>
          </cell>
          <cell r="D315">
            <v>69</v>
          </cell>
          <cell r="K315" t="str">
            <v>Returned</v>
          </cell>
        </row>
        <row r="316">
          <cell r="C316" t="str">
            <v>West</v>
          </cell>
          <cell r="D316">
            <v>66</v>
          </cell>
          <cell r="K316" t="str">
            <v>Returned</v>
          </cell>
        </row>
        <row r="317">
          <cell r="C317" t="str">
            <v>West</v>
          </cell>
          <cell r="D317">
            <v>41</v>
          </cell>
          <cell r="K317" t="str">
            <v>Returned</v>
          </cell>
        </row>
        <row r="318">
          <cell r="C318" t="str">
            <v>East</v>
          </cell>
          <cell r="D318">
            <v>67</v>
          </cell>
          <cell r="K318" t="str">
            <v>In Transit</v>
          </cell>
        </row>
        <row r="319">
          <cell r="C319" t="str">
            <v>East</v>
          </cell>
          <cell r="D319">
            <v>42</v>
          </cell>
          <cell r="K319" t="str">
            <v>In Transit</v>
          </cell>
        </row>
        <row r="320">
          <cell r="C320" t="str">
            <v>West</v>
          </cell>
          <cell r="D320">
            <v>50</v>
          </cell>
          <cell r="K320" t="str">
            <v>Delivered</v>
          </cell>
        </row>
        <row r="321">
          <cell r="C321" t="str">
            <v>East</v>
          </cell>
          <cell r="D321">
            <v>68</v>
          </cell>
          <cell r="K321" t="str">
            <v>In Transit</v>
          </cell>
        </row>
        <row r="322">
          <cell r="C322" t="str">
            <v>East</v>
          </cell>
          <cell r="D322">
            <v>50</v>
          </cell>
          <cell r="K322" t="str">
            <v>Returned</v>
          </cell>
        </row>
        <row r="323">
          <cell r="K323" t="str">
            <v>Returned</v>
          </cell>
        </row>
        <row r="324">
          <cell r="C324" t="str">
            <v>West</v>
          </cell>
          <cell r="D324">
            <v>44</v>
          </cell>
          <cell r="K324" t="str">
            <v>Delivered</v>
          </cell>
        </row>
        <row r="325">
          <cell r="C325" t="str">
            <v>East</v>
          </cell>
          <cell r="D325">
            <v>37</v>
          </cell>
          <cell r="K325" t="str">
            <v>Delivered</v>
          </cell>
        </row>
        <row r="326">
          <cell r="C326" t="str">
            <v>West</v>
          </cell>
          <cell r="D326">
            <v>55</v>
          </cell>
          <cell r="K326" t="str">
            <v>In Transit</v>
          </cell>
        </row>
        <row r="327">
          <cell r="C327" t="str">
            <v>North</v>
          </cell>
          <cell r="D327">
            <v>44</v>
          </cell>
          <cell r="K327" t="str">
            <v>Delivered</v>
          </cell>
        </row>
        <row r="328">
          <cell r="C328" t="str">
            <v>East</v>
          </cell>
          <cell r="D328">
            <v>67</v>
          </cell>
          <cell r="K328" t="str">
            <v>In Transit</v>
          </cell>
        </row>
        <row r="329">
          <cell r="C329" t="str">
            <v>East</v>
          </cell>
          <cell r="K329" t="str">
            <v>Delivered</v>
          </cell>
        </row>
        <row r="330">
          <cell r="C330" t="str">
            <v>North</v>
          </cell>
          <cell r="D330">
            <v>60</v>
          </cell>
          <cell r="K330" t="str">
            <v>In Transit</v>
          </cell>
        </row>
        <row r="331">
          <cell r="C331" t="str">
            <v>South</v>
          </cell>
          <cell r="D331">
            <v>20</v>
          </cell>
          <cell r="K331" t="str">
            <v>Returned</v>
          </cell>
        </row>
        <row r="332">
          <cell r="C332" t="str">
            <v>East</v>
          </cell>
          <cell r="D332">
            <v>34</v>
          </cell>
          <cell r="K332" t="str">
            <v>Returned</v>
          </cell>
        </row>
        <row r="333">
          <cell r="C333" t="str">
            <v>North</v>
          </cell>
          <cell r="D333">
            <v>19</v>
          </cell>
          <cell r="K333" t="str">
            <v>Delivered</v>
          </cell>
        </row>
        <row r="334">
          <cell r="C334" t="str">
            <v>East</v>
          </cell>
          <cell r="K334" t="str">
            <v>In Transit</v>
          </cell>
        </row>
        <row r="335">
          <cell r="C335" t="str">
            <v>South</v>
          </cell>
          <cell r="D335">
            <v>64</v>
          </cell>
          <cell r="K335" t="str">
            <v>In Transit</v>
          </cell>
        </row>
        <row r="336">
          <cell r="C336" t="str">
            <v>West</v>
          </cell>
          <cell r="D336">
            <v>37</v>
          </cell>
          <cell r="K336" t="str">
            <v>Returned</v>
          </cell>
        </row>
        <row r="337">
          <cell r="C337" t="str">
            <v>West</v>
          </cell>
          <cell r="D337">
            <v>66</v>
          </cell>
          <cell r="K337" t="str">
            <v>Delivered</v>
          </cell>
        </row>
        <row r="338">
          <cell r="C338" t="str">
            <v>South</v>
          </cell>
          <cell r="D338">
            <v>69</v>
          </cell>
        </row>
        <row r="339">
          <cell r="C339" t="str">
            <v>South</v>
          </cell>
          <cell r="D339">
            <v>33</v>
          </cell>
          <cell r="K339" t="str">
            <v>Delivered</v>
          </cell>
        </row>
        <row r="340">
          <cell r="C340" t="str">
            <v>West</v>
          </cell>
          <cell r="D340">
            <v>43</v>
          </cell>
          <cell r="K340" t="str">
            <v>Returned</v>
          </cell>
        </row>
        <row r="341">
          <cell r="C341" t="str">
            <v>South</v>
          </cell>
          <cell r="D341">
            <v>48</v>
          </cell>
          <cell r="K341" t="str">
            <v>Delivered</v>
          </cell>
        </row>
        <row r="342">
          <cell r="D342">
            <v>25</v>
          </cell>
          <cell r="K342" t="str">
            <v>Returned</v>
          </cell>
        </row>
        <row r="343">
          <cell r="C343" t="str">
            <v>South</v>
          </cell>
          <cell r="D343">
            <v>54</v>
          </cell>
          <cell r="K343" t="str">
            <v>Returned</v>
          </cell>
        </row>
        <row r="344">
          <cell r="C344" t="str">
            <v>South</v>
          </cell>
          <cell r="D344">
            <v>38</v>
          </cell>
          <cell r="K344" t="str">
            <v>In Transit</v>
          </cell>
        </row>
        <row r="345">
          <cell r="C345" t="str">
            <v>South</v>
          </cell>
          <cell r="D345">
            <v>30</v>
          </cell>
          <cell r="K345" t="str">
            <v>Delivered</v>
          </cell>
        </row>
        <row r="346">
          <cell r="C346" t="str">
            <v>South</v>
          </cell>
          <cell r="D346">
            <v>45</v>
          </cell>
          <cell r="K346" t="str">
            <v>Returned</v>
          </cell>
        </row>
        <row r="347">
          <cell r="C347" t="str">
            <v>North</v>
          </cell>
          <cell r="D347">
            <v>52</v>
          </cell>
          <cell r="K347" t="str">
            <v>Returned</v>
          </cell>
        </row>
        <row r="348">
          <cell r="C348" t="str">
            <v>South</v>
          </cell>
          <cell r="D348">
            <v>66</v>
          </cell>
          <cell r="K348" t="str">
            <v>In Transit</v>
          </cell>
        </row>
        <row r="349">
          <cell r="C349" t="str">
            <v>South</v>
          </cell>
          <cell r="D349">
            <v>67</v>
          </cell>
          <cell r="K349" t="str">
            <v>Delivered</v>
          </cell>
        </row>
        <row r="350">
          <cell r="C350" t="str">
            <v>South</v>
          </cell>
          <cell r="D350">
            <v>22</v>
          </cell>
          <cell r="K350" t="str">
            <v>In Transit</v>
          </cell>
        </row>
        <row r="351">
          <cell r="C351" t="str">
            <v>West</v>
          </cell>
          <cell r="D351">
            <v>49</v>
          </cell>
          <cell r="K351" t="str">
            <v>In Transit</v>
          </cell>
        </row>
        <row r="352">
          <cell r="C352" t="str">
            <v>South</v>
          </cell>
          <cell r="D352">
            <v>65</v>
          </cell>
          <cell r="K352" t="str">
            <v>In Transit</v>
          </cell>
        </row>
        <row r="353">
          <cell r="C353" t="str">
            <v>East</v>
          </cell>
          <cell r="K353" t="str">
            <v>Delivered</v>
          </cell>
        </row>
        <row r="354">
          <cell r="C354" t="str">
            <v>North</v>
          </cell>
          <cell r="D354">
            <v>63</v>
          </cell>
          <cell r="K354" t="str">
            <v>Delivered</v>
          </cell>
        </row>
        <row r="355">
          <cell r="C355" t="str">
            <v>South</v>
          </cell>
          <cell r="D355">
            <v>44</v>
          </cell>
          <cell r="K355" t="str">
            <v>Delivered</v>
          </cell>
        </row>
        <row r="356">
          <cell r="C356" t="str">
            <v>East</v>
          </cell>
          <cell r="D356">
            <v>42</v>
          </cell>
          <cell r="K356" t="str">
            <v>In Transit</v>
          </cell>
        </row>
        <row r="357">
          <cell r="C357" t="str">
            <v>West</v>
          </cell>
          <cell r="K357" t="str">
            <v>Returned</v>
          </cell>
        </row>
        <row r="358">
          <cell r="C358" t="str">
            <v>East</v>
          </cell>
          <cell r="D358">
            <v>64</v>
          </cell>
          <cell r="K358" t="str">
            <v>Returned</v>
          </cell>
        </row>
        <row r="359">
          <cell r="C359" t="str">
            <v>East</v>
          </cell>
          <cell r="D359">
            <v>54</v>
          </cell>
          <cell r="K359" t="str">
            <v>Delivered</v>
          </cell>
        </row>
        <row r="360">
          <cell r="C360" t="str">
            <v>North</v>
          </cell>
          <cell r="D360">
            <v>60</v>
          </cell>
          <cell r="K360" t="str">
            <v>Delivered</v>
          </cell>
        </row>
        <row r="361">
          <cell r="C361" t="str">
            <v>North</v>
          </cell>
          <cell r="D361">
            <v>52</v>
          </cell>
          <cell r="K361" t="str">
            <v>In Transit</v>
          </cell>
        </row>
        <row r="362">
          <cell r="C362" t="str">
            <v>East</v>
          </cell>
          <cell r="K362" t="str">
            <v>In Transit</v>
          </cell>
        </row>
        <row r="363">
          <cell r="C363" t="str">
            <v>South</v>
          </cell>
          <cell r="D363">
            <v>56</v>
          </cell>
          <cell r="K363" t="str">
            <v>In Transit</v>
          </cell>
        </row>
        <row r="364">
          <cell r="C364" t="str">
            <v>North</v>
          </cell>
          <cell r="D364">
            <v>64</v>
          </cell>
          <cell r="K364" t="str">
            <v>Delivered</v>
          </cell>
        </row>
        <row r="365">
          <cell r="C365" t="str">
            <v>East</v>
          </cell>
          <cell r="D365">
            <v>25</v>
          </cell>
          <cell r="K365" t="str">
            <v>Delivered</v>
          </cell>
        </row>
        <row r="366">
          <cell r="C366" t="str">
            <v>South</v>
          </cell>
          <cell r="D366">
            <v>41</v>
          </cell>
          <cell r="K366" t="str">
            <v>In Transit</v>
          </cell>
        </row>
        <row r="367">
          <cell r="C367" t="str">
            <v>West</v>
          </cell>
          <cell r="D367">
            <v>69</v>
          </cell>
          <cell r="K367" t="str">
            <v>In Transit</v>
          </cell>
        </row>
        <row r="368">
          <cell r="C368" t="str">
            <v>North</v>
          </cell>
          <cell r="D368">
            <v>64</v>
          </cell>
          <cell r="K368" t="str">
            <v>In Transit</v>
          </cell>
        </row>
        <row r="369">
          <cell r="D369">
            <v>38</v>
          </cell>
          <cell r="K369" t="str">
            <v>In Transit</v>
          </cell>
        </row>
        <row r="370">
          <cell r="C370" t="str">
            <v>North</v>
          </cell>
          <cell r="D370">
            <v>18</v>
          </cell>
          <cell r="K370" t="str">
            <v>Returned</v>
          </cell>
        </row>
        <row r="371">
          <cell r="C371" t="str">
            <v>South</v>
          </cell>
          <cell r="D371">
            <v>56</v>
          </cell>
          <cell r="K371" t="str">
            <v>In Transit</v>
          </cell>
        </row>
        <row r="372">
          <cell r="C372" t="str">
            <v>East</v>
          </cell>
          <cell r="D372">
            <v>66</v>
          </cell>
          <cell r="K372" t="str">
            <v>Delivered</v>
          </cell>
        </row>
        <row r="373">
          <cell r="C373" t="str">
            <v>North</v>
          </cell>
          <cell r="K373" t="str">
            <v>In Transit</v>
          </cell>
        </row>
        <row r="374">
          <cell r="C374" t="str">
            <v>South</v>
          </cell>
          <cell r="D374">
            <v>51</v>
          </cell>
          <cell r="K374" t="str">
            <v>In Transit</v>
          </cell>
        </row>
        <row r="375">
          <cell r="C375" t="str">
            <v>West</v>
          </cell>
          <cell r="D375">
            <v>58</v>
          </cell>
          <cell r="K375" t="str">
            <v>Returned</v>
          </cell>
        </row>
        <row r="376">
          <cell r="C376" t="str">
            <v>South</v>
          </cell>
          <cell r="D376">
            <v>44</v>
          </cell>
          <cell r="K376" t="str">
            <v>Delivered</v>
          </cell>
        </row>
        <row r="377">
          <cell r="C377" t="str">
            <v>East</v>
          </cell>
          <cell r="D377">
            <v>46</v>
          </cell>
          <cell r="K377" t="str">
            <v>In Transit</v>
          </cell>
        </row>
        <row r="378">
          <cell r="C378" t="str">
            <v>East</v>
          </cell>
          <cell r="D378">
            <v>69</v>
          </cell>
          <cell r="K378" t="str">
            <v>In Transit</v>
          </cell>
        </row>
        <row r="379">
          <cell r="C379" t="str">
            <v>West</v>
          </cell>
          <cell r="D379">
            <v>62</v>
          </cell>
          <cell r="K379" t="str">
            <v>In Transit</v>
          </cell>
        </row>
        <row r="380">
          <cell r="C380" t="str">
            <v>South</v>
          </cell>
          <cell r="D380">
            <v>57</v>
          </cell>
        </row>
        <row r="381">
          <cell r="C381" t="str">
            <v>East</v>
          </cell>
          <cell r="D381">
            <v>27</v>
          </cell>
          <cell r="K381" t="str">
            <v>Returned</v>
          </cell>
        </row>
        <row r="382">
          <cell r="C382" t="str">
            <v>East</v>
          </cell>
          <cell r="D382">
            <v>57</v>
          </cell>
          <cell r="K382" t="str">
            <v>Delivered</v>
          </cell>
        </row>
        <row r="383">
          <cell r="C383" t="str">
            <v>West</v>
          </cell>
          <cell r="D383">
            <v>67</v>
          </cell>
          <cell r="K383" t="str">
            <v>In Transit</v>
          </cell>
        </row>
        <row r="384">
          <cell r="C384" t="str">
            <v>North</v>
          </cell>
          <cell r="D384">
            <v>69</v>
          </cell>
          <cell r="K384" t="str">
            <v>Delivered</v>
          </cell>
        </row>
        <row r="385">
          <cell r="C385" t="str">
            <v>North</v>
          </cell>
          <cell r="D385">
            <v>49</v>
          </cell>
          <cell r="K385" t="str">
            <v>Delivered</v>
          </cell>
        </row>
        <row r="386">
          <cell r="C386" t="str">
            <v>West</v>
          </cell>
          <cell r="D386">
            <v>63</v>
          </cell>
          <cell r="K386" t="str">
            <v>In Transit</v>
          </cell>
        </row>
        <row r="387">
          <cell r="C387" t="str">
            <v>South</v>
          </cell>
          <cell r="K387" t="str">
            <v>In Transit</v>
          </cell>
        </row>
        <row r="388">
          <cell r="C388" t="str">
            <v>North</v>
          </cell>
          <cell r="D388">
            <v>58</v>
          </cell>
          <cell r="K388" t="str">
            <v>Delivered</v>
          </cell>
        </row>
        <row r="389">
          <cell r="C389" t="str">
            <v>North</v>
          </cell>
          <cell r="D389">
            <v>41</v>
          </cell>
          <cell r="K389" t="str">
            <v>Returned</v>
          </cell>
        </row>
        <row r="390">
          <cell r="C390" t="str">
            <v>East</v>
          </cell>
          <cell r="D390">
            <v>21</v>
          </cell>
          <cell r="K390" t="str">
            <v>In Transit</v>
          </cell>
        </row>
        <row r="391">
          <cell r="C391" t="str">
            <v>North</v>
          </cell>
          <cell r="D391">
            <v>20</v>
          </cell>
          <cell r="K391" t="str">
            <v>Delivered</v>
          </cell>
        </row>
        <row r="392">
          <cell r="C392" t="str">
            <v>East</v>
          </cell>
          <cell r="D392">
            <v>44</v>
          </cell>
          <cell r="K392" t="str">
            <v>In Transit</v>
          </cell>
        </row>
        <row r="393">
          <cell r="C393" t="str">
            <v>North</v>
          </cell>
          <cell r="D393">
            <v>30</v>
          </cell>
          <cell r="K393" t="str">
            <v>Returned</v>
          </cell>
        </row>
        <row r="394">
          <cell r="C394" t="str">
            <v>North</v>
          </cell>
          <cell r="D394">
            <v>27</v>
          </cell>
          <cell r="K394" t="str">
            <v>In Transit</v>
          </cell>
        </row>
        <row r="395">
          <cell r="C395" t="str">
            <v>South</v>
          </cell>
          <cell r="K395" t="str">
            <v>Returned</v>
          </cell>
        </row>
        <row r="396">
          <cell r="C396" t="str">
            <v>East</v>
          </cell>
          <cell r="D396">
            <v>27</v>
          </cell>
          <cell r="K396" t="str">
            <v>In Transit</v>
          </cell>
        </row>
        <row r="397">
          <cell r="C397" t="str">
            <v>West</v>
          </cell>
          <cell r="D397">
            <v>49</v>
          </cell>
          <cell r="K397" t="str">
            <v>Delivered</v>
          </cell>
        </row>
        <row r="398">
          <cell r="C398" t="str">
            <v>South</v>
          </cell>
          <cell r="D398">
            <v>66</v>
          </cell>
          <cell r="K398" t="str">
            <v>In Transit</v>
          </cell>
        </row>
        <row r="399">
          <cell r="C399" t="str">
            <v>North</v>
          </cell>
          <cell r="D399">
            <v>39</v>
          </cell>
          <cell r="K399" t="str">
            <v>Returned</v>
          </cell>
        </row>
        <row r="400">
          <cell r="C400" t="str">
            <v>South</v>
          </cell>
          <cell r="D400">
            <v>52</v>
          </cell>
          <cell r="K400" t="str">
            <v>In Transit</v>
          </cell>
        </row>
        <row r="401">
          <cell r="C401" t="str">
            <v>South</v>
          </cell>
          <cell r="K401" t="str">
            <v>In Transit</v>
          </cell>
        </row>
        <row r="402">
          <cell r="C402" t="str">
            <v>West</v>
          </cell>
          <cell r="D402">
            <v>59</v>
          </cell>
          <cell r="K402" t="str">
            <v>Returned</v>
          </cell>
        </row>
        <row r="403">
          <cell r="C403" t="str">
            <v>East</v>
          </cell>
          <cell r="D403">
            <v>66</v>
          </cell>
          <cell r="K403" t="str">
            <v>In Transit</v>
          </cell>
        </row>
        <row r="404">
          <cell r="C404" t="str">
            <v>West</v>
          </cell>
          <cell r="K404" t="str">
            <v>Returned</v>
          </cell>
        </row>
        <row r="405">
          <cell r="C405" t="str">
            <v>South</v>
          </cell>
          <cell r="D405">
            <v>23</v>
          </cell>
          <cell r="K405" t="str">
            <v>In Transit</v>
          </cell>
        </row>
        <row r="406">
          <cell r="C406" t="str">
            <v>North</v>
          </cell>
          <cell r="D406">
            <v>66</v>
          </cell>
          <cell r="K406" t="str">
            <v>Delivered</v>
          </cell>
        </row>
        <row r="407">
          <cell r="C407" t="str">
            <v>North</v>
          </cell>
          <cell r="D407">
            <v>28</v>
          </cell>
          <cell r="K407" t="str">
            <v>Returned</v>
          </cell>
        </row>
        <row r="408">
          <cell r="C408" t="str">
            <v>East</v>
          </cell>
          <cell r="D408">
            <v>57</v>
          </cell>
        </row>
        <row r="409">
          <cell r="C409" t="str">
            <v>South</v>
          </cell>
          <cell r="K409" t="str">
            <v>Returned</v>
          </cell>
        </row>
        <row r="410">
          <cell r="C410" t="str">
            <v>West</v>
          </cell>
          <cell r="D410">
            <v>37</v>
          </cell>
          <cell r="K410" t="str">
            <v>Returned</v>
          </cell>
        </row>
        <row r="411">
          <cell r="C411" t="str">
            <v>East</v>
          </cell>
          <cell r="D411">
            <v>52</v>
          </cell>
          <cell r="K411" t="str">
            <v>In Transit</v>
          </cell>
        </row>
        <row r="412">
          <cell r="C412" t="str">
            <v>West</v>
          </cell>
          <cell r="K412" t="str">
            <v>Delivered</v>
          </cell>
        </row>
        <row r="413">
          <cell r="C413" t="str">
            <v>East</v>
          </cell>
          <cell r="D413">
            <v>54</v>
          </cell>
          <cell r="K413" t="str">
            <v>In Transit</v>
          </cell>
        </row>
        <row r="414">
          <cell r="C414" t="str">
            <v>South</v>
          </cell>
          <cell r="D414">
            <v>48</v>
          </cell>
          <cell r="K414" t="str">
            <v>In Transit</v>
          </cell>
        </row>
        <row r="415">
          <cell r="C415" t="str">
            <v>East</v>
          </cell>
          <cell r="D415">
            <v>61</v>
          </cell>
          <cell r="K415" t="str">
            <v>Returned</v>
          </cell>
        </row>
        <row r="416">
          <cell r="C416" t="str">
            <v>East</v>
          </cell>
          <cell r="D416">
            <v>57</v>
          </cell>
          <cell r="K416" t="str">
            <v>In Transit</v>
          </cell>
        </row>
        <row r="417">
          <cell r="C417" t="str">
            <v>South</v>
          </cell>
          <cell r="D417">
            <v>64</v>
          </cell>
          <cell r="K417" t="str">
            <v>In Transit</v>
          </cell>
        </row>
        <row r="418">
          <cell r="C418" t="str">
            <v>West</v>
          </cell>
          <cell r="D418">
            <v>19</v>
          </cell>
          <cell r="K418" t="str">
            <v>Returned</v>
          </cell>
        </row>
        <row r="419">
          <cell r="C419" t="str">
            <v>North</v>
          </cell>
          <cell r="D419">
            <v>62</v>
          </cell>
          <cell r="K419" t="str">
            <v>Delivered</v>
          </cell>
        </row>
        <row r="420">
          <cell r="C420" t="str">
            <v>East</v>
          </cell>
          <cell r="D420">
            <v>66</v>
          </cell>
          <cell r="K420" t="str">
            <v>In Transit</v>
          </cell>
        </row>
        <row r="421">
          <cell r="C421" t="str">
            <v>South</v>
          </cell>
          <cell r="D421">
            <v>69</v>
          </cell>
          <cell r="K421" t="str">
            <v>In Transit</v>
          </cell>
        </row>
        <row r="422">
          <cell r="C422" t="str">
            <v>East</v>
          </cell>
          <cell r="D422">
            <v>66</v>
          </cell>
          <cell r="K422" t="str">
            <v>In Transit</v>
          </cell>
        </row>
        <row r="423">
          <cell r="C423" t="str">
            <v>West</v>
          </cell>
          <cell r="D423">
            <v>54</v>
          </cell>
          <cell r="K423" t="str">
            <v>In Transit</v>
          </cell>
        </row>
        <row r="424">
          <cell r="C424" t="str">
            <v>South</v>
          </cell>
          <cell r="D424">
            <v>32</v>
          </cell>
          <cell r="K424" t="str">
            <v>Returned</v>
          </cell>
        </row>
        <row r="425">
          <cell r="C425" t="str">
            <v>East</v>
          </cell>
          <cell r="D425">
            <v>38</v>
          </cell>
          <cell r="K425" t="str">
            <v>Delivered</v>
          </cell>
        </row>
        <row r="426">
          <cell r="D426">
            <v>37</v>
          </cell>
          <cell r="K426" t="str">
            <v>Returned</v>
          </cell>
        </row>
        <row r="427">
          <cell r="C427" t="str">
            <v>West</v>
          </cell>
          <cell r="D427">
            <v>68</v>
          </cell>
          <cell r="K427" t="str">
            <v>In Transit</v>
          </cell>
        </row>
        <row r="428">
          <cell r="C428" t="str">
            <v>East</v>
          </cell>
          <cell r="D428">
            <v>55</v>
          </cell>
          <cell r="K428" t="str">
            <v>Delivered</v>
          </cell>
        </row>
        <row r="429">
          <cell r="C429" t="str">
            <v>South</v>
          </cell>
          <cell r="D429">
            <v>50</v>
          </cell>
          <cell r="K429" t="str">
            <v>In Transit</v>
          </cell>
        </row>
        <row r="430">
          <cell r="D430">
            <v>57</v>
          </cell>
          <cell r="K430" t="str">
            <v>Returned</v>
          </cell>
        </row>
        <row r="431">
          <cell r="C431" t="str">
            <v>East</v>
          </cell>
          <cell r="K431" t="str">
            <v>Delivered</v>
          </cell>
        </row>
        <row r="432">
          <cell r="C432" t="str">
            <v>North</v>
          </cell>
          <cell r="D432">
            <v>53</v>
          </cell>
          <cell r="K432" t="str">
            <v>Delivered</v>
          </cell>
        </row>
        <row r="433">
          <cell r="C433" t="str">
            <v>West</v>
          </cell>
          <cell r="D433">
            <v>41</v>
          </cell>
          <cell r="K433" t="str">
            <v>Delivered</v>
          </cell>
        </row>
        <row r="434">
          <cell r="C434" t="str">
            <v>North</v>
          </cell>
          <cell r="D434">
            <v>22</v>
          </cell>
          <cell r="K434" t="str">
            <v>Returned</v>
          </cell>
        </row>
        <row r="435">
          <cell r="C435" t="str">
            <v>South</v>
          </cell>
          <cell r="D435">
            <v>44</v>
          </cell>
        </row>
        <row r="436">
          <cell r="C436" t="str">
            <v>South</v>
          </cell>
          <cell r="D436">
            <v>28</v>
          </cell>
          <cell r="K436" t="str">
            <v>Returned</v>
          </cell>
        </row>
        <row r="437">
          <cell r="C437" t="str">
            <v>East</v>
          </cell>
          <cell r="D437">
            <v>60</v>
          </cell>
          <cell r="K437" t="str">
            <v>Delivered</v>
          </cell>
        </row>
        <row r="438">
          <cell r="K438" t="str">
            <v>Returned</v>
          </cell>
        </row>
        <row r="439">
          <cell r="D439">
            <v>51</v>
          </cell>
          <cell r="K439" t="str">
            <v>In Transit</v>
          </cell>
        </row>
        <row r="440">
          <cell r="C440" t="str">
            <v>South</v>
          </cell>
          <cell r="D440">
            <v>64</v>
          </cell>
          <cell r="K440" t="str">
            <v>In Transit</v>
          </cell>
        </row>
        <row r="441">
          <cell r="C441" t="str">
            <v>East</v>
          </cell>
          <cell r="D441">
            <v>64</v>
          </cell>
          <cell r="K441" t="str">
            <v>Delivered</v>
          </cell>
        </row>
        <row r="442">
          <cell r="C442" t="str">
            <v>East</v>
          </cell>
          <cell r="D442">
            <v>56</v>
          </cell>
          <cell r="K442" t="str">
            <v>In Transit</v>
          </cell>
        </row>
        <row r="443">
          <cell r="C443" t="str">
            <v>West</v>
          </cell>
          <cell r="D443">
            <v>23</v>
          </cell>
          <cell r="K443" t="str">
            <v>In Transit</v>
          </cell>
        </row>
        <row r="444">
          <cell r="C444" t="str">
            <v>North</v>
          </cell>
          <cell r="D444">
            <v>61</v>
          </cell>
          <cell r="K444" t="str">
            <v>Delivered</v>
          </cell>
        </row>
        <row r="445">
          <cell r="C445" t="str">
            <v>South</v>
          </cell>
          <cell r="D445">
            <v>42</v>
          </cell>
          <cell r="K445" t="str">
            <v>In Transit</v>
          </cell>
        </row>
        <row r="446">
          <cell r="C446" t="str">
            <v>North</v>
          </cell>
          <cell r="D446">
            <v>30</v>
          </cell>
          <cell r="K446" t="str">
            <v>Delivered</v>
          </cell>
        </row>
        <row r="447">
          <cell r="C447" t="str">
            <v>West</v>
          </cell>
          <cell r="D447">
            <v>37</v>
          </cell>
          <cell r="K447" t="str">
            <v>Returned</v>
          </cell>
        </row>
        <row r="448">
          <cell r="C448" t="str">
            <v>East</v>
          </cell>
          <cell r="D448">
            <v>55</v>
          </cell>
          <cell r="K448" t="str">
            <v>Returned</v>
          </cell>
        </row>
        <row r="449">
          <cell r="C449" t="str">
            <v>North</v>
          </cell>
          <cell r="D449">
            <v>68</v>
          </cell>
          <cell r="K449" t="str">
            <v>Returned</v>
          </cell>
        </row>
        <row r="450">
          <cell r="C450" t="str">
            <v>West</v>
          </cell>
          <cell r="D450">
            <v>51</v>
          </cell>
          <cell r="K450" t="str">
            <v>Delivered</v>
          </cell>
        </row>
        <row r="451">
          <cell r="C451" t="str">
            <v>East</v>
          </cell>
          <cell r="D451">
            <v>60</v>
          </cell>
          <cell r="K451" t="str">
            <v>In Transit</v>
          </cell>
        </row>
        <row r="452">
          <cell r="C452" t="str">
            <v>East</v>
          </cell>
          <cell r="D452">
            <v>52</v>
          </cell>
          <cell r="K452" t="str">
            <v>Delivered</v>
          </cell>
        </row>
        <row r="453">
          <cell r="C453" t="str">
            <v>South</v>
          </cell>
        </row>
        <row r="454">
          <cell r="C454" t="str">
            <v>East</v>
          </cell>
          <cell r="D454">
            <v>61</v>
          </cell>
          <cell r="K454" t="str">
            <v>In Transit</v>
          </cell>
        </row>
        <row r="455">
          <cell r="C455" t="str">
            <v>South</v>
          </cell>
          <cell r="D455">
            <v>58</v>
          </cell>
          <cell r="K455" t="str">
            <v>In Transit</v>
          </cell>
        </row>
        <row r="456">
          <cell r="C456" t="str">
            <v>East</v>
          </cell>
          <cell r="D456">
            <v>55</v>
          </cell>
        </row>
        <row r="457">
          <cell r="C457" t="str">
            <v>East</v>
          </cell>
          <cell r="D457">
            <v>18</v>
          </cell>
          <cell r="K457" t="str">
            <v>In Transit</v>
          </cell>
        </row>
        <row r="458">
          <cell r="C458" t="str">
            <v>South</v>
          </cell>
          <cell r="D458">
            <v>41</v>
          </cell>
          <cell r="K458" t="str">
            <v>Delivered</v>
          </cell>
        </row>
        <row r="459">
          <cell r="C459" t="str">
            <v>South</v>
          </cell>
          <cell r="D459">
            <v>56</v>
          </cell>
          <cell r="K459" t="str">
            <v>In Transit</v>
          </cell>
        </row>
        <row r="460">
          <cell r="C460" t="str">
            <v>South</v>
          </cell>
          <cell r="D460">
            <v>69</v>
          </cell>
          <cell r="K460" t="str">
            <v>Returned</v>
          </cell>
        </row>
        <row r="461">
          <cell r="C461" t="str">
            <v>North</v>
          </cell>
          <cell r="D461">
            <v>61</v>
          </cell>
        </row>
        <row r="462">
          <cell r="C462" t="str">
            <v>East</v>
          </cell>
          <cell r="D462">
            <v>46</v>
          </cell>
          <cell r="K462" t="str">
            <v>In Transit</v>
          </cell>
        </row>
        <row r="463">
          <cell r="C463" t="str">
            <v>East</v>
          </cell>
          <cell r="D463">
            <v>30</v>
          </cell>
          <cell r="K463" t="str">
            <v>In Transit</v>
          </cell>
        </row>
        <row r="464">
          <cell r="C464" t="str">
            <v>East</v>
          </cell>
          <cell r="D464">
            <v>58</v>
          </cell>
          <cell r="K464" t="str">
            <v>Delivered</v>
          </cell>
        </row>
        <row r="465">
          <cell r="C465" t="str">
            <v>South</v>
          </cell>
          <cell r="D465">
            <v>49</v>
          </cell>
          <cell r="K465" t="str">
            <v>Delivered</v>
          </cell>
        </row>
        <row r="466">
          <cell r="C466" t="str">
            <v>North</v>
          </cell>
          <cell r="D466">
            <v>29</v>
          </cell>
          <cell r="K466" t="str">
            <v>In Transit</v>
          </cell>
        </row>
        <row r="467">
          <cell r="C467" t="str">
            <v>North</v>
          </cell>
          <cell r="D467">
            <v>54</v>
          </cell>
          <cell r="K467" t="str">
            <v>In Transit</v>
          </cell>
        </row>
        <row r="468">
          <cell r="C468" t="str">
            <v>West</v>
          </cell>
          <cell r="D468">
            <v>68</v>
          </cell>
          <cell r="K468" t="str">
            <v>Delivered</v>
          </cell>
        </row>
        <row r="469">
          <cell r="C469" t="str">
            <v>South</v>
          </cell>
          <cell r="D469">
            <v>66</v>
          </cell>
          <cell r="K469" t="str">
            <v>Returned</v>
          </cell>
        </row>
        <row r="470">
          <cell r="C470" t="str">
            <v>East</v>
          </cell>
          <cell r="D470">
            <v>39</v>
          </cell>
          <cell r="K470" t="str">
            <v>Delivered</v>
          </cell>
        </row>
        <row r="471">
          <cell r="C471" t="str">
            <v>South</v>
          </cell>
          <cell r="D471">
            <v>64</v>
          </cell>
          <cell r="K471" t="str">
            <v>Delivered</v>
          </cell>
        </row>
        <row r="472">
          <cell r="C472" t="str">
            <v>North</v>
          </cell>
          <cell r="D472">
            <v>57</v>
          </cell>
        </row>
        <row r="473">
          <cell r="C473" t="str">
            <v>East</v>
          </cell>
          <cell r="K473" t="str">
            <v>In Transit</v>
          </cell>
        </row>
        <row r="474">
          <cell r="C474" t="str">
            <v>North</v>
          </cell>
          <cell r="D474">
            <v>42</v>
          </cell>
          <cell r="K474" t="str">
            <v>Delivered</v>
          </cell>
        </row>
        <row r="475">
          <cell r="D475">
            <v>28</v>
          </cell>
          <cell r="K475" t="str">
            <v>Delivered</v>
          </cell>
        </row>
        <row r="476">
          <cell r="C476" t="str">
            <v>South</v>
          </cell>
          <cell r="D476">
            <v>36</v>
          </cell>
          <cell r="K476" t="str">
            <v>In Transit</v>
          </cell>
        </row>
        <row r="477">
          <cell r="C477" t="str">
            <v>South</v>
          </cell>
          <cell r="D477">
            <v>66</v>
          </cell>
          <cell r="K477" t="str">
            <v>Delivered</v>
          </cell>
        </row>
        <row r="478">
          <cell r="C478" t="str">
            <v>West</v>
          </cell>
          <cell r="D478">
            <v>58</v>
          </cell>
          <cell r="K478" t="str">
            <v>Delivered</v>
          </cell>
        </row>
        <row r="479">
          <cell r="C479" t="str">
            <v>South</v>
          </cell>
          <cell r="D479">
            <v>54</v>
          </cell>
          <cell r="K479" t="str">
            <v>In Transit</v>
          </cell>
        </row>
        <row r="480">
          <cell r="C480" t="str">
            <v>North</v>
          </cell>
          <cell r="D480">
            <v>57</v>
          </cell>
          <cell r="K480" t="str">
            <v>In Transit</v>
          </cell>
        </row>
        <row r="481">
          <cell r="C481" t="str">
            <v>West</v>
          </cell>
          <cell r="K481" t="str">
            <v>Returned</v>
          </cell>
        </row>
        <row r="482">
          <cell r="C482" t="str">
            <v>North</v>
          </cell>
          <cell r="D482">
            <v>54</v>
          </cell>
          <cell r="K482" t="str">
            <v>Delivered</v>
          </cell>
        </row>
        <row r="483">
          <cell r="C483" t="str">
            <v>West</v>
          </cell>
          <cell r="D483">
            <v>37</v>
          </cell>
          <cell r="K483" t="str">
            <v>Returned</v>
          </cell>
        </row>
        <row r="484">
          <cell r="C484" t="str">
            <v>West</v>
          </cell>
          <cell r="D484">
            <v>58</v>
          </cell>
          <cell r="K484" t="str">
            <v>Returned</v>
          </cell>
        </row>
        <row r="485">
          <cell r="C485" t="str">
            <v>South</v>
          </cell>
          <cell r="D485">
            <v>19</v>
          </cell>
          <cell r="K485" t="str">
            <v>Delivered</v>
          </cell>
        </row>
        <row r="486">
          <cell r="C486" t="str">
            <v>South</v>
          </cell>
          <cell r="D486">
            <v>50</v>
          </cell>
          <cell r="K486" t="str">
            <v>Delivered</v>
          </cell>
        </row>
        <row r="487">
          <cell r="C487" t="str">
            <v>West</v>
          </cell>
          <cell r="D487">
            <v>50</v>
          </cell>
          <cell r="K487" t="str">
            <v>In Transit</v>
          </cell>
        </row>
        <row r="488">
          <cell r="C488" t="str">
            <v>West</v>
          </cell>
          <cell r="D488">
            <v>59</v>
          </cell>
          <cell r="K488" t="str">
            <v>In Transit</v>
          </cell>
        </row>
        <row r="489">
          <cell r="C489" t="str">
            <v>West</v>
          </cell>
          <cell r="K489" t="str">
            <v>Returned</v>
          </cell>
        </row>
        <row r="490">
          <cell r="C490" t="str">
            <v>West</v>
          </cell>
          <cell r="K490" t="str">
            <v>Delivered</v>
          </cell>
        </row>
        <row r="491">
          <cell r="C491" t="str">
            <v>West</v>
          </cell>
          <cell r="D491">
            <v>67</v>
          </cell>
          <cell r="K491" t="str">
            <v>Delivered</v>
          </cell>
        </row>
        <row r="492">
          <cell r="C492" t="str">
            <v>West</v>
          </cell>
          <cell r="D492">
            <v>55</v>
          </cell>
          <cell r="K492" t="str">
            <v>Returned</v>
          </cell>
        </row>
        <row r="493">
          <cell r="C493" t="str">
            <v>East</v>
          </cell>
          <cell r="D493">
            <v>49</v>
          </cell>
          <cell r="K493" t="str">
            <v>In Transit</v>
          </cell>
        </row>
        <row r="494">
          <cell r="C494" t="str">
            <v>West</v>
          </cell>
          <cell r="D494">
            <v>51</v>
          </cell>
          <cell r="K494" t="str">
            <v>Returned</v>
          </cell>
        </row>
        <row r="495">
          <cell r="C495" t="str">
            <v>North</v>
          </cell>
          <cell r="D495">
            <v>37</v>
          </cell>
          <cell r="K495" t="str">
            <v>Returned</v>
          </cell>
        </row>
        <row r="496">
          <cell r="C496" t="str">
            <v>North</v>
          </cell>
          <cell r="D496">
            <v>66</v>
          </cell>
          <cell r="K496" t="str">
            <v>In Transit</v>
          </cell>
        </row>
        <row r="497">
          <cell r="C497" t="str">
            <v>South</v>
          </cell>
          <cell r="D497">
            <v>57</v>
          </cell>
          <cell r="K497" t="str">
            <v>Delivered</v>
          </cell>
        </row>
        <row r="498">
          <cell r="C498" t="str">
            <v>East</v>
          </cell>
          <cell r="K498" t="str">
            <v>Delivered</v>
          </cell>
        </row>
        <row r="499">
          <cell r="C499" t="str">
            <v>West</v>
          </cell>
          <cell r="D499">
            <v>40</v>
          </cell>
          <cell r="K499" t="str">
            <v>Delivered</v>
          </cell>
        </row>
        <row r="500">
          <cell r="C500" t="str">
            <v>East</v>
          </cell>
          <cell r="D500">
            <v>61</v>
          </cell>
          <cell r="K500" t="str">
            <v>Returned</v>
          </cell>
        </row>
        <row r="501">
          <cell r="C501" t="str">
            <v>North</v>
          </cell>
          <cell r="D501">
            <v>22</v>
          </cell>
          <cell r="K501" t="str">
            <v>Delivered</v>
          </cell>
        </row>
        <row r="502">
          <cell r="C502" t="str">
            <v>North</v>
          </cell>
          <cell r="D502">
            <v>23</v>
          </cell>
          <cell r="K502" t="str">
            <v>Delivered</v>
          </cell>
        </row>
        <row r="503">
          <cell r="C503" t="str">
            <v>North</v>
          </cell>
          <cell r="D503">
            <v>63</v>
          </cell>
          <cell r="K503" t="str">
            <v>Returned</v>
          </cell>
        </row>
        <row r="504">
          <cell r="C504" t="str">
            <v>West</v>
          </cell>
          <cell r="D504">
            <v>19</v>
          </cell>
          <cell r="K504" t="str">
            <v>Delivered</v>
          </cell>
        </row>
        <row r="505">
          <cell r="C505" t="str">
            <v>North</v>
          </cell>
          <cell r="D505">
            <v>26</v>
          </cell>
          <cell r="K505" t="str">
            <v>Delivered</v>
          </cell>
        </row>
        <row r="506">
          <cell r="C506" t="str">
            <v>North</v>
          </cell>
          <cell r="D506">
            <v>35</v>
          </cell>
          <cell r="K506" t="str">
            <v>Delivered</v>
          </cell>
        </row>
        <row r="507">
          <cell r="C507" t="str">
            <v>South</v>
          </cell>
          <cell r="D507">
            <v>27</v>
          </cell>
          <cell r="K507" t="str">
            <v>In Transit</v>
          </cell>
        </row>
        <row r="508">
          <cell r="C508" t="str">
            <v>East</v>
          </cell>
          <cell r="D508">
            <v>26</v>
          </cell>
          <cell r="K508" t="str">
            <v>In Transit</v>
          </cell>
        </row>
        <row r="509">
          <cell r="C509" t="str">
            <v>South</v>
          </cell>
          <cell r="D509">
            <v>23</v>
          </cell>
          <cell r="K509" t="str">
            <v>In Transit</v>
          </cell>
        </row>
        <row r="510">
          <cell r="C510" t="str">
            <v>East</v>
          </cell>
          <cell r="D510">
            <v>67</v>
          </cell>
          <cell r="K510" t="str">
            <v>In Transit</v>
          </cell>
        </row>
        <row r="511">
          <cell r="C511" t="str">
            <v>West</v>
          </cell>
          <cell r="D511">
            <v>41</v>
          </cell>
          <cell r="K511" t="str">
            <v>Returned</v>
          </cell>
        </row>
        <row r="512">
          <cell r="C512" t="str">
            <v>West</v>
          </cell>
          <cell r="K512" t="str">
            <v>Returned</v>
          </cell>
        </row>
        <row r="513">
          <cell r="C513" t="str">
            <v>East</v>
          </cell>
          <cell r="D513">
            <v>41</v>
          </cell>
          <cell r="K513" t="str">
            <v>Returned</v>
          </cell>
        </row>
        <row r="514">
          <cell r="C514" t="str">
            <v>East</v>
          </cell>
          <cell r="D514">
            <v>64</v>
          </cell>
          <cell r="K514" t="str">
            <v>Returned</v>
          </cell>
        </row>
        <row r="515">
          <cell r="C515" t="str">
            <v>North</v>
          </cell>
          <cell r="K515" t="str">
            <v>Delivered</v>
          </cell>
        </row>
        <row r="516">
          <cell r="C516" t="str">
            <v>East</v>
          </cell>
          <cell r="D516">
            <v>50</v>
          </cell>
          <cell r="K516" t="str">
            <v>Returned</v>
          </cell>
        </row>
        <row r="517">
          <cell r="C517" t="str">
            <v>South</v>
          </cell>
          <cell r="D517">
            <v>64</v>
          </cell>
          <cell r="K517" t="str">
            <v>In Transit</v>
          </cell>
        </row>
        <row r="518">
          <cell r="C518" t="str">
            <v>South</v>
          </cell>
          <cell r="D518">
            <v>40</v>
          </cell>
          <cell r="K518" t="str">
            <v>In Transit</v>
          </cell>
        </row>
        <row r="519">
          <cell r="C519" t="str">
            <v>East</v>
          </cell>
          <cell r="D519">
            <v>64</v>
          </cell>
          <cell r="K519" t="str">
            <v>In Transit</v>
          </cell>
        </row>
        <row r="520">
          <cell r="C520" t="str">
            <v>East</v>
          </cell>
          <cell r="D520">
            <v>37</v>
          </cell>
          <cell r="K520" t="str">
            <v>Returned</v>
          </cell>
        </row>
        <row r="521">
          <cell r="C521" t="str">
            <v>South</v>
          </cell>
          <cell r="D521">
            <v>44</v>
          </cell>
          <cell r="K521" t="str">
            <v>In Transit</v>
          </cell>
        </row>
        <row r="522">
          <cell r="C522" t="str">
            <v>West</v>
          </cell>
          <cell r="D522">
            <v>26</v>
          </cell>
        </row>
        <row r="523">
          <cell r="C523" t="str">
            <v>West</v>
          </cell>
          <cell r="D523">
            <v>18</v>
          </cell>
          <cell r="K523" t="str">
            <v>Returned</v>
          </cell>
        </row>
        <row r="524">
          <cell r="C524" t="str">
            <v>West</v>
          </cell>
          <cell r="K524" t="str">
            <v>Delivered</v>
          </cell>
        </row>
        <row r="525">
          <cell r="C525" t="str">
            <v>North</v>
          </cell>
          <cell r="D525">
            <v>68</v>
          </cell>
          <cell r="K525" t="str">
            <v>Returned</v>
          </cell>
        </row>
        <row r="526">
          <cell r="C526" t="str">
            <v>South</v>
          </cell>
          <cell r="D526">
            <v>64</v>
          </cell>
          <cell r="K526" t="str">
            <v>Delivered</v>
          </cell>
        </row>
        <row r="527">
          <cell r="C527" t="str">
            <v>North</v>
          </cell>
          <cell r="D527">
            <v>68</v>
          </cell>
          <cell r="K527" t="str">
            <v>Delivered</v>
          </cell>
        </row>
        <row r="528">
          <cell r="C528" t="str">
            <v>West</v>
          </cell>
          <cell r="D528">
            <v>54</v>
          </cell>
          <cell r="K528" t="str">
            <v>Delivered</v>
          </cell>
        </row>
        <row r="529">
          <cell r="C529" t="str">
            <v>North</v>
          </cell>
          <cell r="D529">
            <v>25</v>
          </cell>
          <cell r="K529" t="str">
            <v>In Transit</v>
          </cell>
        </row>
        <row r="530">
          <cell r="D530">
            <v>33</v>
          </cell>
          <cell r="K530" t="str">
            <v>Returned</v>
          </cell>
        </row>
        <row r="531">
          <cell r="C531" t="str">
            <v>West</v>
          </cell>
          <cell r="D531">
            <v>18</v>
          </cell>
          <cell r="K531" t="str">
            <v>Delivered</v>
          </cell>
        </row>
        <row r="532">
          <cell r="C532" t="str">
            <v>South</v>
          </cell>
          <cell r="K532" t="str">
            <v>Delivered</v>
          </cell>
        </row>
        <row r="533">
          <cell r="C533" t="str">
            <v>East</v>
          </cell>
          <cell r="D533">
            <v>67</v>
          </cell>
          <cell r="K533" t="str">
            <v>Returned</v>
          </cell>
        </row>
        <row r="534">
          <cell r="C534" t="str">
            <v>West</v>
          </cell>
          <cell r="D534">
            <v>66</v>
          </cell>
          <cell r="K534" t="str">
            <v>Delivered</v>
          </cell>
        </row>
        <row r="535">
          <cell r="C535" t="str">
            <v>North</v>
          </cell>
          <cell r="D535">
            <v>55</v>
          </cell>
          <cell r="K535" t="str">
            <v>Delivered</v>
          </cell>
        </row>
        <row r="536">
          <cell r="C536" t="str">
            <v>East</v>
          </cell>
          <cell r="D536">
            <v>51</v>
          </cell>
          <cell r="K536" t="str">
            <v>In Transit</v>
          </cell>
        </row>
        <row r="537">
          <cell r="C537" t="str">
            <v>East</v>
          </cell>
          <cell r="D537">
            <v>37</v>
          </cell>
          <cell r="K537" t="str">
            <v>Delivered</v>
          </cell>
        </row>
        <row r="538">
          <cell r="D538">
            <v>33</v>
          </cell>
          <cell r="K538" t="str">
            <v>Returned</v>
          </cell>
        </row>
        <row r="539">
          <cell r="C539" t="str">
            <v>West</v>
          </cell>
          <cell r="K539" t="str">
            <v>Returned</v>
          </cell>
        </row>
        <row r="540">
          <cell r="C540" t="str">
            <v>South</v>
          </cell>
          <cell r="D540">
            <v>69</v>
          </cell>
          <cell r="K540" t="str">
            <v>Delivered</v>
          </cell>
        </row>
        <row r="541">
          <cell r="C541" t="str">
            <v>East</v>
          </cell>
          <cell r="D541">
            <v>57</v>
          </cell>
          <cell r="K541" t="str">
            <v>Returned</v>
          </cell>
        </row>
        <row r="542">
          <cell r="C542" t="str">
            <v>East</v>
          </cell>
          <cell r="D542">
            <v>19</v>
          </cell>
          <cell r="K542" t="str">
            <v>In Transit</v>
          </cell>
        </row>
        <row r="543">
          <cell r="C543" t="str">
            <v>South</v>
          </cell>
          <cell r="D543">
            <v>43</v>
          </cell>
          <cell r="K543" t="str">
            <v>In Transit</v>
          </cell>
        </row>
        <row r="544">
          <cell r="D544">
            <v>23</v>
          </cell>
          <cell r="K544" t="str">
            <v>Returned</v>
          </cell>
        </row>
        <row r="545">
          <cell r="C545" t="str">
            <v>North</v>
          </cell>
          <cell r="D545">
            <v>45</v>
          </cell>
          <cell r="K545" t="str">
            <v>Returned</v>
          </cell>
        </row>
        <row r="546">
          <cell r="C546" t="str">
            <v>East</v>
          </cell>
          <cell r="D546">
            <v>48</v>
          </cell>
          <cell r="K546" t="str">
            <v>In Transit</v>
          </cell>
        </row>
        <row r="547">
          <cell r="C547" t="str">
            <v>South</v>
          </cell>
          <cell r="D547">
            <v>52</v>
          </cell>
          <cell r="K547" t="str">
            <v>In Transit</v>
          </cell>
        </row>
        <row r="548">
          <cell r="C548" t="str">
            <v>South</v>
          </cell>
          <cell r="D548">
            <v>46</v>
          </cell>
          <cell r="K548" t="str">
            <v>Returned</v>
          </cell>
        </row>
        <row r="549">
          <cell r="C549" t="str">
            <v>North</v>
          </cell>
          <cell r="D549">
            <v>21</v>
          </cell>
          <cell r="K549" t="str">
            <v>In Transit</v>
          </cell>
        </row>
        <row r="550">
          <cell r="C550" t="str">
            <v>West</v>
          </cell>
          <cell r="D550">
            <v>36</v>
          </cell>
          <cell r="K550" t="str">
            <v>Delivered</v>
          </cell>
        </row>
        <row r="551">
          <cell r="C551" t="str">
            <v>West</v>
          </cell>
          <cell r="D551">
            <v>33</v>
          </cell>
          <cell r="K551" t="str">
            <v>Returned</v>
          </cell>
        </row>
        <row r="552">
          <cell r="C552" t="str">
            <v>West</v>
          </cell>
          <cell r="D552">
            <v>54</v>
          </cell>
          <cell r="K552" t="str">
            <v>Returned</v>
          </cell>
        </row>
        <row r="553">
          <cell r="C553" t="str">
            <v>East</v>
          </cell>
          <cell r="D553">
            <v>50</v>
          </cell>
          <cell r="K553" t="str">
            <v>Delivered</v>
          </cell>
        </row>
        <row r="554">
          <cell r="C554" t="str">
            <v>East</v>
          </cell>
          <cell r="D554">
            <v>51</v>
          </cell>
          <cell r="K554" t="str">
            <v>In Transit</v>
          </cell>
        </row>
        <row r="555">
          <cell r="C555" t="str">
            <v>East</v>
          </cell>
          <cell r="D555">
            <v>51</v>
          </cell>
          <cell r="K555" t="str">
            <v>In Transit</v>
          </cell>
        </row>
        <row r="556">
          <cell r="C556" t="str">
            <v>North</v>
          </cell>
          <cell r="K556" t="str">
            <v>Delivered</v>
          </cell>
        </row>
        <row r="557">
          <cell r="C557" t="str">
            <v>West</v>
          </cell>
          <cell r="D557">
            <v>30</v>
          </cell>
          <cell r="K557" t="str">
            <v>Delivered</v>
          </cell>
        </row>
        <row r="558">
          <cell r="C558" t="str">
            <v>South</v>
          </cell>
          <cell r="D558">
            <v>32</v>
          </cell>
          <cell r="K558" t="str">
            <v>In Transit</v>
          </cell>
        </row>
        <row r="559">
          <cell r="C559" t="str">
            <v>South</v>
          </cell>
          <cell r="D559">
            <v>32</v>
          </cell>
          <cell r="K559" t="str">
            <v>In Transit</v>
          </cell>
        </row>
        <row r="560">
          <cell r="C560" t="str">
            <v>North</v>
          </cell>
          <cell r="D560">
            <v>63</v>
          </cell>
          <cell r="K560" t="str">
            <v>Delivered</v>
          </cell>
        </row>
        <row r="561">
          <cell r="C561" t="str">
            <v>West</v>
          </cell>
          <cell r="D561">
            <v>54</v>
          </cell>
          <cell r="K561" t="str">
            <v>Delivered</v>
          </cell>
        </row>
        <row r="562">
          <cell r="C562" t="str">
            <v>West</v>
          </cell>
          <cell r="D562">
            <v>54</v>
          </cell>
          <cell r="K562" t="str">
            <v>Returned</v>
          </cell>
        </row>
        <row r="563">
          <cell r="C563" t="str">
            <v>East</v>
          </cell>
          <cell r="D563">
            <v>64</v>
          </cell>
          <cell r="K563" t="str">
            <v>Returned</v>
          </cell>
        </row>
        <row r="564">
          <cell r="C564" t="str">
            <v>East</v>
          </cell>
          <cell r="D564">
            <v>61</v>
          </cell>
          <cell r="K564" t="str">
            <v>Delivered</v>
          </cell>
        </row>
        <row r="565">
          <cell r="C565" t="str">
            <v>East</v>
          </cell>
          <cell r="D565">
            <v>51</v>
          </cell>
          <cell r="K565" t="str">
            <v>Returned</v>
          </cell>
        </row>
        <row r="566">
          <cell r="C566" t="str">
            <v>South</v>
          </cell>
          <cell r="D566">
            <v>28</v>
          </cell>
        </row>
        <row r="567">
          <cell r="C567" t="str">
            <v>North</v>
          </cell>
          <cell r="D567">
            <v>51</v>
          </cell>
        </row>
        <row r="568">
          <cell r="C568" t="str">
            <v>North</v>
          </cell>
          <cell r="D568">
            <v>20</v>
          </cell>
          <cell r="K568" t="str">
            <v>In Transit</v>
          </cell>
        </row>
        <row r="569">
          <cell r="C569" t="str">
            <v>South</v>
          </cell>
          <cell r="D569">
            <v>33</v>
          </cell>
          <cell r="K569" t="str">
            <v>In Transit</v>
          </cell>
        </row>
        <row r="570">
          <cell r="C570" t="str">
            <v>West</v>
          </cell>
          <cell r="D570">
            <v>28</v>
          </cell>
          <cell r="K570" t="str">
            <v>Delivered</v>
          </cell>
        </row>
        <row r="571">
          <cell r="C571" t="str">
            <v>East</v>
          </cell>
          <cell r="D571">
            <v>57</v>
          </cell>
          <cell r="K571" t="str">
            <v>In Transit</v>
          </cell>
        </row>
        <row r="572">
          <cell r="C572" t="str">
            <v>West</v>
          </cell>
          <cell r="D572">
            <v>53</v>
          </cell>
          <cell r="K572" t="str">
            <v>Returned</v>
          </cell>
        </row>
        <row r="573">
          <cell r="C573" t="str">
            <v>South</v>
          </cell>
          <cell r="D573">
            <v>56</v>
          </cell>
          <cell r="K573" t="str">
            <v>Returned</v>
          </cell>
        </row>
        <row r="574">
          <cell r="C574" t="str">
            <v>North</v>
          </cell>
          <cell r="D574">
            <v>34</v>
          </cell>
          <cell r="K574" t="str">
            <v>Returned</v>
          </cell>
        </row>
        <row r="575">
          <cell r="C575" t="str">
            <v>East</v>
          </cell>
          <cell r="D575">
            <v>32</v>
          </cell>
          <cell r="K575" t="str">
            <v>Returned</v>
          </cell>
        </row>
        <row r="576">
          <cell r="C576" t="str">
            <v>North</v>
          </cell>
          <cell r="D576">
            <v>20</v>
          </cell>
          <cell r="K576" t="str">
            <v>Delivered</v>
          </cell>
        </row>
        <row r="577">
          <cell r="D577">
            <v>36</v>
          </cell>
          <cell r="K577" t="str">
            <v>Returned</v>
          </cell>
        </row>
        <row r="578">
          <cell r="C578" t="str">
            <v>North</v>
          </cell>
        </row>
        <row r="579">
          <cell r="C579" t="str">
            <v>South</v>
          </cell>
          <cell r="D579">
            <v>69</v>
          </cell>
          <cell r="K579" t="str">
            <v>Delivered</v>
          </cell>
        </row>
        <row r="580">
          <cell r="C580" t="str">
            <v>North</v>
          </cell>
          <cell r="D580">
            <v>64</v>
          </cell>
          <cell r="K580" t="str">
            <v>Returned</v>
          </cell>
        </row>
        <row r="581">
          <cell r="C581" t="str">
            <v>North</v>
          </cell>
          <cell r="D581">
            <v>57</v>
          </cell>
          <cell r="K581" t="str">
            <v>In Transit</v>
          </cell>
        </row>
        <row r="582">
          <cell r="C582" t="str">
            <v>North</v>
          </cell>
          <cell r="D582">
            <v>34</v>
          </cell>
          <cell r="K582" t="str">
            <v>In Transit</v>
          </cell>
        </row>
        <row r="583">
          <cell r="C583" t="str">
            <v>West</v>
          </cell>
          <cell r="D583">
            <v>42</v>
          </cell>
          <cell r="K583" t="str">
            <v>Returned</v>
          </cell>
        </row>
        <row r="584">
          <cell r="D584">
            <v>39</v>
          </cell>
          <cell r="K584" t="str">
            <v>Delivered</v>
          </cell>
        </row>
        <row r="585">
          <cell r="C585" t="str">
            <v>North</v>
          </cell>
          <cell r="D585">
            <v>41</v>
          </cell>
          <cell r="K585" t="str">
            <v>In Transit</v>
          </cell>
        </row>
        <row r="586">
          <cell r="C586" t="str">
            <v>North</v>
          </cell>
          <cell r="D586">
            <v>29</v>
          </cell>
          <cell r="K586" t="str">
            <v>Delivered</v>
          </cell>
        </row>
        <row r="587">
          <cell r="C587" t="str">
            <v>North</v>
          </cell>
          <cell r="K587" t="str">
            <v>Delivered</v>
          </cell>
        </row>
        <row r="588">
          <cell r="C588" t="str">
            <v>North</v>
          </cell>
          <cell r="D588">
            <v>45</v>
          </cell>
          <cell r="K588" t="str">
            <v>Delivered</v>
          </cell>
        </row>
        <row r="589">
          <cell r="C589" t="str">
            <v>North</v>
          </cell>
          <cell r="D589">
            <v>57</v>
          </cell>
          <cell r="K589" t="str">
            <v>Returned</v>
          </cell>
        </row>
        <row r="590">
          <cell r="C590" t="str">
            <v>West</v>
          </cell>
          <cell r="D590">
            <v>50</v>
          </cell>
        </row>
        <row r="591">
          <cell r="C591" t="str">
            <v>West</v>
          </cell>
          <cell r="D591">
            <v>60</v>
          </cell>
          <cell r="K591" t="str">
            <v>Returned</v>
          </cell>
        </row>
        <row r="592">
          <cell r="C592" t="str">
            <v>East</v>
          </cell>
          <cell r="D592">
            <v>38</v>
          </cell>
          <cell r="K592" t="str">
            <v>Returned</v>
          </cell>
        </row>
        <row r="593">
          <cell r="C593" t="str">
            <v>East</v>
          </cell>
          <cell r="D593">
            <v>68</v>
          </cell>
          <cell r="K593" t="str">
            <v>Returned</v>
          </cell>
        </row>
        <row r="594">
          <cell r="C594" t="str">
            <v>West</v>
          </cell>
          <cell r="D594">
            <v>26</v>
          </cell>
          <cell r="K594" t="str">
            <v>Delivered</v>
          </cell>
        </row>
        <row r="595">
          <cell r="C595" t="str">
            <v>North</v>
          </cell>
          <cell r="D595">
            <v>64</v>
          </cell>
          <cell r="K595" t="str">
            <v>Delivered</v>
          </cell>
        </row>
        <row r="596">
          <cell r="C596" t="str">
            <v>East</v>
          </cell>
          <cell r="D596">
            <v>64</v>
          </cell>
          <cell r="K596" t="str">
            <v>In Transit</v>
          </cell>
        </row>
        <row r="597">
          <cell r="C597" t="str">
            <v>East</v>
          </cell>
          <cell r="D597">
            <v>30</v>
          </cell>
          <cell r="K597" t="str">
            <v>Delivered</v>
          </cell>
        </row>
        <row r="598">
          <cell r="C598" t="str">
            <v>East</v>
          </cell>
          <cell r="D598">
            <v>25</v>
          </cell>
          <cell r="K598" t="str">
            <v>Delivered</v>
          </cell>
        </row>
        <row r="599">
          <cell r="C599" t="str">
            <v>East</v>
          </cell>
          <cell r="D599">
            <v>52</v>
          </cell>
          <cell r="K599" t="str">
            <v>In Transit</v>
          </cell>
        </row>
        <row r="600">
          <cell r="C600" t="str">
            <v>North</v>
          </cell>
          <cell r="D600">
            <v>43</v>
          </cell>
        </row>
        <row r="601">
          <cell r="C601" t="str">
            <v>South</v>
          </cell>
          <cell r="D601">
            <v>46</v>
          </cell>
          <cell r="K601" t="str">
            <v>Returned</v>
          </cell>
        </row>
        <row r="602">
          <cell r="C602" t="str">
            <v>East</v>
          </cell>
          <cell r="D602">
            <v>69</v>
          </cell>
          <cell r="K602" t="str">
            <v>Delivered</v>
          </cell>
        </row>
        <row r="603">
          <cell r="C603" t="str">
            <v>East</v>
          </cell>
          <cell r="K603" t="str">
            <v>In Transit</v>
          </cell>
        </row>
        <row r="604">
          <cell r="C604" t="str">
            <v>East</v>
          </cell>
          <cell r="D604">
            <v>56</v>
          </cell>
          <cell r="K604" t="str">
            <v>Returned</v>
          </cell>
        </row>
        <row r="605">
          <cell r="C605" t="str">
            <v>West</v>
          </cell>
          <cell r="D605">
            <v>29</v>
          </cell>
          <cell r="K605" t="str">
            <v>Returned</v>
          </cell>
        </row>
        <row r="606">
          <cell r="C606" t="str">
            <v>West</v>
          </cell>
        </row>
        <row r="607">
          <cell r="C607" t="str">
            <v>North</v>
          </cell>
        </row>
        <row r="608">
          <cell r="C608" t="str">
            <v>North</v>
          </cell>
          <cell r="D608">
            <v>54</v>
          </cell>
          <cell r="K608" t="str">
            <v>Returned</v>
          </cell>
        </row>
        <row r="609">
          <cell r="C609" t="str">
            <v>West</v>
          </cell>
          <cell r="D609">
            <v>59</v>
          </cell>
          <cell r="K609" t="str">
            <v>Returned</v>
          </cell>
        </row>
        <row r="610">
          <cell r="C610" t="str">
            <v>East</v>
          </cell>
          <cell r="D610">
            <v>57</v>
          </cell>
          <cell r="K610" t="str">
            <v>Returned</v>
          </cell>
        </row>
        <row r="611">
          <cell r="C611" t="str">
            <v>West</v>
          </cell>
          <cell r="D611">
            <v>30</v>
          </cell>
          <cell r="K611" t="str">
            <v>Delivered</v>
          </cell>
        </row>
        <row r="612">
          <cell r="C612" t="str">
            <v>East</v>
          </cell>
          <cell r="D612">
            <v>56</v>
          </cell>
          <cell r="K612" t="str">
            <v>Delivered</v>
          </cell>
        </row>
        <row r="613">
          <cell r="C613" t="str">
            <v>East</v>
          </cell>
          <cell r="D613">
            <v>21</v>
          </cell>
          <cell r="K613" t="str">
            <v>In Transit</v>
          </cell>
        </row>
        <row r="614">
          <cell r="D614">
            <v>57</v>
          </cell>
          <cell r="K614" t="str">
            <v>Delivered</v>
          </cell>
        </row>
        <row r="615">
          <cell r="C615" t="str">
            <v>North</v>
          </cell>
          <cell r="D615">
            <v>45</v>
          </cell>
          <cell r="K615" t="str">
            <v>Delivered</v>
          </cell>
        </row>
        <row r="616">
          <cell r="C616" t="str">
            <v>North</v>
          </cell>
          <cell r="K616" t="str">
            <v>Delivered</v>
          </cell>
        </row>
        <row r="617">
          <cell r="C617" t="str">
            <v>East</v>
          </cell>
          <cell r="D617">
            <v>44</v>
          </cell>
          <cell r="K617" t="str">
            <v>Returned</v>
          </cell>
        </row>
        <row r="618">
          <cell r="C618" t="str">
            <v>North</v>
          </cell>
          <cell r="D618">
            <v>51</v>
          </cell>
          <cell r="K618" t="str">
            <v>Delivered</v>
          </cell>
        </row>
        <row r="619">
          <cell r="D619">
            <v>30</v>
          </cell>
          <cell r="K619" t="str">
            <v>In Transit</v>
          </cell>
        </row>
        <row r="620">
          <cell r="C620" t="str">
            <v>North</v>
          </cell>
          <cell r="D620">
            <v>41</v>
          </cell>
          <cell r="K620" t="str">
            <v>Delivered</v>
          </cell>
        </row>
        <row r="621">
          <cell r="C621" t="str">
            <v>West</v>
          </cell>
          <cell r="D621">
            <v>19</v>
          </cell>
          <cell r="K621" t="str">
            <v>In Transit</v>
          </cell>
        </row>
        <row r="622">
          <cell r="C622" t="str">
            <v>South</v>
          </cell>
          <cell r="D622">
            <v>53</v>
          </cell>
          <cell r="K622" t="str">
            <v>Returned</v>
          </cell>
        </row>
        <row r="623">
          <cell r="C623" t="str">
            <v>West</v>
          </cell>
          <cell r="D623">
            <v>58</v>
          </cell>
          <cell r="K623" t="str">
            <v>In Transit</v>
          </cell>
        </row>
        <row r="624">
          <cell r="D624">
            <v>27</v>
          </cell>
          <cell r="K624" t="str">
            <v>Delivered</v>
          </cell>
        </row>
        <row r="625">
          <cell r="C625" t="str">
            <v>South</v>
          </cell>
          <cell r="D625">
            <v>37</v>
          </cell>
          <cell r="K625" t="str">
            <v>Delivered</v>
          </cell>
        </row>
        <row r="626">
          <cell r="C626" t="str">
            <v>East</v>
          </cell>
          <cell r="D626">
            <v>32</v>
          </cell>
          <cell r="K626" t="str">
            <v>Returned</v>
          </cell>
        </row>
        <row r="627">
          <cell r="C627" t="str">
            <v>West</v>
          </cell>
          <cell r="D627">
            <v>65</v>
          </cell>
          <cell r="K627" t="str">
            <v>Returned</v>
          </cell>
        </row>
        <row r="628">
          <cell r="C628" t="str">
            <v>North</v>
          </cell>
          <cell r="D628">
            <v>54</v>
          </cell>
          <cell r="K628" t="str">
            <v>In Transit</v>
          </cell>
        </row>
        <row r="629">
          <cell r="C629" t="str">
            <v>West</v>
          </cell>
          <cell r="D629">
            <v>20</v>
          </cell>
          <cell r="K629" t="str">
            <v>Returned</v>
          </cell>
        </row>
        <row r="630">
          <cell r="D630">
            <v>44</v>
          </cell>
          <cell r="K630" t="str">
            <v>Delivered</v>
          </cell>
        </row>
        <row r="631">
          <cell r="C631" t="str">
            <v>South</v>
          </cell>
          <cell r="D631">
            <v>66</v>
          </cell>
          <cell r="K631" t="str">
            <v>In Transit</v>
          </cell>
        </row>
        <row r="632">
          <cell r="D632">
            <v>54</v>
          </cell>
          <cell r="K632" t="str">
            <v>Returned</v>
          </cell>
        </row>
        <row r="633">
          <cell r="C633" t="str">
            <v>North</v>
          </cell>
          <cell r="D633">
            <v>68</v>
          </cell>
          <cell r="K633" t="str">
            <v>Delivered</v>
          </cell>
        </row>
        <row r="634">
          <cell r="C634" t="str">
            <v>South</v>
          </cell>
          <cell r="D634">
            <v>48</v>
          </cell>
          <cell r="K634" t="str">
            <v>Delivered</v>
          </cell>
        </row>
        <row r="635">
          <cell r="C635" t="str">
            <v>South</v>
          </cell>
          <cell r="D635">
            <v>56</v>
          </cell>
          <cell r="K635" t="str">
            <v>In Transit</v>
          </cell>
        </row>
        <row r="636">
          <cell r="C636" t="str">
            <v>North</v>
          </cell>
          <cell r="D636">
            <v>57</v>
          </cell>
          <cell r="K636" t="str">
            <v>Delivered</v>
          </cell>
        </row>
        <row r="637">
          <cell r="C637" t="str">
            <v>West</v>
          </cell>
          <cell r="D637">
            <v>40</v>
          </cell>
          <cell r="K637" t="str">
            <v>Returned</v>
          </cell>
        </row>
        <row r="638">
          <cell r="C638" t="str">
            <v>North</v>
          </cell>
          <cell r="D638">
            <v>67</v>
          </cell>
          <cell r="K638" t="str">
            <v>Delivered</v>
          </cell>
        </row>
        <row r="639">
          <cell r="C639" t="str">
            <v>South</v>
          </cell>
          <cell r="D639">
            <v>33</v>
          </cell>
          <cell r="K639" t="str">
            <v>In Transit</v>
          </cell>
        </row>
        <row r="640">
          <cell r="C640" t="str">
            <v>West</v>
          </cell>
          <cell r="D640">
            <v>66</v>
          </cell>
          <cell r="K640" t="str">
            <v>In Transit</v>
          </cell>
        </row>
        <row r="641">
          <cell r="C641" t="str">
            <v>West</v>
          </cell>
          <cell r="D641">
            <v>46</v>
          </cell>
          <cell r="K641" t="str">
            <v>Returned</v>
          </cell>
        </row>
        <row r="642">
          <cell r="C642" t="str">
            <v>East</v>
          </cell>
          <cell r="K642" t="str">
            <v>Delivered</v>
          </cell>
        </row>
        <row r="643">
          <cell r="C643" t="str">
            <v>East</v>
          </cell>
          <cell r="D643">
            <v>42</v>
          </cell>
        </row>
        <row r="644">
          <cell r="C644" t="str">
            <v>North</v>
          </cell>
          <cell r="D644">
            <v>32</v>
          </cell>
          <cell r="K644" t="str">
            <v>In Transit</v>
          </cell>
        </row>
        <row r="645">
          <cell r="C645" t="str">
            <v>West</v>
          </cell>
          <cell r="D645">
            <v>56</v>
          </cell>
          <cell r="K645" t="str">
            <v>Returned</v>
          </cell>
        </row>
        <row r="646">
          <cell r="C646" t="str">
            <v>South</v>
          </cell>
          <cell r="D646">
            <v>67</v>
          </cell>
          <cell r="K646" t="str">
            <v>Returned</v>
          </cell>
        </row>
        <row r="647">
          <cell r="C647" t="str">
            <v>North</v>
          </cell>
          <cell r="K647" t="str">
            <v>Returned</v>
          </cell>
        </row>
        <row r="648">
          <cell r="C648" t="str">
            <v>South</v>
          </cell>
          <cell r="D648">
            <v>30</v>
          </cell>
          <cell r="K648" t="str">
            <v>Delivered</v>
          </cell>
        </row>
        <row r="649">
          <cell r="C649" t="str">
            <v>East</v>
          </cell>
          <cell r="D649">
            <v>21</v>
          </cell>
          <cell r="K649" t="str">
            <v>In Transit</v>
          </cell>
        </row>
        <row r="650">
          <cell r="C650" t="str">
            <v>South</v>
          </cell>
          <cell r="D650">
            <v>38</v>
          </cell>
          <cell r="K650" t="str">
            <v>Returned</v>
          </cell>
        </row>
        <row r="651">
          <cell r="C651" t="str">
            <v>West</v>
          </cell>
          <cell r="D651">
            <v>27</v>
          </cell>
          <cell r="K651" t="str">
            <v>In Transit</v>
          </cell>
        </row>
        <row r="652">
          <cell r="C652" t="str">
            <v>North</v>
          </cell>
          <cell r="D652">
            <v>69</v>
          </cell>
          <cell r="K652" t="str">
            <v>In Transit</v>
          </cell>
        </row>
        <row r="653">
          <cell r="C653" t="str">
            <v>West</v>
          </cell>
          <cell r="D653">
            <v>69</v>
          </cell>
          <cell r="K653" t="str">
            <v>In Transit</v>
          </cell>
        </row>
        <row r="654">
          <cell r="C654" t="str">
            <v>South</v>
          </cell>
          <cell r="D654">
            <v>67</v>
          </cell>
          <cell r="K654" t="str">
            <v>Delivered</v>
          </cell>
        </row>
        <row r="655">
          <cell r="C655" t="str">
            <v>West</v>
          </cell>
          <cell r="D655">
            <v>47</v>
          </cell>
          <cell r="K655" t="str">
            <v>Delivered</v>
          </cell>
        </row>
        <row r="656">
          <cell r="C656" t="str">
            <v>West</v>
          </cell>
          <cell r="D656">
            <v>32</v>
          </cell>
          <cell r="K656" t="str">
            <v>Delivered</v>
          </cell>
        </row>
        <row r="657">
          <cell r="C657" t="str">
            <v>West</v>
          </cell>
          <cell r="D657">
            <v>41</v>
          </cell>
          <cell r="K657" t="str">
            <v>Delivered</v>
          </cell>
        </row>
        <row r="658">
          <cell r="C658" t="str">
            <v>East</v>
          </cell>
          <cell r="D658">
            <v>29</v>
          </cell>
          <cell r="K658" t="str">
            <v>In Transit</v>
          </cell>
        </row>
        <row r="659">
          <cell r="C659" t="str">
            <v>North</v>
          </cell>
          <cell r="D659">
            <v>65</v>
          </cell>
        </row>
        <row r="660">
          <cell r="C660" t="str">
            <v>East</v>
          </cell>
          <cell r="D660">
            <v>48</v>
          </cell>
          <cell r="K660" t="str">
            <v>In Transit</v>
          </cell>
        </row>
        <row r="661">
          <cell r="C661" t="str">
            <v>East</v>
          </cell>
          <cell r="D661">
            <v>68</v>
          </cell>
        </row>
        <row r="662">
          <cell r="C662" t="str">
            <v>North</v>
          </cell>
          <cell r="D662">
            <v>42</v>
          </cell>
          <cell r="K662" t="str">
            <v>Returned</v>
          </cell>
        </row>
        <row r="663">
          <cell r="D663">
            <v>60</v>
          </cell>
          <cell r="K663" t="str">
            <v>In Transit</v>
          </cell>
        </row>
        <row r="664">
          <cell r="C664" t="str">
            <v>North</v>
          </cell>
          <cell r="D664">
            <v>37</v>
          </cell>
          <cell r="K664" t="str">
            <v>Returned</v>
          </cell>
        </row>
        <row r="665">
          <cell r="C665" t="str">
            <v>South</v>
          </cell>
          <cell r="D665">
            <v>54</v>
          </cell>
          <cell r="K665" t="str">
            <v>Delivered</v>
          </cell>
        </row>
        <row r="666">
          <cell r="C666" t="str">
            <v>South</v>
          </cell>
          <cell r="D666">
            <v>57</v>
          </cell>
          <cell r="K666" t="str">
            <v>Delivered</v>
          </cell>
        </row>
        <row r="667">
          <cell r="C667" t="str">
            <v>East</v>
          </cell>
          <cell r="D667">
            <v>37</v>
          </cell>
          <cell r="K667" t="str">
            <v>Delivered</v>
          </cell>
        </row>
        <row r="668">
          <cell r="C668" t="str">
            <v>North</v>
          </cell>
          <cell r="D668">
            <v>64</v>
          </cell>
          <cell r="K668" t="str">
            <v>In Transit</v>
          </cell>
        </row>
        <row r="669">
          <cell r="C669" t="str">
            <v>South</v>
          </cell>
          <cell r="D669">
            <v>54</v>
          </cell>
          <cell r="K669" t="str">
            <v>In Transit</v>
          </cell>
        </row>
        <row r="670">
          <cell r="C670" t="str">
            <v>West</v>
          </cell>
          <cell r="D670">
            <v>67</v>
          </cell>
          <cell r="K670" t="str">
            <v>Delivered</v>
          </cell>
        </row>
        <row r="671">
          <cell r="C671" t="str">
            <v>East</v>
          </cell>
          <cell r="D671">
            <v>29</v>
          </cell>
          <cell r="K671" t="str">
            <v>Delivered</v>
          </cell>
        </row>
        <row r="672">
          <cell r="C672" t="str">
            <v>South</v>
          </cell>
          <cell r="D672">
            <v>68</v>
          </cell>
        </row>
        <row r="673">
          <cell r="C673" t="str">
            <v>West</v>
          </cell>
          <cell r="D673">
            <v>37</v>
          </cell>
          <cell r="K673" t="str">
            <v>Delivered</v>
          </cell>
        </row>
        <row r="674">
          <cell r="C674" t="str">
            <v>North</v>
          </cell>
          <cell r="D674">
            <v>22</v>
          </cell>
          <cell r="K674" t="str">
            <v>Returned</v>
          </cell>
        </row>
        <row r="675">
          <cell r="D675">
            <v>18</v>
          </cell>
          <cell r="K675" t="str">
            <v>In Transit</v>
          </cell>
        </row>
        <row r="676">
          <cell r="C676" t="str">
            <v>West</v>
          </cell>
          <cell r="K676" t="str">
            <v>In Transit</v>
          </cell>
        </row>
        <row r="677">
          <cell r="C677" t="str">
            <v>South</v>
          </cell>
          <cell r="K677" t="str">
            <v>Returned</v>
          </cell>
        </row>
        <row r="678">
          <cell r="C678" t="str">
            <v>West</v>
          </cell>
          <cell r="K678" t="str">
            <v>In Transit</v>
          </cell>
        </row>
        <row r="679">
          <cell r="C679" t="str">
            <v>North</v>
          </cell>
          <cell r="D679">
            <v>40</v>
          </cell>
          <cell r="K679" t="str">
            <v>Delivered</v>
          </cell>
        </row>
        <row r="680">
          <cell r="C680" t="str">
            <v>South</v>
          </cell>
          <cell r="D680">
            <v>65</v>
          </cell>
          <cell r="K680" t="str">
            <v>In Transit</v>
          </cell>
        </row>
        <row r="681">
          <cell r="C681" t="str">
            <v>East</v>
          </cell>
          <cell r="D681">
            <v>57</v>
          </cell>
          <cell r="K681" t="str">
            <v>In Transit</v>
          </cell>
        </row>
        <row r="682">
          <cell r="C682" t="str">
            <v>South</v>
          </cell>
          <cell r="D682">
            <v>50</v>
          </cell>
          <cell r="K682" t="str">
            <v>Delivered</v>
          </cell>
        </row>
        <row r="683">
          <cell r="C683" t="str">
            <v>West</v>
          </cell>
          <cell r="D683">
            <v>19</v>
          </cell>
          <cell r="K683" t="str">
            <v>In Transit</v>
          </cell>
        </row>
        <row r="684">
          <cell r="C684" t="str">
            <v>South</v>
          </cell>
          <cell r="K684" t="str">
            <v>In Transit</v>
          </cell>
        </row>
        <row r="685">
          <cell r="C685" t="str">
            <v>South</v>
          </cell>
          <cell r="K685" t="str">
            <v>Delivered</v>
          </cell>
        </row>
        <row r="686">
          <cell r="C686" t="str">
            <v>South</v>
          </cell>
          <cell r="D686">
            <v>55</v>
          </cell>
          <cell r="K686" t="str">
            <v>Returned</v>
          </cell>
        </row>
        <row r="687">
          <cell r="D687">
            <v>57</v>
          </cell>
          <cell r="K687" t="str">
            <v>Returned</v>
          </cell>
        </row>
        <row r="688">
          <cell r="C688" t="str">
            <v>South</v>
          </cell>
          <cell r="D688">
            <v>33</v>
          </cell>
          <cell r="K688" t="str">
            <v>Returned</v>
          </cell>
        </row>
        <row r="689">
          <cell r="C689" t="str">
            <v>North</v>
          </cell>
          <cell r="D689">
            <v>53</v>
          </cell>
        </row>
        <row r="690">
          <cell r="C690" t="str">
            <v>East</v>
          </cell>
          <cell r="D690">
            <v>46</v>
          </cell>
          <cell r="K690" t="str">
            <v>In Transit</v>
          </cell>
        </row>
        <row r="691">
          <cell r="C691" t="str">
            <v>West</v>
          </cell>
          <cell r="D691">
            <v>54</v>
          </cell>
          <cell r="K691" t="str">
            <v>In Transit</v>
          </cell>
        </row>
        <row r="692">
          <cell r="C692" t="str">
            <v>West</v>
          </cell>
          <cell r="D692">
            <v>41</v>
          </cell>
          <cell r="K692" t="str">
            <v>In Transit</v>
          </cell>
        </row>
        <row r="693">
          <cell r="C693" t="str">
            <v>West</v>
          </cell>
          <cell r="D693">
            <v>68</v>
          </cell>
          <cell r="K693" t="str">
            <v>In Transit</v>
          </cell>
        </row>
        <row r="694">
          <cell r="C694" t="str">
            <v>West</v>
          </cell>
          <cell r="D694">
            <v>57</v>
          </cell>
          <cell r="K694" t="str">
            <v>In Transit</v>
          </cell>
        </row>
        <row r="695">
          <cell r="C695" t="str">
            <v>West</v>
          </cell>
          <cell r="D695">
            <v>42</v>
          </cell>
          <cell r="K695" t="str">
            <v>Delivered</v>
          </cell>
        </row>
        <row r="696">
          <cell r="C696" t="str">
            <v>East</v>
          </cell>
          <cell r="D696">
            <v>69</v>
          </cell>
          <cell r="K696" t="str">
            <v>In Transit</v>
          </cell>
        </row>
        <row r="697">
          <cell r="C697" t="str">
            <v>South</v>
          </cell>
          <cell r="K697" t="str">
            <v>In Transit</v>
          </cell>
        </row>
        <row r="698">
          <cell r="C698" t="str">
            <v>North</v>
          </cell>
          <cell r="K698" t="str">
            <v>Returned</v>
          </cell>
        </row>
        <row r="699">
          <cell r="C699" t="str">
            <v>South</v>
          </cell>
          <cell r="D699">
            <v>50</v>
          </cell>
          <cell r="K699" t="str">
            <v>Returned</v>
          </cell>
        </row>
        <row r="700">
          <cell r="C700" t="str">
            <v>East</v>
          </cell>
          <cell r="D700">
            <v>41</v>
          </cell>
          <cell r="K700" t="str">
            <v>Delivered</v>
          </cell>
        </row>
        <row r="701">
          <cell r="C701" t="str">
            <v>South</v>
          </cell>
          <cell r="K701" t="str">
            <v>Returned</v>
          </cell>
        </row>
        <row r="702">
          <cell r="C702" t="str">
            <v>North</v>
          </cell>
          <cell r="D702">
            <v>44</v>
          </cell>
          <cell r="K702" t="str">
            <v>Delivered</v>
          </cell>
        </row>
        <row r="703">
          <cell r="C703" t="str">
            <v>South</v>
          </cell>
          <cell r="D703">
            <v>58</v>
          </cell>
          <cell r="K703" t="str">
            <v>Returned</v>
          </cell>
        </row>
        <row r="704">
          <cell r="C704" t="str">
            <v>West</v>
          </cell>
          <cell r="D704">
            <v>61</v>
          </cell>
          <cell r="K704" t="str">
            <v>In Transit</v>
          </cell>
        </row>
        <row r="705">
          <cell r="C705" t="str">
            <v>West</v>
          </cell>
          <cell r="D705">
            <v>30</v>
          </cell>
          <cell r="K705" t="str">
            <v>Returned</v>
          </cell>
        </row>
        <row r="706">
          <cell r="C706" t="str">
            <v>East</v>
          </cell>
          <cell r="D706">
            <v>38</v>
          </cell>
          <cell r="K706" t="str">
            <v>Delivered</v>
          </cell>
        </row>
        <row r="707">
          <cell r="D707">
            <v>49</v>
          </cell>
          <cell r="K707" t="str">
            <v>Delivered</v>
          </cell>
        </row>
        <row r="708">
          <cell r="C708" t="str">
            <v>South</v>
          </cell>
          <cell r="D708">
            <v>49</v>
          </cell>
        </row>
        <row r="709">
          <cell r="C709" t="str">
            <v>West</v>
          </cell>
          <cell r="K709" t="str">
            <v>Delivered</v>
          </cell>
        </row>
        <row r="710">
          <cell r="C710" t="str">
            <v>South</v>
          </cell>
          <cell r="D710">
            <v>30</v>
          </cell>
          <cell r="K710" t="str">
            <v>In Transit</v>
          </cell>
        </row>
        <row r="711">
          <cell r="C711" t="str">
            <v>East</v>
          </cell>
          <cell r="D711">
            <v>47</v>
          </cell>
          <cell r="K711" t="str">
            <v>Delivered</v>
          </cell>
        </row>
        <row r="712">
          <cell r="C712" t="str">
            <v>East</v>
          </cell>
          <cell r="D712">
            <v>68</v>
          </cell>
          <cell r="K712" t="str">
            <v>Delivered</v>
          </cell>
        </row>
        <row r="713">
          <cell r="C713" t="str">
            <v>West</v>
          </cell>
          <cell r="D713">
            <v>67</v>
          </cell>
          <cell r="K713" t="str">
            <v>Returned</v>
          </cell>
        </row>
        <row r="714">
          <cell r="C714" t="str">
            <v>East</v>
          </cell>
          <cell r="D714">
            <v>19</v>
          </cell>
          <cell r="K714" t="str">
            <v>Returned</v>
          </cell>
        </row>
        <row r="715">
          <cell r="C715" t="str">
            <v>North</v>
          </cell>
          <cell r="D715">
            <v>38</v>
          </cell>
          <cell r="K715" t="str">
            <v>Returned</v>
          </cell>
        </row>
        <row r="716">
          <cell r="C716" t="str">
            <v>South</v>
          </cell>
          <cell r="D716">
            <v>57</v>
          </cell>
          <cell r="K716" t="str">
            <v>Delivered</v>
          </cell>
        </row>
        <row r="717">
          <cell r="C717" t="str">
            <v>South</v>
          </cell>
          <cell r="D717">
            <v>23</v>
          </cell>
        </row>
        <row r="718">
          <cell r="C718" t="str">
            <v>West</v>
          </cell>
          <cell r="D718">
            <v>40</v>
          </cell>
          <cell r="K718" t="str">
            <v>Delivered</v>
          </cell>
        </row>
        <row r="719">
          <cell r="C719" t="str">
            <v>North</v>
          </cell>
          <cell r="D719">
            <v>66</v>
          </cell>
          <cell r="K719" t="str">
            <v>Delivered</v>
          </cell>
        </row>
        <row r="720">
          <cell r="C720" t="str">
            <v>North</v>
          </cell>
          <cell r="D720">
            <v>51</v>
          </cell>
          <cell r="K720" t="str">
            <v>In Transit</v>
          </cell>
        </row>
        <row r="721">
          <cell r="C721" t="str">
            <v>North</v>
          </cell>
          <cell r="D721">
            <v>60</v>
          </cell>
          <cell r="K721" t="str">
            <v>In Transit</v>
          </cell>
        </row>
        <row r="722">
          <cell r="C722" t="str">
            <v>East</v>
          </cell>
          <cell r="D722">
            <v>67</v>
          </cell>
          <cell r="K722" t="str">
            <v>In Transit</v>
          </cell>
        </row>
        <row r="723">
          <cell r="D723">
            <v>52</v>
          </cell>
          <cell r="K723" t="str">
            <v>In Transit</v>
          </cell>
        </row>
        <row r="724">
          <cell r="C724" t="str">
            <v>West</v>
          </cell>
          <cell r="D724">
            <v>50</v>
          </cell>
          <cell r="K724" t="str">
            <v>Returned</v>
          </cell>
        </row>
        <row r="725">
          <cell r="C725" t="str">
            <v>South</v>
          </cell>
          <cell r="D725">
            <v>19</v>
          </cell>
          <cell r="K725" t="str">
            <v>In Transit</v>
          </cell>
        </row>
        <row r="726">
          <cell r="C726" t="str">
            <v>West</v>
          </cell>
          <cell r="D726">
            <v>65</v>
          </cell>
          <cell r="K726" t="str">
            <v>Delivered</v>
          </cell>
        </row>
        <row r="727">
          <cell r="C727" t="str">
            <v>East</v>
          </cell>
          <cell r="D727">
            <v>36</v>
          </cell>
          <cell r="K727" t="str">
            <v>In Transit</v>
          </cell>
        </row>
        <row r="728">
          <cell r="C728" t="str">
            <v>South</v>
          </cell>
          <cell r="D728">
            <v>51</v>
          </cell>
          <cell r="K728" t="str">
            <v>Returned</v>
          </cell>
        </row>
        <row r="729">
          <cell r="C729" t="str">
            <v>East</v>
          </cell>
          <cell r="D729">
            <v>65</v>
          </cell>
        </row>
        <row r="730">
          <cell r="C730" t="str">
            <v>South</v>
          </cell>
          <cell r="D730">
            <v>58</v>
          </cell>
          <cell r="K730" t="str">
            <v>Delivered</v>
          </cell>
        </row>
        <row r="731">
          <cell r="C731" t="str">
            <v>South</v>
          </cell>
          <cell r="D731">
            <v>22</v>
          </cell>
          <cell r="K731" t="str">
            <v>Delivered</v>
          </cell>
        </row>
        <row r="732">
          <cell r="C732" t="str">
            <v>North</v>
          </cell>
          <cell r="D732">
            <v>57</v>
          </cell>
          <cell r="K732" t="str">
            <v>Delivered</v>
          </cell>
        </row>
        <row r="733">
          <cell r="C733" t="str">
            <v>South</v>
          </cell>
          <cell r="D733">
            <v>67</v>
          </cell>
          <cell r="K733" t="str">
            <v>Returned</v>
          </cell>
        </row>
        <row r="734">
          <cell r="C734" t="str">
            <v>North</v>
          </cell>
          <cell r="K734" t="str">
            <v>In Transit</v>
          </cell>
        </row>
        <row r="735">
          <cell r="D735">
            <v>44</v>
          </cell>
          <cell r="K735" t="str">
            <v>Returned</v>
          </cell>
        </row>
        <row r="736">
          <cell r="C736" t="str">
            <v>East</v>
          </cell>
          <cell r="D736">
            <v>60</v>
          </cell>
        </row>
        <row r="737">
          <cell r="C737" t="str">
            <v>West</v>
          </cell>
          <cell r="D737">
            <v>48</v>
          </cell>
          <cell r="K737" t="str">
            <v>In Transit</v>
          </cell>
        </row>
        <row r="738">
          <cell r="C738" t="str">
            <v>South</v>
          </cell>
          <cell r="D738">
            <v>29</v>
          </cell>
          <cell r="K738" t="str">
            <v>In Transit</v>
          </cell>
        </row>
        <row r="739">
          <cell r="C739" t="str">
            <v>South</v>
          </cell>
          <cell r="K739" t="str">
            <v>In Transit</v>
          </cell>
        </row>
        <row r="740">
          <cell r="C740" t="str">
            <v>South</v>
          </cell>
          <cell r="D740">
            <v>35</v>
          </cell>
          <cell r="K740" t="str">
            <v>In Transit</v>
          </cell>
        </row>
        <row r="741">
          <cell r="C741" t="str">
            <v>East</v>
          </cell>
          <cell r="D741">
            <v>44</v>
          </cell>
          <cell r="K741" t="str">
            <v>In Transit</v>
          </cell>
        </row>
        <row r="742">
          <cell r="C742" t="str">
            <v>South</v>
          </cell>
          <cell r="D742">
            <v>55</v>
          </cell>
          <cell r="K742" t="str">
            <v>Returned</v>
          </cell>
        </row>
        <row r="743">
          <cell r="C743" t="str">
            <v>West</v>
          </cell>
          <cell r="D743">
            <v>42</v>
          </cell>
          <cell r="K743" t="str">
            <v>Delivered</v>
          </cell>
        </row>
        <row r="744">
          <cell r="C744" t="str">
            <v>North</v>
          </cell>
          <cell r="D744">
            <v>18</v>
          </cell>
          <cell r="K744" t="str">
            <v>Returned</v>
          </cell>
        </row>
        <row r="745">
          <cell r="C745" t="str">
            <v>West</v>
          </cell>
          <cell r="D745">
            <v>18</v>
          </cell>
          <cell r="K745" t="str">
            <v>Delivered</v>
          </cell>
        </row>
        <row r="746">
          <cell r="C746" t="str">
            <v>North</v>
          </cell>
          <cell r="D746">
            <v>44</v>
          </cell>
          <cell r="K746" t="str">
            <v>In Transit</v>
          </cell>
        </row>
        <row r="747">
          <cell r="C747" t="str">
            <v>South</v>
          </cell>
          <cell r="K747" t="str">
            <v>In Transit</v>
          </cell>
        </row>
        <row r="748">
          <cell r="C748" t="str">
            <v>West</v>
          </cell>
          <cell r="D748">
            <v>63</v>
          </cell>
          <cell r="K748" t="str">
            <v>Returned</v>
          </cell>
        </row>
        <row r="749">
          <cell r="C749" t="str">
            <v>East</v>
          </cell>
          <cell r="D749">
            <v>36</v>
          </cell>
          <cell r="K749" t="str">
            <v>Returned</v>
          </cell>
        </row>
        <row r="750">
          <cell r="C750" t="str">
            <v>West</v>
          </cell>
          <cell r="D750">
            <v>25</v>
          </cell>
          <cell r="K750" t="str">
            <v>In Transit</v>
          </cell>
        </row>
        <row r="751">
          <cell r="C751" t="str">
            <v>North</v>
          </cell>
          <cell r="K751" t="str">
            <v>Returned</v>
          </cell>
        </row>
        <row r="752">
          <cell r="C752" t="str">
            <v>West</v>
          </cell>
          <cell r="D752">
            <v>49</v>
          </cell>
          <cell r="K752" t="str">
            <v>Delivered</v>
          </cell>
        </row>
        <row r="753">
          <cell r="D753">
            <v>57</v>
          </cell>
          <cell r="K753" t="str">
            <v>Returned</v>
          </cell>
        </row>
        <row r="754">
          <cell r="C754" t="str">
            <v>South</v>
          </cell>
          <cell r="D754">
            <v>66</v>
          </cell>
          <cell r="K754" t="str">
            <v>Delivered</v>
          </cell>
        </row>
        <row r="755">
          <cell r="C755" t="str">
            <v>North</v>
          </cell>
          <cell r="D755">
            <v>49</v>
          </cell>
          <cell r="K755" t="str">
            <v>Delivered</v>
          </cell>
        </row>
        <row r="756">
          <cell r="C756" t="str">
            <v>East</v>
          </cell>
          <cell r="D756">
            <v>40</v>
          </cell>
          <cell r="K756" t="str">
            <v>Delivered</v>
          </cell>
        </row>
        <row r="757">
          <cell r="C757" t="str">
            <v>East</v>
          </cell>
          <cell r="D757">
            <v>53</v>
          </cell>
        </row>
        <row r="758">
          <cell r="C758" t="str">
            <v>West</v>
          </cell>
          <cell r="D758">
            <v>46</v>
          </cell>
          <cell r="K758" t="str">
            <v>Delivered</v>
          </cell>
        </row>
        <row r="759">
          <cell r="C759" t="str">
            <v>South</v>
          </cell>
          <cell r="D759">
            <v>20</v>
          </cell>
          <cell r="K759" t="str">
            <v>Returned</v>
          </cell>
        </row>
        <row r="760">
          <cell r="C760" t="str">
            <v>South</v>
          </cell>
          <cell r="D760">
            <v>55</v>
          </cell>
          <cell r="K760" t="str">
            <v>Returned</v>
          </cell>
        </row>
        <row r="761">
          <cell r="C761" t="str">
            <v>West</v>
          </cell>
          <cell r="D761">
            <v>25</v>
          </cell>
          <cell r="K761" t="str">
            <v>In Transit</v>
          </cell>
        </row>
        <row r="762">
          <cell r="D762">
            <v>41</v>
          </cell>
        </row>
        <row r="763">
          <cell r="C763" t="str">
            <v>North</v>
          </cell>
        </row>
        <row r="764">
          <cell r="C764" t="str">
            <v>West</v>
          </cell>
          <cell r="D764">
            <v>23</v>
          </cell>
          <cell r="K764" t="str">
            <v>Delivered</v>
          </cell>
        </row>
        <row r="765">
          <cell r="C765" t="str">
            <v>West</v>
          </cell>
          <cell r="D765">
            <v>66</v>
          </cell>
          <cell r="K765" t="str">
            <v>In Transit</v>
          </cell>
        </row>
        <row r="766">
          <cell r="C766" t="str">
            <v>South</v>
          </cell>
          <cell r="D766">
            <v>60</v>
          </cell>
          <cell r="K766" t="str">
            <v>Returned</v>
          </cell>
        </row>
        <row r="767">
          <cell r="C767" t="str">
            <v>South</v>
          </cell>
          <cell r="D767">
            <v>20</v>
          </cell>
          <cell r="K767" t="str">
            <v>Returned</v>
          </cell>
        </row>
        <row r="768">
          <cell r="C768" t="str">
            <v>West</v>
          </cell>
          <cell r="D768">
            <v>51</v>
          </cell>
          <cell r="K768" t="str">
            <v>In Transit</v>
          </cell>
        </row>
        <row r="769">
          <cell r="C769" t="str">
            <v>East</v>
          </cell>
          <cell r="D769">
            <v>35</v>
          </cell>
          <cell r="K769" t="str">
            <v>Returned</v>
          </cell>
        </row>
        <row r="770">
          <cell r="C770" t="str">
            <v>West</v>
          </cell>
          <cell r="D770">
            <v>40</v>
          </cell>
          <cell r="K770" t="str">
            <v>Delivered</v>
          </cell>
        </row>
        <row r="771">
          <cell r="C771" t="str">
            <v>North</v>
          </cell>
          <cell r="D771">
            <v>54</v>
          </cell>
          <cell r="K771" t="str">
            <v>Delivered</v>
          </cell>
        </row>
        <row r="772">
          <cell r="C772" t="str">
            <v>East</v>
          </cell>
          <cell r="D772">
            <v>58</v>
          </cell>
          <cell r="K772" t="str">
            <v>Returned</v>
          </cell>
        </row>
        <row r="773">
          <cell r="C773" t="str">
            <v>South</v>
          </cell>
          <cell r="D773">
            <v>26</v>
          </cell>
          <cell r="K773" t="str">
            <v>In Transit</v>
          </cell>
        </row>
        <row r="774">
          <cell r="C774" t="str">
            <v>East</v>
          </cell>
          <cell r="D774">
            <v>43</v>
          </cell>
          <cell r="K774" t="str">
            <v>In Transit</v>
          </cell>
        </row>
        <row r="775">
          <cell r="C775" t="str">
            <v>East</v>
          </cell>
          <cell r="D775">
            <v>69</v>
          </cell>
          <cell r="K775" t="str">
            <v>Returned</v>
          </cell>
        </row>
        <row r="776">
          <cell r="C776" t="str">
            <v>West</v>
          </cell>
          <cell r="D776">
            <v>61</v>
          </cell>
          <cell r="K776" t="str">
            <v>Delivered</v>
          </cell>
        </row>
        <row r="777">
          <cell r="C777" t="str">
            <v>West</v>
          </cell>
          <cell r="D777">
            <v>61</v>
          </cell>
          <cell r="K777" t="str">
            <v>Returned</v>
          </cell>
        </row>
        <row r="778">
          <cell r="C778" t="str">
            <v>North</v>
          </cell>
          <cell r="D778">
            <v>67</v>
          </cell>
          <cell r="K778" t="str">
            <v>In Transit</v>
          </cell>
        </row>
        <row r="779">
          <cell r="C779" t="str">
            <v>West</v>
          </cell>
          <cell r="D779">
            <v>38</v>
          </cell>
          <cell r="K779" t="str">
            <v>Delivered</v>
          </cell>
        </row>
        <row r="780">
          <cell r="C780" t="str">
            <v>North</v>
          </cell>
          <cell r="D780">
            <v>69</v>
          </cell>
        </row>
        <row r="781">
          <cell r="C781" t="str">
            <v>West</v>
          </cell>
          <cell r="D781">
            <v>51</v>
          </cell>
          <cell r="K781" t="str">
            <v>Delivered</v>
          </cell>
        </row>
        <row r="782">
          <cell r="C782" t="str">
            <v>South</v>
          </cell>
          <cell r="D782">
            <v>30</v>
          </cell>
          <cell r="K782" t="str">
            <v>In Transit</v>
          </cell>
        </row>
        <row r="783">
          <cell r="C783" t="str">
            <v>East</v>
          </cell>
          <cell r="D783">
            <v>33</v>
          </cell>
          <cell r="K783" t="str">
            <v>Delivered</v>
          </cell>
        </row>
        <row r="784">
          <cell r="C784" t="str">
            <v>West</v>
          </cell>
          <cell r="D784">
            <v>44</v>
          </cell>
          <cell r="K784" t="str">
            <v>In Transit</v>
          </cell>
        </row>
        <row r="785">
          <cell r="C785" t="str">
            <v>South</v>
          </cell>
          <cell r="D785">
            <v>66</v>
          </cell>
          <cell r="K785" t="str">
            <v>In Transit</v>
          </cell>
        </row>
        <row r="786">
          <cell r="C786" t="str">
            <v>West</v>
          </cell>
          <cell r="D786">
            <v>65</v>
          </cell>
          <cell r="K786" t="str">
            <v>Delivered</v>
          </cell>
        </row>
        <row r="787">
          <cell r="C787" t="str">
            <v>North</v>
          </cell>
          <cell r="D787">
            <v>46</v>
          </cell>
          <cell r="K787" t="str">
            <v>In Transit</v>
          </cell>
        </row>
        <row r="788">
          <cell r="C788" t="str">
            <v>North</v>
          </cell>
          <cell r="D788">
            <v>65</v>
          </cell>
          <cell r="K788" t="str">
            <v>Returned</v>
          </cell>
        </row>
        <row r="789">
          <cell r="C789" t="str">
            <v>North</v>
          </cell>
          <cell r="D789">
            <v>68</v>
          </cell>
          <cell r="K789" t="str">
            <v>Returned</v>
          </cell>
        </row>
        <row r="790">
          <cell r="C790" t="str">
            <v>East</v>
          </cell>
          <cell r="D790">
            <v>20</v>
          </cell>
          <cell r="K790" t="str">
            <v>Returned</v>
          </cell>
        </row>
        <row r="791">
          <cell r="C791" t="str">
            <v>North</v>
          </cell>
          <cell r="D791">
            <v>66</v>
          </cell>
          <cell r="K791" t="str">
            <v>In Transit</v>
          </cell>
        </row>
        <row r="792">
          <cell r="C792" t="str">
            <v>South</v>
          </cell>
          <cell r="K792" t="str">
            <v>Delivered</v>
          </cell>
        </row>
        <row r="793">
          <cell r="C793" t="str">
            <v>West</v>
          </cell>
          <cell r="D793">
            <v>66</v>
          </cell>
          <cell r="K793" t="str">
            <v>In Transit</v>
          </cell>
        </row>
        <row r="794">
          <cell r="C794" t="str">
            <v>West</v>
          </cell>
          <cell r="D794">
            <v>29</v>
          </cell>
          <cell r="K794" t="str">
            <v>Delivered</v>
          </cell>
        </row>
        <row r="795">
          <cell r="C795" t="str">
            <v>East</v>
          </cell>
          <cell r="D795">
            <v>51</v>
          </cell>
          <cell r="K795" t="str">
            <v>Delivered</v>
          </cell>
        </row>
        <row r="796">
          <cell r="C796" t="str">
            <v>East</v>
          </cell>
          <cell r="D796">
            <v>45</v>
          </cell>
          <cell r="K796" t="str">
            <v>Returned</v>
          </cell>
        </row>
        <row r="797">
          <cell r="C797" t="str">
            <v>North</v>
          </cell>
          <cell r="K797" t="str">
            <v>Delivered</v>
          </cell>
        </row>
        <row r="798">
          <cell r="D798">
            <v>40</v>
          </cell>
          <cell r="K798" t="str">
            <v>Returned</v>
          </cell>
        </row>
        <row r="799">
          <cell r="C799" t="str">
            <v>East</v>
          </cell>
          <cell r="D799">
            <v>50</v>
          </cell>
          <cell r="K799" t="str">
            <v>Delivered</v>
          </cell>
        </row>
        <row r="800">
          <cell r="C800" t="str">
            <v>South</v>
          </cell>
          <cell r="D800">
            <v>54</v>
          </cell>
          <cell r="K800" t="str">
            <v>Delivered</v>
          </cell>
        </row>
        <row r="801">
          <cell r="C801" t="str">
            <v>West</v>
          </cell>
          <cell r="D801">
            <v>59</v>
          </cell>
          <cell r="K801" t="str">
            <v>In Transit</v>
          </cell>
        </row>
        <row r="802">
          <cell r="C802" t="str">
            <v>West</v>
          </cell>
          <cell r="D802">
            <v>50</v>
          </cell>
          <cell r="K802" t="str">
            <v>Returned</v>
          </cell>
        </row>
        <row r="803">
          <cell r="C803" t="str">
            <v>East</v>
          </cell>
          <cell r="D803">
            <v>53</v>
          </cell>
          <cell r="K803" t="str">
            <v>In Transit</v>
          </cell>
        </row>
        <row r="804">
          <cell r="C804" t="str">
            <v>West</v>
          </cell>
          <cell r="D804">
            <v>55</v>
          </cell>
          <cell r="K804" t="str">
            <v>Delivered</v>
          </cell>
        </row>
        <row r="805">
          <cell r="D805">
            <v>43</v>
          </cell>
          <cell r="K805" t="str">
            <v>In Transit</v>
          </cell>
        </row>
        <row r="806">
          <cell r="C806" t="str">
            <v>North</v>
          </cell>
          <cell r="D806">
            <v>45</v>
          </cell>
          <cell r="K806" t="str">
            <v>In Transit</v>
          </cell>
        </row>
        <row r="807">
          <cell r="C807" t="str">
            <v>West</v>
          </cell>
          <cell r="D807">
            <v>32</v>
          </cell>
          <cell r="K807" t="str">
            <v>In Transit</v>
          </cell>
        </row>
        <row r="808">
          <cell r="C808" t="str">
            <v>North</v>
          </cell>
          <cell r="D808">
            <v>35</v>
          </cell>
          <cell r="K808" t="str">
            <v>Delivered</v>
          </cell>
        </row>
        <row r="809">
          <cell r="C809" t="str">
            <v>West</v>
          </cell>
          <cell r="D809">
            <v>33</v>
          </cell>
          <cell r="K809" t="str">
            <v>Returned</v>
          </cell>
        </row>
        <row r="810">
          <cell r="C810" t="str">
            <v>East</v>
          </cell>
          <cell r="D810">
            <v>36</v>
          </cell>
          <cell r="K810" t="str">
            <v>In Transit</v>
          </cell>
        </row>
        <row r="811">
          <cell r="C811" t="str">
            <v>South</v>
          </cell>
          <cell r="D811">
            <v>38</v>
          </cell>
          <cell r="K811" t="str">
            <v>In Transit</v>
          </cell>
        </row>
        <row r="812">
          <cell r="C812" t="str">
            <v>North</v>
          </cell>
          <cell r="D812">
            <v>64</v>
          </cell>
          <cell r="K812" t="str">
            <v>Delivered</v>
          </cell>
        </row>
        <row r="813">
          <cell r="C813" t="str">
            <v>West</v>
          </cell>
          <cell r="D813">
            <v>66</v>
          </cell>
          <cell r="K813" t="str">
            <v>In Transit</v>
          </cell>
        </row>
        <row r="814">
          <cell r="C814" t="str">
            <v>South</v>
          </cell>
          <cell r="D814">
            <v>20</v>
          </cell>
          <cell r="K814" t="str">
            <v>Returned</v>
          </cell>
        </row>
        <row r="815">
          <cell r="C815" t="str">
            <v>West</v>
          </cell>
          <cell r="D815">
            <v>69</v>
          </cell>
          <cell r="K815" t="str">
            <v>Returned</v>
          </cell>
        </row>
        <row r="816">
          <cell r="C816" t="str">
            <v>East</v>
          </cell>
          <cell r="D816">
            <v>37</v>
          </cell>
          <cell r="K816" t="str">
            <v>In Transit</v>
          </cell>
        </row>
        <row r="817">
          <cell r="C817" t="str">
            <v>South</v>
          </cell>
          <cell r="D817">
            <v>32</v>
          </cell>
          <cell r="K817" t="str">
            <v>Delivered</v>
          </cell>
        </row>
        <row r="818">
          <cell r="C818" t="str">
            <v>South</v>
          </cell>
          <cell r="D818">
            <v>51</v>
          </cell>
          <cell r="K818" t="str">
            <v>Returned</v>
          </cell>
        </row>
        <row r="819">
          <cell r="C819" t="str">
            <v>North</v>
          </cell>
          <cell r="D819">
            <v>58</v>
          </cell>
          <cell r="K819" t="str">
            <v>In Transit</v>
          </cell>
        </row>
        <row r="820">
          <cell r="C820" t="str">
            <v>East</v>
          </cell>
          <cell r="D820">
            <v>37</v>
          </cell>
          <cell r="K820" t="str">
            <v>In Transit</v>
          </cell>
        </row>
        <row r="821">
          <cell r="C821" t="str">
            <v>South</v>
          </cell>
          <cell r="D821">
            <v>55</v>
          </cell>
        </row>
        <row r="822">
          <cell r="C822" t="str">
            <v>West</v>
          </cell>
          <cell r="D822">
            <v>35</v>
          </cell>
          <cell r="K822" t="str">
            <v>Returned</v>
          </cell>
        </row>
        <row r="823">
          <cell r="C823" t="str">
            <v>South</v>
          </cell>
          <cell r="D823">
            <v>60</v>
          </cell>
          <cell r="K823" t="str">
            <v>In Transit</v>
          </cell>
        </row>
        <row r="824">
          <cell r="C824" t="str">
            <v>North</v>
          </cell>
          <cell r="D824">
            <v>43</v>
          </cell>
          <cell r="K824" t="str">
            <v>Returned</v>
          </cell>
        </row>
        <row r="825">
          <cell r="C825" t="str">
            <v>North</v>
          </cell>
          <cell r="D825">
            <v>26</v>
          </cell>
          <cell r="K825" t="str">
            <v>Delivered</v>
          </cell>
        </row>
        <row r="826">
          <cell r="C826" t="str">
            <v>West</v>
          </cell>
          <cell r="D826">
            <v>51</v>
          </cell>
          <cell r="K826" t="str">
            <v>Returned</v>
          </cell>
        </row>
        <row r="827">
          <cell r="C827" t="str">
            <v>South</v>
          </cell>
          <cell r="D827">
            <v>65</v>
          </cell>
          <cell r="K827" t="str">
            <v>Delivered</v>
          </cell>
        </row>
        <row r="828">
          <cell r="C828" t="str">
            <v>West</v>
          </cell>
          <cell r="D828">
            <v>24</v>
          </cell>
          <cell r="K828" t="str">
            <v>In Transit</v>
          </cell>
        </row>
        <row r="829">
          <cell r="C829" t="str">
            <v>North</v>
          </cell>
          <cell r="D829">
            <v>57</v>
          </cell>
          <cell r="K829" t="str">
            <v>In Transit</v>
          </cell>
        </row>
        <row r="830">
          <cell r="C830" t="str">
            <v>South</v>
          </cell>
          <cell r="D830">
            <v>52</v>
          </cell>
          <cell r="K830" t="str">
            <v>In Transit</v>
          </cell>
        </row>
        <row r="831">
          <cell r="C831" t="str">
            <v>North</v>
          </cell>
          <cell r="D831">
            <v>59</v>
          </cell>
          <cell r="K831" t="str">
            <v>In Transit</v>
          </cell>
        </row>
        <row r="832">
          <cell r="C832" t="str">
            <v>West</v>
          </cell>
          <cell r="D832">
            <v>66</v>
          </cell>
          <cell r="K832" t="str">
            <v>Returned</v>
          </cell>
        </row>
        <row r="833">
          <cell r="C833" t="str">
            <v>East</v>
          </cell>
          <cell r="D833">
            <v>23</v>
          </cell>
          <cell r="K833" t="str">
            <v>In Transit</v>
          </cell>
        </row>
        <row r="834">
          <cell r="C834" t="str">
            <v>North</v>
          </cell>
          <cell r="D834">
            <v>52</v>
          </cell>
          <cell r="K834" t="str">
            <v>Delivered</v>
          </cell>
        </row>
        <row r="835">
          <cell r="C835" t="str">
            <v>South</v>
          </cell>
          <cell r="K835" t="str">
            <v>In Transit</v>
          </cell>
        </row>
        <row r="836">
          <cell r="C836" t="str">
            <v>East</v>
          </cell>
          <cell r="K836" t="str">
            <v>In Transit</v>
          </cell>
        </row>
        <row r="837">
          <cell r="C837" t="str">
            <v>East</v>
          </cell>
          <cell r="D837">
            <v>56</v>
          </cell>
          <cell r="K837" t="str">
            <v>In Transit</v>
          </cell>
        </row>
        <row r="838">
          <cell r="C838" t="str">
            <v>South</v>
          </cell>
          <cell r="K838" t="str">
            <v>In Transit</v>
          </cell>
        </row>
        <row r="839">
          <cell r="C839" t="str">
            <v>West</v>
          </cell>
          <cell r="K839" t="str">
            <v>Delivered</v>
          </cell>
        </row>
        <row r="840">
          <cell r="C840" t="str">
            <v>South</v>
          </cell>
          <cell r="D840">
            <v>44</v>
          </cell>
          <cell r="K840" t="str">
            <v>Returned</v>
          </cell>
        </row>
        <row r="841">
          <cell r="C841" t="str">
            <v>North</v>
          </cell>
          <cell r="D841">
            <v>19</v>
          </cell>
          <cell r="K841" t="str">
            <v>In Transit</v>
          </cell>
        </row>
        <row r="842">
          <cell r="D842">
            <v>40</v>
          </cell>
          <cell r="K842" t="str">
            <v>In Transit</v>
          </cell>
        </row>
        <row r="843">
          <cell r="C843" t="str">
            <v>West</v>
          </cell>
          <cell r="D843">
            <v>44</v>
          </cell>
          <cell r="K843" t="str">
            <v>Returned</v>
          </cell>
        </row>
        <row r="844">
          <cell r="C844" t="str">
            <v>West</v>
          </cell>
          <cell r="D844">
            <v>69</v>
          </cell>
          <cell r="K844" t="str">
            <v>Returned</v>
          </cell>
        </row>
        <row r="845">
          <cell r="C845" t="str">
            <v>South</v>
          </cell>
          <cell r="D845">
            <v>27</v>
          </cell>
          <cell r="K845" t="str">
            <v>Returned</v>
          </cell>
        </row>
        <row r="846">
          <cell r="C846" t="str">
            <v>West</v>
          </cell>
          <cell r="D846">
            <v>41</v>
          </cell>
          <cell r="K846" t="str">
            <v>In Transit</v>
          </cell>
        </row>
        <row r="847">
          <cell r="C847" t="str">
            <v>North</v>
          </cell>
          <cell r="K847" t="str">
            <v>Returned</v>
          </cell>
        </row>
        <row r="848">
          <cell r="C848" t="str">
            <v>West</v>
          </cell>
          <cell r="D848">
            <v>63</v>
          </cell>
          <cell r="K848" t="str">
            <v>Delivered</v>
          </cell>
        </row>
        <row r="849">
          <cell r="C849" t="str">
            <v>East</v>
          </cell>
          <cell r="D849">
            <v>66</v>
          </cell>
          <cell r="K849" t="str">
            <v>Returned</v>
          </cell>
        </row>
        <row r="850">
          <cell r="C850" t="str">
            <v>North</v>
          </cell>
          <cell r="D850">
            <v>37</v>
          </cell>
          <cell r="K850" t="str">
            <v>In Transit</v>
          </cell>
        </row>
        <row r="851">
          <cell r="C851" t="str">
            <v>South</v>
          </cell>
          <cell r="D851">
            <v>39</v>
          </cell>
          <cell r="K851" t="str">
            <v>Returned</v>
          </cell>
        </row>
        <row r="852">
          <cell r="C852" t="str">
            <v>North</v>
          </cell>
          <cell r="D852">
            <v>31</v>
          </cell>
          <cell r="K852" t="str">
            <v>In Transit</v>
          </cell>
        </row>
        <row r="853">
          <cell r="C853" t="str">
            <v>West</v>
          </cell>
          <cell r="D853">
            <v>33</v>
          </cell>
          <cell r="K853" t="str">
            <v>Returned</v>
          </cell>
        </row>
        <row r="854">
          <cell r="C854" t="str">
            <v>East</v>
          </cell>
          <cell r="D854">
            <v>68</v>
          </cell>
          <cell r="K854" t="str">
            <v>Returned</v>
          </cell>
        </row>
        <row r="855">
          <cell r="C855" t="str">
            <v>South</v>
          </cell>
          <cell r="D855">
            <v>35</v>
          </cell>
          <cell r="K855" t="str">
            <v>Returned</v>
          </cell>
        </row>
        <row r="856">
          <cell r="C856" t="str">
            <v>East</v>
          </cell>
          <cell r="D856">
            <v>22</v>
          </cell>
          <cell r="K856" t="str">
            <v>Delivered</v>
          </cell>
        </row>
        <row r="857">
          <cell r="C857" t="str">
            <v>North</v>
          </cell>
          <cell r="D857">
            <v>68</v>
          </cell>
          <cell r="K857" t="str">
            <v>Delivered</v>
          </cell>
        </row>
        <row r="858">
          <cell r="C858" t="str">
            <v>East</v>
          </cell>
          <cell r="D858">
            <v>38</v>
          </cell>
          <cell r="K858" t="str">
            <v>Returned</v>
          </cell>
        </row>
        <row r="859">
          <cell r="C859" t="str">
            <v>West</v>
          </cell>
          <cell r="D859">
            <v>53</v>
          </cell>
          <cell r="K859" t="str">
            <v>Delivered</v>
          </cell>
        </row>
        <row r="860">
          <cell r="C860" t="str">
            <v>West</v>
          </cell>
          <cell r="D860">
            <v>38</v>
          </cell>
          <cell r="K860" t="str">
            <v>Returned</v>
          </cell>
        </row>
        <row r="861">
          <cell r="C861" t="str">
            <v>South</v>
          </cell>
          <cell r="D861">
            <v>26</v>
          </cell>
          <cell r="K861" t="str">
            <v>Delivered</v>
          </cell>
        </row>
        <row r="862">
          <cell r="C862" t="str">
            <v>North</v>
          </cell>
          <cell r="D862">
            <v>35</v>
          </cell>
          <cell r="K862" t="str">
            <v>In Transit</v>
          </cell>
        </row>
        <row r="863">
          <cell r="C863" t="str">
            <v>North</v>
          </cell>
          <cell r="D863">
            <v>38</v>
          </cell>
          <cell r="K863" t="str">
            <v>In Transit</v>
          </cell>
        </row>
        <row r="864">
          <cell r="C864" t="str">
            <v>South</v>
          </cell>
          <cell r="D864">
            <v>45</v>
          </cell>
          <cell r="K864" t="str">
            <v>In Transit</v>
          </cell>
        </row>
        <row r="865">
          <cell r="C865" t="str">
            <v>North</v>
          </cell>
          <cell r="D865">
            <v>42</v>
          </cell>
          <cell r="K865" t="str">
            <v>In Transit</v>
          </cell>
        </row>
        <row r="866">
          <cell r="C866" t="str">
            <v>North</v>
          </cell>
          <cell r="K866" t="str">
            <v>Returned</v>
          </cell>
        </row>
        <row r="867">
          <cell r="C867" t="str">
            <v>South</v>
          </cell>
          <cell r="D867">
            <v>30</v>
          </cell>
          <cell r="K867" t="str">
            <v>Returned</v>
          </cell>
        </row>
        <row r="868">
          <cell r="C868" t="str">
            <v>South</v>
          </cell>
          <cell r="D868">
            <v>20</v>
          </cell>
          <cell r="K868" t="str">
            <v>In Transit</v>
          </cell>
        </row>
        <row r="869">
          <cell r="C869" t="str">
            <v>South</v>
          </cell>
          <cell r="D869">
            <v>18</v>
          </cell>
          <cell r="K869" t="str">
            <v>Delivered</v>
          </cell>
        </row>
        <row r="870">
          <cell r="C870" t="str">
            <v>South</v>
          </cell>
          <cell r="D870">
            <v>35</v>
          </cell>
          <cell r="K870" t="str">
            <v>Delivered</v>
          </cell>
        </row>
        <row r="871">
          <cell r="C871" t="str">
            <v>West</v>
          </cell>
          <cell r="K871" t="str">
            <v>In Transit</v>
          </cell>
        </row>
        <row r="872">
          <cell r="C872" t="str">
            <v>South</v>
          </cell>
          <cell r="D872">
            <v>38</v>
          </cell>
          <cell r="K872" t="str">
            <v>Delivered</v>
          </cell>
        </row>
        <row r="873">
          <cell r="C873" t="str">
            <v>West</v>
          </cell>
          <cell r="D873">
            <v>50</v>
          </cell>
          <cell r="K873" t="str">
            <v>Delivered</v>
          </cell>
        </row>
        <row r="874">
          <cell r="C874" t="str">
            <v>South</v>
          </cell>
          <cell r="D874">
            <v>18</v>
          </cell>
          <cell r="K874" t="str">
            <v>In Transit</v>
          </cell>
        </row>
        <row r="875">
          <cell r="C875" t="str">
            <v>South</v>
          </cell>
          <cell r="D875">
            <v>25</v>
          </cell>
          <cell r="K875" t="str">
            <v>Returned</v>
          </cell>
        </row>
        <row r="876">
          <cell r="C876" t="str">
            <v>North</v>
          </cell>
          <cell r="D876">
            <v>58</v>
          </cell>
        </row>
        <row r="877">
          <cell r="C877" t="str">
            <v>East</v>
          </cell>
          <cell r="D877">
            <v>21</v>
          </cell>
          <cell r="K877" t="str">
            <v>Delivered</v>
          </cell>
        </row>
        <row r="878">
          <cell r="C878" t="str">
            <v>West</v>
          </cell>
          <cell r="D878">
            <v>57</v>
          </cell>
          <cell r="K878" t="str">
            <v>Returned</v>
          </cell>
        </row>
        <row r="879">
          <cell r="C879" t="str">
            <v>East</v>
          </cell>
          <cell r="D879">
            <v>26</v>
          </cell>
          <cell r="K879" t="str">
            <v>In Transit</v>
          </cell>
        </row>
        <row r="880">
          <cell r="C880" t="str">
            <v>West</v>
          </cell>
          <cell r="D880">
            <v>20</v>
          </cell>
        </row>
        <row r="881">
          <cell r="C881" t="str">
            <v>East</v>
          </cell>
          <cell r="D881">
            <v>35</v>
          </cell>
          <cell r="K881" t="str">
            <v>Delivered</v>
          </cell>
        </row>
        <row r="882">
          <cell r="C882" t="str">
            <v>South</v>
          </cell>
          <cell r="D882">
            <v>21</v>
          </cell>
          <cell r="K882" t="str">
            <v>Delivered</v>
          </cell>
        </row>
        <row r="883">
          <cell r="C883" t="str">
            <v>West</v>
          </cell>
          <cell r="D883">
            <v>26</v>
          </cell>
        </row>
        <row r="884">
          <cell r="C884" t="str">
            <v>North</v>
          </cell>
          <cell r="D884">
            <v>49</v>
          </cell>
          <cell r="K884" t="str">
            <v>In Transit</v>
          </cell>
        </row>
        <row r="885">
          <cell r="C885" t="str">
            <v>North</v>
          </cell>
          <cell r="K885" t="str">
            <v>In Transit</v>
          </cell>
        </row>
        <row r="886">
          <cell r="C886" t="str">
            <v>East</v>
          </cell>
          <cell r="D886">
            <v>68</v>
          </cell>
        </row>
        <row r="887">
          <cell r="C887" t="str">
            <v>South</v>
          </cell>
          <cell r="D887">
            <v>58</v>
          </cell>
          <cell r="K887" t="str">
            <v>In Transit</v>
          </cell>
        </row>
        <row r="888">
          <cell r="C888" t="str">
            <v>North</v>
          </cell>
          <cell r="D888">
            <v>26</v>
          </cell>
          <cell r="K888" t="str">
            <v>In Transit</v>
          </cell>
        </row>
        <row r="889">
          <cell r="C889" t="str">
            <v>East</v>
          </cell>
          <cell r="D889">
            <v>53</v>
          </cell>
          <cell r="K889" t="str">
            <v>Returned</v>
          </cell>
        </row>
        <row r="890">
          <cell r="C890" t="str">
            <v>West</v>
          </cell>
          <cell r="K890" t="str">
            <v>In Transit</v>
          </cell>
        </row>
        <row r="891">
          <cell r="C891" t="str">
            <v>South</v>
          </cell>
          <cell r="D891">
            <v>37</v>
          </cell>
          <cell r="K891" t="str">
            <v>Delivered</v>
          </cell>
        </row>
        <row r="892">
          <cell r="C892" t="str">
            <v>South</v>
          </cell>
          <cell r="D892">
            <v>67</v>
          </cell>
          <cell r="K892" t="str">
            <v>Delivered</v>
          </cell>
        </row>
        <row r="893">
          <cell r="C893" t="str">
            <v>West</v>
          </cell>
          <cell r="D893">
            <v>26</v>
          </cell>
          <cell r="K893" t="str">
            <v>In Transit</v>
          </cell>
        </row>
        <row r="894">
          <cell r="C894" t="str">
            <v>East</v>
          </cell>
          <cell r="D894">
            <v>34</v>
          </cell>
          <cell r="K894" t="str">
            <v>In Transit</v>
          </cell>
        </row>
        <row r="895">
          <cell r="C895" t="str">
            <v>South</v>
          </cell>
          <cell r="D895">
            <v>53</v>
          </cell>
          <cell r="K895" t="str">
            <v>Delivered</v>
          </cell>
        </row>
        <row r="896">
          <cell r="C896" t="str">
            <v>East</v>
          </cell>
          <cell r="K896" t="str">
            <v>Delivered</v>
          </cell>
        </row>
        <row r="897">
          <cell r="C897" t="str">
            <v>South</v>
          </cell>
          <cell r="D897">
            <v>53</v>
          </cell>
          <cell r="K897" t="str">
            <v>Returned</v>
          </cell>
        </row>
        <row r="898">
          <cell r="C898" t="str">
            <v>South</v>
          </cell>
          <cell r="D898">
            <v>66</v>
          </cell>
          <cell r="K898" t="str">
            <v>In Transit</v>
          </cell>
        </row>
        <row r="899">
          <cell r="C899" t="str">
            <v>South</v>
          </cell>
          <cell r="D899">
            <v>68</v>
          </cell>
          <cell r="K899" t="str">
            <v>Delivered</v>
          </cell>
        </row>
        <row r="900">
          <cell r="C900" t="str">
            <v>East</v>
          </cell>
          <cell r="D900">
            <v>54</v>
          </cell>
          <cell r="K900" t="str">
            <v>Returned</v>
          </cell>
        </row>
        <row r="901">
          <cell r="D901">
            <v>37</v>
          </cell>
          <cell r="K901" t="str">
            <v>Returned</v>
          </cell>
        </row>
        <row r="902">
          <cell r="C902" t="str">
            <v>East</v>
          </cell>
          <cell r="D902">
            <v>25</v>
          </cell>
          <cell r="K902" t="str">
            <v>In Transit</v>
          </cell>
        </row>
        <row r="903">
          <cell r="C903" t="str">
            <v>West</v>
          </cell>
          <cell r="D903">
            <v>58</v>
          </cell>
        </row>
        <row r="904">
          <cell r="C904" t="str">
            <v>North</v>
          </cell>
          <cell r="D904">
            <v>58</v>
          </cell>
          <cell r="K904" t="str">
            <v>Returned</v>
          </cell>
        </row>
        <row r="905">
          <cell r="C905" t="str">
            <v>South</v>
          </cell>
          <cell r="D905">
            <v>32</v>
          </cell>
          <cell r="K905" t="str">
            <v>In Transit</v>
          </cell>
        </row>
        <row r="906">
          <cell r="C906" t="str">
            <v>East</v>
          </cell>
          <cell r="D906">
            <v>67</v>
          </cell>
          <cell r="K906" t="str">
            <v>Delivered</v>
          </cell>
        </row>
        <row r="907">
          <cell r="C907" t="str">
            <v>North</v>
          </cell>
          <cell r="D907">
            <v>66</v>
          </cell>
          <cell r="K907" t="str">
            <v>Delivered</v>
          </cell>
        </row>
        <row r="908">
          <cell r="C908" t="str">
            <v>West</v>
          </cell>
          <cell r="D908">
            <v>38</v>
          </cell>
          <cell r="K908" t="str">
            <v>Returned</v>
          </cell>
        </row>
        <row r="909">
          <cell r="C909" t="str">
            <v>North</v>
          </cell>
          <cell r="D909">
            <v>63</v>
          </cell>
          <cell r="K909" t="str">
            <v>Delivered</v>
          </cell>
        </row>
        <row r="910">
          <cell r="C910" t="str">
            <v>West</v>
          </cell>
          <cell r="D910">
            <v>62</v>
          </cell>
          <cell r="K910" t="str">
            <v>In Transit</v>
          </cell>
        </row>
        <row r="911">
          <cell r="C911" t="str">
            <v>West</v>
          </cell>
          <cell r="D911">
            <v>50</v>
          </cell>
          <cell r="K911" t="str">
            <v>In Transit</v>
          </cell>
        </row>
        <row r="912">
          <cell r="C912" t="str">
            <v>West</v>
          </cell>
          <cell r="D912">
            <v>23</v>
          </cell>
          <cell r="K912" t="str">
            <v>Returned</v>
          </cell>
        </row>
        <row r="913">
          <cell r="C913" t="str">
            <v>East</v>
          </cell>
          <cell r="D913">
            <v>66</v>
          </cell>
          <cell r="K913" t="str">
            <v>Returned</v>
          </cell>
        </row>
        <row r="914">
          <cell r="C914" t="str">
            <v>South</v>
          </cell>
          <cell r="D914">
            <v>21</v>
          </cell>
          <cell r="K914" t="str">
            <v>Delivered</v>
          </cell>
        </row>
        <row r="915">
          <cell r="C915" t="str">
            <v>South</v>
          </cell>
          <cell r="D915">
            <v>49</v>
          </cell>
          <cell r="K915" t="str">
            <v>In Transit</v>
          </cell>
        </row>
        <row r="916">
          <cell r="C916" t="str">
            <v>North</v>
          </cell>
          <cell r="D916">
            <v>18</v>
          </cell>
          <cell r="K916" t="str">
            <v>Delivered</v>
          </cell>
        </row>
        <row r="917">
          <cell r="C917" t="str">
            <v>West</v>
          </cell>
          <cell r="D917">
            <v>29</v>
          </cell>
          <cell r="K917" t="str">
            <v>Returned</v>
          </cell>
        </row>
        <row r="918">
          <cell r="C918" t="str">
            <v>East</v>
          </cell>
          <cell r="K918" t="str">
            <v>Returned</v>
          </cell>
        </row>
        <row r="919">
          <cell r="C919" t="str">
            <v>North</v>
          </cell>
          <cell r="K919" t="str">
            <v>Returned</v>
          </cell>
        </row>
        <row r="920">
          <cell r="C920" t="str">
            <v>South</v>
          </cell>
          <cell r="D920">
            <v>18</v>
          </cell>
        </row>
        <row r="921">
          <cell r="C921" t="str">
            <v>East</v>
          </cell>
          <cell r="D921">
            <v>44</v>
          </cell>
          <cell r="K921" t="str">
            <v>In Transit</v>
          </cell>
        </row>
        <row r="922">
          <cell r="C922" t="str">
            <v>South</v>
          </cell>
          <cell r="D922">
            <v>69</v>
          </cell>
          <cell r="K922" t="str">
            <v>Delivered</v>
          </cell>
        </row>
        <row r="923">
          <cell r="C923" t="str">
            <v>North</v>
          </cell>
          <cell r="D923">
            <v>65</v>
          </cell>
          <cell r="K923" t="str">
            <v>Returned</v>
          </cell>
        </row>
        <row r="924">
          <cell r="C924" t="str">
            <v>West</v>
          </cell>
          <cell r="D924">
            <v>59</v>
          </cell>
          <cell r="K924" t="str">
            <v>Delivered</v>
          </cell>
        </row>
        <row r="925">
          <cell r="C925" t="str">
            <v>East</v>
          </cell>
          <cell r="D925">
            <v>66</v>
          </cell>
          <cell r="K925" t="str">
            <v>In Transit</v>
          </cell>
        </row>
        <row r="926">
          <cell r="C926" t="str">
            <v>North</v>
          </cell>
          <cell r="D926">
            <v>65</v>
          </cell>
          <cell r="K926" t="str">
            <v>In Transit</v>
          </cell>
        </row>
        <row r="927">
          <cell r="C927" t="str">
            <v>South</v>
          </cell>
          <cell r="D927">
            <v>41</v>
          </cell>
          <cell r="K927" t="str">
            <v>Delivered</v>
          </cell>
        </row>
        <row r="928">
          <cell r="C928" t="str">
            <v>North</v>
          </cell>
          <cell r="D928">
            <v>31</v>
          </cell>
          <cell r="K928" t="str">
            <v>Returned</v>
          </cell>
        </row>
        <row r="929">
          <cell r="C929" t="str">
            <v>East</v>
          </cell>
          <cell r="D929">
            <v>59</v>
          </cell>
          <cell r="K929" t="str">
            <v>Delivered</v>
          </cell>
        </row>
        <row r="930">
          <cell r="C930" t="str">
            <v>East</v>
          </cell>
          <cell r="K930" t="str">
            <v>In Transit</v>
          </cell>
        </row>
        <row r="931">
          <cell r="C931" t="str">
            <v>West</v>
          </cell>
          <cell r="D931">
            <v>27</v>
          </cell>
          <cell r="K931" t="str">
            <v>In Transit</v>
          </cell>
        </row>
        <row r="932">
          <cell r="C932" t="str">
            <v>West</v>
          </cell>
          <cell r="D932">
            <v>65</v>
          </cell>
          <cell r="K932" t="str">
            <v>Returned</v>
          </cell>
        </row>
        <row r="933">
          <cell r="C933" t="str">
            <v>West</v>
          </cell>
          <cell r="D933">
            <v>67</v>
          </cell>
          <cell r="K933" t="str">
            <v>In Transit</v>
          </cell>
        </row>
        <row r="934">
          <cell r="C934" t="str">
            <v>West</v>
          </cell>
          <cell r="D934">
            <v>54</v>
          </cell>
          <cell r="K934" t="str">
            <v>Delivered</v>
          </cell>
        </row>
        <row r="935">
          <cell r="C935" t="str">
            <v>East</v>
          </cell>
          <cell r="D935">
            <v>67</v>
          </cell>
        </row>
        <row r="936">
          <cell r="C936" t="str">
            <v>East</v>
          </cell>
          <cell r="D936">
            <v>36</v>
          </cell>
          <cell r="K936" t="str">
            <v>In Transit</v>
          </cell>
        </row>
        <row r="937">
          <cell r="C937" t="str">
            <v>South</v>
          </cell>
          <cell r="D937">
            <v>44</v>
          </cell>
          <cell r="K937" t="str">
            <v>Returned</v>
          </cell>
        </row>
        <row r="938">
          <cell r="C938" t="str">
            <v>West</v>
          </cell>
          <cell r="D938">
            <v>40</v>
          </cell>
          <cell r="K938" t="str">
            <v>Delivered</v>
          </cell>
        </row>
        <row r="939">
          <cell r="C939" t="str">
            <v>South</v>
          </cell>
          <cell r="D939">
            <v>50</v>
          </cell>
          <cell r="K939" t="str">
            <v>Delivered</v>
          </cell>
        </row>
        <row r="940">
          <cell r="C940" t="str">
            <v>South</v>
          </cell>
          <cell r="D940">
            <v>30</v>
          </cell>
          <cell r="K940" t="str">
            <v>Returned</v>
          </cell>
        </row>
        <row r="941">
          <cell r="C941" t="str">
            <v>South</v>
          </cell>
          <cell r="D941">
            <v>56</v>
          </cell>
          <cell r="K941" t="str">
            <v>In Transit</v>
          </cell>
        </row>
        <row r="942">
          <cell r="C942" t="str">
            <v>North</v>
          </cell>
          <cell r="D942">
            <v>66</v>
          </cell>
          <cell r="K942" t="str">
            <v>Delivered</v>
          </cell>
        </row>
        <row r="943">
          <cell r="C943" t="str">
            <v>West</v>
          </cell>
          <cell r="D943">
            <v>39</v>
          </cell>
          <cell r="K943" t="str">
            <v>Delivered</v>
          </cell>
        </row>
        <row r="944">
          <cell r="C944" t="str">
            <v>East</v>
          </cell>
          <cell r="D944">
            <v>47</v>
          </cell>
          <cell r="K944" t="str">
            <v>In Transit</v>
          </cell>
        </row>
        <row r="945">
          <cell r="C945" t="str">
            <v>South</v>
          </cell>
          <cell r="D945">
            <v>46</v>
          </cell>
          <cell r="K945" t="str">
            <v>In Transit</v>
          </cell>
        </row>
        <row r="946">
          <cell r="C946" t="str">
            <v>North</v>
          </cell>
          <cell r="D946">
            <v>66</v>
          </cell>
          <cell r="K946" t="str">
            <v>Returned</v>
          </cell>
        </row>
        <row r="947">
          <cell r="C947" t="str">
            <v>East</v>
          </cell>
          <cell r="D947">
            <v>50</v>
          </cell>
          <cell r="K947" t="str">
            <v>In Transit</v>
          </cell>
        </row>
        <row r="948">
          <cell r="C948" t="str">
            <v>East</v>
          </cell>
          <cell r="K948" t="str">
            <v>Returned</v>
          </cell>
        </row>
        <row r="949">
          <cell r="C949" t="str">
            <v>East</v>
          </cell>
          <cell r="D949">
            <v>19</v>
          </cell>
          <cell r="K949" t="str">
            <v>Delivered</v>
          </cell>
        </row>
        <row r="950">
          <cell r="C950" t="str">
            <v>West</v>
          </cell>
          <cell r="D950">
            <v>39</v>
          </cell>
          <cell r="K950" t="str">
            <v>Delivered</v>
          </cell>
        </row>
        <row r="951">
          <cell r="C951" t="str">
            <v>East</v>
          </cell>
          <cell r="D951">
            <v>21</v>
          </cell>
          <cell r="K951" t="str">
            <v>In Transit</v>
          </cell>
        </row>
        <row r="952">
          <cell r="C952" t="str">
            <v>South</v>
          </cell>
          <cell r="D952">
            <v>37</v>
          </cell>
          <cell r="K952" t="str">
            <v>In Transit</v>
          </cell>
        </row>
        <row r="953">
          <cell r="C953" t="str">
            <v>South</v>
          </cell>
          <cell r="D953">
            <v>64</v>
          </cell>
          <cell r="K953" t="str">
            <v>In Transit</v>
          </cell>
        </row>
        <row r="954">
          <cell r="C954" t="str">
            <v>North</v>
          </cell>
          <cell r="K954" t="str">
            <v>In Transit</v>
          </cell>
        </row>
        <row r="955">
          <cell r="C955" t="str">
            <v>North</v>
          </cell>
          <cell r="D955">
            <v>29</v>
          </cell>
          <cell r="K955" t="str">
            <v>Delivered</v>
          </cell>
        </row>
        <row r="956">
          <cell r="C956" t="str">
            <v>South</v>
          </cell>
          <cell r="K956" t="str">
            <v>Delivered</v>
          </cell>
        </row>
        <row r="957">
          <cell r="C957" t="str">
            <v>South</v>
          </cell>
          <cell r="D957">
            <v>38</v>
          </cell>
          <cell r="K957" t="str">
            <v>Returned</v>
          </cell>
        </row>
        <row r="958">
          <cell r="C958" t="str">
            <v>West</v>
          </cell>
          <cell r="D958">
            <v>39</v>
          </cell>
          <cell r="K958" t="str">
            <v>In Transit</v>
          </cell>
        </row>
        <row r="959">
          <cell r="C959" t="str">
            <v>South</v>
          </cell>
          <cell r="D959">
            <v>63</v>
          </cell>
          <cell r="K959" t="str">
            <v>In Transit</v>
          </cell>
        </row>
        <row r="960">
          <cell r="C960" t="str">
            <v>South</v>
          </cell>
          <cell r="D960">
            <v>52</v>
          </cell>
          <cell r="K960" t="str">
            <v>Delivered</v>
          </cell>
        </row>
        <row r="961">
          <cell r="C961" t="str">
            <v>South</v>
          </cell>
          <cell r="D961">
            <v>66</v>
          </cell>
          <cell r="K961" t="str">
            <v>Delivered</v>
          </cell>
        </row>
        <row r="962">
          <cell r="C962" t="str">
            <v>North</v>
          </cell>
          <cell r="D962">
            <v>63</v>
          </cell>
          <cell r="K962" t="str">
            <v>Delivered</v>
          </cell>
        </row>
        <row r="963">
          <cell r="C963" t="str">
            <v>South</v>
          </cell>
          <cell r="D963">
            <v>20</v>
          </cell>
          <cell r="K963" t="str">
            <v>Returned</v>
          </cell>
        </row>
        <row r="964">
          <cell r="C964" t="str">
            <v>South</v>
          </cell>
          <cell r="D964">
            <v>55</v>
          </cell>
          <cell r="K964" t="str">
            <v>Returned</v>
          </cell>
        </row>
        <row r="965">
          <cell r="C965" t="str">
            <v>East</v>
          </cell>
          <cell r="D965">
            <v>56</v>
          </cell>
          <cell r="K965" t="str">
            <v>Returned</v>
          </cell>
        </row>
        <row r="966">
          <cell r="C966" t="str">
            <v>North</v>
          </cell>
          <cell r="D966">
            <v>22</v>
          </cell>
          <cell r="K966" t="str">
            <v>Delivered</v>
          </cell>
        </row>
        <row r="967">
          <cell r="C967" t="str">
            <v>East</v>
          </cell>
          <cell r="D967">
            <v>46</v>
          </cell>
          <cell r="K967" t="str">
            <v>In Transit</v>
          </cell>
        </row>
        <row r="968">
          <cell r="C968" t="str">
            <v>East</v>
          </cell>
          <cell r="D968">
            <v>67</v>
          </cell>
          <cell r="K968" t="str">
            <v>In Transit</v>
          </cell>
        </row>
        <row r="969">
          <cell r="C969" t="str">
            <v>North</v>
          </cell>
          <cell r="D969">
            <v>67</v>
          </cell>
        </row>
        <row r="970">
          <cell r="D970">
            <v>44</v>
          </cell>
          <cell r="K970" t="str">
            <v>In Transit</v>
          </cell>
        </row>
        <row r="971">
          <cell r="C971" t="str">
            <v>South</v>
          </cell>
          <cell r="D971">
            <v>57</v>
          </cell>
          <cell r="K971" t="str">
            <v>Delivered</v>
          </cell>
        </row>
        <row r="972">
          <cell r="C972" t="str">
            <v>North</v>
          </cell>
          <cell r="D972">
            <v>38</v>
          </cell>
          <cell r="K972" t="str">
            <v>Returned</v>
          </cell>
        </row>
        <row r="973">
          <cell r="C973" t="str">
            <v>South</v>
          </cell>
          <cell r="D973">
            <v>58</v>
          </cell>
          <cell r="K973" t="str">
            <v>Returned</v>
          </cell>
        </row>
        <row r="974">
          <cell r="D974">
            <v>64</v>
          </cell>
          <cell r="K974" t="str">
            <v>Returned</v>
          </cell>
        </row>
        <row r="975">
          <cell r="C975" t="str">
            <v>West</v>
          </cell>
          <cell r="D975">
            <v>67</v>
          </cell>
          <cell r="K975" t="str">
            <v>Delivered</v>
          </cell>
        </row>
        <row r="976">
          <cell r="C976" t="str">
            <v>West</v>
          </cell>
          <cell r="D976">
            <v>39</v>
          </cell>
          <cell r="K976" t="str">
            <v>Returned</v>
          </cell>
        </row>
        <row r="977">
          <cell r="C977" t="str">
            <v>West</v>
          </cell>
          <cell r="D977">
            <v>51</v>
          </cell>
          <cell r="K977" t="str">
            <v>In Transit</v>
          </cell>
        </row>
        <row r="978">
          <cell r="C978" t="str">
            <v>East</v>
          </cell>
          <cell r="D978">
            <v>55</v>
          </cell>
          <cell r="K978" t="str">
            <v>Delivered</v>
          </cell>
        </row>
        <row r="979">
          <cell r="C979" t="str">
            <v>East</v>
          </cell>
          <cell r="K979" t="str">
            <v>In Transit</v>
          </cell>
        </row>
        <row r="980">
          <cell r="C980" t="str">
            <v>West</v>
          </cell>
          <cell r="D980">
            <v>26</v>
          </cell>
          <cell r="K980" t="str">
            <v>Returned</v>
          </cell>
        </row>
        <row r="981">
          <cell r="C981" t="str">
            <v>North</v>
          </cell>
          <cell r="D981">
            <v>66</v>
          </cell>
          <cell r="K981" t="str">
            <v>Delivered</v>
          </cell>
        </row>
        <row r="982">
          <cell r="C982" t="str">
            <v>West</v>
          </cell>
          <cell r="D982">
            <v>39</v>
          </cell>
          <cell r="K982" t="str">
            <v>Delivered</v>
          </cell>
        </row>
        <row r="983">
          <cell r="C983" t="str">
            <v>East</v>
          </cell>
          <cell r="D983">
            <v>47</v>
          </cell>
          <cell r="K983" t="str">
            <v>In Transit</v>
          </cell>
        </row>
        <row r="984">
          <cell r="C984" t="str">
            <v>East</v>
          </cell>
          <cell r="D984">
            <v>34</v>
          </cell>
          <cell r="K984" t="str">
            <v>Returned</v>
          </cell>
        </row>
        <row r="985">
          <cell r="D985">
            <v>35</v>
          </cell>
          <cell r="K985" t="str">
            <v>In Transit</v>
          </cell>
        </row>
        <row r="986">
          <cell r="C986" t="str">
            <v>West</v>
          </cell>
          <cell r="D986">
            <v>43</v>
          </cell>
          <cell r="K986" t="str">
            <v>Returned</v>
          </cell>
        </row>
        <row r="987">
          <cell r="C987" t="str">
            <v>North</v>
          </cell>
          <cell r="D987">
            <v>64</v>
          </cell>
          <cell r="K987" t="str">
            <v>Returned</v>
          </cell>
        </row>
        <row r="988">
          <cell r="C988" t="str">
            <v>East</v>
          </cell>
          <cell r="D988">
            <v>40</v>
          </cell>
          <cell r="K988" t="str">
            <v>In Transit</v>
          </cell>
        </row>
        <row r="989">
          <cell r="D989">
            <v>54</v>
          </cell>
          <cell r="K989" t="str">
            <v>In Transit</v>
          </cell>
        </row>
        <row r="990">
          <cell r="C990" t="str">
            <v>North</v>
          </cell>
          <cell r="D990">
            <v>58</v>
          </cell>
          <cell r="K990" t="str">
            <v>Returned</v>
          </cell>
        </row>
        <row r="991">
          <cell r="C991" t="str">
            <v>North</v>
          </cell>
          <cell r="D991">
            <v>52</v>
          </cell>
          <cell r="K991" t="str">
            <v>In Transit</v>
          </cell>
        </row>
        <row r="992">
          <cell r="C992" t="str">
            <v>North</v>
          </cell>
          <cell r="K992" t="str">
            <v>Returned</v>
          </cell>
        </row>
        <row r="993">
          <cell r="C993" t="str">
            <v>South</v>
          </cell>
          <cell r="D993">
            <v>18</v>
          </cell>
        </row>
        <row r="994">
          <cell r="C994" t="str">
            <v>East</v>
          </cell>
          <cell r="D994">
            <v>32</v>
          </cell>
          <cell r="K994" t="str">
            <v>Returned</v>
          </cell>
        </row>
        <row r="995">
          <cell r="C995" t="str">
            <v>North</v>
          </cell>
          <cell r="D995">
            <v>68</v>
          </cell>
          <cell r="K995" t="str">
            <v>Returned</v>
          </cell>
        </row>
        <row r="996">
          <cell r="C996" t="str">
            <v>West</v>
          </cell>
          <cell r="D996">
            <v>26</v>
          </cell>
          <cell r="K996" t="str">
            <v>Returned</v>
          </cell>
        </row>
        <row r="997">
          <cell r="C997" t="str">
            <v>South</v>
          </cell>
          <cell r="D997">
            <v>49</v>
          </cell>
          <cell r="K997" t="str">
            <v>In Transit</v>
          </cell>
        </row>
        <row r="998">
          <cell r="C998" t="str">
            <v>East</v>
          </cell>
          <cell r="D998">
            <v>47</v>
          </cell>
          <cell r="K998" t="str">
            <v>Delivered</v>
          </cell>
        </row>
        <row r="999">
          <cell r="C999" t="str">
            <v>North</v>
          </cell>
          <cell r="K999" t="str">
            <v>Delivered</v>
          </cell>
        </row>
        <row r="1000">
          <cell r="C1000" t="str">
            <v>South</v>
          </cell>
          <cell r="D1000">
            <v>29</v>
          </cell>
          <cell r="K1000" t="str">
            <v>Returned</v>
          </cell>
        </row>
        <row r="1001">
          <cell r="D1001">
            <v>29</v>
          </cell>
          <cell r="K1001" t="str">
            <v>Delivered</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D" refreshedDate="46024.620266550926" createdVersion="8" refreshedVersion="8" minRefreshableVersion="3" recordCount="1000" xr:uid="{31492E7F-B508-45D3-8E57-50C5714821F2}">
  <cacheSource type="worksheet">
    <worksheetSource ref="A1:L1001" sheet="Sheet1"/>
  </cacheSource>
  <cacheFields count="12">
    <cacheField name="Customer ID" numFmtId="0">
      <sharedItems/>
    </cacheField>
    <cacheField name="Gender" numFmtId="0">
      <sharedItems/>
    </cacheField>
    <cacheField name="Region" numFmtId="0">
      <sharedItems/>
    </cacheField>
    <cacheField name="Product Name" numFmtId="0">
      <sharedItems/>
    </cacheField>
    <cacheField name="Category" numFmtId="0">
      <sharedItems count="3">
        <s v="Electronics"/>
        <s v="Accessories"/>
        <s v="Wearables"/>
      </sharedItems>
    </cacheField>
    <cacheField name="Age" numFmtId="0">
      <sharedItems containsSemiMixedTypes="0" containsString="0" containsNumber="1" containsInteger="1" minValue="18" maxValue="69"/>
    </cacheField>
    <cacheField name="Unit Price" numFmtId="0">
      <sharedItems containsSemiMixedTypes="0" containsString="0" containsNumber="1" minValue="30" maxValue="3109.5606124866499"/>
    </cacheField>
    <cacheField name="Quantity" numFmtId="0">
      <sharedItems containsSemiMixedTypes="0" containsString="0" containsNumber="1" containsInteger="1" minValue="1" maxValue="5"/>
    </cacheField>
    <cacheField name="Total Price" numFmtId="0">
      <sharedItems containsSemiMixedTypes="0" containsString="0" containsNumber="1" containsInteger="1" minValue="30" maxValue="7500"/>
    </cacheField>
    <cacheField name="Shipping Fee" numFmtId="0">
      <sharedItems containsSemiMixedTypes="0" containsString="0" containsNumber="1" minValue="5" maxValue="19.98"/>
    </cacheField>
    <cacheField name="Order Date" numFmtId="14">
      <sharedItems containsSemiMixedTypes="0" containsNonDate="0" containsDate="1" containsString="0" minDate="2023-01-01T00:00:00" maxDate="2024-01-04T00:00:00"/>
    </cacheField>
    <cacheField name="Shipping Status" numFmtId="0">
      <sharedItems count="4">
        <s v="Returned"/>
        <s v="In Transit"/>
        <s v="Delivered"/>
        <s v="Unknow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UST0268"/>
    <s v="Male"/>
    <s v="North"/>
    <s v="Monitor"/>
    <x v="0"/>
    <n v="49"/>
    <n v="300"/>
    <n v="5"/>
    <n v="1500"/>
    <n v="13.31"/>
    <d v="2023-12-08T00:00:00"/>
    <x v="0"/>
  </r>
  <r>
    <s v="CUST0046"/>
    <s v="Male"/>
    <s v="West"/>
    <s v="Headphones"/>
    <x v="1"/>
    <n v="22"/>
    <n v="100"/>
    <n v="2"/>
    <n v="200"/>
    <n v="6.93"/>
    <d v="2023-04-09T00:00:00"/>
    <x v="1"/>
  </r>
  <r>
    <s v="CUST0169"/>
    <s v="Female"/>
    <s v="South"/>
    <s v="Monitor"/>
    <x v="0"/>
    <n v="54"/>
    <n v="300"/>
    <n v="1"/>
    <n v="300"/>
    <n v="11.31"/>
    <d v="2023-08-28T00:00:00"/>
    <x v="0"/>
  </r>
  <r>
    <s v="CUST0002"/>
    <s v="Male"/>
    <s v="North"/>
    <s v="Headphones"/>
    <x v="1"/>
    <n v="23"/>
    <n v="100"/>
    <n v="5"/>
    <n v="500"/>
    <n v="12.22"/>
    <d v="2023-01-18T00:00:00"/>
    <x v="2"/>
  </r>
  <r>
    <s v="CUST0173"/>
    <s v="Female"/>
    <s v="South"/>
    <s v="Laptop"/>
    <x v="0"/>
    <n v="49"/>
    <n v="1500"/>
    <n v="3"/>
    <n v="4500"/>
    <n v="5.4"/>
    <d v="2023-01-19T00:00:00"/>
    <x v="2"/>
  </r>
  <r>
    <s v="CUST0147"/>
    <s v="Male"/>
    <s v="North"/>
    <s v="Smartwatch"/>
    <x v="2"/>
    <n v="64"/>
    <n v="200"/>
    <n v="2"/>
    <n v="400"/>
    <n v="11.26"/>
    <d v="2023-01-11T00:00:00"/>
    <x v="1"/>
  </r>
  <r>
    <s v="CUST0262"/>
    <s v="Male"/>
    <s v="East"/>
    <s v="Smartwatch"/>
    <x v="2"/>
    <n v="27"/>
    <n v="200"/>
    <n v="1"/>
    <n v="200"/>
    <n v="18.38"/>
    <d v="2023-10-23T00:00:00"/>
    <x v="1"/>
  </r>
  <r>
    <s v="CUST0159"/>
    <s v="Female"/>
    <s v="South"/>
    <s v="Keyboard"/>
    <x v="1"/>
    <n v="18"/>
    <n v="50"/>
    <n v="2"/>
    <n v="100"/>
    <n v="15.08"/>
    <d v="2023-06-15T00:00:00"/>
    <x v="0"/>
  </r>
  <r>
    <s v="CUST0046"/>
    <s v="Female"/>
    <s v="East"/>
    <s v="Mouse"/>
    <x v="1"/>
    <n v="22"/>
    <n v="30"/>
    <n v="1"/>
    <n v="30"/>
    <n v="8.2200000000000006"/>
    <d v="2023-02-25T00:00:00"/>
    <x v="0"/>
  </r>
  <r>
    <s v="CUST0023"/>
    <s v="Male"/>
    <s v="West"/>
    <s v="Headphones"/>
    <x v="1"/>
    <n v="29"/>
    <n v="100"/>
    <n v="3"/>
    <n v="300"/>
    <n v="10.7"/>
    <d v="2023-04-23T00:00:00"/>
    <x v="2"/>
  </r>
  <r>
    <s v="CUST0201"/>
    <s v="Female"/>
    <s v="East"/>
    <s v="Headphones"/>
    <x v="1"/>
    <n v="49"/>
    <n v="100"/>
    <n v="2"/>
    <n v="200"/>
    <n v="9.8000000000000007"/>
    <d v="2023-06-01T00:00:00"/>
    <x v="0"/>
  </r>
  <r>
    <s v="CUST0283"/>
    <s v="Female"/>
    <s v="West"/>
    <s v="Mouse"/>
    <x v="1"/>
    <n v="67"/>
    <n v="30"/>
    <n v="3"/>
    <n v="90"/>
    <n v="5.65"/>
    <d v="2023-09-13T00:00:00"/>
    <x v="1"/>
  </r>
  <r>
    <s v="CUST0199"/>
    <s v="Female"/>
    <s v="West"/>
    <s v="Keyboard"/>
    <x v="1"/>
    <n v="41"/>
    <n v="50"/>
    <n v="5"/>
    <n v="250"/>
    <n v="7.13"/>
    <d v="2023-02-17T00:00:00"/>
    <x v="2"/>
  </r>
  <r>
    <s v="CUST0039"/>
    <s v="Male"/>
    <s v="South"/>
    <s v="Keyboard"/>
    <x v="1"/>
    <n v="60"/>
    <n v="50"/>
    <n v="4"/>
    <n v="200"/>
    <n v="10.91"/>
    <d v="2023-12-10T00:00:00"/>
    <x v="0"/>
  </r>
  <r>
    <s v="CUST0276"/>
    <s v="Male"/>
    <s v="West"/>
    <s v="Mouse"/>
    <x v="1"/>
    <n v="66"/>
    <n v="30"/>
    <n v="1"/>
    <n v="30"/>
    <n v="11.36"/>
    <d v="2023-06-29T00:00:00"/>
    <x v="1"/>
  </r>
  <r>
    <s v="CUST0143"/>
    <s v="Female"/>
    <s v="Unknown"/>
    <s v="Smartwatch"/>
    <x v="2"/>
    <n v="36"/>
    <n v="200"/>
    <n v="3"/>
    <n v="600"/>
    <n v="7.89"/>
    <d v="2023-07-14T00:00:00"/>
    <x v="2"/>
  </r>
  <r>
    <s v="CUST0139"/>
    <s v="Male"/>
    <s v="North"/>
    <s v="Laptop"/>
    <x v="0"/>
    <n v="57"/>
    <n v="1500"/>
    <n v="4"/>
    <n v="6000"/>
    <n v="10.92"/>
    <d v="2023-05-13T00:00:00"/>
    <x v="1"/>
  </r>
  <r>
    <s v="CUST0210"/>
    <s v="Male"/>
    <s v="South"/>
    <s v="Smartphone"/>
    <x v="0"/>
    <n v="30"/>
    <n v="800"/>
    <n v="2"/>
    <n v="1600"/>
    <n v="11.44"/>
    <d v="2023-06-09T00:00:00"/>
    <x v="0"/>
  </r>
  <r>
    <s v="CUST0293"/>
    <s v="Female"/>
    <s v="East"/>
    <s v="Smartwatch"/>
    <x v="2"/>
    <n v="32"/>
    <n v="200"/>
    <n v="5"/>
    <n v="1000"/>
    <n v="7.16"/>
    <d v="2023-06-21T00:00:00"/>
    <x v="1"/>
  </r>
  <r>
    <s v="CUST0049"/>
    <s v="Female"/>
    <s v="West"/>
    <s v="Monitor"/>
    <x v="0"/>
    <n v="59"/>
    <n v="300"/>
    <n v="4"/>
    <n v="1200"/>
    <n v="17.37"/>
    <d v="2023-11-26T00:00:00"/>
    <x v="1"/>
  </r>
  <r>
    <s v="CUST0283"/>
    <s v="Female"/>
    <s v="East"/>
    <s v="Smartphone"/>
    <x v="0"/>
    <n v="67"/>
    <n v="800"/>
    <n v="5"/>
    <n v="4000"/>
    <n v="12.17"/>
    <d v="2023-11-08T00:00:00"/>
    <x v="2"/>
  </r>
  <r>
    <s v="CUST0196"/>
    <s v="Female"/>
    <s v="South"/>
    <s v="Mouse"/>
    <x v="1"/>
    <n v="37"/>
    <n v="30"/>
    <n v="3"/>
    <n v="90"/>
    <n v="19.41"/>
    <d v="2023-12-27T00:00:00"/>
    <x v="0"/>
  </r>
  <r>
    <s v="CUST0050"/>
    <s v="Male"/>
    <s v="North"/>
    <s v="Mouse"/>
    <x v="1"/>
    <n v="49"/>
    <n v="30"/>
    <n v="3"/>
    <n v="90"/>
    <n v="6.97"/>
    <d v="2023-06-06T00:00:00"/>
    <x v="0"/>
  </r>
  <r>
    <s v="CUST0007"/>
    <s v="Female"/>
    <s v="East"/>
    <s v="Headphones"/>
    <x v="1"/>
    <n v="52"/>
    <n v="100"/>
    <n v="2"/>
    <n v="200"/>
    <n v="12"/>
    <d v="2023-10-28T00:00:00"/>
    <x v="1"/>
  </r>
  <r>
    <s v="CUST0242"/>
    <s v="Male"/>
    <s v="North"/>
    <s v="Smartphone"/>
    <x v="0"/>
    <n v="58"/>
    <n v="800"/>
    <n v="4"/>
    <n v="3200"/>
    <n v="18.11"/>
    <d v="2023-12-30T00:00:00"/>
    <x v="3"/>
  </r>
  <r>
    <s v="CUST0042"/>
    <s v="Female"/>
    <s v="South"/>
    <s v="Keyboard"/>
    <x v="1"/>
    <n v="57"/>
    <n v="50"/>
    <n v="1"/>
    <n v="50"/>
    <n v="9.6"/>
    <d v="2023-12-04T00:00:00"/>
    <x v="2"/>
  </r>
  <r>
    <s v="CUST0264"/>
    <s v="Male"/>
    <s v="East"/>
    <s v="Smartphone"/>
    <x v="0"/>
    <n v="59"/>
    <n v="1658.43232665954"/>
    <n v="2"/>
    <n v="1600"/>
    <n v="11.59"/>
    <d v="2023-02-01T00:00:00"/>
    <x v="1"/>
  </r>
  <r>
    <s v="CUST0053"/>
    <s v="Female"/>
    <s v="North"/>
    <s v="Smartwatch"/>
    <x v="2"/>
    <n v="25"/>
    <n v="200"/>
    <n v="1"/>
    <n v="200"/>
    <n v="14.9"/>
    <d v="2023-08-14T00:00:00"/>
    <x v="2"/>
  </r>
  <r>
    <s v="CUST0154"/>
    <s v="Female"/>
    <s v="East"/>
    <s v="Smartphone"/>
    <x v="0"/>
    <n v="31"/>
    <n v="800"/>
    <n v="1"/>
    <n v="800"/>
    <n v="19.22"/>
    <d v="2023-12-07T00:00:00"/>
    <x v="1"/>
  </r>
  <r>
    <s v="CUST0190"/>
    <s v="Male"/>
    <s v="North"/>
    <s v="Keyboard"/>
    <x v="1"/>
    <n v="28"/>
    <n v="50"/>
    <n v="4"/>
    <n v="200"/>
    <n v="15.31"/>
    <d v="2023-06-28T00:00:00"/>
    <x v="2"/>
  </r>
  <r>
    <s v="CUST0038"/>
    <s v="Female"/>
    <s v="East"/>
    <s v="Monitor"/>
    <x v="0"/>
    <n v="57"/>
    <n v="300"/>
    <n v="2"/>
    <n v="600"/>
    <n v="12.38"/>
    <d v="2023-11-17T00:00:00"/>
    <x v="0"/>
  </r>
  <r>
    <s v="CUST0288"/>
    <s v="Female"/>
    <s v="South"/>
    <s v="Laptop"/>
    <x v="0"/>
    <n v="49"/>
    <n v="1500"/>
    <n v="4"/>
    <n v="6000"/>
    <n v="12.91"/>
    <d v="2023-01-25T00:00:00"/>
    <x v="2"/>
  </r>
  <r>
    <s v="CUST0124"/>
    <s v="Female"/>
    <s v="South"/>
    <s v="Monitor"/>
    <x v="0"/>
    <n v="53"/>
    <n v="300"/>
    <n v="2"/>
    <n v="600"/>
    <n v="18.38"/>
    <d v="2023-09-05T00:00:00"/>
    <x v="1"/>
  </r>
  <r>
    <s v="CUST0298"/>
    <s v="Female"/>
    <s v="South"/>
    <s v="Headphones"/>
    <x v="1"/>
    <n v="58"/>
    <n v="100"/>
    <n v="5"/>
    <n v="500"/>
    <n v="7.41"/>
    <d v="2023-09-17T00:00:00"/>
    <x v="2"/>
  </r>
  <r>
    <s v="CUST0211"/>
    <s v="Female"/>
    <s v="South"/>
    <s v="Mouse"/>
    <x v="1"/>
    <n v="35"/>
    <n v="30"/>
    <n v="3"/>
    <n v="90"/>
    <n v="11.42"/>
    <d v="2023-12-25T00:00:00"/>
    <x v="2"/>
  </r>
  <r>
    <s v="CUST0060"/>
    <s v="Male"/>
    <s v="North"/>
    <s v="Laptop"/>
    <x v="0"/>
    <n v="41"/>
    <n v="1500"/>
    <n v="4"/>
    <n v="6000"/>
    <n v="7.13"/>
    <d v="2023-01-14T00:00:00"/>
    <x v="2"/>
  </r>
  <r>
    <s v="CUST0284"/>
    <s v="Female"/>
    <s v="West"/>
    <s v="Monitor"/>
    <x v="0"/>
    <n v="64"/>
    <n v="300"/>
    <n v="1"/>
    <n v="300"/>
    <n v="6.55"/>
    <d v="2023-08-01T00:00:00"/>
    <x v="0"/>
  </r>
  <r>
    <s v="CUST0282"/>
    <s v="Male"/>
    <s v="North"/>
    <s v="Smartphone"/>
    <x v="0"/>
    <n v="49"/>
    <n v="800"/>
    <n v="2"/>
    <n v="1600"/>
    <n v="9.7200000000000006"/>
    <d v="2023-02-12T00:00:00"/>
    <x v="2"/>
  </r>
  <r>
    <s v="CUST0205"/>
    <s v="Female"/>
    <s v="South"/>
    <s v="Monitor"/>
    <x v="0"/>
    <n v="43"/>
    <n v="300"/>
    <n v="2"/>
    <n v="600"/>
    <n v="18.27"/>
    <d v="2023-05-18T00:00:00"/>
    <x v="1"/>
  </r>
  <r>
    <s v="CUST0222"/>
    <s v="Female"/>
    <s v="Unknown"/>
    <s v="Smartphone"/>
    <x v="0"/>
    <n v="61"/>
    <n v="800"/>
    <n v="2"/>
    <n v="1600"/>
    <n v="6.01"/>
    <d v="2023-10-03T00:00:00"/>
    <x v="0"/>
  </r>
  <r>
    <s v="CUST0299"/>
    <s v="Male"/>
    <s v="East"/>
    <s v="Keyboard"/>
    <x v="1"/>
    <n v="58"/>
    <n v="50"/>
    <n v="2"/>
    <n v="100"/>
    <n v="9.57"/>
    <d v="2023-08-30T00:00:00"/>
    <x v="0"/>
  </r>
  <r>
    <s v="CUST0064"/>
    <s v="Male"/>
    <s v="West"/>
    <s v="Monitor"/>
    <x v="0"/>
    <n v="61"/>
    <n v="300"/>
    <n v="1"/>
    <n v="300"/>
    <n v="13.82"/>
    <d v="2023-09-15T00:00:00"/>
    <x v="0"/>
  </r>
  <r>
    <s v="CUST0073"/>
    <s v="Male"/>
    <s v="East"/>
    <s v="Keyboard"/>
    <x v="1"/>
    <n v="19"/>
    <n v="50"/>
    <n v="4"/>
    <n v="200"/>
    <n v="5.32"/>
    <d v="2023-02-14T00:00:00"/>
    <x v="2"/>
  </r>
  <r>
    <s v="CUST0154"/>
    <s v="Male"/>
    <s v="North"/>
    <s v="Keyboard"/>
    <x v="1"/>
    <n v="31"/>
    <n v="50"/>
    <n v="3"/>
    <n v="150"/>
    <n v="7.46"/>
    <d v="2023-02-27T00:00:00"/>
    <x v="2"/>
  </r>
  <r>
    <s v="CUST0081"/>
    <s v="Male"/>
    <s v="North"/>
    <s v="Monitor"/>
    <x v="0"/>
    <n v="38"/>
    <n v="300"/>
    <n v="1"/>
    <n v="300"/>
    <n v="17.22"/>
    <d v="2023-08-13T00:00:00"/>
    <x v="0"/>
  </r>
  <r>
    <s v="CUST0247"/>
    <s v="Male"/>
    <s v="East"/>
    <s v="Headphones"/>
    <x v="1"/>
    <n v="44"/>
    <n v="100"/>
    <n v="2"/>
    <n v="200"/>
    <n v="8.15"/>
    <d v="2023-05-09T00:00:00"/>
    <x v="1"/>
  </r>
  <r>
    <s v="CUST0130"/>
    <s v="Male"/>
    <s v="East"/>
    <s v="Monitor"/>
    <x v="0"/>
    <n v="68"/>
    <n v="300"/>
    <n v="2"/>
    <n v="600"/>
    <n v="9.56"/>
    <d v="2023-12-23T00:00:00"/>
    <x v="3"/>
  </r>
  <r>
    <s v="CUST0178"/>
    <s v="Male"/>
    <s v="West"/>
    <s v="Smartwatch"/>
    <x v="2"/>
    <n v="44"/>
    <n v="200"/>
    <n v="3"/>
    <n v="600"/>
    <n v="18.09"/>
    <d v="2023-10-28T00:00:00"/>
    <x v="1"/>
  </r>
  <r>
    <s v="CUST0131"/>
    <s v="Female"/>
    <s v="West"/>
    <s v="Laptop"/>
    <x v="0"/>
    <n v="67"/>
    <n v="1500"/>
    <n v="4"/>
    <n v="6000"/>
    <n v="7.01"/>
    <d v="2023-09-01T00:00:00"/>
    <x v="2"/>
  </r>
  <r>
    <s v="CUST0070"/>
    <s v="Male"/>
    <s v="West"/>
    <s v="Monitor"/>
    <x v="0"/>
    <n v="23"/>
    <n v="300"/>
    <n v="3"/>
    <n v="900"/>
    <n v="12.58"/>
    <d v="2023-04-16T00:00:00"/>
    <x v="0"/>
  </r>
  <r>
    <s v="CUST0122"/>
    <s v="Male"/>
    <s v="West"/>
    <s v="Headphones"/>
    <x v="1"/>
    <n v="68"/>
    <n v="100"/>
    <n v="2"/>
    <n v="200"/>
    <n v="13.49"/>
    <d v="2023-12-13T00:00:00"/>
    <x v="1"/>
  </r>
  <r>
    <s v="CUST0168"/>
    <s v="Female"/>
    <s v="East"/>
    <s v="Monitor"/>
    <x v="0"/>
    <n v="42"/>
    <n v="300"/>
    <n v="4"/>
    <n v="1200"/>
    <n v="18.149999999999999"/>
    <d v="2023-03-27T00:00:00"/>
    <x v="1"/>
  </r>
  <r>
    <s v="CUST0176"/>
    <s v="Male"/>
    <s v="South"/>
    <s v="Laptop"/>
    <x v="0"/>
    <n v="51"/>
    <n v="1500"/>
    <n v="2"/>
    <n v="3000"/>
    <n v="7.43"/>
    <d v="2023-11-16T00:00:00"/>
    <x v="2"/>
  </r>
  <r>
    <s v="CUST0064"/>
    <s v="Female"/>
    <s v="West"/>
    <s v="Laptop"/>
    <x v="0"/>
    <n v="61"/>
    <n v="1500"/>
    <n v="2"/>
    <n v="3000"/>
    <n v="5.42"/>
    <d v="2023-06-14T00:00:00"/>
    <x v="0"/>
  </r>
  <r>
    <s v="CUST0125"/>
    <s v="Female"/>
    <s v="South"/>
    <s v="Smartphone"/>
    <x v="0"/>
    <n v="46"/>
    <n v="800"/>
    <n v="5"/>
    <n v="4000"/>
    <n v="10.62"/>
    <d v="2023-01-26T00:00:00"/>
    <x v="0"/>
  </r>
  <r>
    <s v="CUST0165"/>
    <s v="Female"/>
    <s v="West"/>
    <s v="Keyboard"/>
    <x v="1"/>
    <n v="49"/>
    <n v="50"/>
    <n v="4"/>
    <n v="200"/>
    <n v="19.72"/>
    <d v="2023-12-25T00:00:00"/>
    <x v="3"/>
  </r>
  <r>
    <s v="CUST0057"/>
    <s v="Male"/>
    <s v="North"/>
    <s v="Keyboard"/>
    <x v="1"/>
    <n v="62"/>
    <n v="50"/>
    <n v="4"/>
    <n v="200"/>
    <n v="12.79"/>
    <d v="2023-09-29T00:00:00"/>
    <x v="2"/>
  </r>
  <r>
    <s v="CUST0207"/>
    <s v="Male"/>
    <s v="South"/>
    <s v="Laptop"/>
    <x v="0"/>
    <n v="54"/>
    <n v="1500"/>
    <n v="1"/>
    <n v="1500"/>
    <n v="5.16"/>
    <d v="2023-03-14T00:00:00"/>
    <x v="2"/>
  </r>
  <r>
    <s v="CUST0167"/>
    <s v="Female"/>
    <s v="North"/>
    <s v="Headphones"/>
    <x v="1"/>
    <n v="67"/>
    <n v="100"/>
    <n v="2"/>
    <n v="200"/>
    <n v="11.65"/>
    <d v="2023-12-14T00:00:00"/>
    <x v="0"/>
  </r>
  <r>
    <s v="CUST0006"/>
    <s v="Male"/>
    <s v="South"/>
    <s v="Laptop"/>
    <x v="0"/>
    <n v="52"/>
    <n v="1500"/>
    <n v="5"/>
    <n v="7500"/>
    <n v="19.690000000000001"/>
    <d v="2023-09-17T00:00:00"/>
    <x v="1"/>
  </r>
  <r>
    <s v="CUST0041"/>
    <s v="Male"/>
    <s v="East"/>
    <s v="Smartphone"/>
    <x v="0"/>
    <n v="64"/>
    <n v="800"/>
    <n v="4"/>
    <n v="3200"/>
    <n v="17.27"/>
    <d v="2023-08-08T00:00:00"/>
    <x v="1"/>
  </r>
  <r>
    <s v="CUST0112"/>
    <s v="Male"/>
    <s v="North"/>
    <s v="Monitor"/>
    <x v="0"/>
    <n v="33"/>
    <n v="300"/>
    <n v="4"/>
    <n v="1200"/>
    <n v="14.88"/>
    <d v="2023-04-12T00:00:00"/>
    <x v="2"/>
  </r>
  <r>
    <s v="CUST0244"/>
    <s v="Female"/>
    <s v="West"/>
    <s v="Headphones"/>
    <x v="1"/>
    <n v="24"/>
    <n v="100"/>
    <n v="3"/>
    <n v="300"/>
    <n v="8.49"/>
    <d v="2023-02-21T00:00:00"/>
    <x v="1"/>
  </r>
  <r>
    <s v="CUST0218"/>
    <s v="Male"/>
    <s v="East"/>
    <s v="Headphones"/>
    <x v="1"/>
    <n v="36"/>
    <n v="100"/>
    <n v="2"/>
    <n v="200"/>
    <n v="7.71"/>
    <d v="2023-11-03T00:00:00"/>
    <x v="0"/>
  </r>
  <r>
    <s v="CUST0073"/>
    <s v="Male"/>
    <s v="North"/>
    <s v="Monitor"/>
    <x v="0"/>
    <n v="19"/>
    <n v="300"/>
    <n v="5"/>
    <n v="1500"/>
    <n v="13.7"/>
    <d v="2023-01-16T00:00:00"/>
    <x v="1"/>
  </r>
  <r>
    <s v="CUST0083"/>
    <s v="Male"/>
    <s v="East"/>
    <s v="Monitor"/>
    <x v="0"/>
    <n v="28"/>
    <n v="300"/>
    <n v="1"/>
    <n v="300"/>
    <n v="17.98"/>
    <d v="2024-01-03T00:00:00"/>
    <x v="0"/>
  </r>
  <r>
    <s v="CUST0065"/>
    <s v="Female"/>
    <s v="East"/>
    <s v="Headphones"/>
    <x v="1"/>
    <n v="49"/>
    <n v="100"/>
    <n v="2"/>
    <n v="200"/>
    <n v="13.06"/>
    <d v="2023-02-05T00:00:00"/>
    <x v="0"/>
  </r>
  <r>
    <s v="CUST0096"/>
    <s v="Female"/>
    <s v="Unknown"/>
    <s v="Smartphone"/>
    <x v="0"/>
    <n v="61"/>
    <n v="800"/>
    <n v="4"/>
    <n v="3200"/>
    <n v="11.79"/>
    <d v="2023-02-07T00:00:00"/>
    <x v="1"/>
  </r>
  <r>
    <s v="CUST0060"/>
    <s v="Male"/>
    <s v="South"/>
    <s v="Keyboard"/>
    <x v="1"/>
    <n v="41"/>
    <n v="50"/>
    <n v="4"/>
    <n v="200"/>
    <n v="19.12"/>
    <d v="2023-04-03T00:00:00"/>
    <x v="0"/>
  </r>
  <r>
    <s v="CUST0045"/>
    <s v="Male"/>
    <s v="East"/>
    <s v="Mouse"/>
    <x v="1"/>
    <n v="21"/>
    <n v="30"/>
    <n v="1"/>
    <n v="30"/>
    <n v="6.17"/>
    <d v="2023-10-23T00:00:00"/>
    <x v="1"/>
  </r>
  <r>
    <s v="CUST0296"/>
    <s v="Female"/>
    <s v="North"/>
    <s v="Keyboard"/>
    <x v="1"/>
    <n v="50"/>
    <n v="50"/>
    <n v="2"/>
    <n v="100"/>
    <n v="13.82"/>
    <d v="2023-07-25T00:00:00"/>
    <x v="1"/>
  </r>
  <r>
    <s v="CUST0261"/>
    <s v="Male"/>
    <s v="West"/>
    <s v="Laptop"/>
    <x v="0"/>
    <n v="48"/>
    <n v="1500"/>
    <n v="5"/>
    <n v="7500"/>
    <n v="15.95"/>
    <d v="2023-10-01T00:00:00"/>
    <x v="0"/>
  </r>
  <r>
    <s v="CUST0077"/>
    <s v="Male"/>
    <s v="South"/>
    <s v="Keyboard"/>
    <x v="1"/>
    <n v="50"/>
    <n v="50"/>
    <n v="5"/>
    <n v="250"/>
    <n v="10.89"/>
    <d v="2023-03-19T00:00:00"/>
    <x v="2"/>
  </r>
  <r>
    <s v="CUST0227"/>
    <s v="Female"/>
    <s v="West"/>
    <s v="Keyboard"/>
    <x v="1"/>
    <n v="54"/>
    <n v="50"/>
    <n v="4"/>
    <n v="200"/>
    <n v="9.2200000000000006"/>
    <d v="2023-10-05T00:00:00"/>
    <x v="0"/>
  </r>
  <r>
    <s v="CUST0284"/>
    <s v="Female"/>
    <s v="North"/>
    <s v="Keyboard"/>
    <x v="1"/>
    <n v="64"/>
    <n v="50"/>
    <n v="3"/>
    <n v="150"/>
    <n v="17.760000000000002"/>
    <d v="2023-04-11T00:00:00"/>
    <x v="1"/>
  </r>
  <r>
    <s v="CUST0245"/>
    <s v="Male"/>
    <s v="North"/>
    <s v="Mouse"/>
    <x v="1"/>
    <n v="63"/>
    <n v="30"/>
    <n v="1"/>
    <n v="30"/>
    <n v="13.28"/>
    <d v="2023-09-11T00:00:00"/>
    <x v="0"/>
  </r>
  <r>
    <s v="CUST0133"/>
    <s v="Female"/>
    <s v="North"/>
    <s v="Smartphone"/>
    <x v="0"/>
    <n v="47"/>
    <n v="800"/>
    <n v="1"/>
    <n v="800"/>
    <n v="11.29"/>
    <d v="2023-10-28T00:00:00"/>
    <x v="0"/>
  </r>
  <r>
    <s v="CUST0179"/>
    <s v="Male"/>
    <s v="North"/>
    <s v="Keyboard"/>
    <x v="1"/>
    <n v="45"/>
    <n v="50"/>
    <n v="2"/>
    <n v="100"/>
    <n v="19.04"/>
    <d v="2023-03-16T00:00:00"/>
    <x v="2"/>
  </r>
  <r>
    <s v="CUST0022"/>
    <s v="Female"/>
    <s v="North"/>
    <s v="Smartwatch"/>
    <x v="2"/>
    <n v="33"/>
    <n v="200"/>
    <n v="2"/>
    <n v="400"/>
    <n v="10.07"/>
    <d v="2023-11-21T00:00:00"/>
    <x v="2"/>
  </r>
  <r>
    <s v="CUST0269"/>
    <s v="Female"/>
    <s v="East"/>
    <s v="Laptop"/>
    <x v="0"/>
    <n v="64"/>
    <n v="1500"/>
    <n v="5"/>
    <n v="7500"/>
    <n v="6.53"/>
    <d v="2023-12-03T00:00:00"/>
    <x v="0"/>
  </r>
  <r>
    <s v="CUST0181"/>
    <s v="Male"/>
    <s v="East"/>
    <s v="Smartwatch"/>
    <x v="2"/>
    <n v="59"/>
    <n v="200"/>
    <n v="3"/>
    <n v="600"/>
    <n v="9.82"/>
    <d v="2023-02-08T00:00:00"/>
    <x v="1"/>
  </r>
  <r>
    <s v="CUST0170"/>
    <s v="Female"/>
    <s v="South"/>
    <s v="Mouse"/>
    <x v="1"/>
    <n v="40"/>
    <n v="30"/>
    <n v="5"/>
    <n v="150"/>
    <n v="8.64"/>
    <d v="2023-12-22T00:00:00"/>
    <x v="2"/>
  </r>
  <r>
    <s v="CUST0182"/>
    <s v="Male"/>
    <s v="West"/>
    <s v="Monitor"/>
    <x v="0"/>
    <n v="49"/>
    <n v="300"/>
    <n v="5"/>
    <n v="1500"/>
    <n v="7.77"/>
    <d v="2023-10-24T00:00:00"/>
    <x v="1"/>
  </r>
  <r>
    <s v="CUST0219"/>
    <s v="Male"/>
    <s v="Unknown"/>
    <s v="Mouse"/>
    <x v="1"/>
    <n v="48"/>
    <n v="62.191212249732999"/>
    <n v="2"/>
    <n v="60"/>
    <n v="7.4"/>
    <d v="2023-08-20T00:00:00"/>
    <x v="0"/>
  </r>
  <r>
    <s v="CUST0037"/>
    <s v="Male"/>
    <s v="West"/>
    <s v="Keyboard"/>
    <x v="1"/>
    <n v="51"/>
    <n v="103.65202041622101"/>
    <n v="4"/>
    <n v="200"/>
    <n v="11.41"/>
    <d v="2023-05-20T00:00:00"/>
    <x v="0"/>
  </r>
  <r>
    <s v="CUST0006"/>
    <s v="Female"/>
    <s v="West"/>
    <s v="Monitor"/>
    <x v="0"/>
    <n v="52"/>
    <n v="300"/>
    <n v="3"/>
    <n v="900"/>
    <n v="5.66"/>
    <d v="2023-02-18T00:00:00"/>
    <x v="2"/>
  </r>
  <r>
    <s v="CUST0125"/>
    <s v="Female"/>
    <s v="West"/>
    <s v="Mouse"/>
    <x v="1"/>
    <n v="46"/>
    <n v="30"/>
    <n v="4"/>
    <n v="120"/>
    <n v="5.71"/>
    <d v="2024-01-03T00:00:00"/>
    <x v="2"/>
  </r>
  <r>
    <s v="CUST0006"/>
    <s v="Male"/>
    <s v="North"/>
    <s v="Smartwatch"/>
    <x v="2"/>
    <n v="52"/>
    <n v="200"/>
    <n v="1"/>
    <n v="200"/>
    <n v="13.68"/>
    <d v="2023-08-02T00:00:00"/>
    <x v="2"/>
  </r>
  <r>
    <s v="CUST0091"/>
    <s v="Female"/>
    <s v="South"/>
    <s v="Mouse"/>
    <x v="1"/>
    <n v="30"/>
    <n v="30"/>
    <n v="1"/>
    <n v="30"/>
    <n v="18.29"/>
    <d v="2023-04-19T00:00:00"/>
    <x v="1"/>
  </r>
  <r>
    <s v="CUST0064"/>
    <s v="Male"/>
    <s v="North"/>
    <s v="Smartphone"/>
    <x v="0"/>
    <n v="61"/>
    <n v="800"/>
    <n v="5"/>
    <n v="4000"/>
    <n v="6.31"/>
    <d v="2023-06-29T00:00:00"/>
    <x v="2"/>
  </r>
  <r>
    <s v="CUST0286"/>
    <s v="Female"/>
    <s v="North"/>
    <s v="Laptop"/>
    <x v="0"/>
    <n v="63"/>
    <n v="1500"/>
    <n v="1"/>
    <n v="1500"/>
    <n v="13.15"/>
    <d v="2023-03-08T00:00:00"/>
    <x v="2"/>
  </r>
  <r>
    <s v="CUST0288"/>
    <s v="Male"/>
    <s v="West"/>
    <s v="Headphones"/>
    <x v="1"/>
    <n v="55"/>
    <n v="100"/>
    <n v="2"/>
    <n v="200"/>
    <n v="16.23"/>
    <d v="2023-07-04T00:00:00"/>
    <x v="0"/>
  </r>
  <r>
    <s v="CUST0019"/>
    <s v="Female"/>
    <s v="East"/>
    <s v="Keyboard"/>
    <x v="1"/>
    <n v="69"/>
    <n v="50"/>
    <n v="1"/>
    <n v="50"/>
    <n v="14.53"/>
    <d v="2023-04-23T00:00:00"/>
    <x v="0"/>
  </r>
  <r>
    <s v="CUST0236"/>
    <s v="Male"/>
    <s v="East"/>
    <s v="Keyboard"/>
    <x v="1"/>
    <n v="18"/>
    <n v="50"/>
    <n v="2"/>
    <n v="100"/>
    <n v="11.25"/>
    <d v="2023-03-24T00:00:00"/>
    <x v="0"/>
  </r>
  <r>
    <s v="CUST0159"/>
    <s v="Male"/>
    <s v="West"/>
    <s v="Keyboard"/>
    <x v="1"/>
    <n v="18"/>
    <n v="50"/>
    <n v="5"/>
    <n v="250"/>
    <n v="11.11"/>
    <d v="2023-09-11T00:00:00"/>
    <x v="0"/>
  </r>
  <r>
    <s v="CUST0251"/>
    <s v="Male"/>
    <s v="North"/>
    <s v="Mouse"/>
    <x v="1"/>
    <n v="42"/>
    <n v="30"/>
    <n v="2"/>
    <n v="60"/>
    <n v="18.98"/>
    <d v="2023-02-02T00:00:00"/>
    <x v="1"/>
  </r>
  <r>
    <s v="CUST0159"/>
    <s v="Male"/>
    <s v="North"/>
    <s v="Headphones"/>
    <x v="1"/>
    <n v="18"/>
    <n v="100"/>
    <n v="1"/>
    <n v="100"/>
    <n v="18.47"/>
    <d v="2023-08-13T00:00:00"/>
    <x v="2"/>
  </r>
  <r>
    <s v="CUST0064"/>
    <s v="Male"/>
    <s v="West"/>
    <s v="Monitor"/>
    <x v="0"/>
    <n v="61"/>
    <n v="300"/>
    <n v="4"/>
    <n v="1200"/>
    <n v="18.5"/>
    <d v="2023-05-23T00:00:00"/>
    <x v="0"/>
  </r>
  <r>
    <s v="CUST0099"/>
    <s v="Female"/>
    <s v="South"/>
    <s v="Laptop"/>
    <x v="0"/>
    <n v="26"/>
    <n v="1500"/>
    <n v="4"/>
    <n v="6000"/>
    <n v="15.74"/>
    <d v="2023-08-12T00:00:00"/>
    <x v="0"/>
  </r>
  <r>
    <s v="CUST0228"/>
    <s v="Male"/>
    <s v="North"/>
    <s v="Smartphone"/>
    <x v="0"/>
    <n v="25"/>
    <n v="800"/>
    <n v="4"/>
    <n v="3200"/>
    <n v="18.2"/>
    <d v="2023-01-24T00:00:00"/>
    <x v="1"/>
  </r>
  <r>
    <s v="CUST0024"/>
    <s v="Female"/>
    <s v="East"/>
    <s v="Smartwatch"/>
    <x v="2"/>
    <n v="57"/>
    <n v="200"/>
    <n v="2"/>
    <n v="400"/>
    <n v="17.940000000000001"/>
    <d v="2023-12-08T00:00:00"/>
    <x v="1"/>
  </r>
  <r>
    <s v="CUST0113"/>
    <s v="Male"/>
    <s v="South"/>
    <s v="Smartphone"/>
    <x v="0"/>
    <n v="38"/>
    <n v="800"/>
    <n v="2"/>
    <n v="1600"/>
    <n v="16.510000000000002"/>
    <d v="2023-09-14T00:00:00"/>
    <x v="1"/>
  </r>
  <r>
    <s v="CUST0192"/>
    <s v="Female"/>
    <s v="North"/>
    <s v="Smartwatch"/>
    <x v="2"/>
    <n v="58"/>
    <n v="200"/>
    <n v="4"/>
    <n v="800"/>
    <n v="9.9700000000000006"/>
    <d v="2023-11-12T00:00:00"/>
    <x v="2"/>
  </r>
  <r>
    <s v="CUST0153"/>
    <s v="Female"/>
    <s v="East"/>
    <s v="Monitor"/>
    <x v="0"/>
    <n v="40"/>
    <n v="300"/>
    <n v="1"/>
    <n v="300"/>
    <n v="6.85"/>
    <d v="2023-06-21T00:00:00"/>
    <x v="0"/>
  </r>
  <r>
    <s v="CUST0057"/>
    <s v="Female"/>
    <s v="East"/>
    <s v="Keyboard"/>
    <x v="1"/>
    <n v="62"/>
    <n v="50"/>
    <n v="5"/>
    <n v="250"/>
    <n v="14.04"/>
    <d v="2024-01-03T00:00:00"/>
    <x v="3"/>
  </r>
  <r>
    <s v="CUST0192"/>
    <s v="Male"/>
    <s v="Unknown"/>
    <s v="Keyboard"/>
    <x v="1"/>
    <n v="58"/>
    <n v="50"/>
    <n v="3"/>
    <n v="150"/>
    <n v="6.37"/>
    <d v="2024-01-03T00:00:00"/>
    <x v="1"/>
  </r>
  <r>
    <s v="CUST0150"/>
    <s v="Female"/>
    <s v="North"/>
    <s v="Laptop"/>
    <x v="0"/>
    <n v="63"/>
    <n v="1500"/>
    <n v="3"/>
    <n v="4500"/>
    <n v="18.66"/>
    <d v="2023-05-06T00:00:00"/>
    <x v="0"/>
  </r>
  <r>
    <s v="CUST0203"/>
    <s v="Male"/>
    <s v="South"/>
    <s v="Mouse"/>
    <x v="1"/>
    <n v="33"/>
    <n v="30"/>
    <n v="1"/>
    <n v="30"/>
    <n v="7.78"/>
    <d v="2023-01-03T00:00:00"/>
    <x v="1"/>
  </r>
  <r>
    <s v="CUST0163"/>
    <s v="Female"/>
    <s v="North"/>
    <s v="Headphones"/>
    <x v="1"/>
    <n v="22"/>
    <n v="100"/>
    <n v="3"/>
    <n v="300"/>
    <n v="6.16"/>
    <d v="2023-10-12T00:00:00"/>
    <x v="0"/>
  </r>
  <r>
    <s v="CUST0203"/>
    <s v="Female"/>
    <s v="East"/>
    <s v="Laptop"/>
    <x v="0"/>
    <n v="33"/>
    <n v="1500"/>
    <n v="3"/>
    <n v="4500"/>
    <n v="6.92"/>
    <d v="2023-06-26T00:00:00"/>
    <x v="0"/>
  </r>
  <r>
    <s v="CUST0223"/>
    <s v="Female"/>
    <s v="Unknown"/>
    <s v="Mouse"/>
    <x v="1"/>
    <n v="20"/>
    <n v="62.191212249732999"/>
    <n v="2"/>
    <n v="60"/>
    <n v="15.12"/>
    <d v="2023-05-26T00:00:00"/>
    <x v="1"/>
  </r>
  <r>
    <s v="CUST0266"/>
    <s v="Male"/>
    <s v="North"/>
    <s v="Mouse"/>
    <x v="1"/>
    <n v="49"/>
    <n v="30"/>
    <n v="5"/>
    <n v="150"/>
    <n v="16.86"/>
    <d v="2023-11-08T00:00:00"/>
    <x v="0"/>
  </r>
  <r>
    <s v="CUST0227"/>
    <s v="Male"/>
    <s v="West"/>
    <s v="Smartphone"/>
    <x v="0"/>
    <n v="54"/>
    <n v="800"/>
    <n v="3"/>
    <n v="2400"/>
    <n v="18.760000000000002"/>
    <d v="2023-12-07T00:00:00"/>
    <x v="1"/>
  </r>
  <r>
    <s v="CUST0289"/>
    <s v="Male"/>
    <s v="West"/>
    <s v="Laptop"/>
    <x v="0"/>
    <n v="37"/>
    <n v="1500"/>
    <n v="5"/>
    <n v="7500"/>
    <n v="6.68"/>
    <d v="2023-07-06T00:00:00"/>
    <x v="2"/>
  </r>
  <r>
    <s v="CUST0046"/>
    <s v="Female"/>
    <s v="South"/>
    <s v="Laptop"/>
    <x v="0"/>
    <n v="22"/>
    <n v="1500"/>
    <n v="3"/>
    <n v="4500"/>
    <n v="11.69"/>
    <d v="2023-06-20T00:00:00"/>
    <x v="2"/>
  </r>
  <r>
    <s v="CUST0173"/>
    <s v="Male"/>
    <s v="Unknown"/>
    <s v="Headphones"/>
    <x v="1"/>
    <n v="65"/>
    <n v="100"/>
    <n v="1"/>
    <n v="100"/>
    <n v="19.28"/>
    <d v="2023-02-11T00:00:00"/>
    <x v="0"/>
  </r>
  <r>
    <s v="CUST0008"/>
    <s v="Female"/>
    <s v="North"/>
    <s v="Headphones"/>
    <x v="1"/>
    <n v="49"/>
    <n v="100"/>
    <n v="5"/>
    <n v="500"/>
    <n v="16.04"/>
    <d v="2023-02-02T00:00:00"/>
    <x v="2"/>
  </r>
  <r>
    <s v="CUST0015"/>
    <s v="Male"/>
    <s v="West"/>
    <s v="Headphones"/>
    <x v="1"/>
    <n v="58"/>
    <n v="100"/>
    <n v="3"/>
    <n v="300"/>
    <n v="6.08"/>
    <d v="2023-03-22T00:00:00"/>
    <x v="0"/>
  </r>
  <r>
    <s v="CUST0002"/>
    <s v="Male"/>
    <s v="East"/>
    <s v="Smartphone"/>
    <x v="0"/>
    <n v="23"/>
    <n v="800"/>
    <n v="1"/>
    <n v="800"/>
    <n v="12.64"/>
    <d v="2023-09-10T00:00:00"/>
    <x v="0"/>
  </r>
  <r>
    <s v="CUST0189"/>
    <s v="Female"/>
    <s v="South"/>
    <s v="Mouse"/>
    <x v="1"/>
    <n v="38"/>
    <n v="30"/>
    <n v="1"/>
    <n v="30"/>
    <n v="10.92"/>
    <d v="2023-02-22T00:00:00"/>
    <x v="2"/>
  </r>
  <r>
    <s v="CUST0137"/>
    <s v="Male"/>
    <s v="North"/>
    <s v="Smartphone"/>
    <x v="0"/>
    <n v="19"/>
    <n v="800"/>
    <n v="3"/>
    <n v="2400"/>
    <n v="16.82"/>
    <d v="2023-05-20T00:00:00"/>
    <x v="1"/>
  </r>
  <r>
    <s v="CUST0139"/>
    <s v="Male"/>
    <s v="South"/>
    <s v="Smartwatch"/>
    <x v="2"/>
    <n v="49"/>
    <n v="200"/>
    <n v="2"/>
    <n v="400"/>
    <n v="9.18"/>
    <d v="2023-06-26T00:00:00"/>
    <x v="2"/>
  </r>
  <r>
    <s v="CUST0033"/>
    <s v="Female"/>
    <s v="South"/>
    <s v="Monitor"/>
    <x v="0"/>
    <n v="49"/>
    <n v="300"/>
    <n v="2"/>
    <n v="600"/>
    <n v="15.3"/>
    <d v="2023-04-12T00:00:00"/>
    <x v="2"/>
  </r>
  <r>
    <s v="CUST0297"/>
    <s v="Male"/>
    <s v="North"/>
    <s v="Monitor"/>
    <x v="0"/>
    <n v="61"/>
    <n v="300"/>
    <n v="2"/>
    <n v="600"/>
    <n v="13.84"/>
    <d v="2023-10-10T00:00:00"/>
    <x v="1"/>
  </r>
  <r>
    <s v="CUST0008"/>
    <s v="Female"/>
    <s v="North"/>
    <s v="Keyboard"/>
    <x v="1"/>
    <n v="18"/>
    <n v="50"/>
    <n v="3"/>
    <n v="150"/>
    <n v="13.86"/>
    <d v="2023-05-29T00:00:00"/>
    <x v="2"/>
  </r>
  <r>
    <s v="CUST0267"/>
    <s v="Male"/>
    <s v="North"/>
    <s v="Laptop"/>
    <x v="0"/>
    <n v="29"/>
    <n v="1500"/>
    <n v="3"/>
    <n v="4500"/>
    <n v="14.23"/>
    <d v="2023-06-01T00:00:00"/>
    <x v="0"/>
  </r>
  <r>
    <s v="CUST0028"/>
    <s v="Male"/>
    <s v="Unknown"/>
    <s v="Smartwatch"/>
    <x v="2"/>
    <n v="50"/>
    <n v="200"/>
    <n v="5"/>
    <n v="1000"/>
    <n v="6.09"/>
    <d v="2023-08-22T00:00:00"/>
    <x v="1"/>
  </r>
  <r>
    <s v="CUST0078"/>
    <s v="Female"/>
    <s v="North"/>
    <s v="Laptop"/>
    <x v="0"/>
    <n v="38"/>
    <n v="1500"/>
    <n v="3"/>
    <n v="4500"/>
    <n v="19.98"/>
    <d v="2023-05-10T00:00:00"/>
    <x v="1"/>
  </r>
  <r>
    <s v="CUST0003"/>
    <s v="Male"/>
    <s v="North"/>
    <s v="Smartphone"/>
    <x v="0"/>
    <n v="63"/>
    <n v="800"/>
    <n v="5"/>
    <n v="4000"/>
    <n v="11.1"/>
    <d v="2023-11-06T00:00:00"/>
    <x v="1"/>
  </r>
  <r>
    <s v="CUST0049"/>
    <s v="Female"/>
    <s v="North"/>
    <s v="Laptop"/>
    <x v="0"/>
    <n v="59"/>
    <n v="1500"/>
    <n v="1"/>
    <n v="1500"/>
    <n v="12.63"/>
    <d v="2023-02-06T00:00:00"/>
    <x v="0"/>
  </r>
  <r>
    <s v="CUST0212"/>
    <s v="Female"/>
    <s v="North"/>
    <s v="Laptop"/>
    <x v="0"/>
    <n v="49"/>
    <n v="1500"/>
    <n v="5"/>
    <n v="7500"/>
    <n v="10.18"/>
    <d v="2023-11-18T00:00:00"/>
    <x v="1"/>
  </r>
  <r>
    <s v="CUST0146"/>
    <s v="Male"/>
    <s v="North"/>
    <s v="Smartphone"/>
    <x v="0"/>
    <n v="47"/>
    <n v="800"/>
    <n v="1"/>
    <n v="800"/>
    <n v="10.16"/>
    <d v="2023-01-13T00:00:00"/>
    <x v="3"/>
  </r>
  <r>
    <s v="CUST0082"/>
    <s v="Female"/>
    <s v="Unknown"/>
    <s v="Smartwatch"/>
    <x v="2"/>
    <n v="49"/>
    <n v="200"/>
    <n v="1"/>
    <n v="200"/>
    <n v="6.03"/>
    <d v="2023-04-21T00:00:00"/>
    <x v="0"/>
  </r>
  <r>
    <s v="CUST0036"/>
    <s v="Female"/>
    <s v="North"/>
    <s v="Keyboard"/>
    <x v="1"/>
    <n v="33"/>
    <n v="50"/>
    <n v="1"/>
    <n v="50"/>
    <n v="6.06"/>
    <d v="2023-08-02T00:00:00"/>
    <x v="2"/>
  </r>
  <r>
    <s v="CUST0155"/>
    <s v="Female"/>
    <s v="North"/>
    <s v="Laptop"/>
    <x v="0"/>
    <n v="41"/>
    <n v="1500"/>
    <n v="2"/>
    <n v="3000"/>
    <n v="9.2100000000000009"/>
    <d v="2023-02-02T00:00:00"/>
    <x v="0"/>
  </r>
  <r>
    <s v="CUST0138"/>
    <s v="Male"/>
    <s v="North"/>
    <s v="Keyboard"/>
    <x v="1"/>
    <n v="46"/>
    <n v="50"/>
    <n v="3"/>
    <n v="150"/>
    <n v="5.09"/>
    <d v="2023-03-16T00:00:00"/>
    <x v="0"/>
  </r>
  <r>
    <s v="CUST0201"/>
    <s v="Female"/>
    <s v="North"/>
    <s v="Mouse"/>
    <x v="1"/>
    <n v="49"/>
    <n v="30"/>
    <n v="2"/>
    <n v="60"/>
    <n v="8.39"/>
    <d v="2023-11-03T00:00:00"/>
    <x v="1"/>
  </r>
  <r>
    <s v="CUST0197"/>
    <s v="Female"/>
    <s v="West"/>
    <s v="Mouse"/>
    <x v="1"/>
    <n v="54"/>
    <n v="30"/>
    <n v="2"/>
    <n v="60"/>
    <n v="8.59"/>
    <d v="2023-06-04T00:00:00"/>
    <x v="2"/>
  </r>
  <r>
    <s v="CUST0082"/>
    <s v="Male"/>
    <s v="West"/>
    <s v="Laptop"/>
    <x v="0"/>
    <n v="30"/>
    <n v="1500"/>
    <n v="1"/>
    <n v="1500"/>
    <n v="9.98"/>
    <d v="2023-12-04T00:00:00"/>
    <x v="2"/>
  </r>
  <r>
    <s v="CUST0091"/>
    <s v="Male"/>
    <s v="East"/>
    <s v="Laptop"/>
    <x v="0"/>
    <n v="30"/>
    <n v="1500"/>
    <n v="5"/>
    <n v="7500"/>
    <n v="7.58"/>
    <d v="2023-09-26T00:00:00"/>
    <x v="2"/>
  </r>
  <r>
    <s v="CUST0066"/>
    <s v="Male"/>
    <s v="West"/>
    <s v="Laptop"/>
    <x v="0"/>
    <n v="37"/>
    <n v="1500"/>
    <n v="2"/>
    <n v="3000"/>
    <n v="5.69"/>
    <d v="2023-01-18T00:00:00"/>
    <x v="0"/>
  </r>
  <r>
    <s v="CUST0026"/>
    <s v="Female"/>
    <s v="East"/>
    <s v="Monitor"/>
    <x v="0"/>
    <n v="27"/>
    <n v="300"/>
    <n v="1"/>
    <n v="300"/>
    <n v="16.61"/>
    <d v="2023-11-23T00:00:00"/>
    <x v="1"/>
  </r>
  <r>
    <s v="CUST0078"/>
    <s v="Female"/>
    <s v="West"/>
    <s v="Smartwatch"/>
    <x v="2"/>
    <n v="38"/>
    <n v="200"/>
    <n v="4"/>
    <n v="800"/>
    <n v="18.89"/>
    <d v="2023-05-03T00:00:00"/>
    <x v="0"/>
  </r>
  <r>
    <s v="CUST0281"/>
    <s v="Male"/>
    <s v="West"/>
    <s v="Keyboard"/>
    <x v="1"/>
    <n v="44"/>
    <n v="50"/>
    <n v="4"/>
    <n v="200"/>
    <n v="19.809999999999999"/>
    <d v="2023-08-27T00:00:00"/>
    <x v="1"/>
  </r>
  <r>
    <s v="CUST0299"/>
    <s v="Male"/>
    <s v="West"/>
    <s v="Headphones"/>
    <x v="1"/>
    <n v="58"/>
    <n v="100"/>
    <n v="5"/>
    <n v="500"/>
    <n v="14.5"/>
    <d v="2023-01-16T00:00:00"/>
    <x v="0"/>
  </r>
  <r>
    <s v="CUST0053"/>
    <s v="Female"/>
    <s v="East"/>
    <s v="Smartwatch"/>
    <x v="2"/>
    <n v="25"/>
    <n v="200"/>
    <n v="5"/>
    <n v="1000"/>
    <n v="16.41"/>
    <d v="2023-07-25T00:00:00"/>
    <x v="1"/>
  </r>
  <r>
    <s v="CUST0239"/>
    <s v="Male"/>
    <s v="North"/>
    <s v="Smartwatch"/>
    <x v="2"/>
    <n v="35"/>
    <n v="200"/>
    <n v="1"/>
    <n v="200"/>
    <n v="7.32"/>
    <d v="2023-11-18T00:00:00"/>
    <x v="2"/>
  </r>
  <r>
    <s v="CUST0069"/>
    <s v="Male"/>
    <s v="East"/>
    <s v="Headphones"/>
    <x v="1"/>
    <n v="49"/>
    <n v="100"/>
    <n v="3"/>
    <n v="300"/>
    <n v="10.81"/>
    <d v="2023-12-07T00:00:00"/>
    <x v="0"/>
  </r>
  <r>
    <s v="CUST0245"/>
    <s v="Male"/>
    <s v="West"/>
    <s v="Mouse"/>
    <x v="1"/>
    <n v="63"/>
    <n v="30"/>
    <n v="3"/>
    <n v="90"/>
    <n v="13.95"/>
    <d v="2023-05-15T00:00:00"/>
    <x v="0"/>
  </r>
  <r>
    <s v="CUST0258"/>
    <s v="Female"/>
    <s v="South"/>
    <s v="Monitor"/>
    <x v="0"/>
    <n v="39"/>
    <n v="300"/>
    <n v="4"/>
    <n v="1200"/>
    <n v="9.5500000000000007"/>
    <d v="2023-05-16T00:00:00"/>
    <x v="1"/>
  </r>
  <r>
    <s v="CUST0177"/>
    <s v="Male"/>
    <s v="South"/>
    <s v="Smartwatch"/>
    <x v="2"/>
    <n v="29"/>
    <n v="200"/>
    <n v="3"/>
    <n v="600"/>
    <n v="13.87"/>
    <d v="2023-03-18T00:00:00"/>
    <x v="1"/>
  </r>
  <r>
    <s v="CUST0140"/>
    <s v="Male"/>
    <s v="East"/>
    <s v="Headphones"/>
    <x v="1"/>
    <n v="49"/>
    <n v="100"/>
    <n v="2"/>
    <n v="200"/>
    <n v="10.96"/>
    <d v="2023-03-08T00:00:00"/>
    <x v="2"/>
  </r>
  <r>
    <s v="CUST0089"/>
    <s v="Female"/>
    <s v="North"/>
    <s v="Mouse"/>
    <x v="1"/>
    <n v="27"/>
    <n v="30"/>
    <n v="3"/>
    <n v="90"/>
    <n v="6.45"/>
    <d v="2023-09-19T00:00:00"/>
    <x v="1"/>
  </r>
  <r>
    <s v="CUST0168"/>
    <s v="Female"/>
    <s v="West"/>
    <s v="Smartphone"/>
    <x v="0"/>
    <n v="42"/>
    <n v="800"/>
    <n v="2"/>
    <n v="1600"/>
    <n v="13.79"/>
    <d v="2023-09-25T00:00:00"/>
    <x v="1"/>
  </r>
  <r>
    <s v="CUST0176"/>
    <s v="Male"/>
    <s v="East"/>
    <s v="Laptop"/>
    <x v="0"/>
    <n v="51"/>
    <n v="1500"/>
    <n v="3"/>
    <n v="4500"/>
    <n v="16.420000000000002"/>
    <d v="2023-10-28T00:00:00"/>
    <x v="1"/>
  </r>
  <r>
    <s v="CUST0089"/>
    <s v="Female"/>
    <s v="South"/>
    <s v="Monitor"/>
    <x v="0"/>
    <n v="27"/>
    <n v="300"/>
    <n v="3"/>
    <n v="900"/>
    <n v="7.99"/>
    <d v="2023-02-21T00:00:00"/>
    <x v="1"/>
  </r>
  <r>
    <s v="CUST0281"/>
    <s v="Female"/>
    <s v="West"/>
    <s v="Keyboard"/>
    <x v="1"/>
    <n v="44"/>
    <n v="50"/>
    <n v="2"/>
    <n v="100"/>
    <n v="6.45"/>
    <d v="2023-08-28T00:00:00"/>
    <x v="0"/>
  </r>
  <r>
    <s v="CUST0044"/>
    <s v="Male"/>
    <s v="East"/>
    <s v="Mouse"/>
    <x v="1"/>
    <n v="30"/>
    <n v="30"/>
    <n v="5"/>
    <n v="150"/>
    <n v="16.62"/>
    <d v="2023-10-28T00:00:00"/>
    <x v="0"/>
  </r>
  <r>
    <s v="CUST0137"/>
    <s v="Female"/>
    <s v="South"/>
    <s v="Monitor"/>
    <x v="0"/>
    <n v="49"/>
    <n v="300"/>
    <n v="5"/>
    <n v="1500"/>
    <n v="6"/>
    <d v="2023-11-08T00:00:00"/>
    <x v="2"/>
  </r>
  <r>
    <s v="CUST0174"/>
    <s v="Female"/>
    <s v="East"/>
    <s v="Laptop"/>
    <x v="0"/>
    <n v="68"/>
    <n v="1500"/>
    <n v="1"/>
    <n v="1500"/>
    <n v="16.34"/>
    <d v="2023-05-07T00:00:00"/>
    <x v="2"/>
  </r>
  <r>
    <s v="CUST0141"/>
    <s v="Female"/>
    <s v="East"/>
    <s v="Mouse"/>
    <x v="1"/>
    <n v="58"/>
    <n v="30"/>
    <n v="1"/>
    <n v="30"/>
    <n v="12.22"/>
    <d v="2023-10-03T00:00:00"/>
    <x v="1"/>
  </r>
  <r>
    <s v="CUST0202"/>
    <s v="Male"/>
    <s v="South"/>
    <s v="Mouse"/>
    <x v="1"/>
    <n v="56"/>
    <n v="30"/>
    <n v="3"/>
    <n v="90"/>
    <n v="5.07"/>
    <d v="2023-01-05T00:00:00"/>
    <x v="2"/>
  </r>
  <r>
    <s v="CUST0259"/>
    <s v="Male"/>
    <s v="West"/>
    <s v="Laptop"/>
    <x v="0"/>
    <n v="59"/>
    <n v="1500"/>
    <n v="2"/>
    <n v="3000"/>
    <n v="7.5"/>
    <d v="2023-08-22T00:00:00"/>
    <x v="2"/>
  </r>
  <r>
    <s v="CUST0045"/>
    <s v="Female"/>
    <s v="East"/>
    <s v="Smartphone"/>
    <x v="0"/>
    <n v="21"/>
    <n v="800"/>
    <n v="3"/>
    <n v="2400"/>
    <n v="15.78"/>
    <d v="2023-11-07T00:00:00"/>
    <x v="2"/>
  </r>
  <r>
    <s v="CUST0168"/>
    <s v="Female"/>
    <s v="West"/>
    <s v="Keyboard"/>
    <x v="1"/>
    <n v="42"/>
    <n v="50"/>
    <n v="1"/>
    <n v="50"/>
    <n v="15.92"/>
    <d v="2023-06-24T00:00:00"/>
    <x v="2"/>
  </r>
  <r>
    <s v="CUST0027"/>
    <s v="Female"/>
    <s v="Unknown"/>
    <s v="Keyboard"/>
    <x v="1"/>
    <n v="36"/>
    <n v="50"/>
    <n v="5"/>
    <n v="250"/>
    <n v="11.09"/>
    <d v="2023-06-06T00:00:00"/>
    <x v="0"/>
  </r>
  <r>
    <s v="CUST0228"/>
    <s v="Male"/>
    <s v="South"/>
    <s v="Mouse"/>
    <x v="1"/>
    <n v="25"/>
    <n v="30"/>
    <n v="4"/>
    <n v="120"/>
    <n v="18.600000000000001"/>
    <d v="2023-06-29T00:00:00"/>
    <x v="0"/>
  </r>
  <r>
    <s v="CUST0199"/>
    <s v="Female"/>
    <s v="South"/>
    <s v="Smartphone"/>
    <x v="0"/>
    <n v="41"/>
    <n v="800"/>
    <n v="4"/>
    <n v="3200"/>
    <n v="16.45"/>
    <d v="2023-01-18T00:00:00"/>
    <x v="1"/>
  </r>
  <r>
    <s v="CUST0065"/>
    <s v="Male"/>
    <s v="North"/>
    <s v="Headphones"/>
    <x v="1"/>
    <n v="41"/>
    <n v="100"/>
    <n v="5"/>
    <n v="500"/>
    <n v="19.62"/>
    <d v="2023-03-04T00:00:00"/>
    <x v="2"/>
  </r>
  <r>
    <s v="CUST0146"/>
    <s v="Female"/>
    <s v="East"/>
    <s v="Laptop"/>
    <x v="0"/>
    <n v="47"/>
    <n v="1500"/>
    <n v="3"/>
    <n v="4500"/>
    <n v="8.8699999999999992"/>
    <d v="2023-09-11T00:00:00"/>
    <x v="2"/>
  </r>
  <r>
    <s v="CUST0093"/>
    <s v="Male"/>
    <s v="North"/>
    <s v="Monitor"/>
    <x v="0"/>
    <n v="66"/>
    <n v="300"/>
    <n v="1"/>
    <n v="300"/>
    <n v="16.579999999999998"/>
    <d v="2023-02-27T00:00:00"/>
    <x v="2"/>
  </r>
  <r>
    <s v="CUST0168"/>
    <s v="Female"/>
    <s v="South"/>
    <s v="Monitor"/>
    <x v="0"/>
    <n v="42"/>
    <n v="300"/>
    <n v="1"/>
    <n v="300"/>
    <n v="14.7"/>
    <d v="2023-11-16T00:00:00"/>
    <x v="2"/>
  </r>
  <r>
    <s v="CUST0216"/>
    <s v="Male"/>
    <s v="South"/>
    <s v="Smartphone"/>
    <x v="0"/>
    <n v="53"/>
    <n v="800"/>
    <n v="2"/>
    <n v="1600"/>
    <n v="16.23"/>
    <d v="2023-07-19T00:00:00"/>
    <x v="1"/>
  </r>
  <r>
    <s v="CUST0062"/>
    <s v="Male"/>
    <s v="West"/>
    <s v="Headphones"/>
    <x v="1"/>
    <n v="43"/>
    <n v="100"/>
    <n v="4"/>
    <n v="400"/>
    <n v="11.4"/>
    <d v="2023-04-24T00:00:00"/>
    <x v="0"/>
  </r>
  <r>
    <s v="CUST0125"/>
    <s v="Male"/>
    <s v="West"/>
    <s v="Smartphone"/>
    <x v="0"/>
    <n v="46"/>
    <n v="800"/>
    <n v="5"/>
    <n v="4000"/>
    <n v="19.079999999999998"/>
    <d v="2023-05-01T00:00:00"/>
    <x v="1"/>
  </r>
  <r>
    <s v="CUST0060"/>
    <s v="Male"/>
    <s v="Unknown"/>
    <s v="Keyboard"/>
    <x v="1"/>
    <n v="41"/>
    <n v="50"/>
    <n v="1"/>
    <n v="50"/>
    <n v="5.56"/>
    <d v="2023-06-26T00:00:00"/>
    <x v="2"/>
  </r>
  <r>
    <s v="CUST0056"/>
    <s v="Female"/>
    <s v="South"/>
    <s v="Smartwatch"/>
    <x v="2"/>
    <n v="23"/>
    <n v="200"/>
    <n v="2"/>
    <n v="400"/>
    <n v="5.73"/>
    <d v="2024-01-03T00:00:00"/>
    <x v="0"/>
  </r>
  <r>
    <s v="CUST0247"/>
    <s v="Male"/>
    <s v="South"/>
    <s v="Smartphone"/>
    <x v="0"/>
    <n v="44"/>
    <n v="800"/>
    <n v="1"/>
    <n v="800"/>
    <n v="7.11"/>
    <d v="2023-01-19T00:00:00"/>
    <x v="1"/>
  </r>
  <r>
    <s v="CUST0131"/>
    <s v="Female"/>
    <s v="East"/>
    <s v="Monitor"/>
    <x v="0"/>
    <n v="67"/>
    <n v="300"/>
    <n v="1"/>
    <n v="300"/>
    <n v="15.92"/>
    <d v="2023-05-03T00:00:00"/>
    <x v="3"/>
  </r>
  <r>
    <s v="CUST0114"/>
    <s v="Female"/>
    <s v="West"/>
    <s v="Monitor"/>
    <x v="0"/>
    <n v="60"/>
    <n v="300"/>
    <n v="3"/>
    <n v="900"/>
    <n v="18.61"/>
    <d v="2023-07-21T00:00:00"/>
    <x v="1"/>
  </r>
  <r>
    <s v="CUST0082"/>
    <s v="Female"/>
    <s v="Unknown"/>
    <s v="Smartphone"/>
    <x v="0"/>
    <n v="49"/>
    <n v="800"/>
    <n v="4"/>
    <n v="3200"/>
    <n v="13.77"/>
    <d v="2023-10-11T00:00:00"/>
    <x v="2"/>
  </r>
  <r>
    <s v="CUST0184"/>
    <s v="Female"/>
    <s v="West"/>
    <s v="Mouse"/>
    <x v="1"/>
    <n v="54"/>
    <n v="30"/>
    <n v="3"/>
    <n v="90"/>
    <n v="14.78"/>
    <d v="2023-06-15T00:00:00"/>
    <x v="0"/>
  </r>
  <r>
    <s v="CUST0075"/>
    <s v="Female"/>
    <s v="South"/>
    <s v="Monitor"/>
    <x v="0"/>
    <n v="56"/>
    <n v="300"/>
    <n v="2"/>
    <n v="600"/>
    <n v="13.6"/>
    <d v="2023-08-16T00:00:00"/>
    <x v="2"/>
  </r>
  <r>
    <s v="CUST0142"/>
    <s v="Male"/>
    <s v="East"/>
    <s v="Monitor"/>
    <x v="0"/>
    <n v="32"/>
    <n v="300"/>
    <n v="1"/>
    <n v="300"/>
    <n v="15.5"/>
    <d v="2023-04-14T00:00:00"/>
    <x v="2"/>
  </r>
  <r>
    <s v="CUST0076"/>
    <s v="Male"/>
    <s v="East"/>
    <s v="Headphones"/>
    <x v="1"/>
    <n v="26"/>
    <n v="100"/>
    <n v="5"/>
    <n v="500"/>
    <n v="16.96"/>
    <d v="2023-10-24T00:00:00"/>
    <x v="2"/>
  </r>
  <r>
    <s v="CUST0105"/>
    <s v="Male"/>
    <s v="East"/>
    <s v="Smartwatch"/>
    <x v="2"/>
    <n v="27"/>
    <n v="200"/>
    <n v="5"/>
    <n v="1000"/>
    <n v="12"/>
    <d v="2023-07-14T00:00:00"/>
    <x v="1"/>
  </r>
  <r>
    <s v="CUST0004"/>
    <s v="Female"/>
    <s v="West"/>
    <s v="Keyboard"/>
    <x v="1"/>
    <n v="65"/>
    <n v="50"/>
    <n v="3"/>
    <n v="150"/>
    <n v="19.62"/>
    <d v="2023-12-06T00:00:00"/>
    <x v="1"/>
  </r>
  <r>
    <s v="CUST0127"/>
    <s v="Male"/>
    <s v="North"/>
    <s v="Smartwatch"/>
    <x v="2"/>
    <n v="62"/>
    <n v="200"/>
    <n v="2"/>
    <n v="400"/>
    <n v="11.66"/>
    <d v="2023-08-31T00:00:00"/>
    <x v="2"/>
  </r>
  <r>
    <s v="CUST0072"/>
    <s v="Male"/>
    <s v="South"/>
    <s v="Headphones"/>
    <x v="1"/>
    <n v="21"/>
    <n v="100"/>
    <n v="1"/>
    <n v="100"/>
    <n v="11.24"/>
    <d v="2023-09-02T00:00:00"/>
    <x v="2"/>
  </r>
  <r>
    <s v="CUST0216"/>
    <s v="Male"/>
    <s v="North"/>
    <s v="Smartphone"/>
    <x v="0"/>
    <n v="53"/>
    <n v="800"/>
    <n v="4"/>
    <n v="3200"/>
    <n v="6.27"/>
    <d v="2023-04-06T00:00:00"/>
    <x v="0"/>
  </r>
  <r>
    <s v="CUST0156"/>
    <s v="Female"/>
    <s v="South"/>
    <s v="Smartphone"/>
    <x v="0"/>
    <n v="57"/>
    <n v="800"/>
    <n v="4"/>
    <n v="3200"/>
    <n v="16.09"/>
    <d v="2023-12-29T00:00:00"/>
    <x v="1"/>
  </r>
  <r>
    <s v="CUST0052"/>
    <s v="Male"/>
    <s v="North"/>
    <s v="Mouse"/>
    <x v="1"/>
    <n v="66"/>
    <n v="30"/>
    <n v="4"/>
    <n v="120"/>
    <n v="8.24"/>
    <d v="2023-06-09T00:00:00"/>
    <x v="0"/>
  </r>
  <r>
    <s v="CUST0226"/>
    <s v="Female"/>
    <s v="West"/>
    <s v="Smartphone"/>
    <x v="0"/>
    <n v="49"/>
    <n v="800"/>
    <n v="4"/>
    <n v="3200"/>
    <n v="17.91"/>
    <d v="2023-06-14T00:00:00"/>
    <x v="1"/>
  </r>
  <r>
    <s v="CUST0270"/>
    <s v="Female"/>
    <s v="West"/>
    <s v="Laptop"/>
    <x v="0"/>
    <n v="64"/>
    <n v="1500"/>
    <n v="1"/>
    <n v="1500"/>
    <n v="18.88"/>
    <d v="2023-07-14T00:00:00"/>
    <x v="0"/>
  </r>
  <r>
    <s v="CUST0269"/>
    <s v="Male"/>
    <s v="North"/>
    <s v="Monitor"/>
    <x v="0"/>
    <n v="64"/>
    <n v="621.91212249732996"/>
    <n v="5"/>
    <n v="1500"/>
    <n v="6.93"/>
    <d v="2023-04-23T00:00:00"/>
    <x v="2"/>
  </r>
  <r>
    <s v="CUST0183"/>
    <s v="Female"/>
    <s v="West"/>
    <s v="Smartphone"/>
    <x v="0"/>
    <n v="42"/>
    <n v="800"/>
    <n v="3"/>
    <n v="2400"/>
    <n v="7.22"/>
    <d v="2023-10-21T00:00:00"/>
    <x v="2"/>
  </r>
  <r>
    <s v="CUST0205"/>
    <s v="Male"/>
    <s v="South"/>
    <s v="Keyboard"/>
    <x v="1"/>
    <n v="43"/>
    <n v="50"/>
    <n v="2"/>
    <n v="100"/>
    <n v="5.05"/>
    <d v="2023-10-09T00:00:00"/>
    <x v="2"/>
  </r>
  <r>
    <s v="CUST0080"/>
    <s v="Female"/>
    <s v="East"/>
    <s v="Headphones"/>
    <x v="1"/>
    <n v="51"/>
    <n v="100"/>
    <n v="1"/>
    <n v="100"/>
    <n v="19.84"/>
    <d v="2023-05-27T00:00:00"/>
    <x v="2"/>
  </r>
  <r>
    <s v="CUST0208"/>
    <s v="Female"/>
    <s v="West"/>
    <s v="Laptop"/>
    <x v="0"/>
    <n v="57"/>
    <n v="1500"/>
    <n v="1"/>
    <n v="1500"/>
    <n v="16.28"/>
    <d v="2023-02-01T00:00:00"/>
    <x v="0"/>
  </r>
  <r>
    <s v="CUST0186"/>
    <s v="Female"/>
    <s v="West"/>
    <s v="Mouse"/>
    <x v="1"/>
    <n v="55"/>
    <n v="30"/>
    <n v="5"/>
    <n v="150"/>
    <n v="17.36"/>
    <d v="2023-05-07T00:00:00"/>
    <x v="1"/>
  </r>
  <r>
    <s v="CUST0109"/>
    <s v="Female"/>
    <s v="Unknown"/>
    <s v="Mouse"/>
    <x v="1"/>
    <n v="57"/>
    <n v="30"/>
    <n v="1"/>
    <n v="30"/>
    <n v="9.59"/>
    <d v="2023-03-12T00:00:00"/>
    <x v="1"/>
  </r>
  <r>
    <s v="CUST0028"/>
    <s v="Female"/>
    <s v="East"/>
    <s v="Headphones"/>
    <x v="1"/>
    <n v="50"/>
    <n v="100"/>
    <n v="5"/>
    <n v="500"/>
    <n v="16.11"/>
    <d v="2023-11-07T00:00:00"/>
    <x v="1"/>
  </r>
  <r>
    <s v="CUST0083"/>
    <s v="Male"/>
    <s v="West"/>
    <s v="Keyboard"/>
    <x v="1"/>
    <n v="28"/>
    <n v="50"/>
    <n v="2"/>
    <n v="100"/>
    <n v="9.48"/>
    <d v="2023-09-14T00:00:00"/>
    <x v="0"/>
  </r>
  <r>
    <s v="CUST0027"/>
    <s v="Female"/>
    <s v="South"/>
    <s v="Monitor"/>
    <x v="0"/>
    <n v="36"/>
    <n v="300"/>
    <n v="2"/>
    <n v="600"/>
    <n v="18.440000000000001"/>
    <d v="2023-03-19T00:00:00"/>
    <x v="0"/>
  </r>
  <r>
    <s v="CUST0203"/>
    <s v="Female"/>
    <s v="South"/>
    <s v="Keyboard"/>
    <x v="1"/>
    <n v="33"/>
    <n v="50"/>
    <n v="5"/>
    <n v="250"/>
    <n v="8.43"/>
    <d v="2023-10-05T00:00:00"/>
    <x v="1"/>
  </r>
  <r>
    <s v="CUST0095"/>
    <s v="Female"/>
    <s v="East"/>
    <s v="Laptop"/>
    <x v="0"/>
    <n v="49"/>
    <n v="1500"/>
    <n v="5"/>
    <n v="7500"/>
    <n v="7.38"/>
    <d v="2023-06-18T00:00:00"/>
    <x v="0"/>
  </r>
  <r>
    <s v="CUST0204"/>
    <s v="Male"/>
    <s v="North"/>
    <s v="Smartphone"/>
    <x v="0"/>
    <n v="54"/>
    <n v="800"/>
    <n v="2"/>
    <n v="1600"/>
    <n v="6.45"/>
    <d v="2023-03-16T00:00:00"/>
    <x v="2"/>
  </r>
  <r>
    <s v="CUST0165"/>
    <s v="Male"/>
    <s v="West"/>
    <s v="Keyboard"/>
    <x v="1"/>
    <n v="49"/>
    <n v="50"/>
    <n v="1"/>
    <n v="50"/>
    <n v="8.9700000000000006"/>
    <d v="2023-05-23T00:00:00"/>
    <x v="0"/>
  </r>
  <r>
    <s v="CUST0269"/>
    <s v="Male"/>
    <s v="North"/>
    <s v="Headphones"/>
    <x v="1"/>
    <n v="64"/>
    <n v="100"/>
    <n v="3"/>
    <n v="300"/>
    <n v="11.64"/>
    <d v="2023-11-24T00:00:00"/>
    <x v="0"/>
  </r>
  <r>
    <s v="CUST0134"/>
    <s v="Male"/>
    <s v="North"/>
    <s v="Monitor"/>
    <x v="0"/>
    <n v="49"/>
    <n v="621.91212249732996"/>
    <n v="5"/>
    <n v="1500"/>
    <n v="7.22"/>
    <d v="2023-08-05T00:00:00"/>
    <x v="0"/>
  </r>
  <r>
    <s v="CUST0116"/>
    <s v="Female"/>
    <s v="East"/>
    <s v="Headphones"/>
    <x v="1"/>
    <n v="49"/>
    <n v="100"/>
    <n v="2"/>
    <n v="200"/>
    <n v="15.13"/>
    <d v="2023-01-23T00:00:00"/>
    <x v="2"/>
  </r>
  <r>
    <s v="CUST0137"/>
    <s v="Female"/>
    <s v="West"/>
    <s v="Smartphone"/>
    <x v="0"/>
    <n v="19"/>
    <n v="800"/>
    <n v="3"/>
    <n v="2400"/>
    <n v="11.21"/>
    <d v="2023-08-01T00:00:00"/>
    <x v="0"/>
  </r>
  <r>
    <s v="CUST0100"/>
    <s v="Male"/>
    <s v="West"/>
    <s v="Keyboard"/>
    <x v="1"/>
    <n v="29"/>
    <n v="50"/>
    <n v="2"/>
    <n v="100"/>
    <n v="5.18"/>
    <d v="2023-04-14T00:00:00"/>
    <x v="0"/>
  </r>
  <r>
    <s v="CUST0282"/>
    <s v="Male"/>
    <s v="North"/>
    <s v="Smartwatch"/>
    <x v="2"/>
    <n v="68"/>
    <n v="200"/>
    <n v="3"/>
    <n v="600"/>
    <n v="7.93"/>
    <d v="2023-06-22T00:00:00"/>
    <x v="1"/>
  </r>
  <r>
    <s v="CUST0094"/>
    <s v="Male"/>
    <s v="North"/>
    <s v="Laptop"/>
    <x v="0"/>
    <n v="30"/>
    <n v="1500"/>
    <n v="1"/>
    <n v="1500"/>
    <n v="14.53"/>
    <d v="2023-04-18T00:00:00"/>
    <x v="1"/>
  </r>
  <r>
    <s v="CUST0194"/>
    <s v="Female"/>
    <s v="West"/>
    <s v="Mouse"/>
    <x v="1"/>
    <n v="61"/>
    <n v="62.191212249732999"/>
    <n v="1"/>
    <n v="30"/>
    <n v="10.41"/>
    <d v="2023-01-28T00:00:00"/>
    <x v="0"/>
  </r>
  <r>
    <s v="CUST0174"/>
    <s v="Female"/>
    <s v="North"/>
    <s v="Smartphone"/>
    <x v="0"/>
    <n v="49"/>
    <n v="800"/>
    <n v="4"/>
    <n v="3200"/>
    <n v="9.4499999999999993"/>
    <d v="2023-05-08T00:00:00"/>
    <x v="0"/>
  </r>
  <r>
    <s v="CUST0273"/>
    <s v="Female"/>
    <s v="South"/>
    <s v="Laptop"/>
    <x v="0"/>
    <n v="49"/>
    <n v="1500"/>
    <n v="2"/>
    <n v="3000"/>
    <n v="9.01"/>
    <d v="2023-06-07T00:00:00"/>
    <x v="1"/>
  </r>
  <r>
    <s v="CUST0188"/>
    <s v="Male"/>
    <s v="North"/>
    <s v="Smartphone"/>
    <x v="0"/>
    <n v="29"/>
    <n v="800"/>
    <n v="5"/>
    <n v="4000"/>
    <n v="6.06"/>
    <d v="2023-02-24T00:00:00"/>
    <x v="2"/>
  </r>
  <r>
    <s v="CUST0109"/>
    <s v="Male"/>
    <s v="West"/>
    <s v="Keyboard"/>
    <x v="1"/>
    <n v="57"/>
    <n v="50"/>
    <n v="3"/>
    <n v="150"/>
    <n v="11.12"/>
    <d v="2023-02-16T00:00:00"/>
    <x v="1"/>
  </r>
  <r>
    <s v="CUST0081"/>
    <s v="Male"/>
    <s v="West"/>
    <s v="Smartwatch"/>
    <x v="2"/>
    <n v="38"/>
    <n v="200"/>
    <n v="3"/>
    <n v="600"/>
    <n v="19.89"/>
    <d v="2023-08-07T00:00:00"/>
    <x v="0"/>
  </r>
  <r>
    <s v="CUST0298"/>
    <s v="Male"/>
    <s v="North"/>
    <s v="Smartphone"/>
    <x v="0"/>
    <n v="58"/>
    <n v="800"/>
    <n v="4"/>
    <n v="3200"/>
    <n v="18.55"/>
    <d v="2023-04-04T00:00:00"/>
    <x v="3"/>
  </r>
  <r>
    <s v="CUST0189"/>
    <s v="Female"/>
    <s v="East"/>
    <s v="Monitor"/>
    <x v="0"/>
    <n v="38"/>
    <n v="300"/>
    <n v="1"/>
    <n v="300"/>
    <n v="11.89"/>
    <d v="2023-05-01T00:00:00"/>
    <x v="1"/>
  </r>
  <r>
    <s v="CUST0092"/>
    <s v="Female"/>
    <s v="East"/>
    <s v="Smartphone"/>
    <x v="0"/>
    <n v="32"/>
    <n v="800"/>
    <n v="3"/>
    <n v="2400"/>
    <n v="14.12"/>
    <d v="2023-09-28T00:00:00"/>
    <x v="1"/>
  </r>
  <r>
    <s v="CUST0254"/>
    <s v="Female"/>
    <s v="West"/>
    <s v="Mouse"/>
    <x v="1"/>
    <n v="49"/>
    <n v="30"/>
    <n v="2"/>
    <n v="60"/>
    <n v="7.56"/>
    <d v="2023-12-25T00:00:00"/>
    <x v="2"/>
  </r>
  <r>
    <s v="CUST0150"/>
    <s v="Male"/>
    <s v="South"/>
    <s v="Headphones"/>
    <x v="1"/>
    <n v="63"/>
    <n v="100"/>
    <n v="4"/>
    <n v="400"/>
    <n v="11.39"/>
    <d v="2023-05-06T00:00:00"/>
    <x v="2"/>
  </r>
  <r>
    <s v="CUST0264"/>
    <s v="Female"/>
    <s v="West"/>
    <s v="Keyboard"/>
    <x v="1"/>
    <n v="59"/>
    <n v="103.65202041622101"/>
    <n v="4"/>
    <n v="200"/>
    <n v="10.49"/>
    <d v="2023-08-21T00:00:00"/>
    <x v="2"/>
  </r>
  <r>
    <s v="CUST0105"/>
    <s v="Male"/>
    <s v="West"/>
    <s v="Headphones"/>
    <x v="1"/>
    <n v="27"/>
    <n v="100"/>
    <n v="3"/>
    <n v="300"/>
    <n v="17.920000000000002"/>
    <d v="2023-03-13T00:00:00"/>
    <x v="0"/>
  </r>
  <r>
    <s v="CUST0253"/>
    <s v="Female"/>
    <s v="West"/>
    <s v="Laptop"/>
    <x v="0"/>
    <n v="51"/>
    <n v="1500"/>
    <n v="1"/>
    <n v="1500"/>
    <n v="12.36"/>
    <d v="2023-02-28T00:00:00"/>
    <x v="0"/>
  </r>
  <r>
    <s v="CUST0188"/>
    <s v="Male"/>
    <s v="West"/>
    <s v="Monitor"/>
    <x v="0"/>
    <n v="29"/>
    <n v="300"/>
    <n v="4"/>
    <n v="1200"/>
    <n v="8.15"/>
    <d v="2023-07-26T00:00:00"/>
    <x v="2"/>
  </r>
  <r>
    <s v="CUST0052"/>
    <s v="Male"/>
    <s v="East"/>
    <s v="Monitor"/>
    <x v="0"/>
    <n v="66"/>
    <n v="300"/>
    <n v="2"/>
    <n v="600"/>
    <n v="19.100000000000001"/>
    <d v="2023-07-02T00:00:00"/>
    <x v="3"/>
  </r>
  <r>
    <s v="CUST0204"/>
    <s v="Male"/>
    <s v="East"/>
    <s v="Smartwatch"/>
    <x v="2"/>
    <n v="54"/>
    <n v="200"/>
    <n v="5"/>
    <n v="1000"/>
    <n v="10.029999999999999"/>
    <d v="2023-10-17T00:00:00"/>
    <x v="0"/>
  </r>
  <r>
    <s v="CUST0180"/>
    <s v="Male"/>
    <s v="East"/>
    <s v="Monitor"/>
    <x v="0"/>
    <n v="68"/>
    <n v="300"/>
    <n v="3"/>
    <n v="900"/>
    <n v="5"/>
    <d v="2023-10-18T00:00:00"/>
    <x v="1"/>
  </r>
  <r>
    <s v="CUST0189"/>
    <s v="Female"/>
    <s v="West"/>
    <s v="Laptop"/>
    <x v="0"/>
    <n v="49"/>
    <n v="1500"/>
    <n v="3"/>
    <n v="4500"/>
    <n v="9.92"/>
    <d v="2023-04-06T00:00:00"/>
    <x v="2"/>
  </r>
  <r>
    <s v="CUST0023"/>
    <s v="Female"/>
    <s v="South"/>
    <s v="Monitor"/>
    <x v="0"/>
    <n v="29"/>
    <n v="300"/>
    <n v="3"/>
    <n v="900"/>
    <n v="18.32"/>
    <d v="2023-07-20T00:00:00"/>
    <x v="2"/>
  </r>
  <r>
    <s v="CUST0263"/>
    <s v="Female"/>
    <s v="West"/>
    <s v="Smartwatch"/>
    <x v="2"/>
    <n v="40"/>
    <n v="200"/>
    <n v="1"/>
    <n v="200"/>
    <n v="8.82"/>
    <d v="2023-04-08T00:00:00"/>
    <x v="0"/>
  </r>
  <r>
    <s v="CUST0195"/>
    <s v="Male"/>
    <s v="West"/>
    <s v="Keyboard"/>
    <x v="1"/>
    <n v="48"/>
    <n v="50"/>
    <n v="3"/>
    <n v="150"/>
    <n v="16.84"/>
    <d v="2023-01-08T00:00:00"/>
    <x v="0"/>
  </r>
  <r>
    <s v="CUST0272"/>
    <s v="Female"/>
    <s v="West"/>
    <s v="Laptop"/>
    <x v="0"/>
    <n v="52"/>
    <n v="1500"/>
    <n v="5"/>
    <n v="7500"/>
    <n v="9.4499999999999993"/>
    <d v="2023-05-13T00:00:00"/>
    <x v="3"/>
  </r>
  <r>
    <s v="CUST0256"/>
    <s v="Male"/>
    <s v="East"/>
    <s v="Monitor"/>
    <x v="0"/>
    <n v="69"/>
    <n v="300"/>
    <n v="4"/>
    <n v="1200"/>
    <n v="8.25"/>
    <d v="2023-08-15T00:00:00"/>
    <x v="0"/>
  </r>
  <r>
    <s v="CUST0131"/>
    <s v="Male"/>
    <s v="North"/>
    <s v="Smartphone"/>
    <x v="0"/>
    <n v="67"/>
    <n v="800"/>
    <n v="4"/>
    <n v="3200"/>
    <n v="14.61"/>
    <d v="2023-09-18T00:00:00"/>
    <x v="1"/>
  </r>
  <r>
    <s v="CUST0279"/>
    <s v="Female"/>
    <s v="North"/>
    <s v="Mouse"/>
    <x v="1"/>
    <n v="59"/>
    <n v="30"/>
    <n v="1"/>
    <n v="30"/>
    <n v="6.08"/>
    <d v="2023-02-15T00:00:00"/>
    <x v="0"/>
  </r>
  <r>
    <s v="CUST0250"/>
    <s v="Female"/>
    <s v="West"/>
    <s v="Smartwatch"/>
    <x v="2"/>
    <n v="64"/>
    <n v="200"/>
    <n v="2"/>
    <n v="400"/>
    <n v="15.94"/>
    <d v="2023-11-28T00:00:00"/>
    <x v="2"/>
  </r>
  <r>
    <s v="CUST0012"/>
    <s v="Male"/>
    <s v="East"/>
    <s v="Mouse"/>
    <x v="1"/>
    <n v="49"/>
    <n v="30"/>
    <n v="3"/>
    <n v="90"/>
    <n v="16.489999999999998"/>
    <d v="2023-07-29T00:00:00"/>
    <x v="1"/>
  </r>
  <r>
    <s v="CUST0127"/>
    <s v="Female"/>
    <s v="South"/>
    <s v="Smartphone"/>
    <x v="0"/>
    <n v="62"/>
    <n v="800"/>
    <n v="4"/>
    <n v="3200"/>
    <n v="6.66"/>
    <d v="2023-07-10T00:00:00"/>
    <x v="1"/>
  </r>
  <r>
    <s v="CUST0128"/>
    <s v="Female"/>
    <s v="North"/>
    <s v="Monitor"/>
    <x v="0"/>
    <n v="52"/>
    <n v="621.91212249732996"/>
    <n v="3"/>
    <n v="900"/>
    <n v="11.04"/>
    <d v="2023-10-25T00:00:00"/>
    <x v="2"/>
  </r>
  <r>
    <s v="CUST0155"/>
    <s v="Male"/>
    <s v="West"/>
    <s v="Headphones"/>
    <x v="1"/>
    <n v="41"/>
    <n v="100"/>
    <n v="3"/>
    <n v="300"/>
    <n v="11.98"/>
    <d v="2023-06-12T00:00:00"/>
    <x v="2"/>
  </r>
  <r>
    <s v="CUST0115"/>
    <s v="Male"/>
    <s v="South"/>
    <s v="Headphones"/>
    <x v="1"/>
    <n v="53"/>
    <n v="100"/>
    <n v="5"/>
    <n v="500"/>
    <n v="5.93"/>
    <d v="2023-07-22T00:00:00"/>
    <x v="1"/>
  </r>
  <r>
    <s v="CUST0115"/>
    <s v="Male"/>
    <s v="West"/>
    <s v="Smartwatch"/>
    <x v="2"/>
    <n v="53"/>
    <n v="200"/>
    <n v="5"/>
    <n v="1000"/>
    <n v="19.43"/>
    <d v="2023-06-25T00:00:00"/>
    <x v="0"/>
  </r>
  <r>
    <s v="CUST0282"/>
    <s v="Male"/>
    <s v="East"/>
    <s v="Smartphone"/>
    <x v="0"/>
    <n v="68"/>
    <n v="800"/>
    <n v="3"/>
    <n v="2400"/>
    <n v="8.23"/>
    <d v="2023-11-29T00:00:00"/>
    <x v="0"/>
  </r>
  <r>
    <s v="CUST0158"/>
    <s v="Male"/>
    <s v="West"/>
    <s v="Smartphone"/>
    <x v="0"/>
    <n v="51"/>
    <n v="800"/>
    <n v="1"/>
    <n v="800"/>
    <n v="18.579999999999998"/>
    <d v="2023-10-03T00:00:00"/>
    <x v="0"/>
  </r>
  <r>
    <s v="CUST0088"/>
    <s v="Female"/>
    <s v="South"/>
    <s v="Laptop"/>
    <x v="0"/>
    <n v="66"/>
    <n v="1500"/>
    <n v="1"/>
    <n v="1500"/>
    <n v="13.16"/>
    <d v="2023-02-06T00:00:00"/>
    <x v="1"/>
  </r>
  <r>
    <s v="CUST0124"/>
    <s v="Male"/>
    <s v="South"/>
    <s v="Monitor"/>
    <x v="0"/>
    <n v="53"/>
    <n v="300"/>
    <n v="2"/>
    <n v="600"/>
    <n v="8.51"/>
    <d v="2023-05-17T00:00:00"/>
    <x v="0"/>
  </r>
  <r>
    <s v="CUST0055"/>
    <s v="Female"/>
    <s v="North"/>
    <s v="Smartwatch"/>
    <x v="2"/>
    <n v="45"/>
    <n v="200"/>
    <n v="2"/>
    <n v="400"/>
    <n v="10.82"/>
    <d v="2023-09-23T00:00:00"/>
    <x v="0"/>
  </r>
  <r>
    <s v="CUST0201"/>
    <s v="Female"/>
    <s v="South"/>
    <s v="Laptop"/>
    <x v="0"/>
    <n v="49"/>
    <n v="1500"/>
    <n v="3"/>
    <n v="4500"/>
    <n v="17.62"/>
    <d v="2023-12-25T00:00:00"/>
    <x v="0"/>
  </r>
  <r>
    <s v="CUST0256"/>
    <s v="Female"/>
    <s v="West"/>
    <s v="Mouse"/>
    <x v="1"/>
    <n v="69"/>
    <n v="30"/>
    <n v="5"/>
    <n v="150"/>
    <n v="9.07"/>
    <d v="2023-02-19T00:00:00"/>
    <x v="2"/>
  </r>
  <r>
    <s v="CUST0055"/>
    <s v="Male"/>
    <s v="East"/>
    <s v="Keyboard"/>
    <x v="1"/>
    <n v="45"/>
    <n v="50"/>
    <n v="1"/>
    <n v="50"/>
    <n v="11.27"/>
    <d v="2023-09-13T00:00:00"/>
    <x v="0"/>
  </r>
  <r>
    <s v="CUST0076"/>
    <s v="Male"/>
    <s v="South"/>
    <s v="Monitor"/>
    <x v="0"/>
    <n v="26"/>
    <n v="300"/>
    <n v="4"/>
    <n v="1200"/>
    <n v="6.9"/>
    <d v="2023-11-05T00:00:00"/>
    <x v="0"/>
  </r>
  <r>
    <s v="CUST0273"/>
    <s v="Male"/>
    <s v="South"/>
    <s v="Monitor"/>
    <x v="0"/>
    <n v="55"/>
    <n v="300"/>
    <n v="3"/>
    <n v="900"/>
    <n v="7.31"/>
    <d v="2023-01-15T00:00:00"/>
    <x v="1"/>
  </r>
  <r>
    <s v="CUST0022"/>
    <s v="Female"/>
    <s v="Unknown"/>
    <s v="Mouse"/>
    <x v="1"/>
    <n v="33"/>
    <n v="30"/>
    <n v="1"/>
    <n v="30"/>
    <n v="15.29"/>
    <d v="2023-02-27T00:00:00"/>
    <x v="2"/>
  </r>
  <r>
    <s v="CUST0204"/>
    <s v="Male"/>
    <s v="East"/>
    <s v="Laptop"/>
    <x v="0"/>
    <n v="54"/>
    <n v="1500"/>
    <n v="2"/>
    <n v="3000"/>
    <n v="12.68"/>
    <d v="2023-05-11T00:00:00"/>
    <x v="2"/>
  </r>
  <r>
    <s v="CUST0194"/>
    <s v="Female"/>
    <s v="South"/>
    <s v="Mouse"/>
    <x v="1"/>
    <n v="61"/>
    <n v="30"/>
    <n v="1"/>
    <n v="30"/>
    <n v="19.54"/>
    <d v="2023-04-16T00:00:00"/>
    <x v="1"/>
  </r>
  <r>
    <s v="CUST0138"/>
    <s v="Male"/>
    <s v="East"/>
    <s v="Smartphone"/>
    <x v="0"/>
    <n v="46"/>
    <n v="800"/>
    <n v="4"/>
    <n v="3200"/>
    <n v="17.82"/>
    <d v="2023-03-17T00:00:00"/>
    <x v="3"/>
  </r>
  <r>
    <s v="CUST0071"/>
    <s v="Female"/>
    <s v="North"/>
    <s v="Mouse"/>
    <x v="1"/>
    <n v="46"/>
    <n v="30"/>
    <n v="4"/>
    <n v="120"/>
    <n v="10.01"/>
    <d v="2023-04-11T00:00:00"/>
    <x v="1"/>
  </r>
  <r>
    <s v="CUST0044"/>
    <s v="Female"/>
    <s v="North"/>
    <s v="Keyboard"/>
    <x v="1"/>
    <n v="30"/>
    <n v="50"/>
    <n v="4"/>
    <n v="200"/>
    <n v="16.61"/>
    <d v="2023-10-16T00:00:00"/>
    <x v="0"/>
  </r>
  <r>
    <s v="CUST0273"/>
    <s v="Male"/>
    <s v="South"/>
    <s v="Headphones"/>
    <x v="1"/>
    <n v="55"/>
    <n v="100"/>
    <n v="4"/>
    <n v="400"/>
    <n v="18.989999999999998"/>
    <d v="2023-10-16T00:00:00"/>
    <x v="1"/>
  </r>
  <r>
    <s v="CUST0196"/>
    <s v="Female"/>
    <s v="East"/>
    <s v="Headphones"/>
    <x v="1"/>
    <n v="37"/>
    <n v="100"/>
    <n v="4"/>
    <n v="400"/>
    <n v="11.4"/>
    <d v="2023-02-22T00:00:00"/>
    <x v="2"/>
  </r>
  <r>
    <s v="CUST0212"/>
    <s v="Female"/>
    <s v="East"/>
    <s v="Mouse"/>
    <x v="1"/>
    <n v="62"/>
    <n v="30"/>
    <n v="2"/>
    <n v="60"/>
    <n v="8.36"/>
    <d v="2023-07-17T00:00:00"/>
    <x v="2"/>
  </r>
  <r>
    <s v="CUST0106"/>
    <s v="Female"/>
    <s v="East"/>
    <s v="Mouse"/>
    <x v="1"/>
    <n v="49"/>
    <n v="30"/>
    <n v="5"/>
    <n v="150"/>
    <n v="10.029999999999999"/>
    <d v="2023-06-30T00:00:00"/>
    <x v="2"/>
  </r>
  <r>
    <s v="CUST0133"/>
    <s v="Male"/>
    <s v="North"/>
    <s v="Headphones"/>
    <x v="1"/>
    <n v="47"/>
    <n v="100"/>
    <n v="3"/>
    <n v="300"/>
    <n v="15"/>
    <d v="2023-07-09T00:00:00"/>
    <x v="2"/>
  </r>
  <r>
    <s v="CUST0262"/>
    <s v="Male"/>
    <s v="West"/>
    <s v="Mouse"/>
    <x v="1"/>
    <n v="27"/>
    <n v="30"/>
    <n v="4"/>
    <n v="120"/>
    <n v="16.05"/>
    <d v="2023-05-07T00:00:00"/>
    <x v="0"/>
  </r>
  <r>
    <s v="CUST0280"/>
    <s v="Female"/>
    <s v="East"/>
    <s v="Keyboard"/>
    <x v="1"/>
    <n v="44"/>
    <n v="50"/>
    <n v="4"/>
    <n v="200"/>
    <n v="12.3"/>
    <d v="2023-03-22T00:00:00"/>
    <x v="1"/>
  </r>
  <r>
    <s v="CUST0074"/>
    <s v="Male"/>
    <s v="North"/>
    <s v="Smartwatch"/>
    <x v="2"/>
    <n v="36"/>
    <n v="200"/>
    <n v="2"/>
    <n v="400"/>
    <n v="12.03"/>
    <d v="2023-08-28T00:00:00"/>
    <x v="0"/>
  </r>
  <r>
    <s v="CUST0300"/>
    <s v="Female"/>
    <s v="East"/>
    <s v="Mouse"/>
    <x v="1"/>
    <n v="49"/>
    <n v="30"/>
    <n v="3"/>
    <n v="90"/>
    <n v="11.56"/>
    <d v="2023-01-17T00:00:00"/>
    <x v="1"/>
  </r>
  <r>
    <s v="CUST0027"/>
    <s v="Female"/>
    <s v="North"/>
    <s v="Laptop"/>
    <x v="0"/>
    <n v="36"/>
    <n v="1500"/>
    <n v="4"/>
    <n v="6000"/>
    <n v="11.21"/>
    <d v="2023-10-16T00:00:00"/>
    <x v="3"/>
  </r>
  <r>
    <s v="CUST0016"/>
    <s v="Male"/>
    <s v="South"/>
    <s v="Smartphone"/>
    <x v="0"/>
    <n v="61"/>
    <n v="800"/>
    <n v="1"/>
    <n v="800"/>
    <n v="17.43"/>
    <d v="2023-01-10T00:00:00"/>
    <x v="2"/>
  </r>
  <r>
    <s v="CUST0152"/>
    <s v="Male"/>
    <s v="South"/>
    <s v="Smartphone"/>
    <x v="0"/>
    <n v="69"/>
    <n v="800"/>
    <n v="3"/>
    <n v="2400"/>
    <n v="13.57"/>
    <d v="2023-03-25T00:00:00"/>
    <x v="0"/>
  </r>
  <r>
    <s v="CUST0278"/>
    <s v="Female"/>
    <s v="East"/>
    <s v="Smartwatch"/>
    <x v="2"/>
    <n v="52"/>
    <n v="200"/>
    <n v="3"/>
    <n v="600"/>
    <n v="10.210000000000001"/>
    <d v="2023-01-29T00:00:00"/>
    <x v="1"/>
  </r>
  <r>
    <s v="CUST0095"/>
    <s v="Female"/>
    <s v="South"/>
    <s v="Smartphone"/>
    <x v="0"/>
    <n v="60"/>
    <n v="800"/>
    <n v="5"/>
    <n v="4000"/>
    <n v="18.75"/>
    <d v="2023-01-19T00:00:00"/>
    <x v="2"/>
  </r>
  <r>
    <s v="CUST0229"/>
    <s v="Male"/>
    <s v="West"/>
    <s v="Monitor"/>
    <x v="0"/>
    <n v="45"/>
    <n v="300"/>
    <n v="1"/>
    <n v="300"/>
    <n v="16.7"/>
    <d v="2023-09-16T00:00:00"/>
    <x v="2"/>
  </r>
  <r>
    <s v="CUST0128"/>
    <s v="Male"/>
    <s v="West"/>
    <s v="Monitor"/>
    <x v="0"/>
    <n v="52"/>
    <n v="300"/>
    <n v="1"/>
    <n v="300"/>
    <n v="14.67"/>
    <d v="2023-07-21T00:00:00"/>
    <x v="2"/>
  </r>
  <r>
    <s v="CUST0032"/>
    <s v="Female"/>
    <s v="South"/>
    <s v="Monitor"/>
    <x v="0"/>
    <n v="63"/>
    <n v="300"/>
    <n v="5"/>
    <n v="1500"/>
    <n v="18"/>
    <d v="2023-03-21T00:00:00"/>
    <x v="0"/>
  </r>
  <r>
    <s v="CUST0283"/>
    <s v="Female"/>
    <s v="South"/>
    <s v="Keyboard"/>
    <x v="1"/>
    <n v="67"/>
    <n v="50"/>
    <n v="5"/>
    <n v="250"/>
    <n v="10.039999999999999"/>
    <d v="2023-05-03T00:00:00"/>
    <x v="1"/>
  </r>
  <r>
    <s v="CUST0238"/>
    <s v="Male"/>
    <s v="West"/>
    <s v="Keyboard"/>
    <x v="1"/>
    <n v="26"/>
    <n v="50"/>
    <n v="4"/>
    <n v="200"/>
    <n v="10.23"/>
    <d v="2023-01-24T00:00:00"/>
    <x v="2"/>
  </r>
  <r>
    <s v="CUST0051"/>
    <s v="Male"/>
    <s v="West"/>
    <s v="Smartwatch"/>
    <x v="2"/>
    <n v="41"/>
    <n v="200"/>
    <n v="4"/>
    <n v="800"/>
    <n v="8.56"/>
    <d v="2024-01-03T00:00:00"/>
    <x v="0"/>
  </r>
  <r>
    <s v="CUST0144"/>
    <s v="Female"/>
    <s v="South"/>
    <s v="Smartphone"/>
    <x v="0"/>
    <n v="49"/>
    <n v="800"/>
    <n v="5"/>
    <n v="4000"/>
    <n v="10.52"/>
    <d v="2023-12-01T00:00:00"/>
    <x v="2"/>
  </r>
  <r>
    <s v="CUST0134"/>
    <s v="Male"/>
    <s v="South"/>
    <s v="Monitor"/>
    <x v="0"/>
    <n v="58"/>
    <n v="300"/>
    <n v="5"/>
    <n v="1500"/>
    <n v="19.72"/>
    <d v="2023-05-16T00:00:00"/>
    <x v="2"/>
  </r>
  <r>
    <s v="CUST0129"/>
    <s v="Male"/>
    <s v="South"/>
    <s v="Mouse"/>
    <x v="1"/>
    <n v="66"/>
    <n v="30"/>
    <n v="2"/>
    <n v="60"/>
    <n v="9.19"/>
    <d v="2023-05-07T00:00:00"/>
    <x v="1"/>
  </r>
  <r>
    <s v="CUST0148"/>
    <s v="Female"/>
    <s v="West"/>
    <s v="Headphones"/>
    <x v="1"/>
    <n v="67"/>
    <n v="100"/>
    <n v="2"/>
    <n v="200"/>
    <n v="19.579999999999998"/>
    <d v="2023-06-01T00:00:00"/>
    <x v="0"/>
  </r>
  <r>
    <s v="CUST0211"/>
    <s v="Male"/>
    <s v="North"/>
    <s v="Smartphone"/>
    <x v="0"/>
    <n v="35"/>
    <n v="800"/>
    <n v="5"/>
    <n v="4000"/>
    <n v="15.61"/>
    <d v="2023-01-27T00:00:00"/>
    <x v="1"/>
  </r>
  <r>
    <s v="CUST0272"/>
    <s v="Male"/>
    <s v="South"/>
    <s v="Keyboard"/>
    <x v="1"/>
    <n v="52"/>
    <n v="50"/>
    <n v="2"/>
    <n v="100"/>
    <n v="13.78"/>
    <d v="2023-09-04T00:00:00"/>
    <x v="2"/>
  </r>
  <r>
    <s v="CUST0092"/>
    <s v="Female"/>
    <s v="East"/>
    <s v="Mouse"/>
    <x v="1"/>
    <n v="32"/>
    <n v="30"/>
    <n v="5"/>
    <n v="150"/>
    <n v="15.68"/>
    <d v="2023-11-06T00:00:00"/>
    <x v="2"/>
  </r>
  <r>
    <s v="CUST0203"/>
    <s v="Female"/>
    <s v="Unknown"/>
    <s v="Smartwatch"/>
    <x v="2"/>
    <n v="33"/>
    <n v="200"/>
    <n v="1"/>
    <n v="200"/>
    <n v="14.86"/>
    <d v="2023-09-24T00:00:00"/>
    <x v="0"/>
  </r>
  <r>
    <s v="CUST0109"/>
    <s v="Male"/>
    <s v="North"/>
    <s v="Smartwatch"/>
    <x v="2"/>
    <n v="57"/>
    <n v="200"/>
    <n v="1"/>
    <n v="200"/>
    <n v="13.34"/>
    <d v="2023-09-08T00:00:00"/>
    <x v="0"/>
  </r>
  <r>
    <s v="CUST0204"/>
    <s v="Female"/>
    <s v="South"/>
    <s v="Laptop"/>
    <x v="0"/>
    <n v="54"/>
    <n v="1500"/>
    <n v="5"/>
    <n v="7500"/>
    <n v="5.0199999999999996"/>
    <d v="2023-08-28T00:00:00"/>
    <x v="0"/>
  </r>
  <r>
    <s v="CUST0291"/>
    <s v="Male"/>
    <s v="West"/>
    <s v="Smartwatch"/>
    <x v="2"/>
    <n v="49"/>
    <n v="200"/>
    <n v="4"/>
    <n v="800"/>
    <n v="18.559999999999999"/>
    <d v="2023-03-18T00:00:00"/>
    <x v="2"/>
  </r>
  <r>
    <s v="CUST0153"/>
    <s v="Female"/>
    <s v="South"/>
    <s v="Headphones"/>
    <x v="1"/>
    <n v="40"/>
    <n v="100"/>
    <n v="5"/>
    <n v="500"/>
    <n v="14.22"/>
    <d v="2023-02-02T00:00:00"/>
    <x v="2"/>
  </r>
  <r>
    <s v="CUST0220"/>
    <s v="Male"/>
    <s v="North"/>
    <s v="Headphones"/>
    <x v="1"/>
    <n v="67"/>
    <n v="100"/>
    <n v="5"/>
    <n v="500"/>
    <n v="13.85"/>
    <d v="2023-03-15T00:00:00"/>
    <x v="0"/>
  </r>
  <r>
    <s v="CUST0199"/>
    <s v="Female"/>
    <s v="North"/>
    <s v="Mouse"/>
    <x v="1"/>
    <n v="41"/>
    <n v="30"/>
    <n v="3"/>
    <n v="90"/>
    <n v="18.37"/>
    <d v="2024-01-03T00:00:00"/>
    <x v="0"/>
  </r>
  <r>
    <s v="CUST0245"/>
    <s v="Male"/>
    <s v="West"/>
    <s v="Smartphone"/>
    <x v="0"/>
    <n v="63"/>
    <n v="800"/>
    <n v="2"/>
    <n v="1600"/>
    <n v="19.63"/>
    <d v="2023-12-27T00:00:00"/>
    <x v="2"/>
  </r>
  <r>
    <s v="CUST0228"/>
    <s v="Male"/>
    <s v="North"/>
    <s v="Smartphone"/>
    <x v="0"/>
    <n v="25"/>
    <n v="800"/>
    <n v="1"/>
    <n v="800"/>
    <n v="5.64"/>
    <d v="2023-09-23T00:00:00"/>
    <x v="1"/>
  </r>
  <r>
    <s v="CUST0106"/>
    <s v="Male"/>
    <s v="North"/>
    <s v="Laptop"/>
    <x v="0"/>
    <n v="50"/>
    <n v="1500"/>
    <n v="5"/>
    <n v="7500"/>
    <n v="15.14"/>
    <d v="2023-06-08T00:00:00"/>
    <x v="1"/>
  </r>
  <r>
    <s v="CUST0174"/>
    <s v="Male"/>
    <s v="West"/>
    <s v="Mouse"/>
    <x v="1"/>
    <n v="68"/>
    <n v="30"/>
    <n v="4"/>
    <n v="120"/>
    <n v="14.02"/>
    <d v="2023-09-13T00:00:00"/>
    <x v="0"/>
  </r>
  <r>
    <s v="CUST0161"/>
    <s v="Male"/>
    <s v="West"/>
    <s v="Smartwatch"/>
    <x v="2"/>
    <n v="62"/>
    <n v="200"/>
    <n v="3"/>
    <n v="600"/>
    <n v="17.899999999999999"/>
    <d v="2023-01-03T00:00:00"/>
    <x v="0"/>
  </r>
  <r>
    <s v="CUST0204"/>
    <s v="Male"/>
    <s v="South"/>
    <s v="Smartphone"/>
    <x v="0"/>
    <n v="54"/>
    <n v="800"/>
    <n v="1"/>
    <n v="800"/>
    <n v="7.77"/>
    <d v="2023-07-23T00:00:00"/>
    <x v="0"/>
  </r>
  <r>
    <s v="CUST0062"/>
    <s v="Male"/>
    <s v="West"/>
    <s v="Smartwatch"/>
    <x v="2"/>
    <n v="43"/>
    <n v="200"/>
    <n v="2"/>
    <n v="400"/>
    <n v="13.02"/>
    <d v="2023-10-08T00:00:00"/>
    <x v="2"/>
  </r>
  <r>
    <s v="CUST0114"/>
    <s v="Male"/>
    <s v="South"/>
    <s v="Keyboard"/>
    <x v="1"/>
    <n v="60"/>
    <n v="50"/>
    <n v="1"/>
    <n v="50"/>
    <n v="6.25"/>
    <d v="2023-02-06T00:00:00"/>
    <x v="1"/>
  </r>
  <r>
    <s v="CUST0102"/>
    <s v="Male"/>
    <s v="West"/>
    <s v="Monitor"/>
    <x v="0"/>
    <n v="25"/>
    <n v="300"/>
    <n v="3"/>
    <n v="900"/>
    <n v="9.94"/>
    <d v="2023-10-21T00:00:00"/>
    <x v="2"/>
  </r>
  <r>
    <s v="CUST0140"/>
    <s v="Male"/>
    <s v="East"/>
    <s v="Smartphone"/>
    <x v="0"/>
    <n v="50"/>
    <n v="800"/>
    <n v="1"/>
    <n v="800"/>
    <n v="10.36"/>
    <d v="2023-05-25T00:00:00"/>
    <x v="0"/>
  </r>
  <r>
    <s v="CUST0142"/>
    <s v="Female"/>
    <s v="South"/>
    <s v="Smartphone"/>
    <x v="0"/>
    <n v="32"/>
    <n v="800"/>
    <n v="1"/>
    <n v="800"/>
    <n v="8.4499999999999993"/>
    <d v="2023-04-28T00:00:00"/>
    <x v="0"/>
  </r>
  <r>
    <s v="CUST0016"/>
    <s v="Male"/>
    <s v="East"/>
    <s v="Smartphone"/>
    <x v="0"/>
    <n v="61"/>
    <n v="800"/>
    <n v="2"/>
    <n v="1600"/>
    <n v="19.07"/>
    <d v="2023-10-03T00:00:00"/>
    <x v="2"/>
  </r>
  <r>
    <s v="CUST0023"/>
    <s v="Male"/>
    <s v="South"/>
    <s v="Keyboard"/>
    <x v="1"/>
    <n v="49"/>
    <n v="50"/>
    <n v="5"/>
    <n v="250"/>
    <n v="10.029999999999999"/>
    <d v="2023-11-01T00:00:00"/>
    <x v="0"/>
  </r>
  <r>
    <s v="CUST0008"/>
    <s v="Female"/>
    <s v="West"/>
    <s v="Mouse"/>
    <x v="1"/>
    <n v="18"/>
    <n v="30"/>
    <n v="4"/>
    <n v="120"/>
    <n v="8.76"/>
    <d v="2023-06-30T00:00:00"/>
    <x v="1"/>
  </r>
  <r>
    <s v="CUST0268"/>
    <s v="Male"/>
    <s v="North"/>
    <s v="Monitor"/>
    <x v="0"/>
    <n v="21"/>
    <n v="300"/>
    <n v="2"/>
    <n v="600"/>
    <n v="5.69"/>
    <d v="2023-08-03T00:00:00"/>
    <x v="0"/>
  </r>
  <r>
    <s v="CUST0162"/>
    <s v="Male"/>
    <s v="East"/>
    <s v="Headphones"/>
    <x v="1"/>
    <n v="69"/>
    <n v="100"/>
    <n v="1"/>
    <n v="100"/>
    <n v="6.43"/>
    <d v="2023-05-26T00:00:00"/>
    <x v="0"/>
  </r>
  <r>
    <s v="CUST0121"/>
    <s v="Female"/>
    <s v="West"/>
    <s v="Smartwatch"/>
    <x v="2"/>
    <n v="66"/>
    <n v="200"/>
    <n v="5"/>
    <n v="1000"/>
    <n v="19.190000000000001"/>
    <d v="2023-09-19T00:00:00"/>
    <x v="0"/>
  </r>
  <r>
    <s v="CUST0047"/>
    <s v="Female"/>
    <s v="West"/>
    <s v="Smartwatch"/>
    <x v="2"/>
    <n v="41"/>
    <n v="200"/>
    <n v="3"/>
    <n v="600"/>
    <n v="10.92"/>
    <d v="2023-06-18T00:00:00"/>
    <x v="0"/>
  </r>
  <r>
    <s v="CUST0148"/>
    <s v="Male"/>
    <s v="East"/>
    <s v="Keyboard"/>
    <x v="1"/>
    <n v="67"/>
    <n v="50"/>
    <n v="5"/>
    <n v="250"/>
    <n v="11.17"/>
    <d v="2023-03-03T00:00:00"/>
    <x v="1"/>
  </r>
  <r>
    <s v="CUST0251"/>
    <s v="Female"/>
    <s v="East"/>
    <s v="Smartphone"/>
    <x v="0"/>
    <n v="42"/>
    <n v="800"/>
    <n v="3"/>
    <n v="2400"/>
    <n v="10.65"/>
    <d v="2023-11-18T00:00:00"/>
    <x v="1"/>
  </r>
  <r>
    <s v="CUST0028"/>
    <s v="Female"/>
    <s v="West"/>
    <s v="Monitor"/>
    <x v="0"/>
    <n v="50"/>
    <n v="300"/>
    <n v="1"/>
    <n v="300"/>
    <n v="14.36"/>
    <d v="2023-08-05T00:00:00"/>
    <x v="2"/>
  </r>
  <r>
    <s v="CUST0174"/>
    <s v="Female"/>
    <s v="East"/>
    <s v="Headphones"/>
    <x v="1"/>
    <n v="68"/>
    <n v="100"/>
    <n v="4"/>
    <n v="400"/>
    <n v="11.92"/>
    <d v="2023-10-31T00:00:00"/>
    <x v="1"/>
  </r>
  <r>
    <s v="CUST0296"/>
    <s v="Female"/>
    <s v="East"/>
    <s v="Smartphone"/>
    <x v="0"/>
    <n v="50"/>
    <n v="800"/>
    <n v="5"/>
    <n v="4000"/>
    <n v="13.43"/>
    <d v="2023-08-11T00:00:00"/>
    <x v="0"/>
  </r>
  <r>
    <s v="CUST0085"/>
    <s v="Male"/>
    <s v="Unknown"/>
    <s v="Smartphone"/>
    <x v="0"/>
    <n v="49"/>
    <n v="800"/>
    <n v="1"/>
    <n v="800"/>
    <n v="16.2"/>
    <d v="2023-11-25T00:00:00"/>
    <x v="0"/>
  </r>
  <r>
    <s v="CUST0281"/>
    <s v="Male"/>
    <s v="West"/>
    <s v="Laptop"/>
    <x v="0"/>
    <n v="44"/>
    <n v="1500"/>
    <n v="5"/>
    <n v="7500"/>
    <n v="7.21"/>
    <d v="2023-11-21T00:00:00"/>
    <x v="2"/>
  </r>
  <r>
    <s v="CUST0010"/>
    <s v="Female"/>
    <s v="East"/>
    <s v="Headphones"/>
    <x v="1"/>
    <n v="37"/>
    <n v="100"/>
    <n v="3"/>
    <n v="300"/>
    <n v="7.41"/>
    <d v="2023-03-27T00:00:00"/>
    <x v="2"/>
  </r>
  <r>
    <s v="CUST0186"/>
    <s v="Female"/>
    <s v="West"/>
    <s v="Laptop"/>
    <x v="0"/>
    <n v="55"/>
    <n v="1500"/>
    <n v="1"/>
    <n v="1500"/>
    <n v="19.04"/>
    <d v="2023-10-20T00:00:00"/>
    <x v="1"/>
  </r>
  <r>
    <s v="CUST0281"/>
    <s v="Female"/>
    <s v="North"/>
    <s v="Laptop"/>
    <x v="0"/>
    <n v="44"/>
    <n v="1500"/>
    <n v="2"/>
    <n v="3000"/>
    <n v="9.8699999999999992"/>
    <d v="2023-11-27T00:00:00"/>
    <x v="2"/>
  </r>
  <r>
    <s v="CUST0031"/>
    <s v="Female"/>
    <s v="East"/>
    <s v="Smartphone"/>
    <x v="0"/>
    <n v="67"/>
    <n v="800"/>
    <n v="5"/>
    <n v="4000"/>
    <n v="9.6"/>
    <d v="2023-10-22T00:00:00"/>
    <x v="1"/>
  </r>
  <r>
    <s v="CUST0270"/>
    <s v="Female"/>
    <s v="East"/>
    <s v="Headphones"/>
    <x v="1"/>
    <n v="49"/>
    <n v="100"/>
    <n v="3"/>
    <n v="300"/>
    <n v="13.33"/>
    <d v="2023-02-10T00:00:00"/>
    <x v="2"/>
  </r>
  <r>
    <s v="CUST0039"/>
    <s v="Female"/>
    <s v="North"/>
    <s v="Smartphone"/>
    <x v="0"/>
    <n v="60"/>
    <n v="800"/>
    <n v="2"/>
    <n v="1600"/>
    <n v="19.2"/>
    <d v="2023-08-11T00:00:00"/>
    <x v="1"/>
  </r>
  <r>
    <s v="CUST0063"/>
    <s v="Male"/>
    <s v="South"/>
    <s v="Keyboard"/>
    <x v="1"/>
    <n v="20"/>
    <n v="50"/>
    <n v="1"/>
    <n v="50"/>
    <n v="17.61"/>
    <d v="2023-08-13T00:00:00"/>
    <x v="0"/>
  </r>
  <r>
    <s v="CUST0097"/>
    <s v="Female"/>
    <s v="East"/>
    <s v="Smartwatch"/>
    <x v="2"/>
    <n v="34"/>
    <n v="200"/>
    <n v="1"/>
    <n v="200"/>
    <n v="17.66"/>
    <d v="2023-05-21T00:00:00"/>
    <x v="0"/>
  </r>
  <r>
    <s v="CUST0067"/>
    <s v="Female"/>
    <s v="North"/>
    <s v="Laptop"/>
    <x v="0"/>
    <n v="19"/>
    <n v="1500"/>
    <n v="4"/>
    <n v="6000"/>
    <n v="14.45"/>
    <d v="2023-11-08T00:00:00"/>
    <x v="2"/>
  </r>
  <r>
    <s v="CUST0124"/>
    <s v="Female"/>
    <s v="East"/>
    <s v="Smartphone"/>
    <x v="0"/>
    <n v="49"/>
    <n v="800"/>
    <n v="4"/>
    <n v="3200"/>
    <n v="19.170000000000002"/>
    <d v="2023-06-17T00:00:00"/>
    <x v="1"/>
  </r>
  <r>
    <s v="CUST0284"/>
    <s v="Female"/>
    <s v="South"/>
    <s v="Monitor"/>
    <x v="0"/>
    <n v="64"/>
    <n v="300"/>
    <n v="3"/>
    <n v="900"/>
    <n v="19.12"/>
    <d v="2023-06-17T00:00:00"/>
    <x v="1"/>
  </r>
  <r>
    <s v="CUST0010"/>
    <s v="Male"/>
    <s v="West"/>
    <s v="Monitor"/>
    <x v="0"/>
    <n v="37"/>
    <n v="300"/>
    <n v="1"/>
    <n v="300"/>
    <n v="9.7200000000000006"/>
    <d v="2023-03-30T00:00:00"/>
    <x v="0"/>
  </r>
  <r>
    <s v="CUST0276"/>
    <s v="Female"/>
    <s v="West"/>
    <s v="Monitor"/>
    <x v="0"/>
    <n v="66"/>
    <n v="300"/>
    <n v="1"/>
    <n v="300"/>
    <n v="18.63"/>
    <d v="2023-11-01T00:00:00"/>
    <x v="2"/>
  </r>
  <r>
    <s v="CUST0256"/>
    <s v="Male"/>
    <s v="South"/>
    <s v="Smartphone"/>
    <x v="0"/>
    <n v="69"/>
    <n v="800"/>
    <n v="3"/>
    <n v="2400"/>
    <n v="5.26"/>
    <d v="2023-10-07T00:00:00"/>
    <x v="3"/>
  </r>
  <r>
    <s v="CUST0221"/>
    <s v="Female"/>
    <s v="South"/>
    <s v="Mouse"/>
    <x v="1"/>
    <n v="33"/>
    <n v="30"/>
    <n v="2"/>
    <n v="60"/>
    <n v="15.69"/>
    <d v="2023-10-21T00:00:00"/>
    <x v="2"/>
  </r>
  <r>
    <s v="CUST0062"/>
    <s v="Female"/>
    <s v="West"/>
    <s v="Monitor"/>
    <x v="0"/>
    <n v="43"/>
    <n v="300"/>
    <n v="3"/>
    <n v="900"/>
    <n v="8.58"/>
    <d v="2023-11-02T00:00:00"/>
    <x v="0"/>
  </r>
  <r>
    <s v="CUST0219"/>
    <s v="Female"/>
    <s v="South"/>
    <s v="Headphones"/>
    <x v="1"/>
    <n v="48"/>
    <n v="207.30404083244301"/>
    <n v="1"/>
    <n v="100"/>
    <n v="9.5500000000000007"/>
    <d v="2023-01-23T00:00:00"/>
    <x v="2"/>
  </r>
  <r>
    <s v="CUST0053"/>
    <s v="Male"/>
    <s v="Unknown"/>
    <s v="Keyboard"/>
    <x v="1"/>
    <n v="25"/>
    <n v="50"/>
    <n v="3"/>
    <n v="150"/>
    <n v="11.95"/>
    <d v="2023-10-18T00:00:00"/>
    <x v="0"/>
  </r>
  <r>
    <s v="CUST0144"/>
    <s v="Female"/>
    <s v="South"/>
    <s v="Smartphone"/>
    <x v="0"/>
    <n v="54"/>
    <n v="800"/>
    <n v="4"/>
    <n v="3200"/>
    <n v="7.86"/>
    <d v="2023-08-07T00:00:00"/>
    <x v="0"/>
  </r>
  <r>
    <s v="CUST0081"/>
    <s v="Male"/>
    <s v="South"/>
    <s v="Monitor"/>
    <x v="0"/>
    <n v="38"/>
    <n v="300"/>
    <n v="5"/>
    <n v="1500"/>
    <n v="12.67"/>
    <d v="2023-01-05T00:00:00"/>
    <x v="1"/>
  </r>
  <r>
    <s v="CUST0044"/>
    <s v="Female"/>
    <s v="South"/>
    <s v="Monitor"/>
    <x v="0"/>
    <n v="30"/>
    <n v="300"/>
    <n v="2"/>
    <n v="600"/>
    <n v="16.309999999999999"/>
    <d v="2023-07-25T00:00:00"/>
    <x v="2"/>
  </r>
  <r>
    <s v="CUST0055"/>
    <s v="Female"/>
    <s v="South"/>
    <s v="Smartwatch"/>
    <x v="2"/>
    <n v="45"/>
    <n v="200"/>
    <n v="3"/>
    <n v="600"/>
    <n v="18.239999999999998"/>
    <d v="2023-11-25T00:00:00"/>
    <x v="0"/>
  </r>
  <r>
    <s v="CUST0272"/>
    <s v="Male"/>
    <s v="North"/>
    <s v="Mouse"/>
    <x v="1"/>
    <n v="52"/>
    <n v="30"/>
    <n v="3"/>
    <n v="90"/>
    <n v="11.88"/>
    <d v="2023-05-18T00:00:00"/>
    <x v="0"/>
  </r>
  <r>
    <s v="CUST0126"/>
    <s v="Female"/>
    <s v="South"/>
    <s v="Mouse"/>
    <x v="1"/>
    <n v="66"/>
    <n v="30"/>
    <n v="2"/>
    <n v="60"/>
    <n v="5.53"/>
    <d v="2023-10-16T00:00:00"/>
    <x v="1"/>
  </r>
  <r>
    <s v="CUST0167"/>
    <s v="Male"/>
    <s v="South"/>
    <s v="Smartwatch"/>
    <x v="2"/>
    <n v="67"/>
    <n v="200"/>
    <n v="3"/>
    <n v="600"/>
    <n v="8.01"/>
    <d v="2023-03-27T00:00:00"/>
    <x v="2"/>
  </r>
  <r>
    <s v="CUST0043"/>
    <s v="Female"/>
    <s v="South"/>
    <s v="Mouse"/>
    <x v="1"/>
    <n v="22"/>
    <n v="30"/>
    <n v="4"/>
    <n v="120"/>
    <n v="19.239999999999998"/>
    <d v="2023-10-25T00:00:00"/>
    <x v="1"/>
  </r>
  <r>
    <s v="CUST0201"/>
    <s v="Male"/>
    <s v="West"/>
    <s v="Monitor"/>
    <x v="0"/>
    <n v="49"/>
    <n v="300"/>
    <n v="2"/>
    <n v="600"/>
    <n v="7"/>
    <d v="2023-09-21T00:00:00"/>
    <x v="1"/>
  </r>
  <r>
    <s v="CUST0237"/>
    <s v="Male"/>
    <s v="South"/>
    <s v="Smartwatch"/>
    <x v="2"/>
    <n v="65"/>
    <n v="200"/>
    <n v="3"/>
    <n v="600"/>
    <n v="6.94"/>
    <d v="2024-01-03T00:00:00"/>
    <x v="1"/>
  </r>
  <r>
    <s v="CUST0028"/>
    <s v="Female"/>
    <s v="East"/>
    <s v="Laptop"/>
    <x v="0"/>
    <n v="49"/>
    <n v="1500"/>
    <n v="1"/>
    <n v="1500"/>
    <n v="6.62"/>
    <d v="2023-02-22T00:00:00"/>
    <x v="2"/>
  </r>
  <r>
    <s v="CUST0150"/>
    <s v="Female"/>
    <s v="North"/>
    <s v="Monitor"/>
    <x v="0"/>
    <n v="63"/>
    <n v="300"/>
    <n v="3"/>
    <n v="900"/>
    <n v="19.87"/>
    <d v="2023-08-23T00:00:00"/>
    <x v="2"/>
  </r>
  <r>
    <s v="CUST0247"/>
    <s v="Male"/>
    <s v="South"/>
    <s v="Keyboard"/>
    <x v="1"/>
    <n v="44"/>
    <n v="50"/>
    <n v="2"/>
    <n v="100"/>
    <n v="10.09"/>
    <d v="2023-08-01T00:00:00"/>
    <x v="2"/>
  </r>
  <r>
    <s v="CUST0058"/>
    <s v="Female"/>
    <s v="East"/>
    <s v="Monitor"/>
    <x v="0"/>
    <n v="42"/>
    <n v="300"/>
    <n v="2"/>
    <n v="600"/>
    <n v="6.22"/>
    <d v="2023-08-06T00:00:00"/>
    <x v="1"/>
  </r>
  <r>
    <s v="CUST0281"/>
    <s v="Male"/>
    <s v="West"/>
    <s v="Laptop"/>
    <x v="0"/>
    <n v="49"/>
    <n v="1500"/>
    <n v="4"/>
    <n v="6000"/>
    <n v="7.66"/>
    <d v="2023-01-01T00:00:00"/>
    <x v="0"/>
  </r>
  <r>
    <s v="CUST0041"/>
    <s v="Male"/>
    <s v="East"/>
    <s v="Smartphone"/>
    <x v="0"/>
    <n v="64"/>
    <n v="800"/>
    <n v="4"/>
    <n v="3200"/>
    <n v="5.82"/>
    <d v="2023-10-02T00:00:00"/>
    <x v="0"/>
  </r>
  <r>
    <s v="CUST0204"/>
    <s v="Male"/>
    <s v="East"/>
    <s v="Monitor"/>
    <x v="0"/>
    <n v="54"/>
    <n v="300"/>
    <n v="4"/>
    <n v="1200"/>
    <n v="18.399999999999999"/>
    <d v="2023-04-29T00:00:00"/>
    <x v="2"/>
  </r>
  <r>
    <s v="CUST0095"/>
    <s v="Female"/>
    <s v="North"/>
    <s v="Smartwatch"/>
    <x v="2"/>
    <n v="60"/>
    <n v="200"/>
    <n v="2"/>
    <n v="400"/>
    <n v="18.88"/>
    <d v="2023-07-24T00:00:00"/>
    <x v="2"/>
  </r>
  <r>
    <s v="CUST0272"/>
    <s v="Female"/>
    <s v="North"/>
    <s v="Smartwatch"/>
    <x v="2"/>
    <n v="52"/>
    <n v="200"/>
    <n v="3"/>
    <n v="600"/>
    <n v="15.36"/>
    <d v="2023-09-17T00:00:00"/>
    <x v="1"/>
  </r>
  <r>
    <s v="CUST0069"/>
    <s v="Male"/>
    <s v="East"/>
    <s v="Monitor"/>
    <x v="0"/>
    <n v="49"/>
    <n v="300"/>
    <n v="4"/>
    <n v="1200"/>
    <n v="16.88"/>
    <d v="2023-09-26T00:00:00"/>
    <x v="1"/>
  </r>
  <r>
    <s v="CUST0202"/>
    <s v="Male"/>
    <s v="South"/>
    <s v="Headphones"/>
    <x v="1"/>
    <n v="56"/>
    <n v="100"/>
    <n v="4"/>
    <n v="400"/>
    <n v="19.940000000000001"/>
    <d v="2023-06-07T00:00:00"/>
    <x v="1"/>
  </r>
  <r>
    <s v="CUST0054"/>
    <s v="Female"/>
    <s v="North"/>
    <s v="Headphones"/>
    <x v="1"/>
    <n v="64"/>
    <n v="100"/>
    <n v="1"/>
    <n v="100"/>
    <n v="10.32"/>
    <d v="2023-03-12T00:00:00"/>
    <x v="2"/>
  </r>
  <r>
    <s v="CUST0187"/>
    <s v="Female"/>
    <s v="East"/>
    <s v="Keyboard"/>
    <x v="1"/>
    <n v="25"/>
    <n v="50"/>
    <n v="4"/>
    <n v="200"/>
    <n v="7.33"/>
    <d v="2023-10-24T00:00:00"/>
    <x v="2"/>
  </r>
  <r>
    <s v="CUST0065"/>
    <s v="Male"/>
    <s v="South"/>
    <s v="Smartphone"/>
    <x v="0"/>
    <n v="41"/>
    <n v="800"/>
    <n v="5"/>
    <n v="4000"/>
    <n v="6.41"/>
    <d v="2023-12-01T00:00:00"/>
    <x v="1"/>
  </r>
  <r>
    <s v="CUST0019"/>
    <s v="Male"/>
    <s v="West"/>
    <s v="Smartwatch"/>
    <x v="2"/>
    <n v="69"/>
    <n v="200"/>
    <n v="1"/>
    <n v="200"/>
    <n v="12.86"/>
    <d v="2023-08-16T00:00:00"/>
    <x v="1"/>
  </r>
  <r>
    <s v="CUST0054"/>
    <s v="Female"/>
    <s v="North"/>
    <s v="Keyboard"/>
    <x v="1"/>
    <n v="64"/>
    <n v="50"/>
    <n v="1"/>
    <n v="50"/>
    <n v="13.13"/>
    <d v="2023-02-13T00:00:00"/>
    <x v="1"/>
  </r>
  <r>
    <s v="CUST0018"/>
    <s v="Female"/>
    <s v="Unknown"/>
    <s v="Mouse"/>
    <x v="1"/>
    <n v="38"/>
    <n v="30"/>
    <n v="2"/>
    <n v="60"/>
    <n v="17.21"/>
    <d v="2023-11-28T00:00:00"/>
    <x v="1"/>
  </r>
  <r>
    <s v="CUST0059"/>
    <s v="Male"/>
    <s v="North"/>
    <s v="Laptop"/>
    <x v="0"/>
    <n v="18"/>
    <n v="1500"/>
    <n v="2"/>
    <n v="3000"/>
    <n v="7.81"/>
    <d v="2023-06-22T00:00:00"/>
    <x v="0"/>
  </r>
  <r>
    <s v="CUST0075"/>
    <s v="Female"/>
    <s v="South"/>
    <s v="Mouse"/>
    <x v="1"/>
    <n v="56"/>
    <n v="30"/>
    <n v="5"/>
    <n v="150"/>
    <n v="5.44"/>
    <d v="2023-06-23T00:00:00"/>
    <x v="1"/>
  </r>
  <r>
    <s v="CUST0129"/>
    <s v="Female"/>
    <s v="East"/>
    <s v="Smartphone"/>
    <x v="0"/>
    <n v="66"/>
    <n v="800"/>
    <n v="3"/>
    <n v="2400"/>
    <n v="19.63"/>
    <d v="2023-07-28T00:00:00"/>
    <x v="2"/>
  </r>
  <r>
    <s v="CUST0103"/>
    <s v="Male"/>
    <s v="North"/>
    <s v="Smartphone"/>
    <x v="0"/>
    <n v="49"/>
    <n v="800"/>
    <n v="1"/>
    <n v="800"/>
    <n v="15.79"/>
    <d v="2023-10-30T00:00:00"/>
    <x v="1"/>
  </r>
  <r>
    <s v="CUST0176"/>
    <s v="Female"/>
    <s v="South"/>
    <s v="Laptop"/>
    <x v="0"/>
    <n v="51"/>
    <n v="1500"/>
    <n v="3"/>
    <n v="4500"/>
    <n v="5.72"/>
    <d v="2023-11-10T00:00:00"/>
    <x v="1"/>
  </r>
  <r>
    <s v="CUST0299"/>
    <s v="Female"/>
    <s v="West"/>
    <s v="Smartwatch"/>
    <x v="2"/>
    <n v="58"/>
    <n v="200"/>
    <n v="3"/>
    <n v="600"/>
    <n v="9.69"/>
    <d v="2024-01-03T00:00:00"/>
    <x v="0"/>
  </r>
  <r>
    <s v="CUST0178"/>
    <s v="Female"/>
    <s v="South"/>
    <s v="Smartphone"/>
    <x v="0"/>
    <n v="44"/>
    <n v="1658.43232665954"/>
    <n v="3"/>
    <n v="2400"/>
    <n v="19.309999999999999"/>
    <d v="2023-06-03T00:00:00"/>
    <x v="2"/>
  </r>
  <r>
    <s v="CUST0138"/>
    <s v="Female"/>
    <s v="East"/>
    <s v="Laptop"/>
    <x v="0"/>
    <n v="46"/>
    <n v="1500"/>
    <n v="4"/>
    <n v="6000"/>
    <n v="16.309999999999999"/>
    <d v="2023-06-29T00:00:00"/>
    <x v="1"/>
  </r>
  <r>
    <s v="CUST0152"/>
    <s v="Male"/>
    <s v="East"/>
    <s v="Mouse"/>
    <x v="1"/>
    <n v="69"/>
    <n v="30"/>
    <n v="1"/>
    <n v="30"/>
    <n v="10.99"/>
    <d v="2023-10-06T00:00:00"/>
    <x v="1"/>
  </r>
  <r>
    <s v="CUST0212"/>
    <s v="Female"/>
    <s v="West"/>
    <s v="Smartphone"/>
    <x v="0"/>
    <n v="62"/>
    <n v="800"/>
    <n v="3"/>
    <n v="2400"/>
    <n v="16.12"/>
    <d v="2023-08-01T00:00:00"/>
    <x v="1"/>
  </r>
  <r>
    <s v="CUST0208"/>
    <s v="Female"/>
    <s v="South"/>
    <s v="Smartwatch"/>
    <x v="2"/>
    <n v="57"/>
    <n v="200"/>
    <n v="2"/>
    <n v="400"/>
    <n v="8.7100000000000009"/>
    <d v="2023-05-18T00:00:00"/>
    <x v="3"/>
  </r>
  <r>
    <s v="CUST0026"/>
    <s v="Male"/>
    <s v="East"/>
    <s v="Smartphone"/>
    <x v="0"/>
    <n v="27"/>
    <n v="800"/>
    <n v="5"/>
    <n v="4000"/>
    <n v="12.26"/>
    <d v="2023-05-02T00:00:00"/>
    <x v="0"/>
  </r>
  <r>
    <s v="CUST0224"/>
    <s v="Female"/>
    <s v="East"/>
    <s v="Smartphone"/>
    <x v="0"/>
    <n v="57"/>
    <n v="800"/>
    <n v="1"/>
    <n v="800"/>
    <n v="19.34"/>
    <d v="2023-11-20T00:00:00"/>
    <x v="2"/>
  </r>
  <r>
    <s v="CUST0131"/>
    <s v="Female"/>
    <s v="West"/>
    <s v="Laptop"/>
    <x v="0"/>
    <n v="67"/>
    <n v="1500"/>
    <n v="2"/>
    <n v="3000"/>
    <n v="18.809999999999999"/>
    <d v="2023-08-10T00:00:00"/>
    <x v="1"/>
  </r>
  <r>
    <s v="CUST0019"/>
    <s v="Male"/>
    <s v="North"/>
    <s v="Monitor"/>
    <x v="0"/>
    <n v="69"/>
    <n v="300"/>
    <n v="1"/>
    <n v="300"/>
    <n v="14.91"/>
    <d v="2023-04-05T00:00:00"/>
    <x v="2"/>
  </r>
  <r>
    <s v="CUST0291"/>
    <s v="Female"/>
    <s v="North"/>
    <s v="Mouse"/>
    <x v="1"/>
    <n v="49"/>
    <n v="30"/>
    <n v="1"/>
    <n v="30"/>
    <n v="5.6"/>
    <d v="2023-04-19T00:00:00"/>
    <x v="2"/>
  </r>
  <r>
    <s v="CUST0032"/>
    <s v="Male"/>
    <s v="West"/>
    <s v="Laptop"/>
    <x v="0"/>
    <n v="63"/>
    <n v="1500"/>
    <n v="3"/>
    <n v="4500"/>
    <n v="19.690000000000001"/>
    <d v="2023-12-30T00:00:00"/>
    <x v="1"/>
  </r>
  <r>
    <s v="CUST0230"/>
    <s v="Male"/>
    <s v="South"/>
    <s v="Laptop"/>
    <x v="0"/>
    <n v="49"/>
    <n v="1500"/>
    <n v="4"/>
    <n v="6000"/>
    <n v="15.12"/>
    <d v="2023-11-10T00:00:00"/>
    <x v="1"/>
  </r>
  <r>
    <s v="CUST0285"/>
    <s v="Female"/>
    <s v="North"/>
    <s v="Headphones"/>
    <x v="1"/>
    <n v="58"/>
    <n v="100"/>
    <n v="1"/>
    <n v="100"/>
    <n v="5.25"/>
    <d v="2023-01-14T00:00:00"/>
    <x v="2"/>
  </r>
  <r>
    <s v="CUST0199"/>
    <s v="Male"/>
    <s v="North"/>
    <s v="Headphones"/>
    <x v="1"/>
    <n v="41"/>
    <n v="100"/>
    <n v="1"/>
    <n v="100"/>
    <n v="18.38"/>
    <d v="2023-07-05T00:00:00"/>
    <x v="0"/>
  </r>
  <r>
    <s v="CUST0045"/>
    <s v="Female"/>
    <s v="East"/>
    <s v="Monitor"/>
    <x v="0"/>
    <n v="21"/>
    <n v="300"/>
    <n v="3"/>
    <n v="900"/>
    <n v="15.22"/>
    <d v="2024-01-03T00:00:00"/>
    <x v="1"/>
  </r>
  <r>
    <s v="CUST0063"/>
    <s v="Male"/>
    <s v="North"/>
    <s v="Monitor"/>
    <x v="0"/>
    <n v="20"/>
    <n v="300"/>
    <n v="4"/>
    <n v="1200"/>
    <n v="15.57"/>
    <d v="2023-11-06T00:00:00"/>
    <x v="2"/>
  </r>
  <r>
    <s v="CUST0178"/>
    <s v="Male"/>
    <s v="East"/>
    <s v="Laptop"/>
    <x v="0"/>
    <n v="44"/>
    <n v="1500"/>
    <n v="5"/>
    <n v="7500"/>
    <n v="8.0299999999999994"/>
    <d v="2023-01-20T00:00:00"/>
    <x v="1"/>
  </r>
  <r>
    <s v="CUST0210"/>
    <s v="Female"/>
    <s v="North"/>
    <s v="Monitor"/>
    <x v="0"/>
    <n v="30"/>
    <n v="300"/>
    <n v="5"/>
    <n v="1500"/>
    <n v="16.68"/>
    <d v="2023-05-06T00:00:00"/>
    <x v="0"/>
  </r>
  <r>
    <s v="CUST0105"/>
    <s v="Female"/>
    <s v="North"/>
    <s v="Headphones"/>
    <x v="1"/>
    <n v="27"/>
    <n v="100"/>
    <n v="2"/>
    <n v="200"/>
    <n v="12.44"/>
    <d v="2023-10-21T00:00:00"/>
    <x v="1"/>
  </r>
  <r>
    <s v="CUST0198"/>
    <s v="Male"/>
    <s v="South"/>
    <s v="Monitor"/>
    <x v="0"/>
    <n v="49"/>
    <n v="300"/>
    <n v="3"/>
    <n v="900"/>
    <n v="6.39"/>
    <d v="2023-12-30T00:00:00"/>
    <x v="0"/>
  </r>
  <r>
    <s v="CUST0241"/>
    <s v="Female"/>
    <s v="East"/>
    <s v="Keyboard"/>
    <x v="1"/>
    <n v="27"/>
    <n v="50"/>
    <n v="1"/>
    <n v="50"/>
    <n v="11.72"/>
    <d v="2023-07-10T00:00:00"/>
    <x v="1"/>
  </r>
  <r>
    <s v="CUST0201"/>
    <s v="Female"/>
    <s v="West"/>
    <s v="Smartphone"/>
    <x v="0"/>
    <n v="49"/>
    <n v="800"/>
    <n v="2"/>
    <n v="1600"/>
    <n v="6.85"/>
    <d v="2024-01-03T00:00:00"/>
    <x v="2"/>
  </r>
  <r>
    <s v="CUST0052"/>
    <s v="Male"/>
    <s v="South"/>
    <s v="Mouse"/>
    <x v="1"/>
    <n v="66"/>
    <n v="30"/>
    <n v="4"/>
    <n v="120"/>
    <n v="14.27"/>
    <d v="2023-02-05T00:00:00"/>
    <x v="1"/>
  </r>
  <r>
    <s v="CUST0258"/>
    <s v="Female"/>
    <s v="North"/>
    <s v="Laptop"/>
    <x v="0"/>
    <n v="39"/>
    <n v="1500"/>
    <n v="3"/>
    <n v="4500"/>
    <n v="15.91"/>
    <d v="2023-02-03T00:00:00"/>
    <x v="0"/>
  </r>
  <r>
    <s v="CUST0123"/>
    <s v="Male"/>
    <s v="South"/>
    <s v="Laptop"/>
    <x v="0"/>
    <n v="52"/>
    <n v="1500"/>
    <n v="5"/>
    <n v="7500"/>
    <n v="16.010000000000002"/>
    <d v="2023-11-22T00:00:00"/>
    <x v="1"/>
  </r>
  <r>
    <s v="CUST0285"/>
    <s v="Male"/>
    <s v="South"/>
    <s v="Smartphone"/>
    <x v="0"/>
    <n v="49"/>
    <n v="800"/>
    <n v="3"/>
    <n v="2400"/>
    <n v="19.440000000000001"/>
    <d v="2023-06-03T00:00:00"/>
    <x v="1"/>
  </r>
  <r>
    <s v="CUST0279"/>
    <s v="Female"/>
    <s v="West"/>
    <s v="Mouse"/>
    <x v="1"/>
    <n v="59"/>
    <n v="30"/>
    <n v="3"/>
    <n v="90"/>
    <n v="7.34"/>
    <d v="2023-04-26T00:00:00"/>
    <x v="0"/>
  </r>
  <r>
    <s v="CUST0052"/>
    <s v="Female"/>
    <s v="East"/>
    <s v="Headphones"/>
    <x v="1"/>
    <n v="66"/>
    <n v="100"/>
    <n v="3"/>
    <n v="300"/>
    <n v="13.21"/>
    <d v="2023-03-13T00:00:00"/>
    <x v="1"/>
  </r>
  <r>
    <s v="CUST0200"/>
    <s v="Female"/>
    <s v="West"/>
    <s v="Laptop"/>
    <x v="0"/>
    <n v="49"/>
    <n v="1500"/>
    <n v="5"/>
    <n v="7500"/>
    <n v="11.03"/>
    <d v="2023-01-11T00:00:00"/>
    <x v="0"/>
  </r>
  <r>
    <s v="CUST0103"/>
    <s v="Female"/>
    <s v="South"/>
    <s v="Keyboard"/>
    <x v="1"/>
    <n v="23"/>
    <n v="50"/>
    <n v="5"/>
    <n v="250"/>
    <n v="14.12"/>
    <d v="2023-04-10T00:00:00"/>
    <x v="1"/>
  </r>
  <r>
    <s v="CUST0129"/>
    <s v="Female"/>
    <s v="North"/>
    <s v="Smartwatch"/>
    <x v="2"/>
    <n v="66"/>
    <n v="200"/>
    <n v="5"/>
    <n v="1000"/>
    <n v="10.43"/>
    <d v="2023-03-07T00:00:00"/>
    <x v="2"/>
  </r>
  <r>
    <s v="CUST0012"/>
    <s v="Female"/>
    <s v="North"/>
    <s v="Laptop"/>
    <x v="0"/>
    <n v="28"/>
    <n v="1500"/>
    <n v="1"/>
    <n v="1500"/>
    <n v="12.71"/>
    <d v="2023-08-31T00:00:00"/>
    <x v="0"/>
  </r>
  <r>
    <s v="CUST0139"/>
    <s v="Male"/>
    <s v="East"/>
    <s v="Smartphone"/>
    <x v="0"/>
    <n v="57"/>
    <n v="800"/>
    <n v="2"/>
    <n v="1600"/>
    <n v="12.55"/>
    <d v="2023-01-02T00:00:00"/>
    <x v="3"/>
  </r>
  <r>
    <s v="CUST0108"/>
    <s v="Male"/>
    <s v="South"/>
    <s v="Keyboard"/>
    <x v="1"/>
    <n v="49"/>
    <n v="50"/>
    <n v="2"/>
    <n v="100"/>
    <n v="6.85"/>
    <d v="2023-10-19T00:00:00"/>
    <x v="0"/>
  </r>
  <r>
    <s v="CUST0196"/>
    <s v="Male"/>
    <s v="West"/>
    <s v="Laptop"/>
    <x v="0"/>
    <n v="37"/>
    <n v="1500"/>
    <n v="2"/>
    <n v="3000"/>
    <n v="17.23"/>
    <d v="2023-01-10T00:00:00"/>
    <x v="0"/>
  </r>
  <r>
    <s v="CUST0007"/>
    <s v="Male"/>
    <s v="East"/>
    <s v="Headphones"/>
    <x v="1"/>
    <n v="52"/>
    <n v="100"/>
    <n v="3"/>
    <n v="300"/>
    <n v="19.53"/>
    <d v="2023-01-16T00:00:00"/>
    <x v="1"/>
  </r>
  <r>
    <s v="CUST0118"/>
    <s v="Male"/>
    <s v="West"/>
    <s v="Smartwatch"/>
    <x v="2"/>
    <n v="49"/>
    <n v="200"/>
    <n v="3"/>
    <n v="600"/>
    <n v="18.62"/>
    <d v="2023-07-23T00:00:00"/>
    <x v="2"/>
  </r>
  <r>
    <s v="CUST0227"/>
    <s v="Female"/>
    <s v="East"/>
    <s v="Mouse"/>
    <x v="1"/>
    <n v="54"/>
    <n v="30"/>
    <n v="5"/>
    <n v="150"/>
    <n v="14.71"/>
    <d v="2023-12-04T00:00:00"/>
    <x v="1"/>
  </r>
  <r>
    <s v="CUST0219"/>
    <s v="Female"/>
    <s v="South"/>
    <s v="Keyboard"/>
    <x v="1"/>
    <n v="48"/>
    <n v="50"/>
    <n v="2"/>
    <n v="100"/>
    <n v="12.46"/>
    <d v="2023-04-09T00:00:00"/>
    <x v="1"/>
  </r>
  <r>
    <s v="CUST0297"/>
    <s v="Male"/>
    <s v="East"/>
    <s v="Monitor"/>
    <x v="0"/>
    <n v="61"/>
    <n v="300"/>
    <n v="2"/>
    <n v="600"/>
    <n v="12.26"/>
    <d v="2023-04-25T00:00:00"/>
    <x v="0"/>
  </r>
  <r>
    <s v="CUST0098"/>
    <s v="Female"/>
    <s v="East"/>
    <s v="Headphones"/>
    <x v="1"/>
    <n v="57"/>
    <n v="100"/>
    <n v="4"/>
    <n v="400"/>
    <n v="8.84"/>
    <d v="2023-02-28T00:00:00"/>
    <x v="1"/>
  </r>
  <r>
    <s v="CUST0284"/>
    <s v="Female"/>
    <s v="South"/>
    <s v="Smartwatch"/>
    <x v="2"/>
    <n v="64"/>
    <n v="200"/>
    <n v="5"/>
    <n v="1000"/>
    <n v="13.46"/>
    <d v="2023-05-09T00:00:00"/>
    <x v="1"/>
  </r>
  <r>
    <s v="CUST0137"/>
    <s v="Female"/>
    <s v="West"/>
    <s v="Monitor"/>
    <x v="0"/>
    <n v="19"/>
    <n v="300"/>
    <n v="5"/>
    <n v="1500"/>
    <n v="19.39"/>
    <d v="2023-12-08T00:00:00"/>
    <x v="0"/>
  </r>
  <r>
    <s v="CUST0127"/>
    <s v="Male"/>
    <s v="North"/>
    <s v="Headphones"/>
    <x v="1"/>
    <n v="62"/>
    <n v="100"/>
    <n v="2"/>
    <n v="200"/>
    <n v="5.13"/>
    <d v="2023-11-01T00:00:00"/>
    <x v="2"/>
  </r>
  <r>
    <s v="CUST0052"/>
    <s v="Male"/>
    <s v="East"/>
    <s v="Mouse"/>
    <x v="1"/>
    <n v="66"/>
    <n v="30"/>
    <n v="2"/>
    <n v="60"/>
    <n v="6.23"/>
    <d v="2023-06-11T00:00:00"/>
    <x v="1"/>
  </r>
  <r>
    <s v="CUST0162"/>
    <s v="Female"/>
    <s v="South"/>
    <s v="Smartwatch"/>
    <x v="2"/>
    <n v="69"/>
    <n v="200"/>
    <n v="4"/>
    <n v="800"/>
    <n v="12.26"/>
    <d v="2023-10-09T00:00:00"/>
    <x v="1"/>
  </r>
  <r>
    <s v="CUST0069"/>
    <s v="Female"/>
    <s v="East"/>
    <s v="Laptop"/>
    <x v="0"/>
    <n v="66"/>
    <n v="1500"/>
    <n v="4"/>
    <n v="6000"/>
    <n v="16.920000000000002"/>
    <d v="2023-09-23T00:00:00"/>
    <x v="1"/>
  </r>
  <r>
    <s v="CUST0011"/>
    <s v="Female"/>
    <s v="West"/>
    <s v="Smartphone"/>
    <x v="0"/>
    <n v="54"/>
    <n v="1658.43232665954"/>
    <n v="2"/>
    <n v="1600"/>
    <n v="15.8"/>
    <d v="2023-04-06T00:00:00"/>
    <x v="1"/>
  </r>
  <r>
    <s v="CUST0293"/>
    <s v="Male"/>
    <s v="South"/>
    <s v="Laptop"/>
    <x v="0"/>
    <n v="32"/>
    <n v="1500"/>
    <n v="3"/>
    <n v="4500"/>
    <n v="8.5299999999999994"/>
    <d v="2023-11-17T00:00:00"/>
    <x v="0"/>
  </r>
  <r>
    <s v="CUST0078"/>
    <s v="Female"/>
    <s v="East"/>
    <s v="Monitor"/>
    <x v="0"/>
    <n v="38"/>
    <n v="300"/>
    <n v="1"/>
    <n v="300"/>
    <n v="7.57"/>
    <d v="2023-02-07T00:00:00"/>
    <x v="2"/>
  </r>
  <r>
    <s v="CUST0290"/>
    <s v="Female"/>
    <s v="Unknown"/>
    <s v="Headphones"/>
    <x v="1"/>
    <n v="37"/>
    <n v="100"/>
    <n v="3"/>
    <n v="300"/>
    <n v="5.29"/>
    <d v="2023-09-30T00:00:00"/>
    <x v="0"/>
  </r>
  <r>
    <s v="CUST0130"/>
    <s v="Female"/>
    <s v="West"/>
    <s v="Smartwatch"/>
    <x v="2"/>
    <n v="68"/>
    <n v="200"/>
    <n v="3"/>
    <n v="600"/>
    <n v="5.65"/>
    <d v="2023-08-18T00:00:00"/>
    <x v="1"/>
  </r>
  <r>
    <s v="CUST0186"/>
    <s v="Female"/>
    <s v="East"/>
    <s v="Smartwatch"/>
    <x v="2"/>
    <n v="55"/>
    <n v="200"/>
    <n v="5"/>
    <n v="1000"/>
    <n v="18.29"/>
    <d v="2023-01-10T00:00:00"/>
    <x v="2"/>
  </r>
  <r>
    <s v="CUST0164"/>
    <s v="Male"/>
    <s v="South"/>
    <s v="Monitor"/>
    <x v="0"/>
    <n v="50"/>
    <n v="300"/>
    <n v="3"/>
    <n v="900"/>
    <n v="11.22"/>
    <d v="2023-03-16T00:00:00"/>
    <x v="1"/>
  </r>
  <r>
    <s v="CUST0024"/>
    <s v="Female"/>
    <s v="Unknown"/>
    <s v="Monitor"/>
    <x v="0"/>
    <n v="57"/>
    <n v="300"/>
    <n v="2"/>
    <n v="600"/>
    <n v="15.59"/>
    <d v="2023-09-02T00:00:00"/>
    <x v="0"/>
  </r>
  <r>
    <s v="CUST0006"/>
    <s v="Female"/>
    <s v="East"/>
    <s v="Smartwatch"/>
    <x v="2"/>
    <n v="49"/>
    <n v="200"/>
    <n v="3"/>
    <n v="600"/>
    <n v="13.94"/>
    <d v="2023-04-07T00:00:00"/>
    <x v="2"/>
  </r>
  <r>
    <s v="CUST0124"/>
    <s v="Female"/>
    <s v="North"/>
    <s v="Monitor"/>
    <x v="0"/>
    <n v="53"/>
    <n v="300"/>
    <n v="1"/>
    <n v="300"/>
    <n v="16.32"/>
    <d v="2023-08-16T00:00:00"/>
    <x v="2"/>
  </r>
  <r>
    <s v="CUST0060"/>
    <s v="Female"/>
    <s v="West"/>
    <s v="Headphones"/>
    <x v="1"/>
    <n v="41"/>
    <n v="100"/>
    <n v="5"/>
    <n v="500"/>
    <n v="18.059999999999999"/>
    <d v="2023-03-15T00:00:00"/>
    <x v="2"/>
  </r>
  <r>
    <s v="CUST0046"/>
    <s v="Female"/>
    <s v="North"/>
    <s v="Mouse"/>
    <x v="1"/>
    <n v="22"/>
    <n v="30"/>
    <n v="1"/>
    <n v="30"/>
    <n v="8.9600000000000009"/>
    <d v="2023-03-03T00:00:00"/>
    <x v="0"/>
  </r>
  <r>
    <s v="CUST0280"/>
    <s v="Male"/>
    <s v="South"/>
    <s v="Smartwatch"/>
    <x v="2"/>
    <n v="44"/>
    <n v="200"/>
    <n v="4"/>
    <n v="800"/>
    <n v="6.43"/>
    <d v="2023-03-03T00:00:00"/>
    <x v="3"/>
  </r>
  <r>
    <s v="CUST0012"/>
    <s v="Male"/>
    <s v="South"/>
    <s v="Headphones"/>
    <x v="1"/>
    <n v="28"/>
    <n v="100"/>
    <n v="3"/>
    <n v="300"/>
    <n v="17.16"/>
    <d v="2023-08-10T00:00:00"/>
    <x v="0"/>
  </r>
  <r>
    <s v="CUST0095"/>
    <s v="Male"/>
    <s v="East"/>
    <s v="Mouse"/>
    <x v="1"/>
    <n v="60"/>
    <n v="30"/>
    <n v="3"/>
    <n v="90"/>
    <n v="18.420000000000002"/>
    <d v="2023-01-25T00:00:00"/>
    <x v="2"/>
  </r>
  <r>
    <s v="CUST0279"/>
    <s v="Female"/>
    <s v="Unknown"/>
    <s v="Mouse"/>
    <x v="1"/>
    <n v="49"/>
    <n v="30"/>
    <n v="2"/>
    <n v="60"/>
    <n v="11.28"/>
    <d v="2023-09-19T00:00:00"/>
    <x v="0"/>
  </r>
  <r>
    <s v="CUST0158"/>
    <s v="Female"/>
    <s v="Unknown"/>
    <s v="Monitor"/>
    <x v="0"/>
    <n v="51"/>
    <n v="300"/>
    <n v="4"/>
    <n v="1200"/>
    <n v="6.91"/>
    <d v="2023-09-13T00:00:00"/>
    <x v="1"/>
  </r>
  <r>
    <s v="CUST0193"/>
    <s v="Male"/>
    <s v="South"/>
    <s v="Keyboard"/>
    <x v="1"/>
    <n v="64"/>
    <n v="50"/>
    <n v="4"/>
    <n v="200"/>
    <n v="17.18"/>
    <d v="2023-11-06T00:00:00"/>
    <x v="1"/>
  </r>
  <r>
    <s v="CUST0270"/>
    <s v="Male"/>
    <s v="East"/>
    <s v="Keyboard"/>
    <x v="1"/>
    <n v="64"/>
    <n v="50"/>
    <n v="1"/>
    <n v="50"/>
    <n v="18.23"/>
    <d v="2023-05-24T00:00:00"/>
    <x v="2"/>
  </r>
  <r>
    <s v="CUST0005"/>
    <s v="Female"/>
    <s v="East"/>
    <s v="Mouse"/>
    <x v="1"/>
    <n v="56"/>
    <n v="30"/>
    <n v="2"/>
    <n v="60"/>
    <n v="7.58"/>
    <d v="2023-02-15T00:00:00"/>
    <x v="1"/>
  </r>
  <r>
    <s v="CUST0118"/>
    <s v="Female"/>
    <s v="West"/>
    <s v="Smartphone"/>
    <x v="0"/>
    <n v="23"/>
    <n v="800"/>
    <n v="2"/>
    <n v="1600"/>
    <n v="9.07"/>
    <d v="2023-10-19T00:00:00"/>
    <x v="1"/>
  </r>
  <r>
    <s v="CUST0016"/>
    <s v="Female"/>
    <s v="North"/>
    <s v="Keyboard"/>
    <x v="1"/>
    <n v="61"/>
    <n v="50"/>
    <n v="1"/>
    <n v="50"/>
    <n v="19.39"/>
    <d v="2023-07-28T00:00:00"/>
    <x v="2"/>
  </r>
  <r>
    <s v="CUST0168"/>
    <s v="Female"/>
    <s v="South"/>
    <s v="Keyboard"/>
    <x v="1"/>
    <n v="42"/>
    <n v="50"/>
    <n v="2"/>
    <n v="100"/>
    <n v="12.44"/>
    <d v="2023-02-21T00:00:00"/>
    <x v="1"/>
  </r>
  <r>
    <s v="CUST0091"/>
    <s v="Male"/>
    <s v="North"/>
    <s v="Keyboard"/>
    <x v="1"/>
    <n v="30"/>
    <n v="50"/>
    <n v="1"/>
    <n v="50"/>
    <n v="19.02"/>
    <d v="2023-12-14T00:00:00"/>
    <x v="2"/>
  </r>
  <r>
    <s v="CUST0066"/>
    <s v="Female"/>
    <s v="West"/>
    <s v="Headphones"/>
    <x v="1"/>
    <n v="37"/>
    <n v="100"/>
    <n v="3"/>
    <n v="300"/>
    <n v="16.670000000000002"/>
    <d v="2023-03-07T00:00:00"/>
    <x v="0"/>
  </r>
  <r>
    <s v="CUST0186"/>
    <s v="Female"/>
    <s v="East"/>
    <s v="Mouse"/>
    <x v="1"/>
    <n v="55"/>
    <n v="30"/>
    <n v="1"/>
    <n v="30"/>
    <n v="5.24"/>
    <d v="2023-05-25T00:00:00"/>
    <x v="0"/>
  </r>
  <r>
    <s v="CUST0130"/>
    <s v="Female"/>
    <s v="North"/>
    <s v="Monitor"/>
    <x v="0"/>
    <n v="68"/>
    <n v="300"/>
    <n v="3"/>
    <n v="900"/>
    <n v="10.39"/>
    <d v="2023-02-09T00:00:00"/>
    <x v="0"/>
  </r>
  <r>
    <s v="CUST0274"/>
    <s v="Female"/>
    <s v="West"/>
    <s v="Keyboard"/>
    <x v="1"/>
    <n v="51"/>
    <n v="50"/>
    <n v="3"/>
    <n v="150"/>
    <n v="19.79"/>
    <d v="2024-01-03T00:00:00"/>
    <x v="2"/>
  </r>
  <r>
    <s v="CUST0095"/>
    <s v="Female"/>
    <s v="East"/>
    <s v="Monitor"/>
    <x v="0"/>
    <n v="60"/>
    <n v="300"/>
    <n v="4"/>
    <n v="1200"/>
    <n v="7.26"/>
    <d v="2023-08-20T00:00:00"/>
    <x v="1"/>
  </r>
  <r>
    <s v="CUST0128"/>
    <s v="Female"/>
    <s v="East"/>
    <s v="Smartwatch"/>
    <x v="2"/>
    <n v="52"/>
    <n v="200"/>
    <n v="5"/>
    <n v="1000"/>
    <n v="18.72"/>
    <d v="2023-03-02T00:00:00"/>
    <x v="2"/>
  </r>
  <r>
    <s v="CUST0036"/>
    <s v="Male"/>
    <s v="South"/>
    <s v="Keyboard"/>
    <x v="1"/>
    <n v="49"/>
    <n v="50"/>
    <n v="3"/>
    <n v="150"/>
    <n v="9.99"/>
    <d v="2023-05-07T00:00:00"/>
    <x v="3"/>
  </r>
  <r>
    <s v="CUST0016"/>
    <s v="Female"/>
    <s v="East"/>
    <s v="Monitor"/>
    <x v="0"/>
    <n v="61"/>
    <n v="300"/>
    <n v="1"/>
    <n v="300"/>
    <n v="6.63"/>
    <d v="2023-01-14T00:00:00"/>
    <x v="1"/>
  </r>
  <r>
    <s v="CUST0192"/>
    <s v="Male"/>
    <s v="South"/>
    <s v="Mouse"/>
    <x v="1"/>
    <n v="58"/>
    <n v="30"/>
    <n v="1"/>
    <n v="30"/>
    <n v="11.39"/>
    <d v="2023-05-15T00:00:00"/>
    <x v="1"/>
  </r>
  <r>
    <s v="CUST0013"/>
    <s v="Female"/>
    <s v="East"/>
    <s v="Keyboard"/>
    <x v="1"/>
    <n v="55"/>
    <n v="50"/>
    <n v="4"/>
    <n v="200"/>
    <n v="6.66"/>
    <d v="2023-08-13T00:00:00"/>
    <x v="3"/>
  </r>
  <r>
    <s v="CUST0059"/>
    <s v="Female"/>
    <s v="East"/>
    <s v="Keyboard"/>
    <x v="1"/>
    <n v="18"/>
    <n v="50"/>
    <n v="4"/>
    <n v="200"/>
    <n v="7.76"/>
    <d v="2023-08-20T00:00:00"/>
    <x v="1"/>
  </r>
  <r>
    <s v="CUST0065"/>
    <s v="Female"/>
    <s v="South"/>
    <s v="Smartphone"/>
    <x v="0"/>
    <n v="41"/>
    <n v="800"/>
    <n v="1"/>
    <n v="800"/>
    <n v="6.24"/>
    <d v="2023-08-03T00:00:00"/>
    <x v="2"/>
  </r>
  <r>
    <s v="CUST0025"/>
    <s v="Female"/>
    <s v="South"/>
    <s v="Headphones"/>
    <x v="1"/>
    <n v="56"/>
    <n v="100"/>
    <n v="3"/>
    <n v="300"/>
    <n v="5.86"/>
    <d v="2023-11-25T00:00:00"/>
    <x v="1"/>
  </r>
  <r>
    <s v="CUST0160"/>
    <s v="Female"/>
    <s v="South"/>
    <s v="Laptop"/>
    <x v="0"/>
    <n v="69"/>
    <n v="1500"/>
    <n v="2"/>
    <n v="3000"/>
    <n v="5.35"/>
    <d v="2023-10-30T00:00:00"/>
    <x v="0"/>
  </r>
  <r>
    <s v="CUST0096"/>
    <s v="Female"/>
    <s v="North"/>
    <s v="Smartphone"/>
    <x v="0"/>
    <n v="61"/>
    <n v="800"/>
    <n v="5"/>
    <n v="4000"/>
    <n v="13.72"/>
    <d v="2023-03-09T00:00:00"/>
    <x v="3"/>
  </r>
  <r>
    <s v="CUST0071"/>
    <s v="Male"/>
    <s v="East"/>
    <s v="Smartphone"/>
    <x v="0"/>
    <n v="46"/>
    <n v="800"/>
    <n v="2"/>
    <n v="1600"/>
    <n v="13.1"/>
    <d v="2023-01-07T00:00:00"/>
    <x v="1"/>
  </r>
  <r>
    <s v="CUST0044"/>
    <s v="Male"/>
    <s v="East"/>
    <s v="Smartwatch"/>
    <x v="2"/>
    <n v="30"/>
    <n v="200"/>
    <n v="2"/>
    <n v="400"/>
    <n v="13.54"/>
    <d v="2023-08-08T00:00:00"/>
    <x v="1"/>
  </r>
  <r>
    <s v="CUST0299"/>
    <s v="Female"/>
    <s v="East"/>
    <s v="Smartphone"/>
    <x v="0"/>
    <n v="58"/>
    <n v="800"/>
    <n v="5"/>
    <n v="4000"/>
    <n v="5.65"/>
    <d v="2023-12-16T00:00:00"/>
    <x v="2"/>
  </r>
  <r>
    <s v="CUST0291"/>
    <s v="Female"/>
    <s v="South"/>
    <s v="Monitor"/>
    <x v="0"/>
    <n v="49"/>
    <n v="300"/>
    <n v="3"/>
    <n v="900"/>
    <n v="17.93"/>
    <d v="2023-05-29T00:00:00"/>
    <x v="2"/>
  </r>
  <r>
    <s v="CUST0266"/>
    <s v="Female"/>
    <s v="North"/>
    <s v="Monitor"/>
    <x v="0"/>
    <n v="29"/>
    <n v="300"/>
    <n v="4"/>
    <n v="1200"/>
    <n v="5.79"/>
    <d v="2023-09-04T00:00:00"/>
    <x v="1"/>
  </r>
  <r>
    <s v="CUST0184"/>
    <s v="Female"/>
    <s v="North"/>
    <s v="Smartphone"/>
    <x v="0"/>
    <n v="54"/>
    <n v="800"/>
    <n v="1"/>
    <n v="800"/>
    <n v="13.72"/>
    <d v="2023-08-30T00:00:00"/>
    <x v="1"/>
  </r>
  <r>
    <s v="CUST0130"/>
    <s v="Male"/>
    <s v="West"/>
    <s v="Keyboard"/>
    <x v="1"/>
    <n v="68"/>
    <n v="50"/>
    <n v="3"/>
    <n v="150"/>
    <n v="8.99"/>
    <d v="2023-02-02T00:00:00"/>
    <x v="2"/>
  </r>
  <r>
    <s v="CUST0052"/>
    <s v="Male"/>
    <s v="South"/>
    <s v="Monitor"/>
    <x v="0"/>
    <n v="66"/>
    <n v="300"/>
    <n v="4"/>
    <n v="1200"/>
    <n v="17.59"/>
    <d v="2023-09-12T00:00:00"/>
    <x v="0"/>
  </r>
  <r>
    <s v="CUST0240"/>
    <s v="Male"/>
    <s v="East"/>
    <s v="Keyboard"/>
    <x v="1"/>
    <n v="39"/>
    <n v="50"/>
    <n v="4"/>
    <n v="200"/>
    <n v="13.51"/>
    <d v="2023-12-21T00:00:00"/>
    <x v="2"/>
  </r>
  <r>
    <s v="CUST0054"/>
    <s v="Male"/>
    <s v="South"/>
    <s v="Smartphone"/>
    <x v="0"/>
    <n v="64"/>
    <n v="800"/>
    <n v="1"/>
    <n v="800"/>
    <n v="19.149999999999999"/>
    <d v="2023-10-07T00:00:00"/>
    <x v="2"/>
  </r>
  <r>
    <s v="CUST0038"/>
    <s v="Female"/>
    <s v="North"/>
    <s v="Keyboard"/>
    <x v="1"/>
    <n v="57"/>
    <n v="50"/>
    <n v="2"/>
    <n v="100"/>
    <n v="16.78"/>
    <d v="2023-11-16T00:00:00"/>
    <x v="3"/>
  </r>
  <r>
    <s v="CUST0023"/>
    <s v="Male"/>
    <s v="East"/>
    <s v="Monitor"/>
    <x v="0"/>
    <n v="49"/>
    <n v="300"/>
    <n v="5"/>
    <n v="1500"/>
    <n v="8.56"/>
    <d v="2023-10-30T00:00:00"/>
    <x v="1"/>
  </r>
  <r>
    <s v="CUST0183"/>
    <s v="Male"/>
    <s v="North"/>
    <s v="Mouse"/>
    <x v="1"/>
    <n v="42"/>
    <n v="30"/>
    <n v="5"/>
    <n v="150"/>
    <n v="9.26"/>
    <d v="2023-02-21T00:00:00"/>
    <x v="2"/>
  </r>
  <r>
    <s v="CUST0012"/>
    <s v="Male"/>
    <s v="Unknown"/>
    <s v="Monitor"/>
    <x v="0"/>
    <n v="28"/>
    <n v="300"/>
    <n v="5"/>
    <n v="1500"/>
    <n v="13.09"/>
    <d v="2023-03-12T00:00:00"/>
    <x v="2"/>
  </r>
  <r>
    <s v="CUST0136"/>
    <s v="Female"/>
    <s v="South"/>
    <s v="Mouse"/>
    <x v="1"/>
    <n v="36"/>
    <n v="30"/>
    <n v="5"/>
    <n v="150"/>
    <n v="6.58"/>
    <d v="2023-10-17T00:00:00"/>
    <x v="1"/>
  </r>
  <r>
    <s v="CUST0052"/>
    <s v="Female"/>
    <s v="South"/>
    <s v="Mouse"/>
    <x v="1"/>
    <n v="66"/>
    <n v="30"/>
    <n v="2"/>
    <n v="60"/>
    <n v="12.21"/>
    <d v="2023-06-05T00:00:00"/>
    <x v="2"/>
  </r>
  <r>
    <s v="CUST0141"/>
    <s v="Male"/>
    <s v="West"/>
    <s v="Monitor"/>
    <x v="0"/>
    <n v="58"/>
    <n v="300"/>
    <n v="4"/>
    <n v="1200"/>
    <n v="6.4"/>
    <d v="2023-03-03T00:00:00"/>
    <x v="2"/>
  </r>
  <r>
    <s v="CUST0144"/>
    <s v="Male"/>
    <s v="South"/>
    <s v="Smartphone"/>
    <x v="0"/>
    <n v="54"/>
    <n v="800"/>
    <n v="5"/>
    <n v="4000"/>
    <n v="19.43"/>
    <d v="2023-07-12T00:00:00"/>
    <x v="1"/>
  </r>
  <r>
    <s v="CUST0156"/>
    <s v="Female"/>
    <s v="North"/>
    <s v="Monitor"/>
    <x v="0"/>
    <n v="57"/>
    <n v="300"/>
    <n v="1"/>
    <n v="300"/>
    <n v="15.49"/>
    <d v="2023-02-05T00:00:00"/>
    <x v="1"/>
  </r>
  <r>
    <s v="CUST0199"/>
    <s v="Male"/>
    <s v="West"/>
    <s v="Smartphone"/>
    <x v="0"/>
    <n v="49"/>
    <n v="800"/>
    <n v="3"/>
    <n v="2400"/>
    <n v="6.95"/>
    <d v="2023-09-22T00:00:00"/>
    <x v="0"/>
  </r>
  <r>
    <s v="CUST0197"/>
    <s v="Male"/>
    <s v="North"/>
    <s v="Laptop"/>
    <x v="0"/>
    <n v="54"/>
    <n v="1500"/>
    <n v="4"/>
    <n v="6000"/>
    <n v="5.05"/>
    <d v="2023-07-12T00:00:00"/>
    <x v="2"/>
  </r>
  <r>
    <s v="CUST0196"/>
    <s v="Female"/>
    <s v="West"/>
    <s v="Laptop"/>
    <x v="0"/>
    <n v="37"/>
    <n v="1500"/>
    <n v="1"/>
    <n v="1500"/>
    <n v="12.95"/>
    <d v="2023-11-06T00:00:00"/>
    <x v="0"/>
  </r>
  <r>
    <s v="CUST0243"/>
    <s v="Female"/>
    <s v="West"/>
    <s v="Headphones"/>
    <x v="1"/>
    <n v="58"/>
    <n v="100"/>
    <n v="5"/>
    <n v="500"/>
    <n v="19.98"/>
    <d v="2023-08-13T00:00:00"/>
    <x v="0"/>
  </r>
  <r>
    <s v="CUST0182"/>
    <s v="Male"/>
    <s v="South"/>
    <s v="Smartphone"/>
    <x v="0"/>
    <n v="19"/>
    <n v="800"/>
    <n v="4"/>
    <n v="3200"/>
    <n v="12.3"/>
    <d v="2023-01-23T00:00:00"/>
    <x v="2"/>
  </r>
  <r>
    <s v="CUST0296"/>
    <s v="Female"/>
    <s v="South"/>
    <s v="Monitor"/>
    <x v="0"/>
    <n v="50"/>
    <n v="300"/>
    <n v="4"/>
    <n v="1200"/>
    <n v="7.42"/>
    <d v="2023-10-07T00:00:00"/>
    <x v="2"/>
  </r>
  <r>
    <s v="CUST0296"/>
    <s v="Female"/>
    <s v="West"/>
    <s v="Mouse"/>
    <x v="1"/>
    <n v="50"/>
    <n v="30"/>
    <n v="1"/>
    <n v="30"/>
    <n v="15.21"/>
    <d v="2023-11-15T00:00:00"/>
    <x v="1"/>
  </r>
  <r>
    <s v="CUST0264"/>
    <s v="Female"/>
    <s v="West"/>
    <s v="Monitor"/>
    <x v="0"/>
    <n v="59"/>
    <n v="300"/>
    <n v="3"/>
    <n v="900"/>
    <n v="19.8"/>
    <d v="2023-12-26T00:00:00"/>
    <x v="1"/>
  </r>
  <r>
    <s v="CUST0136"/>
    <s v="Female"/>
    <s v="West"/>
    <s v="Mouse"/>
    <x v="1"/>
    <n v="49"/>
    <n v="30"/>
    <n v="5"/>
    <n v="150"/>
    <n v="13.14"/>
    <d v="2023-11-11T00:00:00"/>
    <x v="0"/>
  </r>
  <r>
    <s v="CUST0010"/>
    <s v="Male"/>
    <s v="West"/>
    <s v="Headphones"/>
    <x v="1"/>
    <n v="49"/>
    <n v="100"/>
    <n v="5"/>
    <n v="500"/>
    <n v="15.78"/>
    <d v="2023-04-21T00:00:00"/>
    <x v="2"/>
  </r>
  <r>
    <s v="CUST0131"/>
    <s v="Male"/>
    <s v="West"/>
    <s v="Keyboard"/>
    <x v="1"/>
    <n v="67"/>
    <n v="50"/>
    <n v="5"/>
    <n v="250"/>
    <n v="5.81"/>
    <d v="2023-05-18T00:00:00"/>
    <x v="2"/>
  </r>
  <r>
    <s v="CUST0252"/>
    <s v="Male"/>
    <s v="West"/>
    <s v="Headphones"/>
    <x v="1"/>
    <n v="55"/>
    <n v="100"/>
    <n v="5"/>
    <n v="500"/>
    <n v="7.98"/>
    <d v="2023-05-16T00:00:00"/>
    <x v="0"/>
  </r>
  <r>
    <s v="CUST0294"/>
    <s v="Female"/>
    <s v="East"/>
    <s v="Mouse"/>
    <x v="1"/>
    <n v="49"/>
    <n v="30"/>
    <n v="5"/>
    <n v="150"/>
    <n v="19.829999999999998"/>
    <d v="2023-09-11T00:00:00"/>
    <x v="1"/>
  </r>
  <r>
    <s v="CUST0253"/>
    <s v="Male"/>
    <s v="West"/>
    <s v="Smartphone"/>
    <x v="0"/>
    <n v="51"/>
    <n v="800"/>
    <n v="5"/>
    <n v="4000"/>
    <n v="16.14"/>
    <d v="2023-06-12T00:00:00"/>
    <x v="0"/>
  </r>
  <r>
    <s v="CUST0289"/>
    <s v="Female"/>
    <s v="North"/>
    <s v="Mouse"/>
    <x v="1"/>
    <n v="37"/>
    <n v="30"/>
    <n v="4"/>
    <n v="120"/>
    <n v="9"/>
    <d v="2024-01-03T00:00:00"/>
    <x v="0"/>
  </r>
  <r>
    <s v="CUST0126"/>
    <s v="Female"/>
    <s v="North"/>
    <s v="Smartphone"/>
    <x v="0"/>
    <n v="66"/>
    <n v="800"/>
    <n v="1"/>
    <n v="800"/>
    <n v="16.420000000000002"/>
    <d v="2023-09-26T00:00:00"/>
    <x v="1"/>
  </r>
  <r>
    <s v="CUST0024"/>
    <s v="Female"/>
    <s v="South"/>
    <s v="Laptop"/>
    <x v="0"/>
    <n v="57"/>
    <n v="1500"/>
    <n v="1"/>
    <n v="1500"/>
    <n v="9.69"/>
    <d v="2023-11-22T00:00:00"/>
    <x v="2"/>
  </r>
  <r>
    <s v="CUST0058"/>
    <s v="Male"/>
    <s v="East"/>
    <s v="Laptop"/>
    <x v="0"/>
    <n v="49"/>
    <n v="1500"/>
    <n v="4"/>
    <n v="6000"/>
    <n v="16.489999999999998"/>
    <d v="2023-07-10T00:00:00"/>
    <x v="2"/>
  </r>
  <r>
    <s v="CUST0170"/>
    <s v="Male"/>
    <s v="West"/>
    <s v="Keyboard"/>
    <x v="1"/>
    <n v="40"/>
    <n v="50"/>
    <n v="2"/>
    <n v="100"/>
    <n v="14"/>
    <d v="2023-11-23T00:00:00"/>
    <x v="2"/>
  </r>
  <r>
    <s v="CUST0064"/>
    <s v="Female"/>
    <s v="East"/>
    <s v="Laptop"/>
    <x v="0"/>
    <n v="61"/>
    <n v="1500"/>
    <n v="3"/>
    <n v="4500"/>
    <n v="12.21"/>
    <d v="2023-10-28T00:00:00"/>
    <x v="0"/>
  </r>
  <r>
    <s v="CUST0043"/>
    <s v="Male"/>
    <s v="North"/>
    <s v="Keyboard"/>
    <x v="1"/>
    <n v="22"/>
    <n v="50"/>
    <n v="4"/>
    <n v="200"/>
    <n v="9.82"/>
    <d v="2023-01-05T00:00:00"/>
    <x v="2"/>
  </r>
  <r>
    <s v="CUST0103"/>
    <s v="Male"/>
    <s v="North"/>
    <s v="Smartwatch"/>
    <x v="2"/>
    <n v="23"/>
    <n v="200"/>
    <n v="5"/>
    <n v="1000"/>
    <n v="14.5"/>
    <d v="2023-11-15T00:00:00"/>
    <x v="2"/>
  </r>
  <r>
    <s v="CUST0032"/>
    <s v="Male"/>
    <s v="North"/>
    <s v="Mouse"/>
    <x v="1"/>
    <n v="63"/>
    <n v="30"/>
    <n v="4"/>
    <n v="120"/>
    <n v="14.68"/>
    <d v="2023-03-11T00:00:00"/>
    <x v="0"/>
  </r>
  <r>
    <s v="CUST0182"/>
    <s v="Male"/>
    <s v="West"/>
    <s v="Mouse"/>
    <x v="1"/>
    <n v="19"/>
    <n v="30"/>
    <n v="1"/>
    <n v="30"/>
    <n v="17.329999999999998"/>
    <d v="2023-08-31T00:00:00"/>
    <x v="2"/>
  </r>
  <r>
    <s v="CUST0076"/>
    <s v="Male"/>
    <s v="North"/>
    <s v="Headphones"/>
    <x v="1"/>
    <n v="26"/>
    <n v="100"/>
    <n v="2"/>
    <n v="200"/>
    <n v="17.84"/>
    <d v="2023-12-12T00:00:00"/>
    <x v="2"/>
  </r>
  <r>
    <s v="CUST0215"/>
    <s v="Female"/>
    <s v="North"/>
    <s v="Monitor"/>
    <x v="0"/>
    <n v="35"/>
    <n v="300"/>
    <n v="5"/>
    <n v="1500"/>
    <n v="19.579999999999998"/>
    <d v="2023-01-22T00:00:00"/>
    <x v="2"/>
  </r>
  <r>
    <s v="CUST0105"/>
    <s v="Male"/>
    <s v="South"/>
    <s v="Keyboard"/>
    <x v="1"/>
    <n v="27"/>
    <n v="50"/>
    <n v="5"/>
    <n v="250"/>
    <n v="17.690000000000001"/>
    <d v="2023-12-31T00:00:00"/>
    <x v="1"/>
  </r>
  <r>
    <s v="CUST0295"/>
    <s v="Female"/>
    <s v="East"/>
    <s v="Smartphone"/>
    <x v="0"/>
    <n v="26"/>
    <n v="800"/>
    <n v="5"/>
    <n v="4000"/>
    <n v="18.989999999999998"/>
    <d v="2023-12-31T00:00:00"/>
    <x v="1"/>
  </r>
  <r>
    <s v="CUST0002"/>
    <s v="Female"/>
    <s v="South"/>
    <s v="Keyboard"/>
    <x v="1"/>
    <n v="23"/>
    <n v="50"/>
    <n v="5"/>
    <n v="250"/>
    <n v="17.96"/>
    <d v="2023-08-18T00:00:00"/>
    <x v="1"/>
  </r>
  <r>
    <s v="CUST0283"/>
    <s v="Female"/>
    <s v="East"/>
    <s v="Laptop"/>
    <x v="0"/>
    <n v="67"/>
    <n v="1500"/>
    <n v="1"/>
    <n v="1500"/>
    <n v="11.14"/>
    <d v="2023-06-25T00:00:00"/>
    <x v="1"/>
  </r>
  <r>
    <s v="CUST0047"/>
    <s v="Female"/>
    <s v="West"/>
    <s v="Laptop"/>
    <x v="0"/>
    <n v="41"/>
    <n v="1500"/>
    <n v="1"/>
    <n v="1500"/>
    <n v="14.86"/>
    <d v="2023-10-21T00:00:00"/>
    <x v="0"/>
  </r>
  <r>
    <s v="CUST0153"/>
    <s v="Male"/>
    <s v="West"/>
    <s v="Mouse"/>
    <x v="1"/>
    <n v="49"/>
    <n v="30"/>
    <n v="2"/>
    <n v="60"/>
    <n v="6.54"/>
    <d v="2023-11-21T00:00:00"/>
    <x v="0"/>
  </r>
  <r>
    <s v="CUST0047"/>
    <s v="Male"/>
    <s v="East"/>
    <s v="Headphones"/>
    <x v="1"/>
    <n v="41"/>
    <n v="207.30404083244301"/>
    <n v="2"/>
    <n v="200"/>
    <n v="9.15"/>
    <d v="2023-04-23T00:00:00"/>
    <x v="0"/>
  </r>
  <r>
    <s v="CUST0269"/>
    <s v="Male"/>
    <s v="East"/>
    <s v="Monitor"/>
    <x v="0"/>
    <n v="64"/>
    <n v="300"/>
    <n v="4"/>
    <n v="1200"/>
    <n v="13.49"/>
    <d v="2023-09-09T00:00:00"/>
    <x v="0"/>
  </r>
  <r>
    <s v="CUST0022"/>
    <s v="Male"/>
    <s v="North"/>
    <s v="Laptop"/>
    <x v="0"/>
    <n v="49"/>
    <n v="1500"/>
    <n v="2"/>
    <n v="3000"/>
    <n v="8.24"/>
    <d v="2023-04-15T00:00:00"/>
    <x v="2"/>
  </r>
  <r>
    <s v="CUST0106"/>
    <s v="Female"/>
    <s v="East"/>
    <s v="Smartphone"/>
    <x v="0"/>
    <n v="50"/>
    <n v="800"/>
    <n v="3"/>
    <n v="2400"/>
    <n v="10.130000000000001"/>
    <d v="2023-06-26T00:00:00"/>
    <x v="0"/>
  </r>
  <r>
    <s v="CUST0284"/>
    <s v="Male"/>
    <s v="South"/>
    <s v="Headphones"/>
    <x v="1"/>
    <n v="64"/>
    <n v="100"/>
    <n v="2"/>
    <n v="200"/>
    <n v="10.57"/>
    <d v="2023-06-03T00:00:00"/>
    <x v="1"/>
  </r>
  <r>
    <s v="CUST0149"/>
    <s v="Male"/>
    <s v="South"/>
    <s v="Laptop"/>
    <x v="0"/>
    <n v="40"/>
    <n v="1500"/>
    <n v="1"/>
    <n v="1500"/>
    <n v="14.19"/>
    <d v="2023-05-20T00:00:00"/>
    <x v="1"/>
  </r>
  <r>
    <s v="CUST0068"/>
    <s v="Male"/>
    <s v="East"/>
    <s v="Smartwatch"/>
    <x v="2"/>
    <n v="64"/>
    <n v="200"/>
    <n v="3"/>
    <n v="600"/>
    <n v="5.7"/>
    <d v="2023-04-07T00:00:00"/>
    <x v="1"/>
  </r>
  <r>
    <s v="CUST0289"/>
    <s v="Female"/>
    <s v="East"/>
    <s v="Smartwatch"/>
    <x v="2"/>
    <n v="37"/>
    <n v="200"/>
    <n v="5"/>
    <n v="1000"/>
    <n v="5.6"/>
    <d v="2023-11-18T00:00:00"/>
    <x v="0"/>
  </r>
  <r>
    <s v="CUST0247"/>
    <s v="Male"/>
    <s v="South"/>
    <s v="Laptop"/>
    <x v="0"/>
    <n v="44"/>
    <n v="1500"/>
    <n v="3"/>
    <n v="4500"/>
    <n v="18.21"/>
    <d v="2023-05-01T00:00:00"/>
    <x v="1"/>
  </r>
  <r>
    <s v="CUST0295"/>
    <s v="Male"/>
    <s v="West"/>
    <s v="Laptop"/>
    <x v="0"/>
    <n v="26"/>
    <n v="1500"/>
    <n v="3"/>
    <n v="4500"/>
    <n v="12.84"/>
    <d v="2023-05-27T00:00:00"/>
    <x v="3"/>
  </r>
  <r>
    <s v="CUST0236"/>
    <s v="Male"/>
    <s v="West"/>
    <s v="Laptop"/>
    <x v="0"/>
    <n v="18"/>
    <n v="1500"/>
    <n v="2"/>
    <n v="3000"/>
    <n v="18.07"/>
    <d v="2023-01-23T00:00:00"/>
    <x v="0"/>
  </r>
  <r>
    <s v="CUST0148"/>
    <s v="Male"/>
    <s v="West"/>
    <s v="Keyboard"/>
    <x v="1"/>
    <n v="49"/>
    <n v="50"/>
    <n v="4"/>
    <n v="200"/>
    <n v="14.29"/>
    <d v="2023-10-08T00:00:00"/>
    <x v="2"/>
  </r>
  <r>
    <s v="CUST0122"/>
    <s v="Male"/>
    <s v="North"/>
    <s v="Headphones"/>
    <x v="1"/>
    <n v="68"/>
    <n v="100"/>
    <n v="4"/>
    <n v="400"/>
    <n v="11.52"/>
    <d v="2023-11-29T00:00:00"/>
    <x v="0"/>
  </r>
  <r>
    <s v="CUST0246"/>
    <s v="Female"/>
    <s v="South"/>
    <s v="Monitor"/>
    <x v="0"/>
    <n v="64"/>
    <n v="300"/>
    <n v="3"/>
    <n v="900"/>
    <n v="15.77"/>
    <d v="2023-09-29T00:00:00"/>
    <x v="2"/>
  </r>
  <r>
    <s v="CUST0282"/>
    <s v="Male"/>
    <s v="North"/>
    <s v="Laptop"/>
    <x v="0"/>
    <n v="68"/>
    <n v="1500"/>
    <n v="4"/>
    <n v="6000"/>
    <n v="5.24"/>
    <d v="2023-11-07T00:00:00"/>
    <x v="2"/>
  </r>
  <r>
    <s v="CUST0204"/>
    <s v="Male"/>
    <s v="West"/>
    <s v="Headphones"/>
    <x v="1"/>
    <n v="54"/>
    <n v="100"/>
    <n v="5"/>
    <n v="500"/>
    <n v="8.64"/>
    <d v="2023-10-20T00:00:00"/>
    <x v="2"/>
  </r>
  <r>
    <s v="CUST0053"/>
    <s v="Male"/>
    <s v="North"/>
    <s v="Laptop"/>
    <x v="0"/>
    <n v="25"/>
    <n v="1500"/>
    <n v="4"/>
    <n v="6000"/>
    <n v="13.08"/>
    <d v="2023-09-18T00:00:00"/>
    <x v="1"/>
  </r>
  <r>
    <s v="CUST0036"/>
    <s v="Male"/>
    <s v="Unknown"/>
    <s v="Smartphone"/>
    <x v="0"/>
    <n v="33"/>
    <n v="800"/>
    <n v="4"/>
    <n v="3200"/>
    <n v="13.29"/>
    <d v="2023-07-23T00:00:00"/>
    <x v="0"/>
  </r>
  <r>
    <s v="CUST0085"/>
    <s v="Male"/>
    <s v="West"/>
    <s v="Smartphone"/>
    <x v="0"/>
    <n v="18"/>
    <n v="800"/>
    <n v="5"/>
    <n v="4000"/>
    <n v="13.44"/>
    <d v="2023-05-02T00:00:00"/>
    <x v="2"/>
  </r>
  <r>
    <s v="CUST0071"/>
    <s v="Female"/>
    <s v="South"/>
    <s v="Headphones"/>
    <x v="1"/>
    <n v="49"/>
    <n v="100"/>
    <n v="1"/>
    <n v="100"/>
    <n v="14.98"/>
    <d v="2023-12-04T00:00:00"/>
    <x v="2"/>
  </r>
  <r>
    <s v="CUST0248"/>
    <s v="Male"/>
    <s v="East"/>
    <s v="Monitor"/>
    <x v="0"/>
    <n v="67"/>
    <n v="300"/>
    <n v="1"/>
    <n v="300"/>
    <n v="8.65"/>
    <d v="2023-08-27T00:00:00"/>
    <x v="0"/>
  </r>
  <r>
    <s v="CUST0088"/>
    <s v="Female"/>
    <s v="West"/>
    <s v="Headphones"/>
    <x v="1"/>
    <n v="66"/>
    <n v="100"/>
    <n v="5"/>
    <n v="500"/>
    <n v="14.84"/>
    <d v="2023-06-08T00:00:00"/>
    <x v="2"/>
  </r>
  <r>
    <s v="CUST0020"/>
    <s v="Female"/>
    <s v="North"/>
    <s v="Monitor"/>
    <x v="0"/>
    <n v="55"/>
    <n v="300"/>
    <n v="1"/>
    <n v="300"/>
    <n v="7.38"/>
    <d v="2023-10-26T00:00:00"/>
    <x v="2"/>
  </r>
  <r>
    <s v="CUST0274"/>
    <s v="Female"/>
    <s v="East"/>
    <s v="Laptop"/>
    <x v="0"/>
    <n v="51"/>
    <n v="1500"/>
    <n v="5"/>
    <n v="7500"/>
    <n v="12.33"/>
    <d v="2023-01-07T00:00:00"/>
    <x v="1"/>
  </r>
  <r>
    <s v="CUST0196"/>
    <s v="Male"/>
    <s v="East"/>
    <s v="Smartwatch"/>
    <x v="2"/>
    <n v="37"/>
    <n v="200"/>
    <n v="5"/>
    <n v="1000"/>
    <n v="19.55"/>
    <d v="2023-04-23T00:00:00"/>
    <x v="2"/>
  </r>
  <r>
    <s v="CUST0022"/>
    <s v="Male"/>
    <s v="Unknown"/>
    <s v="Smartphone"/>
    <x v="0"/>
    <n v="33"/>
    <n v="800"/>
    <n v="3"/>
    <n v="2400"/>
    <n v="5.22"/>
    <d v="2023-09-12T00:00:00"/>
    <x v="0"/>
  </r>
  <r>
    <s v="CUST0211"/>
    <s v="Male"/>
    <s v="West"/>
    <s v="Keyboard"/>
    <x v="1"/>
    <n v="49"/>
    <n v="50"/>
    <n v="1"/>
    <n v="50"/>
    <n v="14.62"/>
    <d v="2023-01-28T00:00:00"/>
    <x v="0"/>
  </r>
  <r>
    <s v="CUST0152"/>
    <s v="Female"/>
    <s v="South"/>
    <s v="Smartwatch"/>
    <x v="2"/>
    <n v="69"/>
    <n v="200"/>
    <n v="3"/>
    <n v="600"/>
    <n v="19.07"/>
    <d v="2023-07-16T00:00:00"/>
    <x v="2"/>
  </r>
  <r>
    <s v="CUST0042"/>
    <s v="Male"/>
    <s v="East"/>
    <s v="Smartwatch"/>
    <x v="2"/>
    <n v="57"/>
    <n v="200"/>
    <n v="5"/>
    <n v="1000"/>
    <n v="15.99"/>
    <d v="2023-01-04T00:00:00"/>
    <x v="0"/>
  </r>
  <r>
    <s v="CUST0235"/>
    <s v="Male"/>
    <s v="East"/>
    <s v="Headphones"/>
    <x v="1"/>
    <n v="19"/>
    <n v="100"/>
    <n v="5"/>
    <n v="500"/>
    <n v="19.53"/>
    <d v="2023-04-08T00:00:00"/>
    <x v="1"/>
  </r>
  <r>
    <s v="CUST0206"/>
    <s v="Male"/>
    <s v="South"/>
    <s v="Laptop"/>
    <x v="0"/>
    <n v="43"/>
    <n v="1500"/>
    <n v="5"/>
    <n v="7500"/>
    <n v="13.04"/>
    <d v="2023-05-03T00:00:00"/>
    <x v="1"/>
  </r>
  <r>
    <s v="CUST0103"/>
    <s v="Female"/>
    <s v="Unknown"/>
    <s v="Mouse"/>
    <x v="1"/>
    <n v="23"/>
    <n v="30"/>
    <n v="2"/>
    <n v="60"/>
    <n v="18.45"/>
    <d v="2023-07-15T00:00:00"/>
    <x v="0"/>
  </r>
  <r>
    <s v="CUST0179"/>
    <s v="Male"/>
    <s v="North"/>
    <s v="Smartphone"/>
    <x v="0"/>
    <n v="45"/>
    <n v="800"/>
    <n v="4"/>
    <n v="3200"/>
    <n v="15.02"/>
    <d v="2023-09-28T00:00:00"/>
    <x v="0"/>
  </r>
  <r>
    <s v="CUST0157"/>
    <s v="Female"/>
    <s v="East"/>
    <s v="Keyboard"/>
    <x v="1"/>
    <n v="48"/>
    <n v="50"/>
    <n v="4"/>
    <n v="200"/>
    <n v="8.27"/>
    <d v="2023-05-22T00:00:00"/>
    <x v="1"/>
  </r>
  <r>
    <s v="CUST0272"/>
    <s v="Male"/>
    <s v="South"/>
    <s v="Mouse"/>
    <x v="1"/>
    <n v="52"/>
    <n v="30"/>
    <n v="3"/>
    <n v="90"/>
    <n v="8.66"/>
    <d v="2023-03-30T00:00:00"/>
    <x v="1"/>
  </r>
  <r>
    <s v="CUST0071"/>
    <s v="Female"/>
    <s v="South"/>
    <s v="Headphones"/>
    <x v="1"/>
    <n v="46"/>
    <n v="100"/>
    <n v="5"/>
    <n v="500"/>
    <n v="11.88"/>
    <d v="2023-08-02T00:00:00"/>
    <x v="0"/>
  </r>
  <r>
    <s v="CUST0268"/>
    <s v="Male"/>
    <s v="North"/>
    <s v="Keyboard"/>
    <x v="1"/>
    <n v="21"/>
    <n v="50"/>
    <n v="3"/>
    <n v="150"/>
    <n v="15.03"/>
    <d v="2023-05-20T00:00:00"/>
    <x v="1"/>
  </r>
  <r>
    <s v="CUST0017"/>
    <s v="Female"/>
    <s v="West"/>
    <s v="Keyboard"/>
    <x v="1"/>
    <n v="36"/>
    <n v="50"/>
    <n v="5"/>
    <n v="250"/>
    <n v="12.63"/>
    <d v="2023-12-17T00:00:00"/>
    <x v="2"/>
  </r>
  <r>
    <s v="CUST0221"/>
    <s v="Male"/>
    <s v="West"/>
    <s v="Monitor"/>
    <x v="0"/>
    <n v="33"/>
    <n v="300"/>
    <n v="3"/>
    <n v="900"/>
    <n v="7.25"/>
    <d v="2023-11-01T00:00:00"/>
    <x v="0"/>
  </r>
  <r>
    <s v="CUST0207"/>
    <s v="Male"/>
    <s v="West"/>
    <s v="Headphones"/>
    <x v="1"/>
    <n v="54"/>
    <n v="100"/>
    <n v="2"/>
    <n v="200"/>
    <n v="6.22"/>
    <d v="2024-01-03T00:00:00"/>
    <x v="0"/>
  </r>
  <r>
    <s v="CUST0077"/>
    <s v="Male"/>
    <s v="East"/>
    <s v="Monitor"/>
    <x v="0"/>
    <n v="50"/>
    <n v="300"/>
    <n v="3"/>
    <n v="900"/>
    <n v="14.75"/>
    <d v="2023-01-08T00:00:00"/>
    <x v="2"/>
  </r>
  <r>
    <s v="CUST0253"/>
    <s v="Female"/>
    <s v="East"/>
    <s v="Headphones"/>
    <x v="1"/>
    <n v="51"/>
    <n v="100"/>
    <n v="4"/>
    <n v="400"/>
    <n v="17.18"/>
    <d v="2023-09-25T00:00:00"/>
    <x v="1"/>
  </r>
  <r>
    <s v="CUST0253"/>
    <s v="Female"/>
    <s v="East"/>
    <s v="Keyboard"/>
    <x v="1"/>
    <n v="51"/>
    <n v="50"/>
    <n v="3"/>
    <n v="150"/>
    <n v="14.99"/>
    <d v="2023-04-18T00:00:00"/>
    <x v="1"/>
  </r>
  <r>
    <s v="CUST0225"/>
    <s v="Female"/>
    <s v="North"/>
    <s v="Smartwatch"/>
    <x v="2"/>
    <n v="49"/>
    <n v="200"/>
    <n v="1"/>
    <n v="200"/>
    <n v="17.3"/>
    <d v="2023-02-19T00:00:00"/>
    <x v="2"/>
  </r>
  <r>
    <s v="CUST0091"/>
    <s v="Female"/>
    <s v="West"/>
    <s v="Headphones"/>
    <x v="1"/>
    <n v="30"/>
    <n v="100"/>
    <n v="1"/>
    <n v="100"/>
    <n v="6.47"/>
    <d v="2023-06-01T00:00:00"/>
    <x v="2"/>
  </r>
  <r>
    <s v="CUST0142"/>
    <s v="Female"/>
    <s v="South"/>
    <s v="Keyboard"/>
    <x v="1"/>
    <n v="32"/>
    <n v="50"/>
    <n v="5"/>
    <n v="250"/>
    <n v="10.39"/>
    <d v="2023-06-28T00:00:00"/>
    <x v="1"/>
  </r>
  <r>
    <s v="CUST0142"/>
    <s v="Female"/>
    <s v="South"/>
    <s v="Monitor"/>
    <x v="0"/>
    <n v="32"/>
    <n v="300"/>
    <n v="1"/>
    <n v="300"/>
    <n v="9.57"/>
    <d v="2023-04-24T00:00:00"/>
    <x v="1"/>
  </r>
  <r>
    <s v="CUST0032"/>
    <s v="Male"/>
    <s v="North"/>
    <s v="Smartphone"/>
    <x v="0"/>
    <n v="63"/>
    <n v="800"/>
    <n v="2"/>
    <n v="1600"/>
    <n v="6.57"/>
    <d v="2023-12-08T00:00:00"/>
    <x v="2"/>
  </r>
  <r>
    <s v="CUST0011"/>
    <s v="Male"/>
    <s v="West"/>
    <s v="Keyboard"/>
    <x v="1"/>
    <n v="54"/>
    <n v="50"/>
    <n v="1"/>
    <n v="50"/>
    <n v="13.9"/>
    <d v="2023-11-04T00:00:00"/>
    <x v="2"/>
  </r>
  <r>
    <s v="CUST0204"/>
    <s v="Male"/>
    <s v="West"/>
    <s v="Laptop"/>
    <x v="0"/>
    <n v="54"/>
    <n v="3109.5606124866499"/>
    <n v="5"/>
    <n v="7500"/>
    <n v="19.71"/>
    <d v="2023-04-18T00:00:00"/>
    <x v="0"/>
  </r>
  <r>
    <s v="CUST0068"/>
    <s v="Male"/>
    <s v="East"/>
    <s v="Smartwatch"/>
    <x v="2"/>
    <n v="64"/>
    <n v="200"/>
    <n v="2"/>
    <n v="400"/>
    <n v="11.49"/>
    <d v="2023-09-24T00:00:00"/>
    <x v="0"/>
  </r>
  <r>
    <s v="CUST0222"/>
    <s v="Female"/>
    <s v="East"/>
    <s v="Mouse"/>
    <x v="1"/>
    <n v="61"/>
    <n v="30"/>
    <n v="2"/>
    <n v="60"/>
    <n v="13.74"/>
    <d v="2023-11-13T00:00:00"/>
    <x v="2"/>
  </r>
  <r>
    <s v="CUST0145"/>
    <s v="Male"/>
    <s v="East"/>
    <s v="Laptop"/>
    <x v="0"/>
    <n v="51"/>
    <n v="1500"/>
    <n v="1"/>
    <n v="1500"/>
    <n v="15.23"/>
    <d v="2023-10-10T00:00:00"/>
    <x v="0"/>
  </r>
  <r>
    <s v="CUST0083"/>
    <s v="Female"/>
    <s v="South"/>
    <s v="Laptop"/>
    <x v="0"/>
    <n v="28"/>
    <n v="1500"/>
    <n v="1"/>
    <n v="1500"/>
    <n v="19.84"/>
    <d v="2023-02-17T00:00:00"/>
    <x v="3"/>
  </r>
  <r>
    <s v="CUST0158"/>
    <s v="Female"/>
    <s v="North"/>
    <s v="Headphones"/>
    <x v="1"/>
    <n v="51"/>
    <n v="100"/>
    <n v="3"/>
    <n v="300"/>
    <n v="18.63"/>
    <d v="2023-03-20T00:00:00"/>
    <x v="3"/>
  </r>
  <r>
    <s v="CUST0063"/>
    <s v="Female"/>
    <s v="North"/>
    <s v="Laptop"/>
    <x v="0"/>
    <n v="20"/>
    <n v="1500"/>
    <n v="5"/>
    <n v="7500"/>
    <n v="15.07"/>
    <d v="2023-10-28T00:00:00"/>
    <x v="1"/>
  </r>
  <r>
    <s v="CUST0249"/>
    <s v="Male"/>
    <s v="South"/>
    <s v="Monitor"/>
    <x v="0"/>
    <n v="33"/>
    <n v="300"/>
    <n v="5"/>
    <n v="1500"/>
    <n v="15.98"/>
    <d v="2023-01-16T00:00:00"/>
    <x v="1"/>
  </r>
  <r>
    <s v="CUST0012"/>
    <s v="Male"/>
    <s v="West"/>
    <s v="Monitor"/>
    <x v="0"/>
    <n v="28"/>
    <n v="300"/>
    <n v="2"/>
    <n v="600"/>
    <n v="14.13"/>
    <d v="2023-02-11T00:00:00"/>
    <x v="2"/>
  </r>
  <r>
    <s v="CUST0038"/>
    <s v="Male"/>
    <s v="East"/>
    <s v="Monitor"/>
    <x v="0"/>
    <n v="57"/>
    <n v="300"/>
    <n v="2"/>
    <n v="600"/>
    <n v="17.670000000000002"/>
    <d v="2023-12-18T00:00:00"/>
    <x v="1"/>
  </r>
  <r>
    <s v="CUST0216"/>
    <s v="Female"/>
    <s v="West"/>
    <s v="Keyboard"/>
    <x v="1"/>
    <n v="53"/>
    <n v="50"/>
    <n v="5"/>
    <n v="250"/>
    <n v="15.62"/>
    <d v="2023-09-01T00:00:00"/>
    <x v="0"/>
  </r>
  <r>
    <s v="CUST0172"/>
    <s v="Female"/>
    <s v="South"/>
    <s v="Monitor"/>
    <x v="0"/>
    <n v="56"/>
    <n v="300"/>
    <n v="5"/>
    <n v="1500"/>
    <n v="12.62"/>
    <d v="2023-07-20T00:00:00"/>
    <x v="0"/>
  </r>
  <r>
    <s v="CUST0048"/>
    <s v="Male"/>
    <s v="North"/>
    <s v="Monitor"/>
    <x v="0"/>
    <n v="34"/>
    <n v="300"/>
    <n v="2"/>
    <n v="600"/>
    <n v="11.88"/>
    <d v="2023-09-23T00:00:00"/>
    <x v="0"/>
  </r>
  <r>
    <s v="CUST0260"/>
    <s v="Male"/>
    <s v="East"/>
    <s v="Monitor"/>
    <x v="0"/>
    <n v="32"/>
    <n v="300"/>
    <n v="2"/>
    <n v="600"/>
    <n v="12.92"/>
    <d v="2023-07-14T00:00:00"/>
    <x v="0"/>
  </r>
  <r>
    <s v="CUST0063"/>
    <s v="Male"/>
    <s v="North"/>
    <s v="Smartwatch"/>
    <x v="2"/>
    <n v="20"/>
    <n v="200"/>
    <n v="4"/>
    <n v="800"/>
    <n v="15.78"/>
    <d v="2023-06-14T00:00:00"/>
    <x v="2"/>
  </r>
  <r>
    <s v="CUST0218"/>
    <s v="Male"/>
    <s v="Unknown"/>
    <s v="Laptop"/>
    <x v="0"/>
    <n v="36"/>
    <n v="1500"/>
    <n v="4"/>
    <n v="6000"/>
    <n v="14"/>
    <d v="2023-06-06T00:00:00"/>
    <x v="0"/>
  </r>
  <r>
    <s v="CUST0263"/>
    <s v="Male"/>
    <s v="North"/>
    <s v="Smartphone"/>
    <x v="0"/>
    <n v="49"/>
    <n v="800"/>
    <n v="2"/>
    <n v="1600"/>
    <n v="7.17"/>
    <d v="2023-01-09T00:00:00"/>
    <x v="3"/>
  </r>
  <r>
    <s v="CUST0160"/>
    <s v="Male"/>
    <s v="South"/>
    <s v="Monitor"/>
    <x v="0"/>
    <n v="69"/>
    <n v="300"/>
    <n v="2"/>
    <n v="600"/>
    <n v="18.79"/>
    <d v="2023-07-29T00:00:00"/>
    <x v="2"/>
  </r>
  <r>
    <s v="CUST0250"/>
    <s v="Female"/>
    <s v="North"/>
    <s v="Smartphone"/>
    <x v="0"/>
    <n v="64"/>
    <n v="800"/>
    <n v="2"/>
    <n v="1600"/>
    <n v="17.54"/>
    <d v="2023-08-05T00:00:00"/>
    <x v="0"/>
  </r>
  <r>
    <s v="CUST0038"/>
    <s v="Male"/>
    <s v="North"/>
    <s v="Keyboard"/>
    <x v="1"/>
    <n v="57"/>
    <n v="50"/>
    <n v="3"/>
    <n v="150"/>
    <n v="18.440000000000001"/>
    <d v="2023-02-21T00:00:00"/>
    <x v="1"/>
  </r>
  <r>
    <s v="CUST0048"/>
    <s v="Male"/>
    <s v="North"/>
    <s v="Monitor"/>
    <x v="0"/>
    <n v="34"/>
    <n v="300"/>
    <n v="2"/>
    <n v="600"/>
    <n v="12.94"/>
    <d v="2023-05-05T00:00:00"/>
    <x v="1"/>
  </r>
  <r>
    <s v="CUST0183"/>
    <s v="Female"/>
    <s v="West"/>
    <s v="Monitor"/>
    <x v="0"/>
    <n v="42"/>
    <n v="300"/>
    <n v="3"/>
    <n v="900"/>
    <n v="14.11"/>
    <d v="2023-01-16T00:00:00"/>
    <x v="0"/>
  </r>
  <r>
    <s v="CUST0240"/>
    <s v="Female"/>
    <s v="Unknown"/>
    <s v="Headphones"/>
    <x v="1"/>
    <n v="39"/>
    <n v="100"/>
    <n v="1"/>
    <n v="100"/>
    <n v="7.09"/>
    <d v="2023-06-26T00:00:00"/>
    <x v="2"/>
  </r>
  <r>
    <s v="CUST0155"/>
    <s v="Male"/>
    <s v="North"/>
    <s v="Smartwatch"/>
    <x v="2"/>
    <n v="41"/>
    <n v="200"/>
    <n v="1"/>
    <n v="200"/>
    <n v="18.84"/>
    <d v="2023-04-20T00:00:00"/>
    <x v="1"/>
  </r>
  <r>
    <s v="CUST0185"/>
    <s v="Male"/>
    <s v="North"/>
    <s v="Laptop"/>
    <x v="0"/>
    <n v="29"/>
    <n v="1500"/>
    <n v="5"/>
    <n v="7500"/>
    <n v="13.95"/>
    <d v="2023-10-30T00:00:00"/>
    <x v="2"/>
  </r>
  <r>
    <s v="CUST0229"/>
    <s v="Female"/>
    <s v="North"/>
    <s v="Headphones"/>
    <x v="1"/>
    <n v="49"/>
    <n v="100"/>
    <n v="4"/>
    <n v="400"/>
    <n v="11.95"/>
    <d v="2023-09-04T00:00:00"/>
    <x v="2"/>
  </r>
  <r>
    <s v="CUST0229"/>
    <s v="Male"/>
    <s v="North"/>
    <s v="Mouse"/>
    <x v="1"/>
    <n v="45"/>
    <n v="30"/>
    <n v="3"/>
    <n v="90"/>
    <n v="10.06"/>
    <d v="2023-02-18T00:00:00"/>
    <x v="2"/>
  </r>
  <r>
    <s v="CUST0139"/>
    <s v="Male"/>
    <s v="North"/>
    <s v="Mouse"/>
    <x v="1"/>
    <n v="57"/>
    <n v="30"/>
    <n v="5"/>
    <n v="150"/>
    <n v="19.16"/>
    <d v="2023-01-07T00:00:00"/>
    <x v="0"/>
  </r>
  <r>
    <s v="CUST0009"/>
    <s v="Male"/>
    <s v="West"/>
    <s v="Headphones"/>
    <x v="1"/>
    <n v="50"/>
    <n v="100"/>
    <n v="2"/>
    <n v="200"/>
    <n v="19.13"/>
    <d v="2023-10-08T00:00:00"/>
    <x v="3"/>
  </r>
  <r>
    <s v="CUST0095"/>
    <s v="Male"/>
    <s v="West"/>
    <s v="Keyboard"/>
    <x v="1"/>
    <n v="60"/>
    <n v="50"/>
    <n v="5"/>
    <n v="250"/>
    <n v="13"/>
    <d v="2023-12-19T00:00:00"/>
    <x v="0"/>
  </r>
  <r>
    <s v="CUST0001"/>
    <s v="Female"/>
    <s v="East"/>
    <s v="Keyboard"/>
    <x v="1"/>
    <n v="38"/>
    <n v="50"/>
    <n v="3"/>
    <n v="150"/>
    <n v="6.14"/>
    <d v="2023-04-10T00:00:00"/>
    <x v="0"/>
  </r>
  <r>
    <s v="CUST0200"/>
    <s v="Male"/>
    <s v="East"/>
    <s v="Laptop"/>
    <x v="0"/>
    <n v="68"/>
    <n v="1500"/>
    <n v="3"/>
    <n v="4500"/>
    <n v="11.29"/>
    <d v="2023-06-01T00:00:00"/>
    <x v="0"/>
  </r>
  <r>
    <s v="CUST0086"/>
    <s v="Male"/>
    <s v="West"/>
    <s v="Smartwatch"/>
    <x v="2"/>
    <n v="26"/>
    <n v="200"/>
    <n v="5"/>
    <n v="1000"/>
    <n v="14.83"/>
    <d v="2023-07-03T00:00:00"/>
    <x v="2"/>
  </r>
  <r>
    <s v="CUST0193"/>
    <s v="Female"/>
    <s v="North"/>
    <s v="Monitor"/>
    <x v="0"/>
    <n v="64"/>
    <n v="300"/>
    <n v="3"/>
    <n v="900"/>
    <n v="15.97"/>
    <d v="2023-10-15T00:00:00"/>
    <x v="2"/>
  </r>
  <r>
    <s v="CUST0193"/>
    <s v="Female"/>
    <s v="East"/>
    <s v="Headphones"/>
    <x v="1"/>
    <n v="64"/>
    <n v="100"/>
    <n v="4"/>
    <n v="400"/>
    <n v="12.48"/>
    <d v="2023-06-10T00:00:00"/>
    <x v="1"/>
  </r>
  <r>
    <s v="CUST0044"/>
    <s v="Female"/>
    <s v="East"/>
    <s v="Monitor"/>
    <x v="0"/>
    <n v="30"/>
    <n v="300"/>
    <n v="4"/>
    <n v="1200"/>
    <n v="10.86"/>
    <d v="2023-09-03T00:00:00"/>
    <x v="2"/>
  </r>
  <r>
    <s v="CUST0187"/>
    <s v="Male"/>
    <s v="East"/>
    <s v="Laptop"/>
    <x v="0"/>
    <n v="25"/>
    <n v="1500"/>
    <n v="5"/>
    <n v="7500"/>
    <n v="16.95"/>
    <d v="2023-03-04T00:00:00"/>
    <x v="2"/>
  </r>
  <r>
    <s v="CUST0006"/>
    <s v="Female"/>
    <s v="East"/>
    <s v="Headphones"/>
    <x v="1"/>
    <n v="52"/>
    <n v="100"/>
    <n v="2"/>
    <n v="200"/>
    <n v="18.95"/>
    <d v="2023-01-24T00:00:00"/>
    <x v="1"/>
  </r>
  <r>
    <s v="CUST0021"/>
    <s v="Male"/>
    <s v="North"/>
    <s v="Mouse"/>
    <x v="1"/>
    <n v="43"/>
    <n v="30"/>
    <n v="4"/>
    <n v="120"/>
    <n v="10.77"/>
    <d v="2023-09-24T00:00:00"/>
    <x v="3"/>
  </r>
  <r>
    <s v="CUST0271"/>
    <s v="Female"/>
    <s v="South"/>
    <s v="Headphones"/>
    <x v="1"/>
    <n v="46"/>
    <n v="100"/>
    <n v="2"/>
    <n v="200"/>
    <n v="19.54"/>
    <d v="2023-06-20T00:00:00"/>
    <x v="0"/>
  </r>
  <r>
    <s v="CUST0160"/>
    <s v="Male"/>
    <s v="East"/>
    <s v="Laptop"/>
    <x v="0"/>
    <n v="69"/>
    <n v="1500"/>
    <n v="4"/>
    <n v="6000"/>
    <n v="10"/>
    <d v="2023-11-15T00:00:00"/>
    <x v="2"/>
  </r>
  <r>
    <s v="CUST0095"/>
    <s v="Female"/>
    <s v="East"/>
    <s v="Laptop"/>
    <x v="0"/>
    <n v="49"/>
    <n v="1500"/>
    <n v="5"/>
    <n v="7500"/>
    <n v="12.35"/>
    <d v="2023-04-28T00:00:00"/>
    <x v="1"/>
  </r>
  <r>
    <s v="CUST0025"/>
    <s v="Female"/>
    <s v="East"/>
    <s v="Monitor"/>
    <x v="0"/>
    <n v="56"/>
    <n v="300"/>
    <n v="3"/>
    <n v="900"/>
    <n v="17.34"/>
    <d v="2023-05-22T00:00:00"/>
    <x v="0"/>
  </r>
  <r>
    <s v="CUST0188"/>
    <s v="Male"/>
    <s v="West"/>
    <s v="Keyboard"/>
    <x v="1"/>
    <n v="29"/>
    <n v="50"/>
    <n v="3"/>
    <n v="150"/>
    <n v="12.06"/>
    <d v="2023-04-02T00:00:00"/>
    <x v="0"/>
  </r>
  <r>
    <s v="CUST0238"/>
    <s v="Female"/>
    <s v="West"/>
    <s v="Mouse"/>
    <x v="1"/>
    <n v="49"/>
    <n v="30"/>
    <n v="2"/>
    <n v="60"/>
    <n v="14.07"/>
    <d v="2023-11-15T00:00:00"/>
    <x v="3"/>
  </r>
  <r>
    <s v="CUST0180"/>
    <s v="Male"/>
    <s v="North"/>
    <s v="Laptop"/>
    <x v="0"/>
    <n v="49"/>
    <n v="1500"/>
    <n v="2"/>
    <n v="3000"/>
    <n v="16.82"/>
    <d v="2023-10-05T00:00:00"/>
    <x v="3"/>
  </r>
  <r>
    <s v="CUST0011"/>
    <s v="Female"/>
    <s v="North"/>
    <s v="Smartphone"/>
    <x v="0"/>
    <n v="54"/>
    <n v="800"/>
    <n v="5"/>
    <n v="4000"/>
    <n v="19.489999999999998"/>
    <d v="2023-08-22T00:00:00"/>
    <x v="0"/>
  </r>
  <r>
    <s v="CUST0264"/>
    <s v="Male"/>
    <s v="West"/>
    <s v="Keyboard"/>
    <x v="1"/>
    <n v="59"/>
    <n v="50"/>
    <n v="2"/>
    <n v="100"/>
    <n v="15.51"/>
    <d v="2023-07-16T00:00:00"/>
    <x v="0"/>
  </r>
  <r>
    <s v="CUST0156"/>
    <s v="Male"/>
    <s v="East"/>
    <s v="Smartwatch"/>
    <x v="2"/>
    <n v="57"/>
    <n v="200"/>
    <n v="5"/>
    <n v="1000"/>
    <n v="9.77"/>
    <d v="2023-01-27T00:00:00"/>
    <x v="0"/>
  </r>
  <r>
    <s v="CUST0044"/>
    <s v="Male"/>
    <s v="West"/>
    <s v="Headphones"/>
    <x v="1"/>
    <n v="30"/>
    <n v="100"/>
    <n v="1"/>
    <n v="100"/>
    <n v="15.64"/>
    <d v="2023-09-06T00:00:00"/>
    <x v="2"/>
  </r>
  <r>
    <s v="CUST0202"/>
    <s v="Male"/>
    <s v="East"/>
    <s v="Smartphone"/>
    <x v="0"/>
    <n v="56"/>
    <n v="800"/>
    <n v="5"/>
    <n v="4000"/>
    <n v="12.22"/>
    <d v="2023-05-06T00:00:00"/>
    <x v="2"/>
  </r>
  <r>
    <s v="CUST0171"/>
    <s v="Male"/>
    <s v="East"/>
    <s v="Headphones"/>
    <x v="1"/>
    <n v="21"/>
    <n v="100"/>
    <n v="5"/>
    <n v="500"/>
    <n v="13.7"/>
    <d v="2023-01-14T00:00:00"/>
    <x v="1"/>
  </r>
  <r>
    <s v="CUST0109"/>
    <s v="Female"/>
    <s v="Unknown"/>
    <s v="Laptop"/>
    <x v="0"/>
    <n v="57"/>
    <n v="1500"/>
    <n v="4"/>
    <n v="6000"/>
    <n v="12.77"/>
    <d v="2023-04-28T00:00:00"/>
    <x v="2"/>
  </r>
  <r>
    <s v="CUST0213"/>
    <s v="Female"/>
    <s v="North"/>
    <s v="Monitor"/>
    <x v="0"/>
    <n v="45"/>
    <n v="300"/>
    <n v="4"/>
    <n v="1200"/>
    <n v="14.76"/>
    <d v="2023-01-02T00:00:00"/>
    <x v="2"/>
  </r>
  <r>
    <s v="CUST0261"/>
    <s v="Male"/>
    <s v="North"/>
    <s v="Mouse"/>
    <x v="1"/>
    <n v="49"/>
    <n v="30"/>
    <n v="3"/>
    <n v="90"/>
    <n v="11.71"/>
    <d v="2023-11-09T00:00:00"/>
    <x v="2"/>
  </r>
  <r>
    <s v="CUST0030"/>
    <s v="Female"/>
    <s v="East"/>
    <s v="Smartphone"/>
    <x v="0"/>
    <n v="44"/>
    <n v="800"/>
    <n v="5"/>
    <n v="4000"/>
    <n v="17.36"/>
    <d v="2023-07-03T00:00:00"/>
    <x v="0"/>
  </r>
  <r>
    <s v="CUST0145"/>
    <s v="Male"/>
    <s v="North"/>
    <s v="Headphones"/>
    <x v="1"/>
    <n v="51"/>
    <n v="100"/>
    <n v="4"/>
    <n v="400"/>
    <n v="10.89"/>
    <d v="2023-01-14T00:00:00"/>
    <x v="2"/>
  </r>
  <r>
    <s v="CUST0044"/>
    <s v="Male"/>
    <s v="Unknown"/>
    <s v="Smartphone"/>
    <x v="0"/>
    <n v="30"/>
    <n v="800"/>
    <n v="1"/>
    <n v="800"/>
    <n v="14.23"/>
    <d v="2023-02-23T00:00:00"/>
    <x v="1"/>
  </r>
  <r>
    <s v="CUST0199"/>
    <s v="Male"/>
    <s v="North"/>
    <s v="Monitor"/>
    <x v="0"/>
    <n v="41"/>
    <n v="300"/>
    <n v="1"/>
    <n v="300"/>
    <n v="9.5"/>
    <d v="2023-06-11T00:00:00"/>
    <x v="2"/>
  </r>
  <r>
    <s v="CUST0111"/>
    <s v="Female"/>
    <s v="West"/>
    <s v="Monitor"/>
    <x v="0"/>
    <n v="19"/>
    <n v="300"/>
    <n v="3"/>
    <n v="900"/>
    <n v="13.79"/>
    <d v="2023-05-16T00:00:00"/>
    <x v="1"/>
  </r>
  <r>
    <s v="CUST0124"/>
    <s v="Male"/>
    <s v="South"/>
    <s v="Smartphone"/>
    <x v="0"/>
    <n v="53"/>
    <n v="800"/>
    <n v="1"/>
    <n v="800"/>
    <n v="5.36"/>
    <d v="2023-03-16T00:00:00"/>
    <x v="0"/>
  </r>
  <r>
    <s v="CUST0299"/>
    <s v="Male"/>
    <s v="West"/>
    <s v="Smartphone"/>
    <x v="0"/>
    <n v="58"/>
    <n v="800"/>
    <n v="5"/>
    <n v="4000"/>
    <n v="19.93"/>
    <d v="2023-01-03T00:00:00"/>
    <x v="1"/>
  </r>
  <r>
    <s v="CUST0241"/>
    <s v="Female"/>
    <s v="Unknown"/>
    <s v="Keyboard"/>
    <x v="1"/>
    <n v="27"/>
    <n v="50"/>
    <n v="2"/>
    <n v="100"/>
    <n v="19.920000000000002"/>
    <d v="2023-06-02T00:00:00"/>
    <x v="2"/>
  </r>
  <r>
    <s v="CUST0010"/>
    <s v="Male"/>
    <s v="South"/>
    <s v="Smartwatch"/>
    <x v="2"/>
    <n v="37"/>
    <n v="200"/>
    <n v="2"/>
    <n v="400"/>
    <n v="14.16"/>
    <d v="2023-06-06T00:00:00"/>
    <x v="2"/>
  </r>
  <r>
    <s v="CUST0293"/>
    <s v="Female"/>
    <s v="East"/>
    <s v="Laptop"/>
    <x v="0"/>
    <n v="32"/>
    <n v="1500"/>
    <n v="5"/>
    <n v="7500"/>
    <n v="7.52"/>
    <d v="2023-10-28T00:00:00"/>
    <x v="0"/>
  </r>
  <r>
    <s v="CUST0225"/>
    <s v="Male"/>
    <s v="West"/>
    <s v="Monitor"/>
    <x v="0"/>
    <n v="65"/>
    <n v="300"/>
    <n v="4"/>
    <n v="1200"/>
    <n v="10.09"/>
    <d v="2023-01-31T00:00:00"/>
    <x v="0"/>
  </r>
  <r>
    <s v="CUST0197"/>
    <s v="Male"/>
    <s v="North"/>
    <s v="Laptop"/>
    <x v="0"/>
    <n v="54"/>
    <n v="1500"/>
    <n v="4"/>
    <n v="6000"/>
    <n v="6.73"/>
    <d v="2023-04-28T00:00:00"/>
    <x v="1"/>
  </r>
  <r>
    <s v="CUST0035"/>
    <s v="Female"/>
    <s v="West"/>
    <s v="Mouse"/>
    <x v="1"/>
    <n v="20"/>
    <n v="30"/>
    <n v="4"/>
    <n v="120"/>
    <n v="5.19"/>
    <d v="2023-07-22T00:00:00"/>
    <x v="0"/>
  </r>
  <r>
    <s v="CUST0280"/>
    <s v="Male"/>
    <s v="Unknown"/>
    <s v="Keyboard"/>
    <x v="1"/>
    <n v="44"/>
    <n v="50"/>
    <n v="1"/>
    <n v="50"/>
    <n v="12.3"/>
    <d v="2023-06-12T00:00:00"/>
    <x v="2"/>
  </r>
  <r>
    <s v="CUST0129"/>
    <s v="Male"/>
    <s v="South"/>
    <s v="Laptop"/>
    <x v="0"/>
    <n v="66"/>
    <n v="1500"/>
    <n v="4"/>
    <n v="6000"/>
    <n v="13.08"/>
    <d v="2023-03-20T00:00:00"/>
    <x v="1"/>
  </r>
  <r>
    <s v="CUST0144"/>
    <s v="Female"/>
    <s v="Unknown"/>
    <s v="Laptop"/>
    <x v="0"/>
    <n v="54"/>
    <n v="1500"/>
    <n v="4"/>
    <n v="6000"/>
    <n v="12"/>
    <d v="2023-04-14T00:00:00"/>
    <x v="0"/>
  </r>
  <r>
    <s v="CUST0174"/>
    <s v="Male"/>
    <s v="North"/>
    <s v="Mouse"/>
    <x v="1"/>
    <n v="68"/>
    <n v="30"/>
    <n v="2"/>
    <n v="60"/>
    <n v="9.2799999999999994"/>
    <d v="2023-05-04T00:00:00"/>
    <x v="2"/>
  </r>
  <r>
    <s v="CUST0219"/>
    <s v="Female"/>
    <s v="South"/>
    <s v="Keyboard"/>
    <x v="1"/>
    <n v="48"/>
    <n v="50"/>
    <n v="5"/>
    <n v="250"/>
    <n v="14.34"/>
    <d v="2023-09-28T00:00:00"/>
    <x v="2"/>
  </r>
  <r>
    <s v="CUST0198"/>
    <s v="Male"/>
    <s v="South"/>
    <s v="Monitor"/>
    <x v="0"/>
    <n v="56"/>
    <n v="300"/>
    <n v="2"/>
    <n v="600"/>
    <n v="17.13"/>
    <d v="2023-08-01T00:00:00"/>
    <x v="1"/>
  </r>
  <r>
    <s v="CUST0139"/>
    <s v="Male"/>
    <s v="North"/>
    <s v="Monitor"/>
    <x v="0"/>
    <n v="57"/>
    <n v="300"/>
    <n v="1"/>
    <n v="300"/>
    <n v="13.55"/>
    <d v="2023-09-26T00:00:00"/>
    <x v="2"/>
  </r>
  <r>
    <s v="CUST0149"/>
    <s v="Male"/>
    <s v="West"/>
    <s v="Mouse"/>
    <x v="1"/>
    <n v="40"/>
    <n v="30"/>
    <n v="5"/>
    <n v="150"/>
    <n v="9.01"/>
    <d v="2023-11-14T00:00:00"/>
    <x v="0"/>
  </r>
  <r>
    <s v="CUST0031"/>
    <s v="Male"/>
    <s v="North"/>
    <s v="Laptop"/>
    <x v="0"/>
    <n v="67"/>
    <n v="1500"/>
    <n v="4"/>
    <n v="6000"/>
    <n v="13.3"/>
    <d v="2023-11-01T00:00:00"/>
    <x v="2"/>
  </r>
  <r>
    <s v="CUST0036"/>
    <s v="Female"/>
    <s v="South"/>
    <s v="Headphones"/>
    <x v="1"/>
    <n v="33"/>
    <n v="100"/>
    <n v="5"/>
    <n v="500"/>
    <n v="8.27"/>
    <d v="2023-06-30T00:00:00"/>
    <x v="1"/>
  </r>
  <r>
    <s v="CUST0029"/>
    <s v="Female"/>
    <s v="West"/>
    <s v="Laptop"/>
    <x v="0"/>
    <n v="66"/>
    <n v="1500"/>
    <n v="2"/>
    <n v="3000"/>
    <n v="9.26"/>
    <d v="2023-10-10T00:00:00"/>
    <x v="1"/>
  </r>
  <r>
    <s v="CUST0071"/>
    <s v="Male"/>
    <s v="West"/>
    <s v="Monitor"/>
    <x v="0"/>
    <n v="46"/>
    <n v="300"/>
    <n v="3"/>
    <n v="900"/>
    <n v="18.829999999999998"/>
    <d v="2023-09-19T00:00:00"/>
    <x v="0"/>
  </r>
  <r>
    <s v="CUST0108"/>
    <s v="Female"/>
    <s v="East"/>
    <s v="Monitor"/>
    <x v="0"/>
    <n v="49"/>
    <n v="300"/>
    <n v="1"/>
    <n v="300"/>
    <n v="6.55"/>
    <d v="2024-01-03T00:00:00"/>
    <x v="2"/>
  </r>
  <r>
    <s v="CUST0251"/>
    <s v="Male"/>
    <s v="East"/>
    <s v="Laptop"/>
    <x v="0"/>
    <n v="42"/>
    <n v="1500"/>
    <n v="2"/>
    <n v="3000"/>
    <n v="12.17"/>
    <d v="2023-01-09T00:00:00"/>
    <x v="3"/>
  </r>
  <r>
    <s v="CUST0142"/>
    <s v="Male"/>
    <s v="North"/>
    <s v="Laptop"/>
    <x v="0"/>
    <n v="32"/>
    <n v="1500"/>
    <n v="1"/>
    <n v="1500"/>
    <n v="8.5299999999999994"/>
    <d v="2023-08-11T00:00:00"/>
    <x v="1"/>
  </r>
  <r>
    <s v="CUST0025"/>
    <s v="Male"/>
    <s v="West"/>
    <s v="Monitor"/>
    <x v="0"/>
    <n v="56"/>
    <n v="300"/>
    <n v="1"/>
    <n v="300"/>
    <n v="8.8699999999999992"/>
    <d v="2023-07-25T00:00:00"/>
    <x v="0"/>
  </r>
  <r>
    <s v="CUST0031"/>
    <s v="Female"/>
    <s v="South"/>
    <s v="Smartwatch"/>
    <x v="2"/>
    <n v="67"/>
    <n v="200"/>
    <n v="1"/>
    <n v="200"/>
    <n v="5.45"/>
    <d v="2023-09-30T00:00:00"/>
    <x v="0"/>
  </r>
  <r>
    <s v="CUST0159"/>
    <s v="Male"/>
    <s v="North"/>
    <s v="Headphones"/>
    <x v="1"/>
    <n v="49"/>
    <n v="100"/>
    <n v="2"/>
    <n v="200"/>
    <n v="10.39"/>
    <d v="2023-10-26T00:00:00"/>
    <x v="0"/>
  </r>
  <r>
    <s v="CUST0094"/>
    <s v="Male"/>
    <s v="South"/>
    <s v="Headphones"/>
    <x v="1"/>
    <n v="30"/>
    <n v="100"/>
    <n v="4"/>
    <n v="400"/>
    <n v="13.94"/>
    <d v="2023-12-22T00:00:00"/>
    <x v="2"/>
  </r>
  <r>
    <s v="CUST0072"/>
    <s v="Male"/>
    <s v="East"/>
    <s v="Headphones"/>
    <x v="1"/>
    <n v="21"/>
    <n v="100"/>
    <n v="4"/>
    <n v="400"/>
    <n v="12.96"/>
    <d v="2023-09-13T00:00:00"/>
    <x v="1"/>
  </r>
  <r>
    <s v="CUST0078"/>
    <s v="Female"/>
    <s v="South"/>
    <s v="Keyboard"/>
    <x v="1"/>
    <n v="38"/>
    <n v="50"/>
    <n v="4"/>
    <n v="200"/>
    <n v="11"/>
    <d v="2023-12-26T00:00:00"/>
    <x v="0"/>
  </r>
  <r>
    <s v="CUST0105"/>
    <s v="Male"/>
    <s v="West"/>
    <s v="Laptop"/>
    <x v="0"/>
    <n v="27"/>
    <n v="1500"/>
    <n v="2"/>
    <n v="3000"/>
    <n v="13.22"/>
    <d v="2023-09-06T00:00:00"/>
    <x v="1"/>
  </r>
  <r>
    <s v="CUST0152"/>
    <s v="Male"/>
    <s v="North"/>
    <s v="Monitor"/>
    <x v="0"/>
    <n v="69"/>
    <n v="300"/>
    <n v="5"/>
    <n v="1500"/>
    <n v="17.75"/>
    <d v="2023-11-14T00:00:00"/>
    <x v="1"/>
  </r>
  <r>
    <s v="CUST0160"/>
    <s v="Female"/>
    <s v="West"/>
    <s v="Smartphone"/>
    <x v="0"/>
    <n v="69"/>
    <n v="800"/>
    <n v="3"/>
    <n v="2400"/>
    <n v="15.53"/>
    <d v="2023-04-25T00:00:00"/>
    <x v="1"/>
  </r>
  <r>
    <s v="CUST0248"/>
    <s v="Female"/>
    <s v="South"/>
    <s v="Laptop"/>
    <x v="0"/>
    <n v="67"/>
    <n v="1500"/>
    <n v="1"/>
    <n v="1500"/>
    <n v="13.92"/>
    <d v="2023-07-26T00:00:00"/>
    <x v="2"/>
  </r>
  <r>
    <s v="CUST0133"/>
    <s v="Male"/>
    <s v="West"/>
    <s v="Smartwatch"/>
    <x v="2"/>
    <n v="47"/>
    <n v="200"/>
    <n v="3"/>
    <n v="600"/>
    <n v="13.73"/>
    <d v="2023-06-15T00:00:00"/>
    <x v="2"/>
  </r>
  <r>
    <s v="CUST0260"/>
    <s v="Male"/>
    <s v="West"/>
    <s v="Monitor"/>
    <x v="0"/>
    <n v="32"/>
    <n v="300"/>
    <n v="3"/>
    <n v="900"/>
    <n v="8.48"/>
    <d v="2023-05-22T00:00:00"/>
    <x v="2"/>
  </r>
  <r>
    <s v="CUST0051"/>
    <s v="Female"/>
    <s v="West"/>
    <s v="Laptop"/>
    <x v="0"/>
    <n v="41"/>
    <n v="1500"/>
    <n v="3"/>
    <n v="4500"/>
    <n v="13.82"/>
    <d v="2023-12-07T00:00:00"/>
    <x v="2"/>
  </r>
  <r>
    <s v="CUST0177"/>
    <s v="Female"/>
    <s v="East"/>
    <s v="Mouse"/>
    <x v="1"/>
    <n v="29"/>
    <n v="30"/>
    <n v="1"/>
    <n v="30"/>
    <n v="11.33"/>
    <d v="2023-02-28T00:00:00"/>
    <x v="1"/>
  </r>
  <r>
    <s v="CUST0004"/>
    <s v="Male"/>
    <s v="North"/>
    <s v="Monitor"/>
    <x v="0"/>
    <n v="65"/>
    <n v="300"/>
    <n v="4"/>
    <n v="1200"/>
    <n v="11.14"/>
    <d v="2024-01-03T00:00:00"/>
    <x v="3"/>
  </r>
  <r>
    <s v="CUST0195"/>
    <s v="Female"/>
    <s v="East"/>
    <s v="Smartwatch"/>
    <x v="2"/>
    <n v="48"/>
    <n v="200"/>
    <n v="5"/>
    <n v="1000"/>
    <n v="10.9"/>
    <d v="2023-05-04T00:00:00"/>
    <x v="1"/>
  </r>
  <r>
    <s v="CUST0122"/>
    <s v="Male"/>
    <s v="East"/>
    <s v="Laptop"/>
    <x v="0"/>
    <n v="68"/>
    <n v="1500"/>
    <n v="1"/>
    <n v="1500"/>
    <n v="19.37"/>
    <d v="2023-08-27T00:00:00"/>
    <x v="3"/>
  </r>
  <r>
    <s v="CUST0058"/>
    <s v="Female"/>
    <s v="North"/>
    <s v="Mouse"/>
    <x v="1"/>
    <n v="42"/>
    <n v="30"/>
    <n v="5"/>
    <n v="150"/>
    <n v="8.2799999999999994"/>
    <d v="2023-11-14T00:00:00"/>
    <x v="0"/>
  </r>
  <r>
    <s v="CUST0039"/>
    <s v="Male"/>
    <s v="Unknown"/>
    <s v="Laptop"/>
    <x v="0"/>
    <n v="60"/>
    <n v="1500"/>
    <n v="1"/>
    <n v="1500"/>
    <n v="10.84"/>
    <d v="2023-09-06T00:00:00"/>
    <x v="1"/>
  </r>
  <r>
    <s v="CUST0066"/>
    <s v="Female"/>
    <s v="North"/>
    <s v="Smartphone"/>
    <x v="0"/>
    <n v="37"/>
    <n v="800"/>
    <n v="1"/>
    <n v="800"/>
    <n v="12.78"/>
    <d v="2023-01-03T00:00:00"/>
    <x v="0"/>
  </r>
  <r>
    <s v="CUST0204"/>
    <s v="Female"/>
    <s v="South"/>
    <s v="Laptop"/>
    <x v="0"/>
    <n v="54"/>
    <n v="1500"/>
    <n v="4"/>
    <n v="6000"/>
    <n v="12.84"/>
    <d v="2023-02-20T00:00:00"/>
    <x v="2"/>
  </r>
  <r>
    <s v="CUST0208"/>
    <s v="Female"/>
    <s v="South"/>
    <s v="Monitor"/>
    <x v="0"/>
    <n v="57"/>
    <n v="300"/>
    <n v="1"/>
    <n v="300"/>
    <n v="6.55"/>
    <d v="2023-04-13T00:00:00"/>
    <x v="2"/>
  </r>
  <r>
    <s v="CUST0196"/>
    <s v="Female"/>
    <s v="East"/>
    <s v="Keyboard"/>
    <x v="1"/>
    <n v="37"/>
    <n v="50"/>
    <n v="4"/>
    <n v="200"/>
    <n v="12.81"/>
    <d v="2023-01-05T00:00:00"/>
    <x v="2"/>
  </r>
  <r>
    <s v="CUST0250"/>
    <s v="Female"/>
    <s v="North"/>
    <s v="Laptop"/>
    <x v="0"/>
    <n v="64"/>
    <n v="1500"/>
    <n v="1"/>
    <n v="1500"/>
    <n v="18.190000000000001"/>
    <d v="2023-05-22T00:00:00"/>
    <x v="1"/>
  </r>
  <r>
    <s v="CUST0227"/>
    <s v="Male"/>
    <s v="South"/>
    <s v="Smartwatch"/>
    <x v="2"/>
    <n v="54"/>
    <n v="200"/>
    <n v="3"/>
    <n v="600"/>
    <n v="16.36"/>
    <d v="2023-08-10T00:00:00"/>
    <x v="1"/>
  </r>
  <r>
    <s v="CUST0107"/>
    <s v="Male"/>
    <s v="West"/>
    <s v="Laptop"/>
    <x v="0"/>
    <n v="67"/>
    <n v="1500"/>
    <n v="4"/>
    <n v="6000"/>
    <n v="14.85"/>
    <d v="2023-06-11T00:00:00"/>
    <x v="2"/>
  </r>
  <r>
    <s v="CUST0177"/>
    <s v="Female"/>
    <s v="East"/>
    <s v="Smartwatch"/>
    <x v="2"/>
    <n v="29"/>
    <n v="200"/>
    <n v="4"/>
    <n v="800"/>
    <n v="17.93"/>
    <d v="2023-02-25T00:00:00"/>
    <x v="2"/>
  </r>
  <r>
    <s v="CUST0174"/>
    <s v="Female"/>
    <s v="South"/>
    <s v="Headphones"/>
    <x v="1"/>
    <n v="68"/>
    <n v="100"/>
    <n v="2"/>
    <n v="200"/>
    <n v="11.73"/>
    <d v="2023-06-05T00:00:00"/>
    <x v="3"/>
  </r>
  <r>
    <s v="CUST0066"/>
    <s v="Male"/>
    <s v="West"/>
    <s v="Mouse"/>
    <x v="1"/>
    <n v="37"/>
    <n v="30"/>
    <n v="3"/>
    <n v="90"/>
    <n v="13.86"/>
    <d v="2023-10-17T00:00:00"/>
    <x v="2"/>
  </r>
  <r>
    <s v="CUST0117"/>
    <s v="Male"/>
    <s v="North"/>
    <s v="Mouse"/>
    <x v="1"/>
    <n v="22"/>
    <n v="30"/>
    <n v="5"/>
    <n v="150"/>
    <n v="18.22"/>
    <d v="2023-01-25T00:00:00"/>
    <x v="0"/>
  </r>
  <r>
    <s v="CUST0008"/>
    <s v="Male"/>
    <s v="Unknown"/>
    <s v="Monitor"/>
    <x v="0"/>
    <n v="18"/>
    <n v="300"/>
    <n v="2"/>
    <n v="600"/>
    <n v="8.33"/>
    <d v="2023-01-10T00:00:00"/>
    <x v="1"/>
  </r>
  <r>
    <s v="CUST0010"/>
    <s v="Female"/>
    <s v="West"/>
    <s v="Laptop"/>
    <x v="0"/>
    <n v="49"/>
    <n v="1500"/>
    <n v="3"/>
    <n v="4500"/>
    <n v="6.86"/>
    <d v="2023-12-27T00:00:00"/>
    <x v="1"/>
  </r>
  <r>
    <s v="CUST0107"/>
    <s v="Male"/>
    <s v="South"/>
    <s v="Keyboard"/>
    <x v="1"/>
    <n v="49"/>
    <n v="50"/>
    <n v="5"/>
    <n v="250"/>
    <n v="9.8699999999999992"/>
    <d v="2023-11-03T00:00:00"/>
    <x v="0"/>
  </r>
  <r>
    <s v="CUST0271"/>
    <s v="Male"/>
    <s v="West"/>
    <s v="Smartwatch"/>
    <x v="2"/>
    <n v="49"/>
    <n v="200"/>
    <n v="2"/>
    <n v="400"/>
    <n v="8.0500000000000007"/>
    <d v="2023-04-10T00:00:00"/>
    <x v="1"/>
  </r>
  <r>
    <s v="CUST0149"/>
    <s v="Male"/>
    <s v="North"/>
    <s v="Smartwatch"/>
    <x v="2"/>
    <n v="40"/>
    <n v="200"/>
    <n v="4"/>
    <n v="800"/>
    <n v="11.68"/>
    <d v="2023-12-27T00:00:00"/>
    <x v="2"/>
  </r>
  <r>
    <s v="CUST0173"/>
    <s v="Male"/>
    <s v="South"/>
    <s v="Laptop"/>
    <x v="0"/>
    <n v="65"/>
    <n v="1500"/>
    <n v="3"/>
    <n v="4500"/>
    <n v="13.18"/>
    <d v="2023-12-22T00:00:00"/>
    <x v="1"/>
  </r>
  <r>
    <s v="CUST0042"/>
    <s v="Female"/>
    <s v="East"/>
    <s v="Smartphone"/>
    <x v="0"/>
    <n v="57"/>
    <n v="800"/>
    <n v="2"/>
    <n v="1600"/>
    <n v="9.01"/>
    <d v="2023-11-08T00:00:00"/>
    <x v="1"/>
  </r>
  <r>
    <s v="CUST0106"/>
    <s v="Female"/>
    <s v="South"/>
    <s v="Headphones"/>
    <x v="1"/>
    <n v="50"/>
    <n v="100"/>
    <n v="3"/>
    <n v="300"/>
    <n v="17.63"/>
    <d v="2023-12-07T00:00:00"/>
    <x v="2"/>
  </r>
  <r>
    <s v="CUST0235"/>
    <s v="Male"/>
    <s v="West"/>
    <s v="Monitor"/>
    <x v="0"/>
    <n v="19"/>
    <n v="300"/>
    <n v="1"/>
    <n v="300"/>
    <n v="7.48"/>
    <d v="2023-03-06T00:00:00"/>
    <x v="1"/>
  </r>
  <r>
    <s v="CUST0220"/>
    <s v="Male"/>
    <s v="South"/>
    <s v="Mouse"/>
    <x v="1"/>
    <n v="49"/>
    <n v="30"/>
    <n v="1"/>
    <n v="30"/>
    <n v="6.7"/>
    <d v="2023-05-07T00:00:00"/>
    <x v="1"/>
  </r>
  <r>
    <s v="CUST0264"/>
    <s v="Female"/>
    <s v="South"/>
    <s v="Mouse"/>
    <x v="1"/>
    <n v="49"/>
    <n v="30"/>
    <n v="5"/>
    <n v="150"/>
    <n v="14.88"/>
    <d v="2023-12-07T00:00:00"/>
    <x v="2"/>
  </r>
  <r>
    <s v="CUST0020"/>
    <s v="Female"/>
    <s v="South"/>
    <s v="Smartphone"/>
    <x v="0"/>
    <n v="55"/>
    <n v="800"/>
    <n v="4"/>
    <n v="3200"/>
    <n v="8.31"/>
    <d v="2023-09-13T00:00:00"/>
    <x v="0"/>
  </r>
  <r>
    <s v="CUST0139"/>
    <s v="Female"/>
    <s v="Unknown"/>
    <s v="Smartphone"/>
    <x v="0"/>
    <n v="57"/>
    <n v="800"/>
    <n v="3"/>
    <n v="2400"/>
    <n v="19.61"/>
    <d v="2023-12-31T00:00:00"/>
    <x v="0"/>
  </r>
  <r>
    <s v="CUST0022"/>
    <s v="Female"/>
    <s v="South"/>
    <s v="Keyboard"/>
    <x v="1"/>
    <n v="33"/>
    <n v="50"/>
    <n v="2"/>
    <n v="100"/>
    <n v="16.28"/>
    <d v="2023-04-20T00:00:00"/>
    <x v="0"/>
  </r>
  <r>
    <s v="CUST0101"/>
    <s v="Female"/>
    <s v="North"/>
    <s v="Monitor"/>
    <x v="0"/>
    <n v="53"/>
    <n v="300"/>
    <n v="4"/>
    <n v="1200"/>
    <n v="10.58"/>
    <d v="2023-03-31T00:00:00"/>
    <x v="3"/>
  </r>
  <r>
    <s v="CUST0271"/>
    <s v="Male"/>
    <s v="East"/>
    <s v="Monitor"/>
    <x v="0"/>
    <n v="46"/>
    <n v="300"/>
    <n v="4"/>
    <n v="1200"/>
    <n v="19.38"/>
    <d v="2023-11-20T00:00:00"/>
    <x v="1"/>
  </r>
  <r>
    <s v="CUST0197"/>
    <s v="Female"/>
    <s v="West"/>
    <s v="Mouse"/>
    <x v="1"/>
    <n v="54"/>
    <n v="30"/>
    <n v="3"/>
    <n v="90"/>
    <n v="14.77"/>
    <d v="2023-12-09T00:00:00"/>
    <x v="1"/>
  </r>
  <r>
    <s v="CUST0135"/>
    <s v="Male"/>
    <s v="West"/>
    <s v="Smartwatch"/>
    <x v="2"/>
    <n v="41"/>
    <n v="200"/>
    <n v="1"/>
    <n v="200"/>
    <n v="13.72"/>
    <d v="2023-06-06T00:00:00"/>
    <x v="1"/>
  </r>
  <r>
    <s v="CUST0174"/>
    <s v="Male"/>
    <s v="West"/>
    <s v="Mouse"/>
    <x v="1"/>
    <n v="68"/>
    <n v="30"/>
    <n v="5"/>
    <n v="150"/>
    <n v="16.66"/>
    <d v="2023-12-12T00:00:00"/>
    <x v="1"/>
  </r>
  <r>
    <s v="CUST0139"/>
    <s v="Male"/>
    <s v="West"/>
    <s v="Laptop"/>
    <x v="0"/>
    <n v="57"/>
    <n v="1500"/>
    <n v="5"/>
    <n v="7500"/>
    <n v="8.19"/>
    <d v="2023-07-30T00:00:00"/>
    <x v="1"/>
  </r>
  <r>
    <s v="CUST0058"/>
    <s v="Male"/>
    <s v="West"/>
    <s v="Headphones"/>
    <x v="1"/>
    <n v="42"/>
    <n v="100"/>
    <n v="5"/>
    <n v="500"/>
    <n v="5.43"/>
    <d v="2023-10-24T00:00:00"/>
    <x v="2"/>
  </r>
  <r>
    <s v="CUST0152"/>
    <s v="Male"/>
    <s v="East"/>
    <s v="Smartwatch"/>
    <x v="2"/>
    <n v="69"/>
    <n v="200"/>
    <n v="5"/>
    <n v="1000"/>
    <n v="7.71"/>
    <d v="2023-10-25T00:00:00"/>
    <x v="1"/>
  </r>
  <r>
    <s v="CUST0231"/>
    <s v="Male"/>
    <s v="South"/>
    <s v="Keyboard"/>
    <x v="1"/>
    <n v="49"/>
    <n v="50"/>
    <n v="2"/>
    <n v="100"/>
    <n v="13.53"/>
    <d v="2023-07-13T00:00:00"/>
    <x v="1"/>
  </r>
  <r>
    <s v="CUST0288"/>
    <s v="Male"/>
    <s v="North"/>
    <s v="Keyboard"/>
    <x v="1"/>
    <n v="49"/>
    <n v="50"/>
    <n v="3"/>
    <n v="150"/>
    <n v="6.88"/>
    <d v="2023-05-28T00:00:00"/>
    <x v="0"/>
  </r>
  <r>
    <s v="CUST0296"/>
    <s v="Male"/>
    <s v="South"/>
    <s v="Monitor"/>
    <x v="0"/>
    <n v="50"/>
    <n v="300"/>
    <n v="5"/>
    <n v="1500"/>
    <n v="8.08"/>
    <d v="2024-01-03T00:00:00"/>
    <x v="0"/>
  </r>
  <r>
    <s v="CUST0155"/>
    <s v="Female"/>
    <s v="East"/>
    <s v="Monitor"/>
    <x v="0"/>
    <n v="41"/>
    <n v="300"/>
    <n v="1"/>
    <n v="300"/>
    <n v="16.71"/>
    <d v="2023-10-11T00:00:00"/>
    <x v="2"/>
  </r>
  <r>
    <s v="CUST0128"/>
    <s v="Female"/>
    <s v="South"/>
    <s v="Monitor"/>
    <x v="0"/>
    <n v="49"/>
    <n v="300"/>
    <n v="3"/>
    <n v="900"/>
    <n v="14.38"/>
    <d v="2023-02-28T00:00:00"/>
    <x v="0"/>
  </r>
  <r>
    <s v="CUST0178"/>
    <s v="Male"/>
    <s v="North"/>
    <s v="Smartwatch"/>
    <x v="2"/>
    <n v="44"/>
    <n v="200"/>
    <n v="3"/>
    <n v="600"/>
    <n v="11.82"/>
    <d v="2023-04-18T00:00:00"/>
    <x v="2"/>
  </r>
  <r>
    <s v="CUST0298"/>
    <s v="Male"/>
    <s v="South"/>
    <s v="Smartphone"/>
    <x v="0"/>
    <n v="58"/>
    <n v="800"/>
    <n v="2"/>
    <n v="1600"/>
    <n v="12.94"/>
    <d v="2023-11-11T00:00:00"/>
    <x v="0"/>
  </r>
  <r>
    <s v="CUST0064"/>
    <s v="Male"/>
    <s v="West"/>
    <s v="Laptop"/>
    <x v="0"/>
    <n v="61"/>
    <n v="3109.5606124866499"/>
    <n v="1"/>
    <n v="1500"/>
    <n v="18.37"/>
    <d v="2023-09-01T00:00:00"/>
    <x v="1"/>
  </r>
  <r>
    <s v="CUST0091"/>
    <s v="Female"/>
    <s v="West"/>
    <s v="Mouse"/>
    <x v="1"/>
    <n v="30"/>
    <n v="30"/>
    <n v="3"/>
    <n v="90"/>
    <n v="11.78"/>
    <d v="2023-08-14T00:00:00"/>
    <x v="0"/>
  </r>
  <r>
    <s v="CUST0113"/>
    <s v="Female"/>
    <s v="East"/>
    <s v="Laptop"/>
    <x v="0"/>
    <n v="38"/>
    <n v="1500"/>
    <n v="3"/>
    <n v="4500"/>
    <n v="7.52"/>
    <d v="2023-02-03T00:00:00"/>
    <x v="2"/>
  </r>
  <r>
    <s v="CUST0087"/>
    <s v="Female"/>
    <s v="Unknown"/>
    <s v="Mouse"/>
    <x v="1"/>
    <n v="49"/>
    <n v="30"/>
    <n v="2"/>
    <n v="60"/>
    <n v="17.46"/>
    <d v="2023-02-05T00:00:00"/>
    <x v="2"/>
  </r>
  <r>
    <s v="CUST0087"/>
    <s v="Male"/>
    <s v="South"/>
    <s v="Monitor"/>
    <x v="0"/>
    <n v="49"/>
    <n v="300"/>
    <n v="3"/>
    <n v="900"/>
    <n v="17.940000000000001"/>
    <d v="2023-01-20T00:00:00"/>
    <x v="3"/>
  </r>
  <r>
    <s v="CUST0255"/>
    <s v="Male"/>
    <s v="West"/>
    <s v="Smartphone"/>
    <x v="0"/>
    <n v="49"/>
    <n v="800"/>
    <n v="3"/>
    <n v="2400"/>
    <n v="10.5"/>
    <d v="2023-02-18T00:00:00"/>
    <x v="2"/>
  </r>
  <r>
    <s v="CUST0044"/>
    <s v="Female"/>
    <s v="South"/>
    <s v="Monitor"/>
    <x v="0"/>
    <n v="30"/>
    <n v="300"/>
    <n v="1"/>
    <n v="300"/>
    <n v="14.91"/>
    <d v="2023-07-29T00:00:00"/>
    <x v="1"/>
  </r>
  <r>
    <s v="CUST0133"/>
    <s v="Female"/>
    <s v="East"/>
    <s v="Laptop"/>
    <x v="0"/>
    <n v="47"/>
    <n v="1500"/>
    <n v="3"/>
    <n v="4500"/>
    <n v="15.5"/>
    <d v="2023-07-25T00:00:00"/>
    <x v="2"/>
  </r>
  <r>
    <s v="CUST0122"/>
    <s v="Male"/>
    <s v="East"/>
    <s v="Monitor"/>
    <x v="0"/>
    <n v="68"/>
    <n v="300"/>
    <n v="3"/>
    <n v="900"/>
    <n v="16.440000000000001"/>
    <d v="2023-12-16T00:00:00"/>
    <x v="2"/>
  </r>
  <r>
    <s v="CUST0220"/>
    <s v="Male"/>
    <s v="West"/>
    <s v="Laptop"/>
    <x v="0"/>
    <n v="67"/>
    <n v="1500"/>
    <n v="2"/>
    <n v="3000"/>
    <n v="13.04"/>
    <d v="2023-03-30T00:00:00"/>
    <x v="0"/>
  </r>
  <r>
    <s v="CUST0182"/>
    <s v="Male"/>
    <s v="East"/>
    <s v="Headphones"/>
    <x v="1"/>
    <n v="19"/>
    <n v="100"/>
    <n v="2"/>
    <n v="200"/>
    <n v="14.11"/>
    <d v="2023-01-22T00:00:00"/>
    <x v="0"/>
  </r>
  <r>
    <s v="CUST0081"/>
    <s v="Male"/>
    <s v="North"/>
    <s v="Monitor"/>
    <x v="0"/>
    <n v="38"/>
    <n v="300"/>
    <n v="2"/>
    <n v="600"/>
    <n v="5.79"/>
    <d v="2023-01-19T00:00:00"/>
    <x v="0"/>
  </r>
  <r>
    <s v="CUST0224"/>
    <s v="Male"/>
    <s v="South"/>
    <s v="Smartwatch"/>
    <x v="2"/>
    <n v="57"/>
    <n v="200"/>
    <n v="4"/>
    <n v="800"/>
    <n v="13.93"/>
    <d v="2023-12-13T00:00:00"/>
    <x v="2"/>
  </r>
  <r>
    <s v="CUST0070"/>
    <s v="Male"/>
    <s v="South"/>
    <s v="Smartphone"/>
    <x v="0"/>
    <n v="23"/>
    <n v="800"/>
    <n v="1"/>
    <n v="800"/>
    <n v="6.7"/>
    <d v="2023-07-06T00:00:00"/>
    <x v="3"/>
  </r>
  <r>
    <s v="CUST0263"/>
    <s v="Female"/>
    <s v="West"/>
    <s v="Monitor"/>
    <x v="0"/>
    <n v="40"/>
    <n v="300"/>
    <n v="1"/>
    <n v="300"/>
    <n v="11.65"/>
    <d v="2023-07-22T00:00:00"/>
    <x v="2"/>
  </r>
  <r>
    <s v="CUST0052"/>
    <s v="Female"/>
    <s v="North"/>
    <s v="Keyboard"/>
    <x v="1"/>
    <n v="66"/>
    <n v="50"/>
    <n v="4"/>
    <n v="200"/>
    <n v="14.49"/>
    <d v="2023-06-06T00:00:00"/>
    <x v="2"/>
  </r>
  <r>
    <s v="CUST0253"/>
    <s v="Male"/>
    <s v="North"/>
    <s v="Monitor"/>
    <x v="0"/>
    <n v="51"/>
    <n v="300"/>
    <n v="5"/>
    <n v="1500"/>
    <n v="14.23"/>
    <d v="2023-08-03T00:00:00"/>
    <x v="1"/>
  </r>
  <r>
    <s v="CUST0095"/>
    <s v="Male"/>
    <s v="North"/>
    <s v="Monitor"/>
    <x v="0"/>
    <n v="60"/>
    <n v="300"/>
    <n v="2"/>
    <n v="600"/>
    <n v="15.88"/>
    <d v="2023-01-12T00:00:00"/>
    <x v="1"/>
  </r>
  <r>
    <s v="CUST0031"/>
    <s v="Male"/>
    <s v="East"/>
    <s v="Keyboard"/>
    <x v="1"/>
    <n v="67"/>
    <n v="50"/>
    <n v="1"/>
    <n v="50"/>
    <n v="19.41"/>
    <d v="2023-07-29T00:00:00"/>
    <x v="1"/>
  </r>
  <r>
    <s v="CUST0128"/>
    <s v="Male"/>
    <s v="Unknown"/>
    <s v="Smartphone"/>
    <x v="0"/>
    <n v="52"/>
    <n v="800"/>
    <n v="4"/>
    <n v="3200"/>
    <n v="15.79"/>
    <d v="2023-08-20T00:00:00"/>
    <x v="1"/>
  </r>
  <r>
    <s v="CUST0077"/>
    <s v="Male"/>
    <s v="West"/>
    <s v="Mouse"/>
    <x v="1"/>
    <n v="50"/>
    <n v="30"/>
    <n v="4"/>
    <n v="120"/>
    <n v="17.84"/>
    <d v="2023-03-09T00:00:00"/>
    <x v="0"/>
  </r>
  <r>
    <s v="CUST0073"/>
    <s v="Male"/>
    <s v="South"/>
    <s v="Smartwatch"/>
    <x v="2"/>
    <n v="19"/>
    <n v="200"/>
    <n v="3"/>
    <n v="600"/>
    <n v="10.07"/>
    <d v="2023-11-18T00:00:00"/>
    <x v="1"/>
  </r>
  <r>
    <s v="CUST0173"/>
    <s v="Male"/>
    <s v="West"/>
    <s v="Mouse"/>
    <x v="1"/>
    <n v="65"/>
    <n v="30"/>
    <n v="5"/>
    <n v="150"/>
    <n v="15.11"/>
    <d v="2023-08-31T00:00:00"/>
    <x v="2"/>
  </r>
  <r>
    <s v="CUST0218"/>
    <s v="Female"/>
    <s v="East"/>
    <s v="Monitor"/>
    <x v="0"/>
    <n v="36"/>
    <n v="300"/>
    <n v="4"/>
    <n v="1200"/>
    <n v="11.23"/>
    <d v="2023-08-17T00:00:00"/>
    <x v="1"/>
  </r>
  <r>
    <s v="CUST0274"/>
    <s v="Male"/>
    <s v="South"/>
    <s v="Keyboard"/>
    <x v="1"/>
    <n v="51"/>
    <n v="50"/>
    <n v="5"/>
    <n v="250"/>
    <n v="15.38"/>
    <d v="2023-08-07T00:00:00"/>
    <x v="0"/>
  </r>
  <r>
    <s v="CUST0034"/>
    <s v="Female"/>
    <s v="East"/>
    <s v="Keyboard"/>
    <x v="1"/>
    <n v="65"/>
    <n v="50"/>
    <n v="3"/>
    <n v="150"/>
    <n v="10.84"/>
    <d v="2023-11-17T00:00:00"/>
    <x v="3"/>
  </r>
  <r>
    <s v="CUST0285"/>
    <s v="Female"/>
    <s v="South"/>
    <s v="Monitor"/>
    <x v="0"/>
    <n v="58"/>
    <n v="300"/>
    <n v="4"/>
    <n v="1200"/>
    <n v="13.4"/>
    <d v="2023-03-31T00:00:00"/>
    <x v="2"/>
  </r>
  <r>
    <s v="CUST0117"/>
    <s v="Female"/>
    <s v="South"/>
    <s v="Headphones"/>
    <x v="1"/>
    <n v="22"/>
    <n v="100"/>
    <n v="3"/>
    <n v="300"/>
    <n v="7.7"/>
    <d v="2023-07-20T00:00:00"/>
    <x v="2"/>
  </r>
  <r>
    <s v="CUST0208"/>
    <s v="Male"/>
    <s v="North"/>
    <s v="Mouse"/>
    <x v="1"/>
    <n v="57"/>
    <n v="30"/>
    <n v="4"/>
    <n v="120"/>
    <n v="15.44"/>
    <d v="2023-06-12T00:00:00"/>
    <x v="2"/>
  </r>
  <r>
    <s v="CUST0107"/>
    <s v="Female"/>
    <s v="South"/>
    <s v="Headphones"/>
    <x v="1"/>
    <n v="67"/>
    <n v="100"/>
    <n v="5"/>
    <n v="500"/>
    <n v="8.74"/>
    <d v="2023-06-08T00:00:00"/>
    <x v="0"/>
  </r>
  <r>
    <s v="CUST0145"/>
    <s v="Male"/>
    <s v="North"/>
    <s v="Headphones"/>
    <x v="1"/>
    <n v="49"/>
    <n v="100"/>
    <n v="4"/>
    <n v="400"/>
    <n v="14.68"/>
    <d v="2023-12-08T00:00:00"/>
    <x v="1"/>
  </r>
  <r>
    <s v="CUST0232"/>
    <s v="Female"/>
    <s v="Unknown"/>
    <s v="Laptop"/>
    <x v="0"/>
    <n v="44"/>
    <n v="1500"/>
    <n v="5"/>
    <n v="7500"/>
    <n v="18.3"/>
    <d v="2023-11-07T00:00:00"/>
    <x v="0"/>
  </r>
  <r>
    <s v="CUST0039"/>
    <s v="Male"/>
    <s v="East"/>
    <s v="Smartwatch"/>
    <x v="2"/>
    <n v="60"/>
    <n v="200"/>
    <n v="1"/>
    <n v="200"/>
    <n v="10.14"/>
    <d v="2023-12-02T00:00:00"/>
    <x v="3"/>
  </r>
  <r>
    <s v="CUST0195"/>
    <s v="Female"/>
    <s v="West"/>
    <s v="Keyboard"/>
    <x v="1"/>
    <n v="48"/>
    <n v="50"/>
    <n v="3"/>
    <n v="150"/>
    <n v="6.42"/>
    <d v="2023-10-31T00:00:00"/>
    <x v="1"/>
  </r>
  <r>
    <s v="CUST0185"/>
    <s v="Female"/>
    <s v="South"/>
    <s v="Monitor"/>
    <x v="0"/>
    <n v="29"/>
    <n v="300"/>
    <n v="5"/>
    <n v="1500"/>
    <n v="18.18"/>
    <d v="2023-09-06T00:00:00"/>
    <x v="1"/>
  </r>
  <r>
    <s v="CUST0281"/>
    <s v="Female"/>
    <s v="South"/>
    <s v="Keyboard"/>
    <x v="1"/>
    <n v="49"/>
    <n v="50"/>
    <n v="3"/>
    <n v="150"/>
    <n v="5.62"/>
    <d v="2023-03-05T00:00:00"/>
    <x v="1"/>
  </r>
  <r>
    <s v="CUST0061"/>
    <s v="Female"/>
    <s v="South"/>
    <s v="Smartphone"/>
    <x v="0"/>
    <n v="35"/>
    <n v="800"/>
    <n v="1"/>
    <n v="800"/>
    <n v="17.3"/>
    <d v="2023-05-07T00:00:00"/>
    <x v="1"/>
  </r>
  <r>
    <s v="CUST0232"/>
    <s v="Male"/>
    <s v="East"/>
    <s v="Mouse"/>
    <x v="1"/>
    <n v="44"/>
    <n v="30"/>
    <n v="3"/>
    <n v="90"/>
    <n v="14.91"/>
    <d v="2023-10-20T00:00:00"/>
    <x v="1"/>
  </r>
  <r>
    <s v="CUST0013"/>
    <s v="Female"/>
    <s v="South"/>
    <s v="Smartwatch"/>
    <x v="2"/>
    <n v="55"/>
    <n v="200"/>
    <n v="4"/>
    <n v="800"/>
    <n v="7.31"/>
    <d v="2023-03-16T00:00:00"/>
    <x v="0"/>
  </r>
  <r>
    <s v="CUST0058"/>
    <s v="Female"/>
    <s v="West"/>
    <s v="Keyboard"/>
    <x v="1"/>
    <n v="42"/>
    <n v="50"/>
    <n v="1"/>
    <n v="50"/>
    <n v="8.0500000000000007"/>
    <d v="2023-07-13T00:00:00"/>
    <x v="2"/>
  </r>
  <r>
    <s v="CUST0159"/>
    <s v="Female"/>
    <s v="North"/>
    <s v="Laptop"/>
    <x v="0"/>
    <n v="18"/>
    <n v="1500"/>
    <n v="1"/>
    <n v="1500"/>
    <n v="5.29"/>
    <d v="2023-01-21T00:00:00"/>
    <x v="0"/>
  </r>
  <r>
    <s v="CUST0236"/>
    <s v="Male"/>
    <s v="West"/>
    <s v="Laptop"/>
    <x v="0"/>
    <n v="18"/>
    <n v="1500"/>
    <n v="3"/>
    <n v="4500"/>
    <n v="19.41"/>
    <d v="2023-08-19T00:00:00"/>
    <x v="2"/>
  </r>
  <r>
    <s v="CUST0281"/>
    <s v="Female"/>
    <s v="North"/>
    <s v="Monitor"/>
    <x v="0"/>
    <n v="44"/>
    <n v="300"/>
    <n v="2"/>
    <n v="600"/>
    <n v="19.97"/>
    <d v="2023-09-30T00:00:00"/>
    <x v="1"/>
  </r>
  <r>
    <s v="CUST0213"/>
    <s v="Female"/>
    <s v="South"/>
    <s v="Smartwatch"/>
    <x v="2"/>
    <n v="49"/>
    <n v="200"/>
    <n v="5"/>
    <n v="1000"/>
    <n v="9.18"/>
    <d v="2023-10-31T00:00:00"/>
    <x v="1"/>
  </r>
  <r>
    <s v="CUST0286"/>
    <s v="Male"/>
    <s v="West"/>
    <s v="Keyboard"/>
    <x v="1"/>
    <n v="63"/>
    <n v="50"/>
    <n v="2"/>
    <n v="100"/>
    <n v="6.28"/>
    <d v="2023-03-21T00:00:00"/>
    <x v="0"/>
  </r>
  <r>
    <s v="CUST0136"/>
    <s v="Female"/>
    <s v="East"/>
    <s v="Keyboard"/>
    <x v="1"/>
    <n v="36"/>
    <n v="50"/>
    <n v="4"/>
    <n v="200"/>
    <n v="9.3000000000000007"/>
    <d v="2023-07-09T00:00:00"/>
    <x v="0"/>
  </r>
  <r>
    <s v="CUST0228"/>
    <s v="Male"/>
    <s v="West"/>
    <s v="Keyboard"/>
    <x v="1"/>
    <n v="25"/>
    <n v="50"/>
    <n v="1"/>
    <n v="50"/>
    <n v="18.71"/>
    <d v="2023-12-07T00:00:00"/>
    <x v="1"/>
  </r>
  <r>
    <s v="CUST0124"/>
    <s v="Female"/>
    <s v="North"/>
    <s v="Headphones"/>
    <x v="1"/>
    <n v="49"/>
    <n v="100"/>
    <n v="5"/>
    <n v="500"/>
    <n v="14.28"/>
    <d v="2023-06-02T00:00:00"/>
    <x v="0"/>
  </r>
  <r>
    <s v="CUST0201"/>
    <s v="Male"/>
    <s v="West"/>
    <s v="Smartphone"/>
    <x v="0"/>
    <n v="49"/>
    <n v="800"/>
    <n v="1"/>
    <n v="800"/>
    <n v="12.3"/>
    <d v="2023-05-30T00:00:00"/>
    <x v="2"/>
  </r>
  <r>
    <s v="CUST0038"/>
    <s v="Male"/>
    <s v="Unknown"/>
    <s v="Smartphone"/>
    <x v="0"/>
    <n v="57"/>
    <n v="800"/>
    <n v="2"/>
    <n v="1600"/>
    <n v="19.87"/>
    <d v="2023-06-01T00:00:00"/>
    <x v="0"/>
  </r>
  <r>
    <s v="CUST0276"/>
    <s v="Female"/>
    <s v="South"/>
    <s v="Laptop"/>
    <x v="0"/>
    <n v="66"/>
    <n v="1500"/>
    <n v="3"/>
    <n v="4500"/>
    <n v="14.73"/>
    <d v="2023-12-01T00:00:00"/>
    <x v="2"/>
  </r>
  <r>
    <s v="CUST0201"/>
    <s v="Female"/>
    <s v="North"/>
    <s v="Smartwatch"/>
    <x v="2"/>
    <n v="49"/>
    <n v="200"/>
    <n v="3"/>
    <n v="600"/>
    <n v="9.26"/>
    <d v="2023-10-23T00:00:00"/>
    <x v="2"/>
  </r>
  <r>
    <s v="CUST0104"/>
    <s v="Female"/>
    <s v="East"/>
    <s v="Keyboard"/>
    <x v="1"/>
    <n v="40"/>
    <n v="50"/>
    <n v="4"/>
    <n v="200"/>
    <n v="15.14"/>
    <d v="2023-06-17T00:00:00"/>
    <x v="2"/>
  </r>
  <r>
    <s v="CUST0101"/>
    <s v="Female"/>
    <s v="East"/>
    <s v="Smartwatch"/>
    <x v="2"/>
    <n v="53"/>
    <n v="200"/>
    <n v="4"/>
    <n v="800"/>
    <n v="14.28"/>
    <d v="2023-11-05T00:00:00"/>
    <x v="3"/>
  </r>
  <r>
    <s v="CUST0138"/>
    <s v="Female"/>
    <s v="West"/>
    <s v="Laptop"/>
    <x v="0"/>
    <n v="46"/>
    <n v="3109.5606124866499"/>
    <n v="2"/>
    <n v="3000"/>
    <n v="6.44"/>
    <d v="2023-12-08T00:00:00"/>
    <x v="2"/>
  </r>
  <r>
    <s v="CUST0035"/>
    <s v="Female"/>
    <s v="South"/>
    <s v="Keyboard"/>
    <x v="1"/>
    <n v="20"/>
    <n v="50"/>
    <n v="3"/>
    <n v="150"/>
    <n v="11.05"/>
    <d v="2023-09-16T00:00:00"/>
    <x v="0"/>
  </r>
  <r>
    <s v="CUST0273"/>
    <s v="Female"/>
    <s v="South"/>
    <s v="Mouse"/>
    <x v="1"/>
    <n v="55"/>
    <n v="30"/>
    <n v="3"/>
    <n v="90"/>
    <n v="11.24"/>
    <d v="2023-09-09T00:00:00"/>
    <x v="0"/>
  </r>
  <r>
    <s v="CUST0228"/>
    <s v="Female"/>
    <s v="West"/>
    <s v="Smartphone"/>
    <x v="0"/>
    <n v="25"/>
    <n v="800"/>
    <n v="1"/>
    <n v="800"/>
    <n v="7.25"/>
    <d v="2023-03-09T00:00:00"/>
    <x v="1"/>
  </r>
  <r>
    <s v="CUST0191"/>
    <s v="Female"/>
    <s v="Unknown"/>
    <s v="Laptop"/>
    <x v="0"/>
    <n v="41"/>
    <n v="1500"/>
    <n v="4"/>
    <n v="6000"/>
    <n v="6.76"/>
    <d v="2023-08-01T00:00:00"/>
    <x v="3"/>
  </r>
  <r>
    <s v="CUST0087"/>
    <s v="Female"/>
    <s v="North"/>
    <s v="Headphones"/>
    <x v="1"/>
    <n v="49"/>
    <n v="100"/>
    <n v="2"/>
    <n v="200"/>
    <n v="19.07"/>
    <d v="2023-05-08T00:00:00"/>
    <x v="3"/>
  </r>
  <r>
    <s v="CUST0070"/>
    <s v="Female"/>
    <s v="West"/>
    <s v="Laptop"/>
    <x v="0"/>
    <n v="23"/>
    <n v="1500"/>
    <n v="5"/>
    <n v="7500"/>
    <n v="19.41"/>
    <d v="2023-12-21T00:00:00"/>
    <x v="2"/>
  </r>
  <r>
    <s v="CUST0088"/>
    <s v="Male"/>
    <s v="West"/>
    <s v="Monitor"/>
    <x v="0"/>
    <n v="66"/>
    <n v="300"/>
    <n v="1"/>
    <n v="300"/>
    <n v="7.84"/>
    <d v="2023-12-08T00:00:00"/>
    <x v="1"/>
  </r>
  <r>
    <s v="CUST0287"/>
    <s v="Female"/>
    <s v="South"/>
    <s v="Smartphone"/>
    <x v="0"/>
    <n v="60"/>
    <n v="800"/>
    <n v="4"/>
    <n v="3200"/>
    <n v="9.99"/>
    <d v="2023-06-29T00:00:00"/>
    <x v="0"/>
  </r>
  <r>
    <s v="CUST0116"/>
    <s v="Male"/>
    <s v="South"/>
    <s v="Monitor"/>
    <x v="0"/>
    <n v="20"/>
    <n v="300"/>
    <n v="2"/>
    <n v="600"/>
    <n v="9.77"/>
    <d v="2023-09-24T00:00:00"/>
    <x v="0"/>
  </r>
  <r>
    <s v="CUST0037"/>
    <s v="Female"/>
    <s v="West"/>
    <s v="Smartphone"/>
    <x v="0"/>
    <n v="51"/>
    <n v="800"/>
    <n v="3"/>
    <n v="2400"/>
    <n v="15.28"/>
    <d v="2023-05-22T00:00:00"/>
    <x v="1"/>
  </r>
  <r>
    <s v="CUST0215"/>
    <s v="Female"/>
    <s v="East"/>
    <s v="Mouse"/>
    <x v="1"/>
    <n v="35"/>
    <n v="30"/>
    <n v="3"/>
    <n v="90"/>
    <n v="8.7899999999999991"/>
    <d v="2023-07-29T00:00:00"/>
    <x v="0"/>
  </r>
  <r>
    <s v="CUST0104"/>
    <s v="Male"/>
    <s v="West"/>
    <s v="Keyboard"/>
    <x v="1"/>
    <n v="40"/>
    <n v="50"/>
    <n v="4"/>
    <n v="200"/>
    <n v="12.79"/>
    <d v="2023-10-19T00:00:00"/>
    <x v="2"/>
  </r>
  <r>
    <s v="CUST0197"/>
    <s v="Male"/>
    <s v="North"/>
    <s v="Smartphone"/>
    <x v="0"/>
    <n v="54"/>
    <n v="800"/>
    <n v="5"/>
    <n v="4000"/>
    <n v="9.5500000000000007"/>
    <d v="2023-09-02T00:00:00"/>
    <x v="2"/>
  </r>
  <r>
    <s v="CUST0298"/>
    <s v="Female"/>
    <s v="East"/>
    <s v="Mouse"/>
    <x v="1"/>
    <n v="58"/>
    <n v="30"/>
    <n v="4"/>
    <n v="120"/>
    <n v="8.85"/>
    <d v="2023-06-21T00:00:00"/>
    <x v="0"/>
  </r>
  <r>
    <s v="CUST0079"/>
    <s v="Male"/>
    <s v="South"/>
    <s v="Keyboard"/>
    <x v="1"/>
    <n v="26"/>
    <n v="50"/>
    <n v="2"/>
    <n v="100"/>
    <n v="9.76"/>
    <d v="2023-06-13T00:00:00"/>
    <x v="1"/>
  </r>
  <r>
    <s v="CUST0021"/>
    <s v="Female"/>
    <s v="East"/>
    <s v="Smartwatch"/>
    <x v="2"/>
    <n v="43"/>
    <n v="200"/>
    <n v="1"/>
    <n v="200"/>
    <n v="6.18"/>
    <d v="2023-12-28T00:00:00"/>
    <x v="1"/>
  </r>
  <r>
    <s v="CUST0162"/>
    <s v="Male"/>
    <s v="East"/>
    <s v="Laptop"/>
    <x v="0"/>
    <n v="69"/>
    <n v="1500"/>
    <n v="3"/>
    <n v="4500"/>
    <n v="6.08"/>
    <d v="2023-07-06T00:00:00"/>
    <x v="0"/>
  </r>
  <r>
    <s v="CUST0090"/>
    <s v="Male"/>
    <s v="West"/>
    <s v="Laptop"/>
    <x v="0"/>
    <n v="61"/>
    <n v="1500"/>
    <n v="4"/>
    <n v="6000"/>
    <n v="9.4600000000000009"/>
    <d v="2023-06-13T00:00:00"/>
    <x v="2"/>
  </r>
  <r>
    <s v="CUST0064"/>
    <s v="Female"/>
    <s v="West"/>
    <s v="Headphones"/>
    <x v="1"/>
    <n v="61"/>
    <n v="100"/>
    <n v="1"/>
    <n v="100"/>
    <n v="6.6"/>
    <d v="2023-03-20T00:00:00"/>
    <x v="0"/>
  </r>
  <r>
    <s v="CUST0148"/>
    <s v="Female"/>
    <s v="North"/>
    <s v="Mouse"/>
    <x v="1"/>
    <n v="67"/>
    <n v="30"/>
    <n v="4"/>
    <n v="120"/>
    <n v="19.59"/>
    <d v="2023-02-20T00:00:00"/>
    <x v="1"/>
  </r>
  <r>
    <s v="CUST0081"/>
    <s v="Female"/>
    <s v="West"/>
    <s v="Monitor"/>
    <x v="0"/>
    <n v="38"/>
    <n v="300"/>
    <n v="4"/>
    <n v="1200"/>
    <n v="12.55"/>
    <d v="2023-08-27T00:00:00"/>
    <x v="2"/>
  </r>
  <r>
    <s v="CUST0160"/>
    <s v="Male"/>
    <s v="North"/>
    <s v="Keyboard"/>
    <x v="1"/>
    <n v="69"/>
    <n v="50"/>
    <n v="5"/>
    <n v="250"/>
    <n v="14.32"/>
    <d v="2023-02-03T00:00:00"/>
    <x v="3"/>
  </r>
  <r>
    <s v="CUST0080"/>
    <s v="Male"/>
    <s v="West"/>
    <s v="Smartphone"/>
    <x v="0"/>
    <n v="51"/>
    <n v="800"/>
    <n v="5"/>
    <n v="4000"/>
    <n v="6.74"/>
    <d v="2023-09-27T00:00:00"/>
    <x v="2"/>
  </r>
  <r>
    <s v="CUST0091"/>
    <s v="Male"/>
    <s v="South"/>
    <s v="Headphones"/>
    <x v="1"/>
    <n v="30"/>
    <n v="100"/>
    <n v="2"/>
    <n v="200"/>
    <n v="7.01"/>
    <d v="2023-03-18T00:00:00"/>
    <x v="1"/>
  </r>
  <r>
    <s v="CUST0112"/>
    <s v="Male"/>
    <s v="East"/>
    <s v="Laptop"/>
    <x v="0"/>
    <n v="33"/>
    <n v="1500"/>
    <n v="2"/>
    <n v="3000"/>
    <n v="14.97"/>
    <d v="2023-01-17T00:00:00"/>
    <x v="2"/>
  </r>
  <r>
    <s v="CUST0030"/>
    <s v="Female"/>
    <s v="West"/>
    <s v="Headphones"/>
    <x v="1"/>
    <n v="44"/>
    <n v="100"/>
    <n v="4"/>
    <n v="400"/>
    <n v="10.029999999999999"/>
    <d v="2023-05-11T00:00:00"/>
    <x v="1"/>
  </r>
  <r>
    <s v="CUST0276"/>
    <s v="Male"/>
    <s v="South"/>
    <s v="Keyboard"/>
    <x v="1"/>
    <n v="66"/>
    <n v="50"/>
    <n v="2"/>
    <n v="100"/>
    <n v="8.51"/>
    <d v="2023-03-10T00:00:00"/>
    <x v="1"/>
  </r>
  <r>
    <s v="CUST0034"/>
    <s v="Female"/>
    <s v="West"/>
    <s v="Keyboard"/>
    <x v="1"/>
    <n v="65"/>
    <n v="50"/>
    <n v="1"/>
    <n v="50"/>
    <n v="7.55"/>
    <d v="2023-06-27T00:00:00"/>
    <x v="2"/>
  </r>
  <r>
    <s v="CUST0271"/>
    <s v="Female"/>
    <s v="North"/>
    <s v="Mouse"/>
    <x v="1"/>
    <n v="46"/>
    <n v="30"/>
    <n v="4"/>
    <n v="120"/>
    <n v="18.309999999999999"/>
    <d v="2023-11-07T00:00:00"/>
    <x v="1"/>
  </r>
  <r>
    <s v="CUST0034"/>
    <s v="Male"/>
    <s v="North"/>
    <s v="Laptop"/>
    <x v="0"/>
    <n v="65"/>
    <n v="1500"/>
    <n v="5"/>
    <n v="7500"/>
    <n v="16.39"/>
    <d v="2023-04-08T00:00:00"/>
    <x v="0"/>
  </r>
  <r>
    <s v="CUST0122"/>
    <s v="Male"/>
    <s v="North"/>
    <s v="Laptop"/>
    <x v="0"/>
    <n v="68"/>
    <n v="1500"/>
    <n v="2"/>
    <n v="3000"/>
    <n v="18.77"/>
    <d v="2023-10-27T00:00:00"/>
    <x v="0"/>
  </r>
  <r>
    <s v="CUST0223"/>
    <s v="Female"/>
    <s v="East"/>
    <s v="Laptop"/>
    <x v="0"/>
    <n v="20"/>
    <n v="1500"/>
    <n v="5"/>
    <n v="7500"/>
    <n v="9.26"/>
    <d v="2023-02-01T00:00:00"/>
    <x v="0"/>
  </r>
  <r>
    <s v="CUST0052"/>
    <s v="Male"/>
    <s v="North"/>
    <s v="Smartphone"/>
    <x v="0"/>
    <n v="66"/>
    <n v="800"/>
    <n v="4"/>
    <n v="3200"/>
    <n v="15.69"/>
    <d v="2023-05-27T00:00:00"/>
    <x v="1"/>
  </r>
  <r>
    <s v="CUST0176"/>
    <s v="Male"/>
    <s v="South"/>
    <s v="Keyboard"/>
    <x v="1"/>
    <n v="49"/>
    <n v="50"/>
    <n v="4"/>
    <n v="200"/>
    <n v="11.55"/>
    <d v="2023-10-01T00:00:00"/>
    <x v="2"/>
  </r>
  <r>
    <s v="CUST0276"/>
    <s v="Male"/>
    <s v="West"/>
    <s v="Smartphone"/>
    <x v="0"/>
    <n v="66"/>
    <n v="800"/>
    <n v="3"/>
    <n v="2400"/>
    <n v="15.27"/>
    <d v="2023-05-05T00:00:00"/>
    <x v="1"/>
  </r>
  <r>
    <s v="CUST0185"/>
    <s v="Female"/>
    <s v="West"/>
    <s v="Keyboard"/>
    <x v="1"/>
    <n v="29"/>
    <n v="50"/>
    <n v="4"/>
    <n v="200"/>
    <n v="6.75"/>
    <d v="2023-12-22T00:00:00"/>
    <x v="2"/>
  </r>
  <r>
    <s v="CUST0253"/>
    <s v="Female"/>
    <s v="East"/>
    <s v="Headphones"/>
    <x v="1"/>
    <n v="51"/>
    <n v="100"/>
    <n v="2"/>
    <n v="200"/>
    <n v="5.79"/>
    <d v="2023-06-13T00:00:00"/>
    <x v="2"/>
  </r>
  <r>
    <s v="CUST0055"/>
    <s v="Male"/>
    <s v="East"/>
    <s v="Smartwatch"/>
    <x v="2"/>
    <n v="45"/>
    <n v="200"/>
    <n v="4"/>
    <n v="800"/>
    <n v="10.62"/>
    <d v="2023-01-11T00:00:00"/>
    <x v="0"/>
  </r>
  <r>
    <s v="CUST0229"/>
    <s v="Female"/>
    <s v="North"/>
    <s v="Monitor"/>
    <x v="0"/>
    <n v="49"/>
    <n v="300"/>
    <n v="1"/>
    <n v="300"/>
    <n v="5.83"/>
    <d v="2023-02-07T00:00:00"/>
    <x v="2"/>
  </r>
  <r>
    <s v="CUST0149"/>
    <s v="Female"/>
    <s v="Unknown"/>
    <s v="Headphones"/>
    <x v="1"/>
    <n v="40"/>
    <n v="100"/>
    <n v="2"/>
    <n v="200"/>
    <n v="9.42"/>
    <d v="2023-07-14T00:00:00"/>
    <x v="0"/>
  </r>
  <r>
    <s v="CUST0028"/>
    <s v="Male"/>
    <s v="East"/>
    <s v="Mouse"/>
    <x v="1"/>
    <n v="50"/>
    <n v="30"/>
    <n v="5"/>
    <n v="150"/>
    <n v="6.26"/>
    <d v="2023-04-07T00:00:00"/>
    <x v="2"/>
  </r>
  <r>
    <s v="CUST0011"/>
    <s v="Male"/>
    <s v="South"/>
    <s v="Headphones"/>
    <x v="1"/>
    <n v="54"/>
    <n v="100"/>
    <n v="1"/>
    <n v="100"/>
    <n v="19.25"/>
    <d v="2023-12-18T00:00:00"/>
    <x v="2"/>
  </r>
  <r>
    <s v="CUST0259"/>
    <s v="Male"/>
    <s v="West"/>
    <s v="Mouse"/>
    <x v="1"/>
    <n v="59"/>
    <n v="30"/>
    <n v="2"/>
    <n v="60"/>
    <n v="18.170000000000002"/>
    <d v="2023-11-17T00:00:00"/>
    <x v="1"/>
  </r>
  <r>
    <s v="CUST0296"/>
    <s v="Female"/>
    <s v="West"/>
    <s v="Monitor"/>
    <x v="0"/>
    <n v="50"/>
    <n v="300"/>
    <n v="1"/>
    <n v="300"/>
    <n v="5.94"/>
    <d v="2023-12-26T00:00:00"/>
    <x v="0"/>
  </r>
  <r>
    <s v="CUST0101"/>
    <s v="Male"/>
    <s v="East"/>
    <s v="Headphones"/>
    <x v="1"/>
    <n v="53"/>
    <n v="100"/>
    <n v="3"/>
    <n v="300"/>
    <n v="15.61"/>
    <d v="2023-12-04T00:00:00"/>
    <x v="1"/>
  </r>
  <r>
    <s v="CUST0288"/>
    <s v="Male"/>
    <s v="West"/>
    <s v="Laptop"/>
    <x v="0"/>
    <n v="55"/>
    <n v="1500"/>
    <n v="2"/>
    <n v="3000"/>
    <n v="9.06"/>
    <d v="2023-06-08T00:00:00"/>
    <x v="2"/>
  </r>
  <r>
    <s v="CUST0206"/>
    <s v="Female"/>
    <s v="Unknown"/>
    <s v="Keyboard"/>
    <x v="1"/>
    <n v="43"/>
    <n v="50"/>
    <n v="4"/>
    <n v="200"/>
    <n v="16.25"/>
    <d v="2023-08-14T00:00:00"/>
    <x v="1"/>
  </r>
  <r>
    <s v="CUST0179"/>
    <s v="Male"/>
    <s v="North"/>
    <s v="Monitor"/>
    <x v="0"/>
    <n v="45"/>
    <n v="300"/>
    <n v="4"/>
    <n v="1200"/>
    <n v="7.16"/>
    <d v="2023-11-13T00:00:00"/>
    <x v="1"/>
  </r>
  <r>
    <s v="CUST0293"/>
    <s v="Male"/>
    <s v="West"/>
    <s v="Monitor"/>
    <x v="0"/>
    <n v="32"/>
    <n v="300"/>
    <n v="2"/>
    <n v="600"/>
    <n v="9.52"/>
    <d v="2023-10-17T00:00:00"/>
    <x v="1"/>
  </r>
  <r>
    <s v="CUST0120"/>
    <s v="Female"/>
    <s v="North"/>
    <s v="Headphones"/>
    <x v="1"/>
    <n v="35"/>
    <n v="100"/>
    <n v="4"/>
    <n v="400"/>
    <n v="12.85"/>
    <d v="2023-07-23T00:00:00"/>
    <x v="2"/>
  </r>
  <r>
    <s v="CUST0112"/>
    <s v="Male"/>
    <s v="West"/>
    <s v="Smartphone"/>
    <x v="0"/>
    <n v="33"/>
    <n v="800"/>
    <n v="5"/>
    <n v="4000"/>
    <n v="5.14"/>
    <d v="2023-06-15T00:00:00"/>
    <x v="0"/>
  </r>
  <r>
    <s v="CUST0218"/>
    <s v="Female"/>
    <s v="East"/>
    <s v="Mouse"/>
    <x v="1"/>
    <n v="36"/>
    <n v="30"/>
    <n v="5"/>
    <n v="150"/>
    <n v="6.78"/>
    <d v="2023-07-18T00:00:00"/>
    <x v="1"/>
  </r>
  <r>
    <s v="CUST0018"/>
    <s v="Female"/>
    <s v="South"/>
    <s v="Keyboard"/>
    <x v="1"/>
    <n v="38"/>
    <n v="50"/>
    <n v="5"/>
    <n v="250"/>
    <n v="12.25"/>
    <d v="2023-05-12T00:00:00"/>
    <x v="1"/>
  </r>
  <r>
    <s v="CUST0193"/>
    <s v="Male"/>
    <s v="North"/>
    <s v="Laptop"/>
    <x v="0"/>
    <n v="64"/>
    <n v="1500"/>
    <n v="4"/>
    <n v="6000"/>
    <n v="9.8699999999999992"/>
    <d v="2023-02-19T00:00:00"/>
    <x v="2"/>
  </r>
  <r>
    <s v="CUST0088"/>
    <s v="Male"/>
    <s v="West"/>
    <s v="Laptop"/>
    <x v="0"/>
    <n v="66"/>
    <n v="1500"/>
    <n v="4"/>
    <n v="6000"/>
    <n v="11.5"/>
    <d v="2023-10-17T00:00:00"/>
    <x v="1"/>
  </r>
  <r>
    <s v="CUST0116"/>
    <s v="Male"/>
    <s v="South"/>
    <s v="Mouse"/>
    <x v="1"/>
    <n v="20"/>
    <n v="30"/>
    <n v="3"/>
    <n v="90"/>
    <n v="16.07"/>
    <d v="2023-09-30T00:00:00"/>
    <x v="0"/>
  </r>
  <r>
    <s v="CUST0152"/>
    <s v="Female"/>
    <s v="West"/>
    <s v="Keyboard"/>
    <x v="1"/>
    <n v="69"/>
    <n v="50"/>
    <n v="4"/>
    <n v="200"/>
    <n v="18.96"/>
    <d v="2023-05-20T00:00:00"/>
    <x v="0"/>
  </r>
  <r>
    <s v="CUST0290"/>
    <s v="Female"/>
    <s v="East"/>
    <s v="Smartwatch"/>
    <x v="2"/>
    <n v="37"/>
    <n v="200"/>
    <n v="4"/>
    <n v="800"/>
    <n v="5.98"/>
    <d v="2023-04-27T00:00:00"/>
    <x v="1"/>
  </r>
  <r>
    <s v="CUST0293"/>
    <s v="Male"/>
    <s v="South"/>
    <s v="Monitor"/>
    <x v="0"/>
    <n v="32"/>
    <n v="300"/>
    <n v="2"/>
    <n v="600"/>
    <n v="14.24"/>
    <d v="2023-03-27T00:00:00"/>
    <x v="2"/>
  </r>
  <r>
    <s v="CUST0080"/>
    <s v="Male"/>
    <s v="South"/>
    <s v="Monitor"/>
    <x v="0"/>
    <n v="51"/>
    <n v="300"/>
    <n v="5"/>
    <n v="1500"/>
    <n v="11.39"/>
    <d v="2023-07-31T00:00:00"/>
    <x v="0"/>
  </r>
  <r>
    <s v="CUST0134"/>
    <s v="Female"/>
    <s v="North"/>
    <s v="Keyboard"/>
    <x v="1"/>
    <n v="58"/>
    <n v="50"/>
    <n v="4"/>
    <n v="200"/>
    <n v="17.649999999999999"/>
    <d v="2023-02-11T00:00:00"/>
    <x v="1"/>
  </r>
  <r>
    <s v="CUST0010"/>
    <s v="Female"/>
    <s v="East"/>
    <s v="Smartphone"/>
    <x v="0"/>
    <n v="37"/>
    <n v="800"/>
    <n v="5"/>
    <n v="4000"/>
    <n v="6.67"/>
    <d v="2023-01-04T00:00:00"/>
    <x v="1"/>
  </r>
  <r>
    <s v="CUST0252"/>
    <s v="Male"/>
    <s v="South"/>
    <s v="Smartwatch"/>
    <x v="2"/>
    <n v="55"/>
    <n v="200"/>
    <n v="3"/>
    <n v="600"/>
    <n v="8.26"/>
    <d v="2023-08-30T00:00:00"/>
    <x v="3"/>
  </r>
  <r>
    <s v="CUST0211"/>
    <s v="Female"/>
    <s v="West"/>
    <s v="Monitor"/>
    <x v="0"/>
    <n v="35"/>
    <n v="300"/>
    <n v="5"/>
    <n v="1500"/>
    <n v="18.940000000000001"/>
    <d v="2023-03-06T00:00:00"/>
    <x v="0"/>
  </r>
  <r>
    <s v="CUST0095"/>
    <s v="Female"/>
    <s v="South"/>
    <s v="Monitor"/>
    <x v="0"/>
    <n v="60"/>
    <n v="300"/>
    <n v="3"/>
    <n v="900"/>
    <n v="19.78"/>
    <d v="2023-02-26T00:00:00"/>
    <x v="1"/>
  </r>
  <r>
    <s v="CUST0226"/>
    <s v="Male"/>
    <s v="North"/>
    <s v="Smartphone"/>
    <x v="0"/>
    <n v="43"/>
    <n v="800"/>
    <n v="4"/>
    <n v="3200"/>
    <n v="10.65"/>
    <d v="2023-02-25T00:00:00"/>
    <x v="0"/>
  </r>
  <r>
    <s v="CUST0238"/>
    <s v="Female"/>
    <s v="North"/>
    <s v="Smartwatch"/>
    <x v="2"/>
    <n v="26"/>
    <n v="200"/>
    <n v="4"/>
    <n v="800"/>
    <n v="14.25"/>
    <d v="2023-01-03T00:00:00"/>
    <x v="2"/>
  </r>
  <r>
    <s v="CUST0274"/>
    <s v="Male"/>
    <s v="West"/>
    <s v="Monitor"/>
    <x v="0"/>
    <n v="51"/>
    <n v="300"/>
    <n v="4"/>
    <n v="1200"/>
    <n v="6.26"/>
    <d v="2023-12-28T00:00:00"/>
    <x v="0"/>
  </r>
  <r>
    <s v="CUST0225"/>
    <s v="Male"/>
    <s v="South"/>
    <s v="Keyboard"/>
    <x v="1"/>
    <n v="65"/>
    <n v="50"/>
    <n v="3"/>
    <n v="150"/>
    <n v="12.69"/>
    <d v="2023-11-18T00:00:00"/>
    <x v="2"/>
  </r>
  <r>
    <s v="CUST0233"/>
    <s v="Male"/>
    <s v="West"/>
    <s v="Smartwatch"/>
    <x v="2"/>
    <n v="24"/>
    <n v="200"/>
    <n v="3"/>
    <n v="600"/>
    <n v="19.39"/>
    <d v="2023-03-11T00:00:00"/>
    <x v="1"/>
  </r>
  <r>
    <s v="CUST0208"/>
    <s v="Male"/>
    <s v="North"/>
    <s v="Headphones"/>
    <x v="1"/>
    <n v="57"/>
    <n v="100"/>
    <n v="4"/>
    <n v="400"/>
    <n v="14.49"/>
    <d v="2023-09-19T00:00:00"/>
    <x v="1"/>
  </r>
  <r>
    <s v="CUST0006"/>
    <s v="Male"/>
    <s v="South"/>
    <s v="Smartwatch"/>
    <x v="2"/>
    <n v="52"/>
    <n v="200"/>
    <n v="5"/>
    <n v="1000"/>
    <n v="13.13"/>
    <d v="2023-05-15T00:00:00"/>
    <x v="1"/>
  </r>
  <r>
    <s v="CUST0181"/>
    <s v="Male"/>
    <s v="North"/>
    <s v="Monitor"/>
    <x v="0"/>
    <n v="59"/>
    <n v="300"/>
    <n v="4"/>
    <n v="1200"/>
    <n v="15.92"/>
    <d v="2023-10-23T00:00:00"/>
    <x v="1"/>
  </r>
  <r>
    <s v="CUST0126"/>
    <s v="Male"/>
    <s v="West"/>
    <s v="Smartwatch"/>
    <x v="2"/>
    <n v="66"/>
    <n v="200"/>
    <n v="5"/>
    <n v="1000"/>
    <n v="12.06"/>
    <d v="2023-03-07T00:00:00"/>
    <x v="0"/>
  </r>
  <r>
    <s v="CUST0118"/>
    <s v="Male"/>
    <s v="East"/>
    <s v="Keyboard"/>
    <x v="1"/>
    <n v="23"/>
    <n v="50"/>
    <n v="1"/>
    <n v="50"/>
    <n v="16.34"/>
    <d v="2023-01-16T00:00:00"/>
    <x v="1"/>
  </r>
  <r>
    <s v="CUST0007"/>
    <s v="Female"/>
    <s v="North"/>
    <s v="Smartwatch"/>
    <x v="2"/>
    <n v="52"/>
    <n v="200"/>
    <n v="3"/>
    <n v="600"/>
    <n v="15.85"/>
    <d v="2023-04-10T00:00:00"/>
    <x v="2"/>
  </r>
  <r>
    <s v="CUST0263"/>
    <s v="Female"/>
    <s v="South"/>
    <s v="Headphones"/>
    <x v="1"/>
    <n v="49"/>
    <n v="100"/>
    <n v="3"/>
    <n v="300"/>
    <n v="19.010000000000002"/>
    <d v="2023-09-13T00:00:00"/>
    <x v="1"/>
  </r>
  <r>
    <s v="CUST0256"/>
    <s v="Male"/>
    <s v="East"/>
    <s v="Laptop"/>
    <x v="0"/>
    <n v="49"/>
    <n v="1500"/>
    <n v="3"/>
    <n v="4500"/>
    <n v="9.83"/>
    <d v="2023-09-26T00:00:00"/>
    <x v="1"/>
  </r>
  <r>
    <s v="CUST0172"/>
    <s v="Female"/>
    <s v="East"/>
    <s v="Mouse"/>
    <x v="1"/>
    <n v="56"/>
    <n v="30"/>
    <n v="4"/>
    <n v="120"/>
    <n v="5.17"/>
    <d v="2023-11-23T00:00:00"/>
    <x v="1"/>
  </r>
  <r>
    <s v="CUST0114"/>
    <s v="Male"/>
    <s v="South"/>
    <s v="Smartphone"/>
    <x v="0"/>
    <n v="49"/>
    <n v="800"/>
    <n v="3"/>
    <n v="2400"/>
    <n v="15.04"/>
    <d v="2023-08-12T00:00:00"/>
    <x v="1"/>
  </r>
  <r>
    <s v="CUST0198"/>
    <s v="Male"/>
    <s v="West"/>
    <s v="Smartphone"/>
    <x v="0"/>
    <n v="49"/>
    <n v="800"/>
    <n v="5"/>
    <n v="4000"/>
    <n v="18.489999999999998"/>
    <d v="2023-12-13T00:00:00"/>
    <x v="2"/>
  </r>
  <r>
    <s v="CUST0234"/>
    <s v="Female"/>
    <s v="South"/>
    <s v="Smartwatch"/>
    <x v="2"/>
    <n v="44"/>
    <n v="200"/>
    <n v="1"/>
    <n v="200"/>
    <n v="7.67"/>
    <d v="2023-07-08T00:00:00"/>
    <x v="0"/>
  </r>
  <r>
    <s v="CUST0182"/>
    <s v="Female"/>
    <s v="North"/>
    <s v="Keyboard"/>
    <x v="1"/>
    <n v="19"/>
    <n v="50"/>
    <n v="3"/>
    <n v="150"/>
    <n v="5.76"/>
    <d v="2023-07-25T00:00:00"/>
    <x v="1"/>
  </r>
  <r>
    <s v="CUST0104"/>
    <s v="Male"/>
    <s v="Unknown"/>
    <s v="Smartwatch"/>
    <x v="2"/>
    <n v="40"/>
    <n v="200"/>
    <n v="1"/>
    <n v="200"/>
    <n v="16.29"/>
    <d v="2023-07-08T00:00:00"/>
    <x v="1"/>
  </r>
  <r>
    <s v="CUST0232"/>
    <s v="Male"/>
    <s v="West"/>
    <s v="Headphones"/>
    <x v="1"/>
    <n v="44"/>
    <n v="100"/>
    <n v="1"/>
    <n v="100"/>
    <n v="6.43"/>
    <d v="2023-07-28T00:00:00"/>
    <x v="0"/>
  </r>
  <r>
    <s v="CUST0160"/>
    <s v="Male"/>
    <s v="West"/>
    <s v="Laptop"/>
    <x v="0"/>
    <n v="69"/>
    <n v="1500"/>
    <n v="1"/>
    <n v="1500"/>
    <n v="7.32"/>
    <d v="2023-09-19T00:00:00"/>
    <x v="0"/>
  </r>
  <r>
    <s v="CUST0105"/>
    <s v="Female"/>
    <s v="South"/>
    <s v="Smartwatch"/>
    <x v="2"/>
    <n v="27"/>
    <n v="200"/>
    <n v="2"/>
    <n v="400"/>
    <n v="9.9700000000000006"/>
    <d v="2023-01-18T00:00:00"/>
    <x v="0"/>
  </r>
  <r>
    <s v="CUST0065"/>
    <s v="Female"/>
    <s v="West"/>
    <s v="Smartwatch"/>
    <x v="2"/>
    <n v="41"/>
    <n v="200"/>
    <n v="5"/>
    <n v="1000"/>
    <n v="12.79"/>
    <d v="2023-01-06T00:00:00"/>
    <x v="1"/>
  </r>
  <r>
    <s v="CUST0220"/>
    <s v="Female"/>
    <s v="North"/>
    <s v="Mouse"/>
    <x v="1"/>
    <n v="49"/>
    <n v="30"/>
    <n v="4"/>
    <n v="120"/>
    <n v="17.23"/>
    <d v="2023-07-09T00:00:00"/>
    <x v="0"/>
  </r>
  <r>
    <s v="CUST0150"/>
    <s v="Male"/>
    <s v="West"/>
    <s v="Mouse"/>
    <x v="1"/>
    <n v="63"/>
    <n v="62.191212249732999"/>
    <n v="5"/>
    <n v="150"/>
    <n v="10.81"/>
    <d v="2023-07-01T00:00:00"/>
    <x v="2"/>
  </r>
  <r>
    <s v="CUST0300"/>
    <s v="Male"/>
    <s v="East"/>
    <s v="Smartwatch"/>
    <x v="2"/>
    <n v="66"/>
    <n v="200"/>
    <n v="4"/>
    <n v="800"/>
    <n v="16.989999999999998"/>
    <d v="2023-10-15T00:00:00"/>
    <x v="0"/>
  </r>
  <r>
    <s v="CUST0066"/>
    <s v="Female"/>
    <s v="North"/>
    <s v="Monitor"/>
    <x v="0"/>
    <n v="37"/>
    <n v="300"/>
    <n v="3"/>
    <n v="900"/>
    <n v="17.149999999999999"/>
    <d v="2024-01-03T00:00:00"/>
    <x v="1"/>
  </r>
  <r>
    <s v="CUST0255"/>
    <s v="Male"/>
    <s v="South"/>
    <s v="Laptop"/>
    <x v="0"/>
    <n v="39"/>
    <n v="1500"/>
    <n v="2"/>
    <n v="3000"/>
    <n v="11.24"/>
    <d v="2023-11-16T00:00:00"/>
    <x v="0"/>
  </r>
  <r>
    <s v="CUST0154"/>
    <s v="Female"/>
    <s v="North"/>
    <s v="Monitor"/>
    <x v="0"/>
    <n v="31"/>
    <n v="300"/>
    <n v="2"/>
    <n v="600"/>
    <n v="5.84"/>
    <d v="2023-08-19T00:00:00"/>
    <x v="1"/>
  </r>
  <r>
    <s v="CUST0112"/>
    <s v="Female"/>
    <s v="West"/>
    <s v="Smartphone"/>
    <x v="0"/>
    <n v="33"/>
    <n v="800"/>
    <n v="2"/>
    <n v="1600"/>
    <n v="7.61"/>
    <d v="2023-12-08T00:00:00"/>
    <x v="0"/>
  </r>
  <r>
    <s v="CUST0130"/>
    <s v="Male"/>
    <s v="East"/>
    <s v="Headphones"/>
    <x v="1"/>
    <n v="68"/>
    <n v="100"/>
    <n v="4"/>
    <n v="400"/>
    <n v="14.97"/>
    <d v="2023-12-09T00:00:00"/>
    <x v="0"/>
  </r>
  <r>
    <s v="CUST0061"/>
    <s v="Female"/>
    <s v="South"/>
    <s v="Monitor"/>
    <x v="0"/>
    <n v="35"/>
    <n v="300"/>
    <n v="1"/>
    <n v="300"/>
    <n v="15.16"/>
    <d v="2023-10-25T00:00:00"/>
    <x v="0"/>
  </r>
  <r>
    <s v="CUST0046"/>
    <s v="Male"/>
    <s v="East"/>
    <s v="Laptop"/>
    <x v="0"/>
    <n v="22"/>
    <n v="1500"/>
    <n v="2"/>
    <n v="3000"/>
    <n v="15.58"/>
    <d v="2023-12-16T00:00:00"/>
    <x v="2"/>
  </r>
  <r>
    <s v="CUST0200"/>
    <s v="Female"/>
    <s v="North"/>
    <s v="Laptop"/>
    <x v="0"/>
    <n v="68"/>
    <n v="1500"/>
    <n v="1"/>
    <n v="1500"/>
    <n v="5.57"/>
    <d v="2023-08-06T00:00:00"/>
    <x v="2"/>
  </r>
  <r>
    <s v="CUST0001"/>
    <s v="Male"/>
    <s v="East"/>
    <s v="Laptop"/>
    <x v="0"/>
    <n v="38"/>
    <n v="1500"/>
    <n v="4"/>
    <n v="6000"/>
    <n v="11.28"/>
    <d v="2023-04-26T00:00:00"/>
    <x v="0"/>
  </r>
  <r>
    <s v="CUST0101"/>
    <s v="Female"/>
    <s v="West"/>
    <s v="Smartphone"/>
    <x v="0"/>
    <n v="53"/>
    <n v="800"/>
    <n v="4"/>
    <n v="3200"/>
    <n v="14.35"/>
    <d v="2023-06-27T00:00:00"/>
    <x v="2"/>
  </r>
  <r>
    <s v="CUST0113"/>
    <s v="Female"/>
    <s v="West"/>
    <s v="Keyboard"/>
    <x v="1"/>
    <n v="38"/>
    <n v="50"/>
    <n v="4"/>
    <n v="200"/>
    <n v="19.170000000000002"/>
    <d v="2023-01-26T00:00:00"/>
    <x v="0"/>
  </r>
  <r>
    <s v="CUST0076"/>
    <s v="Male"/>
    <s v="South"/>
    <s v="Mouse"/>
    <x v="1"/>
    <n v="26"/>
    <n v="30"/>
    <n v="1"/>
    <n v="30"/>
    <n v="10.220000000000001"/>
    <d v="2023-10-26T00:00:00"/>
    <x v="2"/>
  </r>
  <r>
    <s v="CUST0120"/>
    <s v="Male"/>
    <s v="North"/>
    <s v="Keyboard"/>
    <x v="1"/>
    <n v="35"/>
    <n v="50"/>
    <n v="3"/>
    <n v="150"/>
    <n v="12.89"/>
    <d v="2023-01-30T00:00:00"/>
    <x v="1"/>
  </r>
  <r>
    <s v="CUST0265"/>
    <s v="Female"/>
    <s v="North"/>
    <s v="Keyboard"/>
    <x v="1"/>
    <n v="38"/>
    <n v="50"/>
    <n v="4"/>
    <n v="200"/>
    <n v="7.52"/>
    <d v="2023-05-29T00:00:00"/>
    <x v="1"/>
  </r>
  <r>
    <s v="CUST0214"/>
    <s v="Female"/>
    <s v="South"/>
    <s v="Monitor"/>
    <x v="0"/>
    <n v="45"/>
    <n v="300"/>
    <n v="2"/>
    <n v="600"/>
    <n v="9.09"/>
    <d v="2023-10-02T00:00:00"/>
    <x v="1"/>
  </r>
  <r>
    <s v="CUST0058"/>
    <s v="Male"/>
    <s v="North"/>
    <s v="Monitor"/>
    <x v="0"/>
    <n v="42"/>
    <n v="300"/>
    <n v="4"/>
    <n v="1200"/>
    <n v="5.56"/>
    <d v="2023-06-06T00:00:00"/>
    <x v="1"/>
  </r>
  <r>
    <s v="CUST0288"/>
    <s v="Male"/>
    <s v="North"/>
    <s v="Smartwatch"/>
    <x v="2"/>
    <n v="49"/>
    <n v="200"/>
    <n v="2"/>
    <n v="400"/>
    <n v="19.66"/>
    <d v="2023-01-31T00:00:00"/>
    <x v="0"/>
  </r>
  <r>
    <s v="CUST0210"/>
    <s v="Male"/>
    <s v="South"/>
    <s v="Monitor"/>
    <x v="0"/>
    <n v="30"/>
    <n v="300"/>
    <n v="1"/>
    <n v="300"/>
    <n v="11.26"/>
    <d v="2023-12-31T00:00:00"/>
    <x v="0"/>
  </r>
  <r>
    <s v="CUST0116"/>
    <s v="Male"/>
    <s v="South"/>
    <s v="Mouse"/>
    <x v="1"/>
    <n v="20"/>
    <n v="30"/>
    <n v="1"/>
    <n v="30"/>
    <n v="5.41"/>
    <d v="2023-01-05T00:00:00"/>
    <x v="1"/>
  </r>
  <r>
    <s v="CUST0059"/>
    <s v="Female"/>
    <s v="South"/>
    <s v="Laptop"/>
    <x v="0"/>
    <n v="18"/>
    <n v="1500"/>
    <n v="2"/>
    <n v="3000"/>
    <n v="10.130000000000001"/>
    <d v="2023-06-10T00:00:00"/>
    <x v="2"/>
  </r>
  <r>
    <s v="CUST0239"/>
    <s v="Female"/>
    <s v="South"/>
    <s v="Smartphone"/>
    <x v="0"/>
    <n v="35"/>
    <n v="800"/>
    <n v="4"/>
    <n v="3200"/>
    <n v="7.74"/>
    <d v="2023-05-26T00:00:00"/>
    <x v="2"/>
  </r>
  <r>
    <s v="CUST0099"/>
    <s v="Male"/>
    <s v="West"/>
    <s v="Smartwatch"/>
    <x v="2"/>
    <n v="49"/>
    <n v="200"/>
    <n v="1"/>
    <n v="200"/>
    <n v="8.2799999999999994"/>
    <d v="2023-10-06T00:00:00"/>
    <x v="1"/>
  </r>
  <r>
    <s v="CUST0018"/>
    <s v="Female"/>
    <s v="South"/>
    <s v="Monitor"/>
    <x v="0"/>
    <n v="38"/>
    <n v="300"/>
    <n v="2"/>
    <n v="600"/>
    <n v="17.38"/>
    <d v="2023-04-16T00:00:00"/>
    <x v="2"/>
  </r>
  <r>
    <s v="CUST0028"/>
    <s v="Male"/>
    <s v="West"/>
    <s v="Keyboard"/>
    <x v="1"/>
    <n v="50"/>
    <n v="50"/>
    <n v="4"/>
    <n v="200"/>
    <n v="11.39"/>
    <d v="2023-01-17T00:00:00"/>
    <x v="2"/>
  </r>
  <r>
    <s v="CUST0159"/>
    <s v="Male"/>
    <s v="South"/>
    <s v="Laptop"/>
    <x v="0"/>
    <n v="18"/>
    <n v="1500"/>
    <n v="3"/>
    <n v="4500"/>
    <n v="18.829999999999998"/>
    <d v="2023-03-22T00:00:00"/>
    <x v="1"/>
  </r>
  <r>
    <s v="CUST0053"/>
    <s v="Female"/>
    <s v="South"/>
    <s v="Smartwatch"/>
    <x v="2"/>
    <n v="25"/>
    <n v="200"/>
    <n v="1"/>
    <n v="200"/>
    <n v="6.96"/>
    <d v="2023-11-20T00:00:00"/>
    <x v="0"/>
  </r>
  <r>
    <s v="CUST0015"/>
    <s v="Male"/>
    <s v="North"/>
    <s v="Laptop"/>
    <x v="0"/>
    <n v="58"/>
    <n v="1500"/>
    <n v="5"/>
    <n v="7500"/>
    <n v="6.21"/>
    <d v="2023-07-21T00:00:00"/>
    <x v="3"/>
  </r>
  <r>
    <s v="CUST0045"/>
    <s v="Male"/>
    <s v="East"/>
    <s v="Headphones"/>
    <x v="1"/>
    <n v="21"/>
    <n v="100"/>
    <n v="4"/>
    <n v="400"/>
    <n v="18.3"/>
    <d v="2023-07-26T00:00:00"/>
    <x v="2"/>
  </r>
  <r>
    <s v="CUST0156"/>
    <s v="Male"/>
    <s v="West"/>
    <s v="Laptop"/>
    <x v="0"/>
    <n v="57"/>
    <n v="1500"/>
    <n v="5"/>
    <n v="7500"/>
    <n v="7.57"/>
    <d v="2023-05-18T00:00:00"/>
    <x v="0"/>
  </r>
  <r>
    <s v="CUST0238"/>
    <s v="Male"/>
    <s v="East"/>
    <s v="Monitor"/>
    <x v="0"/>
    <n v="26"/>
    <n v="621.91212249732996"/>
    <n v="2"/>
    <n v="600"/>
    <n v="7.02"/>
    <d v="2024-01-03T00:00:00"/>
    <x v="1"/>
  </r>
  <r>
    <s v="CUST0116"/>
    <s v="Male"/>
    <s v="West"/>
    <s v="Monitor"/>
    <x v="0"/>
    <n v="20"/>
    <n v="300"/>
    <n v="2"/>
    <n v="600"/>
    <n v="11.06"/>
    <d v="2023-08-12T00:00:00"/>
    <x v="3"/>
  </r>
  <r>
    <s v="CUST0239"/>
    <s v="Female"/>
    <s v="East"/>
    <s v="Mouse"/>
    <x v="1"/>
    <n v="35"/>
    <n v="30"/>
    <n v="5"/>
    <n v="150"/>
    <n v="13.08"/>
    <d v="2023-08-16T00:00:00"/>
    <x v="2"/>
  </r>
  <r>
    <s v="CUST0268"/>
    <s v="Female"/>
    <s v="South"/>
    <s v="Mouse"/>
    <x v="1"/>
    <n v="21"/>
    <n v="30"/>
    <n v="3"/>
    <n v="90"/>
    <n v="10.49"/>
    <d v="2023-08-11T00:00:00"/>
    <x v="2"/>
  </r>
  <r>
    <s v="CUST0086"/>
    <s v="Male"/>
    <s v="West"/>
    <s v="Monitor"/>
    <x v="0"/>
    <n v="26"/>
    <n v="300"/>
    <n v="2"/>
    <n v="600"/>
    <n v="12.94"/>
    <d v="2023-01-02T00:00:00"/>
    <x v="3"/>
  </r>
  <r>
    <s v="CUST0087"/>
    <s v="Female"/>
    <s v="North"/>
    <s v="Laptop"/>
    <x v="0"/>
    <n v="49"/>
    <n v="1500"/>
    <n v="2"/>
    <n v="3000"/>
    <n v="11.24"/>
    <d v="2023-07-28T00:00:00"/>
    <x v="1"/>
  </r>
  <r>
    <s v="CUST0077"/>
    <s v="Female"/>
    <s v="North"/>
    <s v="Monitor"/>
    <x v="0"/>
    <n v="49"/>
    <n v="621.91212249732996"/>
    <n v="3"/>
    <n v="900"/>
    <n v="14.86"/>
    <d v="2023-04-27T00:00:00"/>
    <x v="1"/>
  </r>
  <r>
    <s v="CUST0122"/>
    <s v="Male"/>
    <s v="East"/>
    <s v="Keyboard"/>
    <x v="1"/>
    <n v="68"/>
    <n v="50"/>
    <n v="2"/>
    <n v="100"/>
    <n v="11.09"/>
    <d v="2023-08-16T00:00:00"/>
    <x v="3"/>
  </r>
  <r>
    <s v="CUST0242"/>
    <s v="Male"/>
    <s v="South"/>
    <s v="Smartwatch"/>
    <x v="2"/>
    <n v="58"/>
    <n v="200"/>
    <n v="5"/>
    <n v="1000"/>
    <n v="10.84"/>
    <d v="2023-10-22T00:00:00"/>
    <x v="1"/>
  </r>
  <r>
    <s v="CUST0079"/>
    <s v="Female"/>
    <s v="North"/>
    <s v="Laptop"/>
    <x v="0"/>
    <n v="26"/>
    <n v="1500"/>
    <n v="4"/>
    <n v="6000"/>
    <n v="5.57"/>
    <d v="2023-08-24T00:00:00"/>
    <x v="1"/>
  </r>
  <r>
    <s v="CUST0216"/>
    <s v="Male"/>
    <s v="East"/>
    <s v="Mouse"/>
    <x v="1"/>
    <n v="53"/>
    <n v="30"/>
    <n v="2"/>
    <n v="60"/>
    <n v="8.58"/>
    <d v="2023-10-27T00:00:00"/>
    <x v="0"/>
  </r>
  <r>
    <s v="CUST0016"/>
    <s v="Female"/>
    <s v="West"/>
    <s v="Keyboard"/>
    <x v="1"/>
    <n v="49"/>
    <n v="50"/>
    <n v="3"/>
    <n v="150"/>
    <n v="10.050000000000001"/>
    <d v="2023-11-26T00:00:00"/>
    <x v="1"/>
  </r>
  <r>
    <s v="CUST0196"/>
    <s v="Male"/>
    <s v="South"/>
    <s v="Smartwatch"/>
    <x v="2"/>
    <n v="37"/>
    <n v="200"/>
    <n v="2"/>
    <n v="400"/>
    <n v="18.38"/>
    <d v="2023-02-17T00:00:00"/>
    <x v="2"/>
  </r>
  <r>
    <s v="CUST0148"/>
    <s v="Male"/>
    <s v="South"/>
    <s v="Monitor"/>
    <x v="0"/>
    <n v="67"/>
    <n v="300"/>
    <n v="3"/>
    <n v="900"/>
    <n v="19.760000000000002"/>
    <d v="2023-11-09T00:00:00"/>
    <x v="2"/>
  </r>
  <r>
    <s v="CUST0295"/>
    <s v="Female"/>
    <s v="West"/>
    <s v="Mouse"/>
    <x v="1"/>
    <n v="26"/>
    <n v="30"/>
    <n v="1"/>
    <n v="30"/>
    <n v="13.87"/>
    <d v="2023-06-10T00:00:00"/>
    <x v="1"/>
  </r>
  <r>
    <s v="CUST0048"/>
    <s v="Male"/>
    <s v="East"/>
    <s v="Smartwatch"/>
    <x v="2"/>
    <n v="34"/>
    <n v="200"/>
    <n v="3"/>
    <n v="600"/>
    <n v="16.93"/>
    <d v="2023-04-13T00:00:00"/>
    <x v="1"/>
  </r>
  <r>
    <s v="CUST0115"/>
    <s v="Female"/>
    <s v="South"/>
    <s v="Mouse"/>
    <x v="1"/>
    <n v="53"/>
    <n v="30"/>
    <n v="3"/>
    <n v="90"/>
    <n v="6.18"/>
    <d v="2023-04-25T00:00:00"/>
    <x v="2"/>
  </r>
  <r>
    <s v="CUST0264"/>
    <s v="Female"/>
    <s v="East"/>
    <s v="Smartphone"/>
    <x v="0"/>
    <n v="49"/>
    <n v="800"/>
    <n v="4"/>
    <n v="3200"/>
    <n v="17.440000000000001"/>
    <d v="2023-03-03T00:00:00"/>
    <x v="2"/>
  </r>
  <r>
    <s v="CUST0216"/>
    <s v="Male"/>
    <s v="South"/>
    <s v="Monitor"/>
    <x v="0"/>
    <n v="53"/>
    <n v="300"/>
    <n v="3"/>
    <n v="900"/>
    <n v="12.14"/>
    <d v="2023-03-14T00:00:00"/>
    <x v="0"/>
  </r>
  <r>
    <s v="CUST0029"/>
    <s v="Male"/>
    <s v="South"/>
    <s v="Monitor"/>
    <x v="0"/>
    <n v="66"/>
    <n v="300"/>
    <n v="1"/>
    <n v="300"/>
    <n v="17.09"/>
    <d v="2023-04-03T00:00:00"/>
    <x v="1"/>
  </r>
  <r>
    <s v="CUST0180"/>
    <s v="Male"/>
    <s v="South"/>
    <s v="Keyboard"/>
    <x v="1"/>
    <n v="68"/>
    <n v="50"/>
    <n v="1"/>
    <n v="50"/>
    <n v="11.23"/>
    <d v="2023-04-02T00:00:00"/>
    <x v="2"/>
  </r>
  <r>
    <s v="CUST0184"/>
    <s v="Female"/>
    <s v="East"/>
    <s v="Smartphone"/>
    <x v="0"/>
    <n v="54"/>
    <n v="800"/>
    <n v="5"/>
    <n v="4000"/>
    <n v="5.41"/>
    <d v="2023-07-08T00:00:00"/>
    <x v="0"/>
  </r>
  <r>
    <s v="CUST0290"/>
    <s v="Male"/>
    <s v="Unknown"/>
    <s v="Headphones"/>
    <x v="1"/>
    <n v="37"/>
    <n v="100"/>
    <n v="5"/>
    <n v="500"/>
    <n v="6.55"/>
    <d v="2023-04-20T00:00:00"/>
    <x v="0"/>
  </r>
  <r>
    <s v="CUST0228"/>
    <s v="Female"/>
    <s v="East"/>
    <s v="Smartwatch"/>
    <x v="2"/>
    <n v="25"/>
    <n v="200"/>
    <n v="2"/>
    <n v="400"/>
    <n v="6.46"/>
    <d v="2023-10-19T00:00:00"/>
    <x v="1"/>
  </r>
  <r>
    <s v="CUST0243"/>
    <s v="Male"/>
    <s v="West"/>
    <s v="Monitor"/>
    <x v="0"/>
    <n v="58"/>
    <n v="300"/>
    <n v="4"/>
    <n v="1200"/>
    <n v="14.16"/>
    <d v="2023-05-14T00:00:00"/>
    <x v="3"/>
  </r>
  <r>
    <s v="CUST0242"/>
    <s v="Female"/>
    <s v="North"/>
    <s v="Smartwatch"/>
    <x v="2"/>
    <n v="58"/>
    <n v="200"/>
    <n v="3"/>
    <n v="600"/>
    <n v="14.74"/>
    <d v="2023-09-29T00:00:00"/>
    <x v="0"/>
  </r>
  <r>
    <s v="CUST0142"/>
    <s v="Male"/>
    <s v="South"/>
    <s v="Laptop"/>
    <x v="0"/>
    <n v="32"/>
    <n v="1500"/>
    <n v="1"/>
    <n v="1500"/>
    <n v="6.92"/>
    <d v="2023-12-26T00:00:00"/>
    <x v="1"/>
  </r>
  <r>
    <s v="CUST0131"/>
    <s v="Male"/>
    <s v="East"/>
    <s v="Mouse"/>
    <x v="1"/>
    <n v="67"/>
    <n v="30"/>
    <n v="1"/>
    <n v="30"/>
    <n v="13.84"/>
    <d v="2023-06-08T00:00:00"/>
    <x v="2"/>
  </r>
  <r>
    <s v="CUST0126"/>
    <s v="Male"/>
    <s v="North"/>
    <s v="Keyboard"/>
    <x v="1"/>
    <n v="66"/>
    <n v="50"/>
    <n v="4"/>
    <n v="200"/>
    <n v="10.69"/>
    <d v="2023-06-03T00:00:00"/>
    <x v="2"/>
  </r>
  <r>
    <s v="CUST0265"/>
    <s v="Male"/>
    <s v="West"/>
    <s v="Headphones"/>
    <x v="1"/>
    <n v="38"/>
    <n v="100"/>
    <n v="3"/>
    <n v="300"/>
    <n v="8.1999999999999993"/>
    <d v="2023-11-30T00:00:00"/>
    <x v="0"/>
  </r>
  <r>
    <s v="CUST0003"/>
    <s v="Male"/>
    <s v="North"/>
    <s v="Mouse"/>
    <x v="1"/>
    <n v="63"/>
    <n v="30"/>
    <n v="3"/>
    <n v="90"/>
    <n v="9.0399999999999991"/>
    <d v="2023-02-14T00:00:00"/>
    <x v="2"/>
  </r>
  <r>
    <s v="CUST0212"/>
    <s v="Male"/>
    <s v="West"/>
    <s v="Keyboard"/>
    <x v="1"/>
    <n v="62"/>
    <n v="50"/>
    <n v="2"/>
    <n v="100"/>
    <n v="8.68"/>
    <d v="2023-07-02T00:00:00"/>
    <x v="1"/>
  </r>
  <r>
    <s v="CUST0106"/>
    <s v="Female"/>
    <s v="West"/>
    <s v="Smartphone"/>
    <x v="0"/>
    <n v="50"/>
    <n v="800"/>
    <n v="1"/>
    <n v="800"/>
    <n v="7.34"/>
    <d v="2023-06-13T00:00:00"/>
    <x v="1"/>
  </r>
  <r>
    <s v="CUST0118"/>
    <s v="Male"/>
    <s v="West"/>
    <s v="Monitor"/>
    <x v="0"/>
    <n v="23"/>
    <n v="300"/>
    <n v="4"/>
    <n v="1200"/>
    <n v="11.76"/>
    <d v="2023-03-28T00:00:00"/>
    <x v="0"/>
  </r>
  <r>
    <s v="CUST0126"/>
    <s v="Male"/>
    <s v="East"/>
    <s v="Headphones"/>
    <x v="1"/>
    <n v="66"/>
    <n v="100"/>
    <n v="5"/>
    <n v="500"/>
    <n v="5.4"/>
    <d v="2023-12-24T00:00:00"/>
    <x v="0"/>
  </r>
  <r>
    <s v="CUST0292"/>
    <s v="Male"/>
    <s v="South"/>
    <s v="Mouse"/>
    <x v="1"/>
    <n v="21"/>
    <n v="30"/>
    <n v="4"/>
    <n v="120"/>
    <n v="13.68"/>
    <d v="2023-05-24T00:00:00"/>
    <x v="2"/>
  </r>
  <r>
    <s v="CUST0291"/>
    <s v="Female"/>
    <s v="South"/>
    <s v="Monitor"/>
    <x v="0"/>
    <n v="49"/>
    <n v="300"/>
    <n v="3"/>
    <n v="900"/>
    <n v="15.81"/>
    <d v="2023-05-21T00:00:00"/>
    <x v="1"/>
  </r>
  <r>
    <s v="CUST0085"/>
    <s v="Female"/>
    <s v="North"/>
    <s v="Keyboard"/>
    <x v="1"/>
    <n v="18"/>
    <n v="50"/>
    <n v="5"/>
    <n v="250"/>
    <n v="16"/>
    <d v="2023-01-05T00:00:00"/>
    <x v="2"/>
  </r>
  <r>
    <s v="CUST0166"/>
    <s v="Female"/>
    <s v="West"/>
    <s v="Mouse"/>
    <x v="1"/>
    <n v="29"/>
    <n v="30"/>
    <n v="4"/>
    <n v="120"/>
    <n v="11.36"/>
    <d v="2023-11-19T00:00:00"/>
    <x v="0"/>
  </r>
  <r>
    <s v="CUST0040"/>
    <s v="Female"/>
    <s v="East"/>
    <s v="Keyboard"/>
    <x v="1"/>
    <n v="49"/>
    <n v="50"/>
    <n v="5"/>
    <n v="250"/>
    <n v="10.46"/>
    <d v="2023-08-02T00:00:00"/>
    <x v="0"/>
  </r>
  <r>
    <s v="CUST0295"/>
    <s v="Male"/>
    <s v="North"/>
    <s v="Monitor"/>
    <x v="0"/>
    <n v="49"/>
    <n v="300"/>
    <n v="1"/>
    <n v="300"/>
    <n v="9.06"/>
    <d v="2023-06-16T00:00:00"/>
    <x v="0"/>
  </r>
  <r>
    <s v="CUST0059"/>
    <s v="Female"/>
    <s v="South"/>
    <s v="Mouse"/>
    <x v="1"/>
    <n v="18"/>
    <n v="30"/>
    <n v="3"/>
    <n v="90"/>
    <n v="8.3000000000000007"/>
    <d v="2023-02-06T00:00:00"/>
    <x v="3"/>
  </r>
  <r>
    <s v="CUST0281"/>
    <s v="Female"/>
    <s v="East"/>
    <s v="Headphones"/>
    <x v="1"/>
    <n v="44"/>
    <n v="100"/>
    <n v="3"/>
    <n v="300"/>
    <n v="13.94"/>
    <d v="2023-09-28T00:00:00"/>
    <x v="1"/>
  </r>
  <r>
    <s v="CUST0019"/>
    <s v="Male"/>
    <s v="South"/>
    <s v="Smartphone"/>
    <x v="0"/>
    <n v="69"/>
    <n v="800"/>
    <n v="4"/>
    <n v="3200"/>
    <n v="19.420000000000002"/>
    <d v="2023-11-07T00:00:00"/>
    <x v="2"/>
  </r>
  <r>
    <s v="CUST0004"/>
    <s v="Male"/>
    <s v="North"/>
    <s v="Keyboard"/>
    <x v="1"/>
    <n v="65"/>
    <n v="50"/>
    <n v="5"/>
    <n v="250"/>
    <n v="5.92"/>
    <d v="2023-04-04T00:00:00"/>
    <x v="0"/>
  </r>
  <r>
    <s v="CUST0279"/>
    <s v="Female"/>
    <s v="West"/>
    <s v="Smartphone"/>
    <x v="0"/>
    <n v="59"/>
    <n v="800"/>
    <n v="5"/>
    <n v="4000"/>
    <n v="15.22"/>
    <d v="2023-11-24T00:00:00"/>
    <x v="2"/>
  </r>
  <r>
    <s v="CUST0069"/>
    <s v="Female"/>
    <s v="East"/>
    <s v="Headphones"/>
    <x v="1"/>
    <n v="66"/>
    <n v="100"/>
    <n v="2"/>
    <n v="200"/>
    <n v="8.65"/>
    <d v="2023-09-19T00:00:00"/>
    <x v="1"/>
  </r>
  <r>
    <s v="CUST0004"/>
    <s v="Male"/>
    <s v="North"/>
    <s v="Monitor"/>
    <x v="0"/>
    <n v="65"/>
    <n v="300"/>
    <n v="3"/>
    <n v="900"/>
    <n v="9.31"/>
    <d v="2023-02-14T00:00:00"/>
    <x v="1"/>
  </r>
  <r>
    <s v="CUST0060"/>
    <s v="Male"/>
    <s v="South"/>
    <s v="Keyboard"/>
    <x v="1"/>
    <n v="41"/>
    <n v="50"/>
    <n v="3"/>
    <n v="150"/>
    <n v="5.55"/>
    <d v="2023-03-13T00:00:00"/>
    <x v="2"/>
  </r>
  <r>
    <s v="CUST0154"/>
    <s v="Male"/>
    <s v="North"/>
    <s v="Mouse"/>
    <x v="1"/>
    <n v="31"/>
    <n v="30"/>
    <n v="1"/>
    <n v="30"/>
    <n v="9.26"/>
    <d v="2023-08-24T00:00:00"/>
    <x v="0"/>
  </r>
  <r>
    <s v="CUST0259"/>
    <s v="Male"/>
    <s v="East"/>
    <s v="Monitor"/>
    <x v="0"/>
    <n v="59"/>
    <n v="300"/>
    <n v="3"/>
    <n v="900"/>
    <n v="19.36"/>
    <d v="2023-05-01T00:00:00"/>
    <x v="2"/>
  </r>
  <r>
    <s v="CUST0203"/>
    <s v="Female"/>
    <s v="East"/>
    <s v="Laptop"/>
    <x v="0"/>
    <n v="49"/>
    <n v="1500"/>
    <n v="5"/>
    <n v="7500"/>
    <n v="16.440000000000001"/>
    <d v="2023-09-23T00:00:00"/>
    <x v="1"/>
  </r>
  <r>
    <s v="CUST0241"/>
    <s v="Female"/>
    <s v="West"/>
    <s v="Smartphone"/>
    <x v="0"/>
    <n v="27"/>
    <n v="800"/>
    <n v="4"/>
    <n v="3200"/>
    <n v="13.94"/>
    <d v="2023-02-03T00:00:00"/>
    <x v="1"/>
  </r>
  <r>
    <s v="CUST0004"/>
    <s v="Female"/>
    <s v="West"/>
    <s v="Smartphone"/>
    <x v="0"/>
    <n v="65"/>
    <n v="800"/>
    <n v="5"/>
    <n v="4000"/>
    <n v="15.8"/>
    <d v="2023-12-29T00:00:00"/>
    <x v="0"/>
  </r>
  <r>
    <s v="CUST0031"/>
    <s v="Male"/>
    <s v="West"/>
    <s v="Smartphone"/>
    <x v="0"/>
    <n v="67"/>
    <n v="800"/>
    <n v="3"/>
    <n v="2400"/>
    <n v="7.05"/>
    <d v="2023-12-14T00:00:00"/>
    <x v="1"/>
  </r>
  <r>
    <s v="CUST0144"/>
    <s v="Male"/>
    <s v="West"/>
    <s v="Mouse"/>
    <x v="1"/>
    <n v="54"/>
    <n v="30"/>
    <n v="4"/>
    <n v="120"/>
    <n v="14.5"/>
    <d v="2023-02-13T00:00:00"/>
    <x v="2"/>
  </r>
  <r>
    <s v="CUST0031"/>
    <s v="Female"/>
    <s v="East"/>
    <s v="Mouse"/>
    <x v="1"/>
    <n v="67"/>
    <n v="30"/>
    <n v="2"/>
    <n v="60"/>
    <n v="12.54"/>
    <d v="2023-03-26T00:00:00"/>
    <x v="3"/>
  </r>
  <r>
    <s v="CUST0218"/>
    <s v="Male"/>
    <s v="East"/>
    <s v="Smartphone"/>
    <x v="0"/>
    <n v="36"/>
    <n v="800"/>
    <n v="2"/>
    <n v="1600"/>
    <n v="16.62"/>
    <d v="2023-08-03T00:00:00"/>
    <x v="1"/>
  </r>
  <r>
    <s v="CUST0234"/>
    <s v="Male"/>
    <s v="South"/>
    <s v="Laptop"/>
    <x v="0"/>
    <n v="44"/>
    <n v="1500"/>
    <n v="5"/>
    <n v="7500"/>
    <n v="18.670000000000002"/>
    <d v="2023-09-12T00:00:00"/>
    <x v="0"/>
  </r>
  <r>
    <s v="CUST0050"/>
    <s v="Female"/>
    <s v="West"/>
    <s v="Laptop"/>
    <x v="0"/>
    <n v="40"/>
    <n v="1500"/>
    <n v="1"/>
    <n v="1500"/>
    <n v="13.51"/>
    <d v="2023-07-21T00:00:00"/>
    <x v="2"/>
  </r>
  <r>
    <s v="CUST0140"/>
    <s v="Male"/>
    <s v="South"/>
    <s v="Mouse"/>
    <x v="1"/>
    <n v="50"/>
    <n v="30"/>
    <n v="3"/>
    <n v="90"/>
    <n v="12.43"/>
    <d v="2023-01-05T00:00:00"/>
    <x v="2"/>
  </r>
  <r>
    <s v="CUST0044"/>
    <s v="Male"/>
    <s v="South"/>
    <s v="Smartwatch"/>
    <x v="2"/>
    <n v="30"/>
    <n v="200"/>
    <n v="4"/>
    <n v="800"/>
    <n v="13.9"/>
    <d v="2023-06-28T00:00:00"/>
    <x v="0"/>
  </r>
  <r>
    <s v="CUST0202"/>
    <s v="Male"/>
    <s v="South"/>
    <s v="Smartwatch"/>
    <x v="2"/>
    <n v="56"/>
    <n v="200"/>
    <n v="3"/>
    <n v="600"/>
    <n v="19.03"/>
    <d v="2024-01-03T00:00:00"/>
    <x v="1"/>
  </r>
  <r>
    <s v="CUST0093"/>
    <s v="Female"/>
    <s v="North"/>
    <s v="Monitor"/>
    <x v="0"/>
    <n v="66"/>
    <n v="300"/>
    <n v="5"/>
    <n v="1500"/>
    <n v="18.920000000000002"/>
    <d v="2023-05-03T00:00:00"/>
    <x v="2"/>
  </r>
  <r>
    <s v="CUST0258"/>
    <s v="Female"/>
    <s v="West"/>
    <s v="Monitor"/>
    <x v="0"/>
    <n v="39"/>
    <n v="300"/>
    <n v="1"/>
    <n v="300"/>
    <n v="9.0399999999999991"/>
    <d v="2023-07-23T00:00:00"/>
    <x v="2"/>
  </r>
  <r>
    <s v="CUST0133"/>
    <s v="Female"/>
    <s v="East"/>
    <s v="Smartwatch"/>
    <x v="2"/>
    <n v="47"/>
    <n v="200"/>
    <n v="1"/>
    <n v="200"/>
    <n v="12.27"/>
    <d v="2023-12-13T00:00:00"/>
    <x v="1"/>
  </r>
  <r>
    <s v="CUST0271"/>
    <s v="Male"/>
    <s v="South"/>
    <s v="Keyboard"/>
    <x v="1"/>
    <n v="46"/>
    <n v="50"/>
    <n v="5"/>
    <n v="250"/>
    <n v="19.63"/>
    <d v="2023-05-22T00:00:00"/>
    <x v="1"/>
  </r>
  <r>
    <s v="CUST0121"/>
    <s v="Female"/>
    <s v="North"/>
    <s v="Keyboard"/>
    <x v="1"/>
    <n v="66"/>
    <n v="50"/>
    <n v="3"/>
    <n v="150"/>
    <n v="10.210000000000001"/>
    <d v="2023-12-12T00:00:00"/>
    <x v="0"/>
  </r>
  <r>
    <s v="CUST0028"/>
    <s v="Male"/>
    <s v="East"/>
    <s v="Monitor"/>
    <x v="0"/>
    <n v="50"/>
    <n v="300"/>
    <n v="4"/>
    <n v="1200"/>
    <n v="14.64"/>
    <d v="2023-01-28T00:00:00"/>
    <x v="1"/>
  </r>
  <r>
    <s v="CUST0125"/>
    <s v="Male"/>
    <s v="East"/>
    <s v="Smartwatch"/>
    <x v="2"/>
    <n v="49"/>
    <n v="200"/>
    <n v="3"/>
    <n v="600"/>
    <n v="6.36"/>
    <d v="2023-11-28T00:00:00"/>
    <x v="0"/>
  </r>
  <r>
    <s v="CUST0137"/>
    <s v="Female"/>
    <s v="East"/>
    <s v="Monitor"/>
    <x v="0"/>
    <n v="19"/>
    <n v="300"/>
    <n v="3"/>
    <n v="900"/>
    <n v="9.7899999999999991"/>
    <d v="2023-12-02T00:00:00"/>
    <x v="2"/>
  </r>
  <r>
    <s v="CUST0240"/>
    <s v="Male"/>
    <s v="West"/>
    <s v="Keyboard"/>
    <x v="1"/>
    <n v="39"/>
    <n v="50"/>
    <n v="1"/>
    <n v="50"/>
    <n v="6.14"/>
    <d v="2023-05-29T00:00:00"/>
    <x v="2"/>
  </r>
  <r>
    <s v="CUST0268"/>
    <s v="Male"/>
    <s v="East"/>
    <s v="Monitor"/>
    <x v="0"/>
    <n v="21"/>
    <n v="300"/>
    <n v="4"/>
    <n v="1200"/>
    <n v="10.029999999999999"/>
    <d v="2023-05-16T00:00:00"/>
    <x v="1"/>
  </r>
  <r>
    <s v="CUST0066"/>
    <s v="Female"/>
    <s v="South"/>
    <s v="Headphones"/>
    <x v="1"/>
    <n v="37"/>
    <n v="100"/>
    <n v="3"/>
    <n v="300"/>
    <n v="9.91"/>
    <d v="2023-08-01T00:00:00"/>
    <x v="1"/>
  </r>
  <r>
    <s v="CUST0068"/>
    <s v="Male"/>
    <s v="South"/>
    <s v="Mouse"/>
    <x v="1"/>
    <n v="64"/>
    <n v="30"/>
    <n v="1"/>
    <n v="30"/>
    <n v="19.22"/>
    <d v="2023-07-31T00:00:00"/>
    <x v="1"/>
  </r>
  <r>
    <s v="CUST0221"/>
    <s v="Male"/>
    <s v="North"/>
    <s v="Keyboard"/>
    <x v="1"/>
    <n v="49"/>
    <n v="50"/>
    <n v="3"/>
    <n v="150"/>
    <n v="10.81"/>
    <d v="2023-07-11T00:00:00"/>
    <x v="1"/>
  </r>
  <r>
    <s v="CUST0266"/>
    <s v="Male"/>
    <s v="North"/>
    <s v="Laptop"/>
    <x v="0"/>
    <n v="29"/>
    <n v="1500"/>
    <n v="2"/>
    <n v="3000"/>
    <n v="16.23"/>
    <d v="2023-01-26T00:00:00"/>
    <x v="2"/>
  </r>
  <r>
    <s v="CUST0129"/>
    <s v="Male"/>
    <s v="South"/>
    <s v="Smartphone"/>
    <x v="0"/>
    <n v="49"/>
    <n v="800"/>
    <n v="5"/>
    <n v="4000"/>
    <n v="15.97"/>
    <d v="2023-11-14T00:00:00"/>
    <x v="2"/>
  </r>
  <r>
    <s v="CUST0113"/>
    <s v="Male"/>
    <s v="South"/>
    <s v="Monitor"/>
    <x v="0"/>
    <n v="38"/>
    <n v="300"/>
    <n v="5"/>
    <n v="1500"/>
    <n v="19.39"/>
    <d v="2023-02-26T00:00:00"/>
    <x v="0"/>
  </r>
  <r>
    <s v="CUST0240"/>
    <s v="Male"/>
    <s v="West"/>
    <s v="Smartphone"/>
    <x v="0"/>
    <n v="39"/>
    <n v="800"/>
    <n v="3"/>
    <n v="2400"/>
    <n v="9.92"/>
    <d v="2023-07-26T00:00:00"/>
    <x v="1"/>
  </r>
  <r>
    <s v="CUST0003"/>
    <s v="Male"/>
    <s v="South"/>
    <s v="Smartwatch"/>
    <x v="2"/>
    <n v="63"/>
    <n v="200"/>
    <n v="4"/>
    <n v="800"/>
    <n v="10.23"/>
    <d v="2023-06-07T00:00:00"/>
    <x v="1"/>
  </r>
  <r>
    <s v="CUST0272"/>
    <s v="Female"/>
    <s v="South"/>
    <s v="Smartphone"/>
    <x v="0"/>
    <n v="52"/>
    <n v="800"/>
    <n v="1"/>
    <n v="800"/>
    <n v="10.65"/>
    <d v="2023-05-29T00:00:00"/>
    <x v="2"/>
  </r>
  <r>
    <s v="CUST0276"/>
    <s v="Male"/>
    <s v="South"/>
    <s v="Monitor"/>
    <x v="0"/>
    <n v="66"/>
    <n v="300"/>
    <n v="5"/>
    <n v="1500"/>
    <n v="8.06"/>
    <d v="2023-06-11T00:00:00"/>
    <x v="2"/>
  </r>
  <r>
    <s v="CUST0209"/>
    <s v="Male"/>
    <s v="North"/>
    <s v="Keyboard"/>
    <x v="1"/>
    <n v="63"/>
    <n v="50"/>
    <n v="5"/>
    <n v="250"/>
    <n v="5.88"/>
    <d v="2023-02-12T00:00:00"/>
    <x v="2"/>
  </r>
  <r>
    <s v="CUST0014"/>
    <s v="Male"/>
    <s v="South"/>
    <s v="Monitor"/>
    <x v="0"/>
    <n v="20"/>
    <n v="300"/>
    <n v="1"/>
    <n v="300"/>
    <n v="7.32"/>
    <d v="2023-12-18T00:00:00"/>
    <x v="0"/>
  </r>
  <r>
    <s v="CUST0186"/>
    <s v="Male"/>
    <s v="South"/>
    <s v="Smartphone"/>
    <x v="0"/>
    <n v="55"/>
    <n v="800"/>
    <n v="1"/>
    <n v="800"/>
    <n v="18.739999999999998"/>
    <d v="2023-07-17T00:00:00"/>
    <x v="0"/>
  </r>
  <r>
    <s v="CUST0198"/>
    <s v="Male"/>
    <s v="East"/>
    <s v="Laptop"/>
    <x v="0"/>
    <n v="56"/>
    <n v="1500"/>
    <n v="2"/>
    <n v="3000"/>
    <n v="19.05"/>
    <d v="2023-05-20T00:00:00"/>
    <x v="0"/>
  </r>
  <r>
    <s v="CUST0043"/>
    <s v="Male"/>
    <s v="North"/>
    <s v="Keyboard"/>
    <x v="1"/>
    <n v="22"/>
    <n v="50"/>
    <n v="4"/>
    <n v="200"/>
    <n v="11.99"/>
    <d v="2023-01-04T00:00:00"/>
    <x v="2"/>
  </r>
  <r>
    <s v="CUST0071"/>
    <s v="Male"/>
    <s v="East"/>
    <s v="Monitor"/>
    <x v="0"/>
    <n v="46"/>
    <n v="300"/>
    <n v="1"/>
    <n v="300"/>
    <n v="6.17"/>
    <d v="2023-12-10T00:00:00"/>
    <x v="1"/>
  </r>
  <r>
    <s v="CUST0131"/>
    <s v="Female"/>
    <s v="East"/>
    <s v="Smartphone"/>
    <x v="0"/>
    <n v="67"/>
    <n v="800"/>
    <n v="3"/>
    <n v="2400"/>
    <n v="7.3"/>
    <d v="2023-11-17T00:00:00"/>
    <x v="1"/>
  </r>
  <r>
    <s v="CUST0131"/>
    <s v="Female"/>
    <s v="North"/>
    <s v="Laptop"/>
    <x v="0"/>
    <n v="67"/>
    <n v="3109.5606124866499"/>
    <n v="4"/>
    <n v="6000"/>
    <n v="18.27"/>
    <d v="2023-08-26T00:00:00"/>
    <x v="3"/>
  </r>
  <r>
    <s v="CUST0232"/>
    <s v="Female"/>
    <s v="Unknown"/>
    <s v="Laptop"/>
    <x v="0"/>
    <n v="44"/>
    <n v="1500"/>
    <n v="1"/>
    <n v="1500"/>
    <n v="12.37"/>
    <d v="2023-02-10T00:00:00"/>
    <x v="1"/>
  </r>
  <r>
    <s v="CUST0109"/>
    <s v="Male"/>
    <s v="South"/>
    <s v="Smartwatch"/>
    <x v="2"/>
    <n v="57"/>
    <n v="200"/>
    <n v="3"/>
    <n v="600"/>
    <n v="5.88"/>
    <d v="2023-01-10T00:00:00"/>
    <x v="2"/>
  </r>
  <r>
    <s v="CUST0189"/>
    <s v="Male"/>
    <s v="North"/>
    <s v="Keyboard"/>
    <x v="1"/>
    <n v="38"/>
    <n v="50"/>
    <n v="5"/>
    <n v="250"/>
    <n v="12.92"/>
    <d v="2023-07-19T00:00:00"/>
    <x v="0"/>
  </r>
  <r>
    <s v="CUST0299"/>
    <s v="Female"/>
    <s v="South"/>
    <s v="Mouse"/>
    <x v="1"/>
    <n v="58"/>
    <n v="30"/>
    <n v="2"/>
    <n v="60"/>
    <n v="9.7100000000000009"/>
    <d v="2023-03-27T00:00:00"/>
    <x v="0"/>
  </r>
  <r>
    <s v="CUST0270"/>
    <s v="Male"/>
    <s v="Unknown"/>
    <s v="Smartwatch"/>
    <x v="2"/>
    <n v="64"/>
    <n v="200"/>
    <n v="5"/>
    <n v="1000"/>
    <n v="19"/>
    <d v="2023-08-20T00:00:00"/>
    <x v="0"/>
  </r>
  <r>
    <s v="CUST0031"/>
    <s v="Male"/>
    <s v="West"/>
    <s v="Mouse"/>
    <x v="1"/>
    <n v="67"/>
    <n v="30"/>
    <n v="3"/>
    <n v="90"/>
    <n v="7.63"/>
    <d v="2023-07-22T00:00:00"/>
    <x v="2"/>
  </r>
  <r>
    <s v="CUST0240"/>
    <s v="Male"/>
    <s v="West"/>
    <s v="Mouse"/>
    <x v="1"/>
    <n v="39"/>
    <n v="30"/>
    <n v="5"/>
    <n v="150"/>
    <n v="5.6"/>
    <d v="2023-10-10T00:00:00"/>
    <x v="0"/>
  </r>
  <r>
    <s v="CUST0176"/>
    <s v="Male"/>
    <s v="West"/>
    <s v="Keyboard"/>
    <x v="1"/>
    <n v="51"/>
    <n v="50"/>
    <n v="4"/>
    <n v="200"/>
    <n v="19.420000000000002"/>
    <d v="2023-05-30T00:00:00"/>
    <x v="1"/>
  </r>
  <r>
    <s v="CUST0252"/>
    <s v="Female"/>
    <s v="East"/>
    <s v="Smartwatch"/>
    <x v="2"/>
    <n v="55"/>
    <n v="200"/>
    <n v="5"/>
    <n v="1000"/>
    <n v="13.29"/>
    <d v="2023-10-16T00:00:00"/>
    <x v="2"/>
  </r>
  <r>
    <s v="CUST0225"/>
    <s v="Female"/>
    <s v="East"/>
    <s v="Mouse"/>
    <x v="1"/>
    <n v="49"/>
    <n v="30"/>
    <n v="3"/>
    <n v="90"/>
    <n v="15.46"/>
    <d v="2023-05-04T00:00:00"/>
    <x v="1"/>
  </r>
  <r>
    <s v="CUST0238"/>
    <s v="Male"/>
    <s v="West"/>
    <s v="Mouse"/>
    <x v="1"/>
    <n v="26"/>
    <n v="30"/>
    <n v="2"/>
    <n v="60"/>
    <n v="16.34"/>
    <d v="2023-11-02T00:00:00"/>
    <x v="0"/>
  </r>
  <r>
    <s v="CUST0276"/>
    <s v="Female"/>
    <s v="North"/>
    <s v="Headphones"/>
    <x v="1"/>
    <n v="66"/>
    <n v="100"/>
    <n v="4"/>
    <n v="400"/>
    <n v="7.41"/>
    <d v="2023-01-09T00:00:00"/>
    <x v="2"/>
  </r>
  <r>
    <s v="CUST0255"/>
    <s v="Female"/>
    <s v="West"/>
    <s v="Monitor"/>
    <x v="0"/>
    <n v="39"/>
    <n v="300"/>
    <n v="1"/>
    <n v="300"/>
    <n v="13.28"/>
    <d v="2023-02-20T00:00:00"/>
    <x v="2"/>
  </r>
  <r>
    <s v="CUST0133"/>
    <s v="Male"/>
    <s v="East"/>
    <s v="Smartphone"/>
    <x v="0"/>
    <n v="47"/>
    <n v="800"/>
    <n v="4"/>
    <n v="3200"/>
    <n v="8.8800000000000008"/>
    <d v="2023-07-31T00:00:00"/>
    <x v="1"/>
  </r>
  <r>
    <s v="CUST0097"/>
    <s v="Male"/>
    <s v="East"/>
    <s v="Smartwatch"/>
    <x v="2"/>
    <n v="34"/>
    <n v="200"/>
    <n v="3"/>
    <n v="600"/>
    <n v="5.87"/>
    <d v="2023-06-25T00:00:00"/>
    <x v="0"/>
  </r>
  <r>
    <s v="CUST0239"/>
    <s v="Male"/>
    <s v="Unknown"/>
    <s v="Headphones"/>
    <x v="1"/>
    <n v="35"/>
    <n v="100"/>
    <n v="4"/>
    <n v="400"/>
    <n v="11.97"/>
    <d v="2023-03-15T00:00:00"/>
    <x v="1"/>
  </r>
  <r>
    <s v="CUST0226"/>
    <s v="Male"/>
    <s v="West"/>
    <s v="Headphones"/>
    <x v="1"/>
    <n v="43"/>
    <n v="100"/>
    <n v="2"/>
    <n v="200"/>
    <n v="15.85"/>
    <d v="2023-10-08T00:00:00"/>
    <x v="0"/>
  </r>
  <r>
    <s v="CUST0068"/>
    <s v="Female"/>
    <s v="North"/>
    <s v="Keyboard"/>
    <x v="1"/>
    <n v="64"/>
    <n v="50"/>
    <n v="5"/>
    <n v="250"/>
    <n v="13.3"/>
    <d v="2023-07-02T00:00:00"/>
    <x v="0"/>
  </r>
  <r>
    <s v="CUST0149"/>
    <s v="Female"/>
    <s v="East"/>
    <s v="Monitor"/>
    <x v="0"/>
    <n v="40"/>
    <n v="300"/>
    <n v="4"/>
    <n v="1200"/>
    <n v="17.21"/>
    <d v="2023-07-30T00:00:00"/>
    <x v="1"/>
  </r>
  <r>
    <s v="CUST0257"/>
    <s v="Female"/>
    <s v="Unknown"/>
    <s v="Mouse"/>
    <x v="1"/>
    <n v="54"/>
    <n v="30"/>
    <n v="2"/>
    <n v="60"/>
    <n v="19.03"/>
    <d v="2023-01-11T00:00:00"/>
    <x v="1"/>
  </r>
  <r>
    <s v="CUST0299"/>
    <s v="Female"/>
    <s v="North"/>
    <s v="Smartwatch"/>
    <x v="2"/>
    <n v="58"/>
    <n v="200"/>
    <n v="4"/>
    <n v="800"/>
    <n v="9.43"/>
    <d v="2023-08-03T00:00:00"/>
    <x v="0"/>
  </r>
  <r>
    <s v="CUST0123"/>
    <s v="Male"/>
    <s v="North"/>
    <s v="Smartwatch"/>
    <x v="2"/>
    <n v="52"/>
    <n v="200"/>
    <n v="2"/>
    <n v="400"/>
    <n v="5.97"/>
    <d v="2023-09-25T00:00:00"/>
    <x v="1"/>
  </r>
  <r>
    <s v="CUST0231"/>
    <s v="Female"/>
    <s v="North"/>
    <s v="Laptop"/>
    <x v="0"/>
    <n v="49"/>
    <n v="1500"/>
    <n v="5"/>
    <n v="7500"/>
    <n v="5.1100000000000003"/>
    <d v="2023-11-30T00:00:00"/>
    <x v="0"/>
  </r>
  <r>
    <s v="CUST0217"/>
    <s v="Male"/>
    <s v="South"/>
    <s v="Mouse"/>
    <x v="1"/>
    <n v="18"/>
    <n v="30"/>
    <n v="3"/>
    <n v="90"/>
    <n v="11.7"/>
    <d v="2023-10-20T00:00:00"/>
    <x v="3"/>
  </r>
  <r>
    <s v="CUST0142"/>
    <s v="Male"/>
    <s v="East"/>
    <s v="Headphones"/>
    <x v="1"/>
    <n v="32"/>
    <n v="100"/>
    <n v="5"/>
    <n v="500"/>
    <n v="12.38"/>
    <d v="2023-01-01T00:00:00"/>
    <x v="0"/>
  </r>
  <r>
    <s v="CUST0200"/>
    <s v="Female"/>
    <s v="North"/>
    <s v="Smartphone"/>
    <x v="0"/>
    <n v="68"/>
    <n v="800"/>
    <n v="4"/>
    <n v="3200"/>
    <n v="17.32"/>
    <d v="2023-08-05T00:00:00"/>
    <x v="0"/>
  </r>
  <r>
    <s v="CUST0079"/>
    <s v="Male"/>
    <s v="West"/>
    <s v="Smartwatch"/>
    <x v="2"/>
    <n v="26"/>
    <n v="200"/>
    <n v="2"/>
    <n v="400"/>
    <n v="7.14"/>
    <d v="2023-01-04T00:00:00"/>
    <x v="0"/>
  </r>
  <r>
    <s v="CUST0201"/>
    <s v="Female"/>
    <s v="South"/>
    <s v="Headphones"/>
    <x v="1"/>
    <n v="49"/>
    <n v="100"/>
    <n v="1"/>
    <n v="100"/>
    <n v="17.21"/>
    <d v="2023-01-05T00:00:00"/>
    <x v="1"/>
  </r>
  <r>
    <s v="CUST0133"/>
    <s v="Male"/>
    <s v="East"/>
    <s v="Laptop"/>
    <x v="0"/>
    <n v="47"/>
    <n v="1500"/>
    <n v="1"/>
    <n v="1500"/>
    <n v="19.190000000000001"/>
    <d v="2023-04-01T00:00:00"/>
    <x v="2"/>
  </r>
  <r>
    <s v="CUST0055"/>
    <s v="Female"/>
    <s v="North"/>
    <s v="Mouse"/>
    <x v="1"/>
    <n v="49"/>
    <n v="30"/>
    <n v="5"/>
    <n v="150"/>
    <n v="19.350000000000001"/>
    <d v="2023-10-20T00:00:00"/>
    <x v="2"/>
  </r>
  <r>
    <s v="CUST0023"/>
    <s v="Female"/>
    <s v="South"/>
    <s v="Laptop"/>
    <x v="0"/>
    <n v="29"/>
    <n v="1500"/>
    <n v="5"/>
    <n v="7500"/>
    <n v="10.36"/>
    <d v="2023-01-07T00:00:00"/>
    <x v="0"/>
  </r>
  <r>
    <s v="CUST0040"/>
    <s v="Male"/>
    <s v="Unknown"/>
    <s v="Smartwatch"/>
    <x v="2"/>
    <n v="29"/>
    <n v="200"/>
    <n v="1"/>
    <n v="200"/>
    <n v="7.53"/>
    <d v="2023-01-30T00:0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7C39A7-9089-414C-A128-8447FE512D9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4" firstHeaderRow="1" firstDataRow="1" firstDataCol="1" rowPageCount="1" colPageCount="1"/>
  <pivotFields count="12">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numFmtId="14" showAll="0"/>
    <pivotField axis="axisPage" multipleItemSelectionAllowed="1" showAll="0">
      <items count="5">
        <item h="1" x="2"/>
        <item h="1" x="1"/>
        <item x="0"/>
        <item h="1" x="3"/>
        <item t="default"/>
      </items>
    </pivotField>
  </pivotFields>
  <rowFields count="1">
    <field x="4"/>
  </rowFields>
  <rowItems count="4">
    <i>
      <x/>
    </i>
    <i>
      <x v="1"/>
    </i>
    <i>
      <x v="2"/>
    </i>
    <i t="grand">
      <x/>
    </i>
  </rowItems>
  <colItems count="1">
    <i/>
  </colItems>
  <pageFields count="1">
    <pageField fld="1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C97864-3E89-4DB7-A98F-F7B77907274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2">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numFmtId="14" showAll="0"/>
    <pivotField showAll="0"/>
  </pivotFields>
  <rowFields count="1">
    <field x="4"/>
  </rowFields>
  <rowItems count="4">
    <i>
      <x/>
    </i>
    <i>
      <x v="1"/>
    </i>
    <i>
      <x v="2"/>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40534-4E01-4AB8-BA6A-8DF27B67D643}">
  <dimension ref="A1:L1001"/>
  <sheetViews>
    <sheetView workbookViewId="0">
      <selection sqref="A1:L1001"/>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tr">
        <f>IF(ISBLANK('[1]2.Diagnostic Analysis'!C2),"Unknown",'[1]2.Diagnostic Analysis'!C2)</f>
        <v>North</v>
      </c>
      <c r="D2" t="s">
        <v>14</v>
      </c>
      <c r="E2" t="s">
        <v>15</v>
      </c>
      <c r="F2">
        <f>IF(ISBLANK('[1]2.Diagnostic Analysis'!D2),'[1]2.Diagnostic Analysis'!$Q$3,'[1]2.Diagnostic Analysis'!D2)</f>
        <v>49</v>
      </c>
      <c r="G2">
        <v>300</v>
      </c>
      <c r="H2">
        <v>5</v>
      </c>
      <c r="I2">
        <v>1500</v>
      </c>
      <c r="J2">
        <v>13.31</v>
      </c>
      <c r="K2" s="2">
        <v>45268</v>
      </c>
      <c r="L2" t="str">
        <f>IF(ISBLANK('[1]2.Diagnostic Analysis'!K2),"Unknown",'[1]2.Diagnostic Analysis'!K2)</f>
        <v>Returned</v>
      </c>
    </row>
    <row r="3" spans="1:12" x14ac:dyDescent="0.25">
      <c r="A3" t="s">
        <v>16</v>
      </c>
      <c r="B3" t="s">
        <v>13</v>
      </c>
      <c r="C3" t="str">
        <f>IF(ISBLANK('[1]2.Diagnostic Analysis'!C3),"Unknown",'[1]2.Diagnostic Analysis'!C3)</f>
        <v>West</v>
      </c>
      <c r="D3" t="s">
        <v>17</v>
      </c>
      <c r="E3" t="s">
        <v>18</v>
      </c>
      <c r="F3">
        <f>IF(ISBLANK('[1]2.Diagnostic Analysis'!D3),'[1]2.Diagnostic Analysis'!$Q$3,'[1]2.Diagnostic Analysis'!D3)</f>
        <v>22</v>
      </c>
      <c r="G3">
        <v>100</v>
      </c>
      <c r="H3">
        <v>2</v>
      </c>
      <c r="I3">
        <v>200</v>
      </c>
      <c r="J3">
        <v>6.93</v>
      </c>
      <c r="K3" s="2">
        <v>45025</v>
      </c>
      <c r="L3" t="str">
        <f>IF(ISBLANK('[1]2.Diagnostic Analysis'!K3),"Unknown",'[1]2.Diagnostic Analysis'!K3)</f>
        <v>In Transit</v>
      </c>
    </row>
    <row r="4" spans="1:12" x14ac:dyDescent="0.25">
      <c r="A4" t="s">
        <v>19</v>
      </c>
      <c r="B4" t="s">
        <v>20</v>
      </c>
      <c r="C4" t="str">
        <f>IF(ISBLANK('[1]2.Diagnostic Analysis'!C4),"Unknown",'[1]2.Diagnostic Analysis'!C4)</f>
        <v>South</v>
      </c>
      <c r="D4" t="s">
        <v>14</v>
      </c>
      <c r="E4" t="s">
        <v>15</v>
      </c>
      <c r="F4">
        <f>IF(ISBLANK('[1]2.Diagnostic Analysis'!D4),'[1]2.Diagnostic Analysis'!$Q$3,'[1]2.Diagnostic Analysis'!D4)</f>
        <v>54</v>
      </c>
      <c r="G4">
        <v>300</v>
      </c>
      <c r="H4">
        <v>1</v>
      </c>
      <c r="I4">
        <v>300</v>
      </c>
      <c r="J4">
        <v>11.31</v>
      </c>
      <c r="K4" s="2">
        <v>45166</v>
      </c>
      <c r="L4" t="str">
        <f>IF(ISBLANK('[1]2.Diagnostic Analysis'!K4),"Unknown",'[1]2.Diagnostic Analysis'!K4)</f>
        <v>Returned</v>
      </c>
    </row>
    <row r="5" spans="1:12" x14ac:dyDescent="0.25">
      <c r="A5" t="s">
        <v>21</v>
      </c>
      <c r="B5" t="s">
        <v>13</v>
      </c>
      <c r="C5" t="str">
        <f>IF(ISBLANK('[1]2.Diagnostic Analysis'!C5),"Unknown",'[1]2.Diagnostic Analysis'!C5)</f>
        <v>North</v>
      </c>
      <c r="D5" t="s">
        <v>17</v>
      </c>
      <c r="E5" t="s">
        <v>18</v>
      </c>
      <c r="F5">
        <f>IF(ISBLANK('[1]2.Diagnostic Analysis'!D5),'[1]2.Diagnostic Analysis'!$Q$3,'[1]2.Diagnostic Analysis'!D5)</f>
        <v>23</v>
      </c>
      <c r="G5">
        <v>100</v>
      </c>
      <c r="H5">
        <v>5</v>
      </c>
      <c r="I5">
        <v>500</v>
      </c>
      <c r="J5">
        <v>12.22</v>
      </c>
      <c r="K5" s="2">
        <v>44944</v>
      </c>
      <c r="L5" t="str">
        <f>IF(ISBLANK('[1]2.Diagnostic Analysis'!K5),"Unknown",'[1]2.Diagnostic Analysis'!K5)</f>
        <v>Delivered</v>
      </c>
    </row>
    <row r="6" spans="1:12" x14ac:dyDescent="0.25">
      <c r="A6" t="s">
        <v>22</v>
      </c>
      <c r="B6" t="s">
        <v>20</v>
      </c>
      <c r="C6" t="str">
        <f>IF(ISBLANK('[1]2.Diagnostic Analysis'!C6),"Unknown",'[1]2.Diagnostic Analysis'!C6)</f>
        <v>South</v>
      </c>
      <c r="D6" t="s">
        <v>23</v>
      </c>
      <c r="E6" t="s">
        <v>15</v>
      </c>
      <c r="F6">
        <f>IF(ISBLANK('[1]2.Diagnostic Analysis'!D6),'[1]2.Diagnostic Analysis'!$Q$3,'[1]2.Diagnostic Analysis'!D6)</f>
        <v>49</v>
      </c>
      <c r="G6">
        <v>1500</v>
      </c>
      <c r="H6">
        <v>3</v>
      </c>
      <c r="I6">
        <v>4500</v>
      </c>
      <c r="J6">
        <v>5.4</v>
      </c>
      <c r="K6" s="2">
        <v>44945</v>
      </c>
      <c r="L6" t="str">
        <f>IF(ISBLANK('[1]2.Diagnostic Analysis'!K6),"Unknown",'[1]2.Diagnostic Analysis'!K6)</f>
        <v>Delivered</v>
      </c>
    </row>
    <row r="7" spans="1:12" x14ac:dyDescent="0.25">
      <c r="A7" t="s">
        <v>24</v>
      </c>
      <c r="B7" t="s">
        <v>13</v>
      </c>
      <c r="C7" t="str">
        <f>IF(ISBLANK('[1]2.Diagnostic Analysis'!C7),"Unknown",'[1]2.Diagnostic Analysis'!C7)</f>
        <v>North</v>
      </c>
      <c r="D7" t="s">
        <v>25</v>
      </c>
      <c r="E7" t="s">
        <v>26</v>
      </c>
      <c r="F7">
        <f>IF(ISBLANK('[1]2.Diagnostic Analysis'!D7),'[1]2.Diagnostic Analysis'!$Q$3,'[1]2.Diagnostic Analysis'!D7)</f>
        <v>64</v>
      </c>
      <c r="G7">
        <v>200</v>
      </c>
      <c r="H7">
        <v>2</v>
      </c>
      <c r="I7">
        <v>400</v>
      </c>
      <c r="J7">
        <v>11.26</v>
      </c>
      <c r="K7" s="2">
        <v>44937</v>
      </c>
      <c r="L7" t="str">
        <f>IF(ISBLANK('[1]2.Diagnostic Analysis'!K7),"Unknown",'[1]2.Diagnostic Analysis'!K7)</f>
        <v>In Transit</v>
      </c>
    </row>
    <row r="8" spans="1:12" x14ac:dyDescent="0.25">
      <c r="A8" t="s">
        <v>27</v>
      </c>
      <c r="B8" t="s">
        <v>13</v>
      </c>
      <c r="C8" t="str">
        <f>IF(ISBLANK('[1]2.Diagnostic Analysis'!C8),"Unknown",'[1]2.Diagnostic Analysis'!C8)</f>
        <v>East</v>
      </c>
      <c r="D8" t="s">
        <v>25</v>
      </c>
      <c r="E8" t="s">
        <v>26</v>
      </c>
      <c r="F8">
        <f>IF(ISBLANK('[1]2.Diagnostic Analysis'!D8),'[1]2.Diagnostic Analysis'!$Q$3,'[1]2.Diagnostic Analysis'!D8)</f>
        <v>27</v>
      </c>
      <c r="G8">
        <v>200</v>
      </c>
      <c r="H8">
        <v>1</v>
      </c>
      <c r="I8">
        <v>200</v>
      </c>
      <c r="J8">
        <v>18.38</v>
      </c>
      <c r="K8" s="2">
        <v>45222</v>
      </c>
      <c r="L8" t="str">
        <f>IF(ISBLANK('[1]2.Diagnostic Analysis'!K8),"Unknown",'[1]2.Diagnostic Analysis'!K8)</f>
        <v>In Transit</v>
      </c>
    </row>
    <row r="9" spans="1:12" x14ac:dyDescent="0.25">
      <c r="A9" t="s">
        <v>28</v>
      </c>
      <c r="B9" t="s">
        <v>20</v>
      </c>
      <c r="C9" t="str">
        <f>IF(ISBLANK('[1]2.Diagnostic Analysis'!C9),"Unknown",'[1]2.Diagnostic Analysis'!C9)</f>
        <v>South</v>
      </c>
      <c r="D9" t="s">
        <v>29</v>
      </c>
      <c r="E9" t="s">
        <v>18</v>
      </c>
      <c r="F9">
        <f>IF(ISBLANK('[1]2.Diagnostic Analysis'!D9),'[1]2.Diagnostic Analysis'!$Q$3,'[1]2.Diagnostic Analysis'!D9)</f>
        <v>18</v>
      </c>
      <c r="G9">
        <v>50</v>
      </c>
      <c r="H9">
        <v>2</v>
      </c>
      <c r="I9">
        <v>100</v>
      </c>
      <c r="J9">
        <v>15.08</v>
      </c>
      <c r="K9" s="2">
        <v>45092</v>
      </c>
      <c r="L9" t="str">
        <f>IF(ISBLANK('[1]2.Diagnostic Analysis'!K9),"Unknown",'[1]2.Diagnostic Analysis'!K9)</f>
        <v>Returned</v>
      </c>
    </row>
    <row r="10" spans="1:12" x14ac:dyDescent="0.25">
      <c r="A10" t="s">
        <v>16</v>
      </c>
      <c r="B10" t="s">
        <v>20</v>
      </c>
      <c r="C10" t="str">
        <f>IF(ISBLANK('[1]2.Diagnostic Analysis'!C10),"Unknown",'[1]2.Diagnostic Analysis'!C10)</f>
        <v>East</v>
      </c>
      <c r="D10" t="s">
        <v>30</v>
      </c>
      <c r="E10" t="s">
        <v>18</v>
      </c>
      <c r="F10">
        <f>IF(ISBLANK('[1]2.Diagnostic Analysis'!D10),'[1]2.Diagnostic Analysis'!$Q$3,'[1]2.Diagnostic Analysis'!D10)</f>
        <v>22</v>
      </c>
      <c r="G10">
        <v>30</v>
      </c>
      <c r="H10">
        <v>1</v>
      </c>
      <c r="I10">
        <v>30</v>
      </c>
      <c r="J10">
        <v>8.2200000000000006</v>
      </c>
      <c r="K10" s="2">
        <v>44982</v>
      </c>
      <c r="L10" t="str">
        <f>IF(ISBLANK('[1]2.Diagnostic Analysis'!K10),"Unknown",'[1]2.Diagnostic Analysis'!K10)</f>
        <v>Returned</v>
      </c>
    </row>
    <row r="11" spans="1:12" x14ac:dyDescent="0.25">
      <c r="A11" t="s">
        <v>31</v>
      </c>
      <c r="B11" t="s">
        <v>13</v>
      </c>
      <c r="C11" t="str">
        <f>IF(ISBLANK('[1]2.Diagnostic Analysis'!C11),"Unknown",'[1]2.Diagnostic Analysis'!C11)</f>
        <v>West</v>
      </c>
      <c r="D11" t="s">
        <v>17</v>
      </c>
      <c r="E11" t="s">
        <v>18</v>
      </c>
      <c r="F11">
        <f>IF(ISBLANK('[1]2.Diagnostic Analysis'!D11),'[1]2.Diagnostic Analysis'!$Q$3,'[1]2.Diagnostic Analysis'!D11)</f>
        <v>29</v>
      </c>
      <c r="G11">
        <v>100</v>
      </c>
      <c r="H11">
        <v>3</v>
      </c>
      <c r="I11">
        <v>300</v>
      </c>
      <c r="J11">
        <v>10.7</v>
      </c>
      <c r="K11" s="2">
        <v>45039</v>
      </c>
      <c r="L11" t="str">
        <f>IF(ISBLANK('[1]2.Diagnostic Analysis'!K11),"Unknown",'[1]2.Diagnostic Analysis'!K11)</f>
        <v>Delivered</v>
      </c>
    </row>
    <row r="12" spans="1:12" x14ac:dyDescent="0.25">
      <c r="A12" t="s">
        <v>32</v>
      </c>
      <c r="B12" t="s">
        <v>20</v>
      </c>
      <c r="C12" t="str">
        <f>IF(ISBLANK('[1]2.Diagnostic Analysis'!C12),"Unknown",'[1]2.Diagnostic Analysis'!C12)</f>
        <v>East</v>
      </c>
      <c r="D12" t="s">
        <v>17</v>
      </c>
      <c r="E12" t="s">
        <v>18</v>
      </c>
      <c r="F12">
        <f>IF(ISBLANK('[1]2.Diagnostic Analysis'!D12),'[1]2.Diagnostic Analysis'!$Q$3,'[1]2.Diagnostic Analysis'!D12)</f>
        <v>49</v>
      </c>
      <c r="G12">
        <v>100</v>
      </c>
      <c r="H12">
        <v>2</v>
      </c>
      <c r="I12">
        <v>200</v>
      </c>
      <c r="J12">
        <v>9.8000000000000007</v>
      </c>
      <c r="K12" s="2">
        <v>45078</v>
      </c>
      <c r="L12" t="str">
        <f>IF(ISBLANK('[1]2.Diagnostic Analysis'!K12),"Unknown",'[1]2.Diagnostic Analysis'!K12)</f>
        <v>Returned</v>
      </c>
    </row>
    <row r="13" spans="1:12" x14ac:dyDescent="0.25">
      <c r="A13" t="s">
        <v>33</v>
      </c>
      <c r="B13" t="s">
        <v>20</v>
      </c>
      <c r="C13" t="str">
        <f>IF(ISBLANK('[1]2.Diagnostic Analysis'!C13),"Unknown",'[1]2.Diagnostic Analysis'!C13)</f>
        <v>West</v>
      </c>
      <c r="D13" t="s">
        <v>30</v>
      </c>
      <c r="E13" t="s">
        <v>18</v>
      </c>
      <c r="F13">
        <f>IF(ISBLANK('[1]2.Diagnostic Analysis'!D13),'[1]2.Diagnostic Analysis'!$Q$3,'[1]2.Diagnostic Analysis'!D13)</f>
        <v>67</v>
      </c>
      <c r="G13">
        <v>30</v>
      </c>
      <c r="H13">
        <v>3</v>
      </c>
      <c r="I13">
        <v>90</v>
      </c>
      <c r="J13">
        <v>5.65</v>
      </c>
      <c r="K13" s="2">
        <v>45182</v>
      </c>
      <c r="L13" t="str">
        <f>IF(ISBLANK('[1]2.Diagnostic Analysis'!K13),"Unknown",'[1]2.Diagnostic Analysis'!K13)</f>
        <v>In Transit</v>
      </c>
    </row>
    <row r="14" spans="1:12" x14ac:dyDescent="0.25">
      <c r="A14" t="s">
        <v>34</v>
      </c>
      <c r="B14" t="s">
        <v>20</v>
      </c>
      <c r="C14" t="str">
        <f>IF(ISBLANK('[1]2.Diagnostic Analysis'!C14),"Unknown",'[1]2.Diagnostic Analysis'!C14)</f>
        <v>West</v>
      </c>
      <c r="D14" t="s">
        <v>29</v>
      </c>
      <c r="E14" t="s">
        <v>18</v>
      </c>
      <c r="F14">
        <f>IF(ISBLANK('[1]2.Diagnostic Analysis'!D14),'[1]2.Diagnostic Analysis'!$Q$3,'[1]2.Diagnostic Analysis'!D14)</f>
        <v>41</v>
      </c>
      <c r="G14">
        <v>50</v>
      </c>
      <c r="H14">
        <v>5</v>
      </c>
      <c r="I14">
        <v>250</v>
      </c>
      <c r="J14">
        <v>7.13</v>
      </c>
      <c r="K14" s="2">
        <v>44974</v>
      </c>
      <c r="L14" t="str">
        <f>IF(ISBLANK('[1]2.Diagnostic Analysis'!K14),"Unknown",'[1]2.Diagnostic Analysis'!K14)</f>
        <v>Delivered</v>
      </c>
    </row>
    <row r="15" spans="1:12" x14ac:dyDescent="0.25">
      <c r="A15" t="s">
        <v>35</v>
      </c>
      <c r="B15" t="s">
        <v>13</v>
      </c>
      <c r="C15" t="str">
        <f>IF(ISBLANK('[1]2.Diagnostic Analysis'!C15),"Unknown",'[1]2.Diagnostic Analysis'!C15)</f>
        <v>South</v>
      </c>
      <c r="D15" t="s">
        <v>29</v>
      </c>
      <c r="E15" t="s">
        <v>18</v>
      </c>
      <c r="F15">
        <f>IF(ISBLANK('[1]2.Diagnostic Analysis'!D15),'[1]2.Diagnostic Analysis'!$Q$3,'[1]2.Diagnostic Analysis'!D15)</f>
        <v>60</v>
      </c>
      <c r="G15">
        <v>50</v>
      </c>
      <c r="H15">
        <v>4</v>
      </c>
      <c r="I15">
        <v>200</v>
      </c>
      <c r="J15">
        <v>10.91</v>
      </c>
      <c r="K15" s="2">
        <v>45270</v>
      </c>
      <c r="L15" t="str">
        <f>IF(ISBLANK('[1]2.Diagnostic Analysis'!K15),"Unknown",'[1]2.Diagnostic Analysis'!K15)</f>
        <v>Returned</v>
      </c>
    </row>
    <row r="16" spans="1:12" x14ac:dyDescent="0.25">
      <c r="A16" t="s">
        <v>36</v>
      </c>
      <c r="B16" t="s">
        <v>13</v>
      </c>
      <c r="C16" t="str">
        <f>IF(ISBLANK('[1]2.Diagnostic Analysis'!C16),"Unknown",'[1]2.Diagnostic Analysis'!C16)</f>
        <v>West</v>
      </c>
      <c r="D16" t="s">
        <v>30</v>
      </c>
      <c r="E16" t="s">
        <v>18</v>
      </c>
      <c r="F16">
        <f>IF(ISBLANK('[1]2.Diagnostic Analysis'!D16),'[1]2.Diagnostic Analysis'!$Q$3,'[1]2.Diagnostic Analysis'!D16)</f>
        <v>66</v>
      </c>
      <c r="G16">
        <v>30</v>
      </c>
      <c r="H16">
        <v>1</v>
      </c>
      <c r="I16">
        <v>30</v>
      </c>
      <c r="J16">
        <v>11.36</v>
      </c>
      <c r="K16" s="2">
        <v>45106</v>
      </c>
      <c r="L16" t="str">
        <f>IF(ISBLANK('[1]2.Diagnostic Analysis'!K16),"Unknown",'[1]2.Diagnostic Analysis'!K16)</f>
        <v>In Transit</v>
      </c>
    </row>
    <row r="17" spans="1:12" x14ac:dyDescent="0.25">
      <c r="A17" t="s">
        <v>37</v>
      </c>
      <c r="B17" t="s">
        <v>20</v>
      </c>
      <c r="C17" t="str">
        <f>IF(ISBLANK('[1]2.Diagnostic Analysis'!C17),"Unknown",'[1]2.Diagnostic Analysis'!C17)</f>
        <v>Unknown</v>
      </c>
      <c r="D17" t="s">
        <v>25</v>
      </c>
      <c r="E17" t="s">
        <v>26</v>
      </c>
      <c r="F17">
        <f>IF(ISBLANK('[1]2.Diagnostic Analysis'!D17),'[1]2.Diagnostic Analysis'!$Q$3,'[1]2.Diagnostic Analysis'!D17)</f>
        <v>36</v>
      </c>
      <c r="G17">
        <v>200</v>
      </c>
      <c r="H17">
        <v>3</v>
      </c>
      <c r="I17">
        <v>600</v>
      </c>
      <c r="J17">
        <v>7.89</v>
      </c>
      <c r="K17" s="2">
        <v>45121</v>
      </c>
      <c r="L17" t="str">
        <f>IF(ISBLANK('[1]2.Diagnostic Analysis'!K17),"Unknown",'[1]2.Diagnostic Analysis'!K17)</f>
        <v>Delivered</v>
      </c>
    </row>
    <row r="18" spans="1:12" x14ac:dyDescent="0.25">
      <c r="A18" t="s">
        <v>38</v>
      </c>
      <c r="B18" t="s">
        <v>13</v>
      </c>
      <c r="C18" t="str">
        <f>IF(ISBLANK('[1]2.Diagnostic Analysis'!C18),"Unknown",'[1]2.Diagnostic Analysis'!C18)</f>
        <v>North</v>
      </c>
      <c r="D18" t="s">
        <v>23</v>
      </c>
      <c r="E18" t="s">
        <v>15</v>
      </c>
      <c r="F18">
        <f>IF(ISBLANK('[1]2.Diagnostic Analysis'!D18),'[1]2.Diagnostic Analysis'!$Q$3,'[1]2.Diagnostic Analysis'!D18)</f>
        <v>57</v>
      </c>
      <c r="G18">
        <v>1500</v>
      </c>
      <c r="H18">
        <v>4</v>
      </c>
      <c r="I18">
        <v>6000</v>
      </c>
      <c r="J18">
        <v>10.92</v>
      </c>
      <c r="K18" s="2">
        <v>45059</v>
      </c>
      <c r="L18" t="str">
        <f>IF(ISBLANK('[1]2.Diagnostic Analysis'!K18),"Unknown",'[1]2.Diagnostic Analysis'!K18)</f>
        <v>In Transit</v>
      </c>
    </row>
    <row r="19" spans="1:12" x14ac:dyDescent="0.25">
      <c r="A19" t="s">
        <v>39</v>
      </c>
      <c r="B19" t="s">
        <v>13</v>
      </c>
      <c r="C19" t="str">
        <f>IF(ISBLANK('[1]2.Diagnostic Analysis'!C19),"Unknown",'[1]2.Diagnostic Analysis'!C19)</f>
        <v>South</v>
      </c>
      <c r="D19" t="s">
        <v>40</v>
      </c>
      <c r="E19" t="s">
        <v>15</v>
      </c>
      <c r="F19">
        <f>IF(ISBLANK('[1]2.Diagnostic Analysis'!D19),'[1]2.Diagnostic Analysis'!$Q$3,'[1]2.Diagnostic Analysis'!D19)</f>
        <v>30</v>
      </c>
      <c r="G19">
        <v>800</v>
      </c>
      <c r="H19">
        <v>2</v>
      </c>
      <c r="I19">
        <v>1600</v>
      </c>
      <c r="J19">
        <v>11.44</v>
      </c>
      <c r="K19" s="2">
        <v>45086</v>
      </c>
      <c r="L19" t="str">
        <f>IF(ISBLANK('[1]2.Diagnostic Analysis'!K19),"Unknown",'[1]2.Diagnostic Analysis'!K19)</f>
        <v>Returned</v>
      </c>
    </row>
    <row r="20" spans="1:12" x14ac:dyDescent="0.25">
      <c r="A20" t="s">
        <v>41</v>
      </c>
      <c r="B20" t="s">
        <v>20</v>
      </c>
      <c r="C20" t="str">
        <f>IF(ISBLANK('[1]2.Diagnostic Analysis'!C20),"Unknown",'[1]2.Diagnostic Analysis'!C20)</f>
        <v>East</v>
      </c>
      <c r="D20" t="s">
        <v>25</v>
      </c>
      <c r="E20" t="s">
        <v>26</v>
      </c>
      <c r="F20">
        <f>IF(ISBLANK('[1]2.Diagnostic Analysis'!D20),'[1]2.Diagnostic Analysis'!$Q$3,'[1]2.Diagnostic Analysis'!D20)</f>
        <v>32</v>
      </c>
      <c r="G20">
        <v>200</v>
      </c>
      <c r="H20">
        <v>5</v>
      </c>
      <c r="I20">
        <v>1000</v>
      </c>
      <c r="J20">
        <v>7.16</v>
      </c>
      <c r="K20" s="2">
        <v>45098</v>
      </c>
      <c r="L20" t="str">
        <f>IF(ISBLANK('[1]2.Diagnostic Analysis'!K20),"Unknown",'[1]2.Diagnostic Analysis'!K20)</f>
        <v>In Transit</v>
      </c>
    </row>
    <row r="21" spans="1:12" x14ac:dyDescent="0.25">
      <c r="A21" t="s">
        <v>42</v>
      </c>
      <c r="B21" t="s">
        <v>20</v>
      </c>
      <c r="C21" t="str">
        <f>IF(ISBLANK('[1]2.Diagnostic Analysis'!C21),"Unknown",'[1]2.Diagnostic Analysis'!C21)</f>
        <v>West</v>
      </c>
      <c r="D21" t="s">
        <v>14</v>
      </c>
      <c r="E21" t="s">
        <v>15</v>
      </c>
      <c r="F21">
        <f>IF(ISBLANK('[1]2.Diagnostic Analysis'!D21),'[1]2.Diagnostic Analysis'!$Q$3,'[1]2.Diagnostic Analysis'!D21)</f>
        <v>59</v>
      </c>
      <c r="G21">
        <v>300</v>
      </c>
      <c r="H21">
        <v>4</v>
      </c>
      <c r="I21">
        <v>1200</v>
      </c>
      <c r="J21">
        <v>17.37</v>
      </c>
      <c r="K21" s="2">
        <v>45256</v>
      </c>
      <c r="L21" t="str">
        <f>IF(ISBLANK('[1]2.Diagnostic Analysis'!K21),"Unknown",'[1]2.Diagnostic Analysis'!K21)</f>
        <v>In Transit</v>
      </c>
    </row>
    <row r="22" spans="1:12" x14ac:dyDescent="0.25">
      <c r="A22" t="s">
        <v>33</v>
      </c>
      <c r="B22" t="s">
        <v>20</v>
      </c>
      <c r="C22" t="str">
        <f>IF(ISBLANK('[1]2.Diagnostic Analysis'!C22),"Unknown",'[1]2.Diagnostic Analysis'!C22)</f>
        <v>East</v>
      </c>
      <c r="D22" t="s">
        <v>40</v>
      </c>
      <c r="E22" t="s">
        <v>15</v>
      </c>
      <c r="F22">
        <f>IF(ISBLANK('[1]2.Diagnostic Analysis'!D22),'[1]2.Diagnostic Analysis'!$Q$3,'[1]2.Diagnostic Analysis'!D22)</f>
        <v>67</v>
      </c>
      <c r="G22">
        <v>800</v>
      </c>
      <c r="H22">
        <v>5</v>
      </c>
      <c r="I22">
        <v>4000</v>
      </c>
      <c r="J22">
        <v>12.17</v>
      </c>
      <c r="K22" s="2">
        <v>45238</v>
      </c>
      <c r="L22" t="str">
        <f>IF(ISBLANK('[1]2.Diagnostic Analysis'!K22),"Unknown",'[1]2.Diagnostic Analysis'!K22)</f>
        <v>Delivered</v>
      </c>
    </row>
    <row r="23" spans="1:12" x14ac:dyDescent="0.25">
      <c r="A23" t="s">
        <v>43</v>
      </c>
      <c r="B23" t="s">
        <v>20</v>
      </c>
      <c r="C23" t="str">
        <f>IF(ISBLANK('[1]2.Diagnostic Analysis'!C23),"Unknown",'[1]2.Diagnostic Analysis'!C23)</f>
        <v>South</v>
      </c>
      <c r="D23" t="s">
        <v>30</v>
      </c>
      <c r="E23" t="s">
        <v>18</v>
      </c>
      <c r="F23">
        <f>IF(ISBLANK('[1]2.Diagnostic Analysis'!D23),'[1]2.Diagnostic Analysis'!$Q$3,'[1]2.Diagnostic Analysis'!D23)</f>
        <v>37</v>
      </c>
      <c r="G23">
        <v>30</v>
      </c>
      <c r="H23">
        <v>3</v>
      </c>
      <c r="I23">
        <v>90</v>
      </c>
      <c r="J23">
        <v>19.41</v>
      </c>
      <c r="K23" s="2">
        <v>45287</v>
      </c>
      <c r="L23" t="str">
        <f>IF(ISBLANK('[1]2.Diagnostic Analysis'!K23),"Unknown",'[1]2.Diagnostic Analysis'!K23)</f>
        <v>Returned</v>
      </c>
    </row>
    <row r="24" spans="1:12" x14ac:dyDescent="0.25">
      <c r="A24" t="s">
        <v>44</v>
      </c>
      <c r="B24" t="s">
        <v>13</v>
      </c>
      <c r="C24" t="str">
        <f>IF(ISBLANK('[1]2.Diagnostic Analysis'!C24),"Unknown",'[1]2.Diagnostic Analysis'!C24)</f>
        <v>North</v>
      </c>
      <c r="D24" t="s">
        <v>30</v>
      </c>
      <c r="E24" t="s">
        <v>18</v>
      </c>
      <c r="F24">
        <f>IF(ISBLANK('[1]2.Diagnostic Analysis'!D24),'[1]2.Diagnostic Analysis'!$Q$3,'[1]2.Diagnostic Analysis'!D24)</f>
        <v>49</v>
      </c>
      <c r="G24">
        <v>30</v>
      </c>
      <c r="H24">
        <v>3</v>
      </c>
      <c r="I24">
        <v>90</v>
      </c>
      <c r="J24">
        <v>6.97</v>
      </c>
      <c r="K24" s="2">
        <v>45083</v>
      </c>
      <c r="L24" t="str">
        <f>IF(ISBLANK('[1]2.Diagnostic Analysis'!K24),"Unknown",'[1]2.Diagnostic Analysis'!K24)</f>
        <v>Returned</v>
      </c>
    </row>
    <row r="25" spans="1:12" x14ac:dyDescent="0.25">
      <c r="A25" t="s">
        <v>45</v>
      </c>
      <c r="B25" t="s">
        <v>20</v>
      </c>
      <c r="C25" t="str">
        <f>IF(ISBLANK('[1]2.Diagnostic Analysis'!C25),"Unknown",'[1]2.Diagnostic Analysis'!C25)</f>
        <v>East</v>
      </c>
      <c r="D25" t="s">
        <v>17</v>
      </c>
      <c r="E25" t="s">
        <v>18</v>
      </c>
      <c r="F25">
        <f>IF(ISBLANK('[1]2.Diagnostic Analysis'!D25),'[1]2.Diagnostic Analysis'!$Q$3,'[1]2.Diagnostic Analysis'!D25)</f>
        <v>52</v>
      </c>
      <c r="G25">
        <v>100</v>
      </c>
      <c r="H25">
        <v>2</v>
      </c>
      <c r="I25">
        <v>200</v>
      </c>
      <c r="J25">
        <v>12</v>
      </c>
      <c r="K25" s="2">
        <v>45227</v>
      </c>
      <c r="L25" t="str">
        <f>IF(ISBLANK('[1]2.Diagnostic Analysis'!K25),"Unknown",'[1]2.Diagnostic Analysis'!K25)</f>
        <v>In Transit</v>
      </c>
    </row>
    <row r="26" spans="1:12" x14ac:dyDescent="0.25">
      <c r="A26" t="s">
        <v>46</v>
      </c>
      <c r="B26" t="s">
        <v>13</v>
      </c>
      <c r="C26" t="str">
        <f>IF(ISBLANK('[1]2.Diagnostic Analysis'!C26),"Unknown",'[1]2.Diagnostic Analysis'!C26)</f>
        <v>North</v>
      </c>
      <c r="D26" t="s">
        <v>40</v>
      </c>
      <c r="E26" t="s">
        <v>15</v>
      </c>
      <c r="F26">
        <f>IF(ISBLANK('[1]2.Diagnostic Analysis'!D26),'[1]2.Diagnostic Analysis'!$Q$3,'[1]2.Diagnostic Analysis'!D26)</f>
        <v>58</v>
      </c>
      <c r="G26">
        <v>800</v>
      </c>
      <c r="H26">
        <v>4</v>
      </c>
      <c r="I26">
        <v>3200</v>
      </c>
      <c r="J26">
        <v>18.11</v>
      </c>
      <c r="K26" s="2">
        <v>45290</v>
      </c>
      <c r="L26" t="str">
        <f>IF(ISBLANK('[1]2.Diagnostic Analysis'!K26),"Unknown",'[1]2.Diagnostic Analysis'!K26)</f>
        <v>Unknown</v>
      </c>
    </row>
    <row r="27" spans="1:12" x14ac:dyDescent="0.25">
      <c r="A27" t="s">
        <v>47</v>
      </c>
      <c r="B27" t="s">
        <v>20</v>
      </c>
      <c r="C27" t="str">
        <f>IF(ISBLANK('[1]2.Diagnostic Analysis'!C27),"Unknown",'[1]2.Diagnostic Analysis'!C27)</f>
        <v>South</v>
      </c>
      <c r="D27" t="s">
        <v>29</v>
      </c>
      <c r="E27" t="s">
        <v>18</v>
      </c>
      <c r="F27">
        <f>IF(ISBLANK('[1]2.Diagnostic Analysis'!D27),'[1]2.Diagnostic Analysis'!$Q$3,'[1]2.Diagnostic Analysis'!D27)</f>
        <v>57</v>
      </c>
      <c r="G27">
        <v>50</v>
      </c>
      <c r="H27">
        <v>1</v>
      </c>
      <c r="I27">
        <v>50</v>
      </c>
      <c r="J27">
        <v>9.6</v>
      </c>
      <c r="K27" s="2">
        <v>45264</v>
      </c>
      <c r="L27" t="str">
        <f>IF(ISBLANK('[1]2.Diagnostic Analysis'!K27),"Unknown",'[1]2.Diagnostic Analysis'!K27)</f>
        <v>Delivered</v>
      </c>
    </row>
    <row r="28" spans="1:12" x14ac:dyDescent="0.25">
      <c r="A28" t="s">
        <v>48</v>
      </c>
      <c r="B28" t="s">
        <v>13</v>
      </c>
      <c r="C28" t="str">
        <f>IF(ISBLANK('[1]2.Diagnostic Analysis'!C28),"Unknown",'[1]2.Diagnostic Analysis'!C28)</f>
        <v>East</v>
      </c>
      <c r="D28" t="s">
        <v>40</v>
      </c>
      <c r="E28" t="s">
        <v>15</v>
      </c>
      <c r="F28">
        <f>IF(ISBLANK('[1]2.Diagnostic Analysis'!D28),'[1]2.Diagnostic Analysis'!$Q$3,'[1]2.Diagnostic Analysis'!D28)</f>
        <v>59</v>
      </c>
      <c r="G28">
        <v>1658.43232665954</v>
      </c>
      <c r="H28">
        <v>2</v>
      </c>
      <c r="I28">
        <v>1600</v>
      </c>
      <c r="J28">
        <v>11.59</v>
      </c>
      <c r="K28" s="2">
        <v>44958</v>
      </c>
      <c r="L28" t="str">
        <f>IF(ISBLANK('[1]2.Diagnostic Analysis'!K28),"Unknown",'[1]2.Diagnostic Analysis'!K28)</f>
        <v>In Transit</v>
      </c>
    </row>
    <row r="29" spans="1:12" x14ac:dyDescent="0.25">
      <c r="A29" t="s">
        <v>49</v>
      </c>
      <c r="B29" t="s">
        <v>20</v>
      </c>
      <c r="C29" t="str">
        <f>IF(ISBLANK('[1]2.Diagnostic Analysis'!C29),"Unknown",'[1]2.Diagnostic Analysis'!C29)</f>
        <v>North</v>
      </c>
      <c r="D29" t="s">
        <v>25</v>
      </c>
      <c r="E29" t="s">
        <v>26</v>
      </c>
      <c r="F29">
        <f>IF(ISBLANK('[1]2.Diagnostic Analysis'!D29),'[1]2.Diagnostic Analysis'!$Q$3,'[1]2.Diagnostic Analysis'!D29)</f>
        <v>25</v>
      </c>
      <c r="G29">
        <v>200</v>
      </c>
      <c r="H29">
        <v>1</v>
      </c>
      <c r="I29">
        <v>200</v>
      </c>
      <c r="J29">
        <v>14.9</v>
      </c>
      <c r="K29" s="2">
        <v>45152</v>
      </c>
      <c r="L29" t="str">
        <f>IF(ISBLANK('[1]2.Diagnostic Analysis'!K29),"Unknown",'[1]2.Diagnostic Analysis'!K29)</f>
        <v>Delivered</v>
      </c>
    </row>
    <row r="30" spans="1:12" x14ac:dyDescent="0.25">
      <c r="A30" t="s">
        <v>50</v>
      </c>
      <c r="B30" t="s">
        <v>20</v>
      </c>
      <c r="C30" t="str">
        <f>IF(ISBLANK('[1]2.Diagnostic Analysis'!C30),"Unknown",'[1]2.Diagnostic Analysis'!C30)</f>
        <v>East</v>
      </c>
      <c r="D30" t="s">
        <v>40</v>
      </c>
      <c r="E30" t="s">
        <v>15</v>
      </c>
      <c r="F30">
        <f>IF(ISBLANK('[1]2.Diagnostic Analysis'!D30),'[1]2.Diagnostic Analysis'!$Q$3,'[1]2.Diagnostic Analysis'!D30)</f>
        <v>31</v>
      </c>
      <c r="G30">
        <v>800</v>
      </c>
      <c r="H30">
        <v>1</v>
      </c>
      <c r="I30">
        <v>800</v>
      </c>
      <c r="J30">
        <v>19.22</v>
      </c>
      <c r="K30" s="2">
        <v>45267</v>
      </c>
      <c r="L30" t="str">
        <f>IF(ISBLANK('[1]2.Diagnostic Analysis'!K30),"Unknown",'[1]2.Diagnostic Analysis'!K30)</f>
        <v>In Transit</v>
      </c>
    </row>
    <row r="31" spans="1:12" x14ac:dyDescent="0.25">
      <c r="A31" t="s">
        <v>51</v>
      </c>
      <c r="B31" t="s">
        <v>13</v>
      </c>
      <c r="C31" t="str">
        <f>IF(ISBLANK('[1]2.Diagnostic Analysis'!C31),"Unknown",'[1]2.Diagnostic Analysis'!C31)</f>
        <v>North</v>
      </c>
      <c r="D31" t="s">
        <v>29</v>
      </c>
      <c r="E31" t="s">
        <v>18</v>
      </c>
      <c r="F31">
        <f>IF(ISBLANK('[1]2.Diagnostic Analysis'!D31),'[1]2.Diagnostic Analysis'!$Q$3,'[1]2.Diagnostic Analysis'!D31)</f>
        <v>28</v>
      </c>
      <c r="G31">
        <v>50</v>
      </c>
      <c r="H31">
        <v>4</v>
      </c>
      <c r="I31">
        <v>200</v>
      </c>
      <c r="J31">
        <v>15.31</v>
      </c>
      <c r="K31" s="2">
        <v>45105</v>
      </c>
      <c r="L31" t="str">
        <f>IF(ISBLANK('[1]2.Diagnostic Analysis'!K31),"Unknown",'[1]2.Diagnostic Analysis'!K31)</f>
        <v>Delivered</v>
      </c>
    </row>
    <row r="32" spans="1:12" x14ac:dyDescent="0.25">
      <c r="A32" t="s">
        <v>52</v>
      </c>
      <c r="B32" t="s">
        <v>20</v>
      </c>
      <c r="C32" t="str">
        <f>IF(ISBLANK('[1]2.Diagnostic Analysis'!C32),"Unknown",'[1]2.Diagnostic Analysis'!C32)</f>
        <v>East</v>
      </c>
      <c r="D32" t="s">
        <v>14</v>
      </c>
      <c r="E32" t="s">
        <v>15</v>
      </c>
      <c r="F32">
        <f>IF(ISBLANK('[1]2.Diagnostic Analysis'!D32),'[1]2.Diagnostic Analysis'!$Q$3,'[1]2.Diagnostic Analysis'!D32)</f>
        <v>57</v>
      </c>
      <c r="G32">
        <v>300</v>
      </c>
      <c r="H32">
        <v>2</v>
      </c>
      <c r="I32">
        <v>600</v>
      </c>
      <c r="J32">
        <v>12.38</v>
      </c>
      <c r="K32" s="2">
        <v>45247</v>
      </c>
      <c r="L32" t="str">
        <f>IF(ISBLANK('[1]2.Diagnostic Analysis'!K32),"Unknown",'[1]2.Diagnostic Analysis'!K32)</f>
        <v>Returned</v>
      </c>
    </row>
    <row r="33" spans="1:12" x14ac:dyDescent="0.25">
      <c r="A33" t="s">
        <v>53</v>
      </c>
      <c r="B33" t="s">
        <v>20</v>
      </c>
      <c r="C33" t="str">
        <f>IF(ISBLANK('[1]2.Diagnostic Analysis'!C33),"Unknown",'[1]2.Diagnostic Analysis'!C33)</f>
        <v>South</v>
      </c>
      <c r="D33" t="s">
        <v>23</v>
      </c>
      <c r="E33" t="s">
        <v>15</v>
      </c>
      <c r="F33">
        <f>IF(ISBLANK('[1]2.Diagnostic Analysis'!D33),'[1]2.Diagnostic Analysis'!$Q$3,'[1]2.Diagnostic Analysis'!D33)</f>
        <v>49</v>
      </c>
      <c r="G33">
        <v>1500</v>
      </c>
      <c r="H33">
        <v>4</v>
      </c>
      <c r="I33">
        <v>6000</v>
      </c>
      <c r="J33">
        <v>12.91</v>
      </c>
      <c r="K33" s="2">
        <v>44951</v>
      </c>
      <c r="L33" t="str">
        <f>IF(ISBLANK('[1]2.Diagnostic Analysis'!K33),"Unknown",'[1]2.Diagnostic Analysis'!K33)</f>
        <v>Delivered</v>
      </c>
    </row>
    <row r="34" spans="1:12" x14ac:dyDescent="0.25">
      <c r="A34" t="s">
        <v>54</v>
      </c>
      <c r="B34" t="s">
        <v>20</v>
      </c>
      <c r="C34" t="str">
        <f>IF(ISBLANK('[1]2.Diagnostic Analysis'!C34),"Unknown",'[1]2.Diagnostic Analysis'!C34)</f>
        <v>South</v>
      </c>
      <c r="D34" t="s">
        <v>14</v>
      </c>
      <c r="E34" t="s">
        <v>15</v>
      </c>
      <c r="F34">
        <f>IF(ISBLANK('[1]2.Diagnostic Analysis'!D34),'[1]2.Diagnostic Analysis'!$Q$3,'[1]2.Diagnostic Analysis'!D34)</f>
        <v>53</v>
      </c>
      <c r="G34">
        <v>300</v>
      </c>
      <c r="H34">
        <v>2</v>
      </c>
      <c r="I34">
        <v>600</v>
      </c>
      <c r="J34">
        <v>18.38</v>
      </c>
      <c r="K34" s="2">
        <v>45174</v>
      </c>
      <c r="L34" t="str">
        <f>IF(ISBLANK('[1]2.Diagnostic Analysis'!K34),"Unknown",'[1]2.Diagnostic Analysis'!K34)</f>
        <v>In Transit</v>
      </c>
    </row>
    <row r="35" spans="1:12" x14ac:dyDescent="0.25">
      <c r="A35" t="s">
        <v>55</v>
      </c>
      <c r="B35" t="s">
        <v>20</v>
      </c>
      <c r="C35" t="str">
        <f>IF(ISBLANK('[1]2.Diagnostic Analysis'!C35),"Unknown",'[1]2.Diagnostic Analysis'!C35)</f>
        <v>South</v>
      </c>
      <c r="D35" t="s">
        <v>17</v>
      </c>
      <c r="E35" t="s">
        <v>18</v>
      </c>
      <c r="F35">
        <f>IF(ISBLANK('[1]2.Diagnostic Analysis'!D35),'[1]2.Diagnostic Analysis'!$Q$3,'[1]2.Diagnostic Analysis'!D35)</f>
        <v>58</v>
      </c>
      <c r="G35">
        <v>100</v>
      </c>
      <c r="H35">
        <v>5</v>
      </c>
      <c r="I35">
        <v>500</v>
      </c>
      <c r="J35">
        <v>7.41</v>
      </c>
      <c r="K35" s="2">
        <v>45186</v>
      </c>
      <c r="L35" t="str">
        <f>IF(ISBLANK('[1]2.Diagnostic Analysis'!K35),"Unknown",'[1]2.Diagnostic Analysis'!K35)</f>
        <v>Delivered</v>
      </c>
    </row>
    <row r="36" spans="1:12" x14ac:dyDescent="0.25">
      <c r="A36" t="s">
        <v>56</v>
      </c>
      <c r="B36" t="s">
        <v>20</v>
      </c>
      <c r="C36" t="str">
        <f>IF(ISBLANK('[1]2.Diagnostic Analysis'!C36),"Unknown",'[1]2.Diagnostic Analysis'!C36)</f>
        <v>South</v>
      </c>
      <c r="D36" t="s">
        <v>30</v>
      </c>
      <c r="E36" t="s">
        <v>18</v>
      </c>
      <c r="F36">
        <f>IF(ISBLANK('[1]2.Diagnostic Analysis'!D36),'[1]2.Diagnostic Analysis'!$Q$3,'[1]2.Diagnostic Analysis'!D36)</f>
        <v>35</v>
      </c>
      <c r="G36">
        <v>30</v>
      </c>
      <c r="H36">
        <v>3</v>
      </c>
      <c r="I36">
        <v>90</v>
      </c>
      <c r="J36">
        <v>11.42</v>
      </c>
      <c r="K36" s="2">
        <v>45285</v>
      </c>
      <c r="L36" t="str">
        <f>IF(ISBLANK('[1]2.Diagnostic Analysis'!K36),"Unknown",'[1]2.Diagnostic Analysis'!K36)</f>
        <v>Delivered</v>
      </c>
    </row>
    <row r="37" spans="1:12" x14ac:dyDescent="0.25">
      <c r="A37" t="s">
        <v>57</v>
      </c>
      <c r="B37" t="s">
        <v>13</v>
      </c>
      <c r="C37" t="str">
        <f>IF(ISBLANK('[1]2.Diagnostic Analysis'!C37),"Unknown",'[1]2.Diagnostic Analysis'!C37)</f>
        <v>North</v>
      </c>
      <c r="D37" t="s">
        <v>23</v>
      </c>
      <c r="E37" t="s">
        <v>15</v>
      </c>
      <c r="F37">
        <f>IF(ISBLANK('[1]2.Diagnostic Analysis'!D37),'[1]2.Diagnostic Analysis'!$Q$3,'[1]2.Diagnostic Analysis'!D37)</f>
        <v>41</v>
      </c>
      <c r="G37">
        <v>1500</v>
      </c>
      <c r="H37">
        <v>4</v>
      </c>
      <c r="I37">
        <v>6000</v>
      </c>
      <c r="J37">
        <v>7.13</v>
      </c>
      <c r="K37" s="2">
        <v>44940</v>
      </c>
      <c r="L37" t="str">
        <f>IF(ISBLANK('[1]2.Diagnostic Analysis'!K37),"Unknown",'[1]2.Diagnostic Analysis'!K37)</f>
        <v>Delivered</v>
      </c>
    </row>
    <row r="38" spans="1:12" x14ac:dyDescent="0.25">
      <c r="A38" t="s">
        <v>58</v>
      </c>
      <c r="B38" t="s">
        <v>20</v>
      </c>
      <c r="C38" t="str">
        <f>IF(ISBLANK('[1]2.Diagnostic Analysis'!C38),"Unknown",'[1]2.Diagnostic Analysis'!C38)</f>
        <v>West</v>
      </c>
      <c r="D38" t="s">
        <v>14</v>
      </c>
      <c r="E38" t="s">
        <v>15</v>
      </c>
      <c r="F38">
        <f>IF(ISBLANK('[1]2.Diagnostic Analysis'!D38),'[1]2.Diagnostic Analysis'!$Q$3,'[1]2.Diagnostic Analysis'!D38)</f>
        <v>64</v>
      </c>
      <c r="G38">
        <v>300</v>
      </c>
      <c r="H38">
        <v>1</v>
      </c>
      <c r="I38">
        <v>300</v>
      </c>
      <c r="J38">
        <v>6.55</v>
      </c>
      <c r="K38" s="2">
        <v>45139</v>
      </c>
      <c r="L38" t="str">
        <f>IF(ISBLANK('[1]2.Diagnostic Analysis'!K38),"Unknown",'[1]2.Diagnostic Analysis'!K38)</f>
        <v>Returned</v>
      </c>
    </row>
    <row r="39" spans="1:12" x14ac:dyDescent="0.25">
      <c r="A39" t="s">
        <v>59</v>
      </c>
      <c r="B39" t="s">
        <v>13</v>
      </c>
      <c r="C39" t="str">
        <f>IF(ISBLANK('[1]2.Diagnostic Analysis'!C39),"Unknown",'[1]2.Diagnostic Analysis'!C39)</f>
        <v>North</v>
      </c>
      <c r="D39" t="s">
        <v>40</v>
      </c>
      <c r="E39" t="s">
        <v>15</v>
      </c>
      <c r="F39">
        <f>IF(ISBLANK('[1]2.Diagnostic Analysis'!D39),'[1]2.Diagnostic Analysis'!$Q$3,'[1]2.Diagnostic Analysis'!D39)</f>
        <v>49</v>
      </c>
      <c r="G39">
        <v>800</v>
      </c>
      <c r="H39">
        <v>2</v>
      </c>
      <c r="I39">
        <v>1600</v>
      </c>
      <c r="J39">
        <v>9.7200000000000006</v>
      </c>
      <c r="K39" s="2">
        <v>44969</v>
      </c>
      <c r="L39" t="str">
        <f>IF(ISBLANK('[1]2.Diagnostic Analysis'!K39),"Unknown",'[1]2.Diagnostic Analysis'!K39)</f>
        <v>Delivered</v>
      </c>
    </row>
    <row r="40" spans="1:12" x14ac:dyDescent="0.25">
      <c r="A40" t="s">
        <v>60</v>
      </c>
      <c r="B40" t="s">
        <v>20</v>
      </c>
      <c r="C40" t="str">
        <f>IF(ISBLANK('[1]2.Diagnostic Analysis'!C40),"Unknown",'[1]2.Diagnostic Analysis'!C40)</f>
        <v>South</v>
      </c>
      <c r="D40" t="s">
        <v>14</v>
      </c>
      <c r="E40" t="s">
        <v>15</v>
      </c>
      <c r="F40">
        <f>IF(ISBLANK('[1]2.Diagnostic Analysis'!D40),'[1]2.Diagnostic Analysis'!$Q$3,'[1]2.Diagnostic Analysis'!D40)</f>
        <v>43</v>
      </c>
      <c r="G40">
        <v>300</v>
      </c>
      <c r="H40">
        <v>2</v>
      </c>
      <c r="I40">
        <v>600</v>
      </c>
      <c r="J40">
        <v>18.27</v>
      </c>
      <c r="K40" s="2">
        <v>45064</v>
      </c>
      <c r="L40" t="str">
        <f>IF(ISBLANK('[1]2.Diagnostic Analysis'!K40),"Unknown",'[1]2.Diagnostic Analysis'!K40)</f>
        <v>In Transit</v>
      </c>
    </row>
    <row r="41" spans="1:12" x14ac:dyDescent="0.25">
      <c r="A41" t="s">
        <v>61</v>
      </c>
      <c r="B41" t="s">
        <v>20</v>
      </c>
      <c r="C41" t="str">
        <f>IF(ISBLANK('[1]2.Diagnostic Analysis'!C41),"Unknown",'[1]2.Diagnostic Analysis'!C41)</f>
        <v>Unknown</v>
      </c>
      <c r="D41" t="s">
        <v>40</v>
      </c>
      <c r="E41" t="s">
        <v>15</v>
      </c>
      <c r="F41">
        <f>IF(ISBLANK('[1]2.Diagnostic Analysis'!D41),'[1]2.Diagnostic Analysis'!$Q$3,'[1]2.Diagnostic Analysis'!D41)</f>
        <v>61</v>
      </c>
      <c r="G41">
        <v>800</v>
      </c>
      <c r="H41">
        <v>2</v>
      </c>
      <c r="I41">
        <v>1600</v>
      </c>
      <c r="J41">
        <v>6.01</v>
      </c>
      <c r="K41" s="2">
        <v>45202</v>
      </c>
      <c r="L41" t="str">
        <f>IF(ISBLANK('[1]2.Diagnostic Analysis'!K41),"Unknown",'[1]2.Diagnostic Analysis'!K41)</f>
        <v>Returned</v>
      </c>
    </row>
    <row r="42" spans="1:12" x14ac:dyDescent="0.25">
      <c r="A42" t="s">
        <v>62</v>
      </c>
      <c r="B42" t="s">
        <v>13</v>
      </c>
      <c r="C42" t="str">
        <f>IF(ISBLANK('[1]2.Diagnostic Analysis'!C42),"Unknown",'[1]2.Diagnostic Analysis'!C42)</f>
        <v>East</v>
      </c>
      <c r="D42" t="s">
        <v>29</v>
      </c>
      <c r="E42" t="s">
        <v>18</v>
      </c>
      <c r="F42">
        <f>IF(ISBLANK('[1]2.Diagnostic Analysis'!D42),'[1]2.Diagnostic Analysis'!$Q$3,'[1]2.Diagnostic Analysis'!D42)</f>
        <v>58</v>
      </c>
      <c r="G42">
        <v>50</v>
      </c>
      <c r="H42">
        <v>2</v>
      </c>
      <c r="I42">
        <v>100</v>
      </c>
      <c r="J42">
        <v>9.57</v>
      </c>
      <c r="K42" s="2">
        <v>45168</v>
      </c>
      <c r="L42" t="str">
        <f>IF(ISBLANK('[1]2.Diagnostic Analysis'!K42),"Unknown",'[1]2.Diagnostic Analysis'!K42)</f>
        <v>Returned</v>
      </c>
    </row>
    <row r="43" spans="1:12" x14ac:dyDescent="0.25">
      <c r="A43" t="s">
        <v>63</v>
      </c>
      <c r="B43" t="s">
        <v>13</v>
      </c>
      <c r="C43" t="str">
        <f>IF(ISBLANK('[1]2.Diagnostic Analysis'!C43),"Unknown",'[1]2.Diagnostic Analysis'!C43)</f>
        <v>West</v>
      </c>
      <c r="D43" t="s">
        <v>14</v>
      </c>
      <c r="E43" t="s">
        <v>15</v>
      </c>
      <c r="F43">
        <f>IF(ISBLANK('[1]2.Diagnostic Analysis'!D43),'[1]2.Diagnostic Analysis'!$Q$3,'[1]2.Diagnostic Analysis'!D43)</f>
        <v>61</v>
      </c>
      <c r="G43">
        <v>300</v>
      </c>
      <c r="H43">
        <v>1</v>
      </c>
      <c r="I43">
        <v>300</v>
      </c>
      <c r="J43">
        <v>13.82</v>
      </c>
      <c r="K43" s="2">
        <v>45184</v>
      </c>
      <c r="L43" t="str">
        <f>IF(ISBLANK('[1]2.Diagnostic Analysis'!K43),"Unknown",'[1]2.Diagnostic Analysis'!K43)</f>
        <v>Returned</v>
      </c>
    </row>
    <row r="44" spans="1:12" x14ac:dyDescent="0.25">
      <c r="A44" t="s">
        <v>64</v>
      </c>
      <c r="B44" t="s">
        <v>13</v>
      </c>
      <c r="C44" t="str">
        <f>IF(ISBLANK('[1]2.Diagnostic Analysis'!C44),"Unknown",'[1]2.Diagnostic Analysis'!C44)</f>
        <v>East</v>
      </c>
      <c r="D44" t="s">
        <v>29</v>
      </c>
      <c r="E44" t="s">
        <v>18</v>
      </c>
      <c r="F44">
        <f>IF(ISBLANK('[1]2.Diagnostic Analysis'!D44),'[1]2.Diagnostic Analysis'!$Q$3,'[1]2.Diagnostic Analysis'!D44)</f>
        <v>19</v>
      </c>
      <c r="G44">
        <v>50</v>
      </c>
      <c r="H44">
        <v>4</v>
      </c>
      <c r="I44">
        <v>200</v>
      </c>
      <c r="J44">
        <v>5.32</v>
      </c>
      <c r="K44" s="2">
        <v>44971</v>
      </c>
      <c r="L44" t="str">
        <f>IF(ISBLANK('[1]2.Diagnostic Analysis'!K44),"Unknown",'[1]2.Diagnostic Analysis'!K44)</f>
        <v>Delivered</v>
      </c>
    </row>
    <row r="45" spans="1:12" x14ac:dyDescent="0.25">
      <c r="A45" t="s">
        <v>50</v>
      </c>
      <c r="B45" t="s">
        <v>13</v>
      </c>
      <c r="C45" t="str">
        <f>IF(ISBLANK('[1]2.Diagnostic Analysis'!C45),"Unknown",'[1]2.Diagnostic Analysis'!C45)</f>
        <v>North</v>
      </c>
      <c r="D45" t="s">
        <v>29</v>
      </c>
      <c r="E45" t="s">
        <v>18</v>
      </c>
      <c r="F45">
        <f>IF(ISBLANK('[1]2.Diagnostic Analysis'!D45),'[1]2.Diagnostic Analysis'!$Q$3,'[1]2.Diagnostic Analysis'!D45)</f>
        <v>31</v>
      </c>
      <c r="G45">
        <v>50</v>
      </c>
      <c r="H45">
        <v>3</v>
      </c>
      <c r="I45">
        <v>150</v>
      </c>
      <c r="J45">
        <v>7.46</v>
      </c>
      <c r="K45" s="2">
        <v>44984</v>
      </c>
      <c r="L45" t="str">
        <f>IF(ISBLANK('[1]2.Diagnostic Analysis'!K45),"Unknown",'[1]2.Diagnostic Analysis'!K45)</f>
        <v>Delivered</v>
      </c>
    </row>
    <row r="46" spans="1:12" x14ac:dyDescent="0.25">
      <c r="A46" t="s">
        <v>65</v>
      </c>
      <c r="B46" t="s">
        <v>13</v>
      </c>
      <c r="C46" t="str">
        <f>IF(ISBLANK('[1]2.Diagnostic Analysis'!C46),"Unknown",'[1]2.Diagnostic Analysis'!C46)</f>
        <v>North</v>
      </c>
      <c r="D46" t="s">
        <v>14</v>
      </c>
      <c r="E46" t="s">
        <v>15</v>
      </c>
      <c r="F46">
        <f>IF(ISBLANK('[1]2.Diagnostic Analysis'!D46),'[1]2.Diagnostic Analysis'!$Q$3,'[1]2.Diagnostic Analysis'!D46)</f>
        <v>38</v>
      </c>
      <c r="G46">
        <v>300</v>
      </c>
      <c r="H46">
        <v>1</v>
      </c>
      <c r="I46">
        <v>300</v>
      </c>
      <c r="J46">
        <v>17.22</v>
      </c>
      <c r="K46" s="2">
        <v>45151</v>
      </c>
      <c r="L46" t="str">
        <f>IF(ISBLANK('[1]2.Diagnostic Analysis'!K46),"Unknown",'[1]2.Diagnostic Analysis'!K46)</f>
        <v>Returned</v>
      </c>
    </row>
    <row r="47" spans="1:12" x14ac:dyDescent="0.25">
      <c r="A47" t="s">
        <v>66</v>
      </c>
      <c r="B47" t="s">
        <v>13</v>
      </c>
      <c r="C47" t="str">
        <f>IF(ISBLANK('[1]2.Diagnostic Analysis'!C47),"Unknown",'[1]2.Diagnostic Analysis'!C47)</f>
        <v>East</v>
      </c>
      <c r="D47" t="s">
        <v>17</v>
      </c>
      <c r="E47" t="s">
        <v>18</v>
      </c>
      <c r="F47">
        <f>IF(ISBLANK('[1]2.Diagnostic Analysis'!D47),'[1]2.Diagnostic Analysis'!$Q$3,'[1]2.Diagnostic Analysis'!D47)</f>
        <v>44</v>
      </c>
      <c r="G47">
        <v>100</v>
      </c>
      <c r="H47">
        <v>2</v>
      </c>
      <c r="I47">
        <v>200</v>
      </c>
      <c r="J47">
        <v>8.15</v>
      </c>
      <c r="K47" s="2">
        <v>45055</v>
      </c>
      <c r="L47" t="str">
        <f>IF(ISBLANK('[1]2.Diagnostic Analysis'!K47),"Unknown",'[1]2.Diagnostic Analysis'!K47)</f>
        <v>In Transit</v>
      </c>
    </row>
    <row r="48" spans="1:12" x14ac:dyDescent="0.25">
      <c r="A48" t="s">
        <v>67</v>
      </c>
      <c r="B48" t="s">
        <v>13</v>
      </c>
      <c r="C48" t="str">
        <f>IF(ISBLANK('[1]2.Diagnostic Analysis'!C48),"Unknown",'[1]2.Diagnostic Analysis'!C48)</f>
        <v>East</v>
      </c>
      <c r="D48" t="s">
        <v>14</v>
      </c>
      <c r="E48" t="s">
        <v>15</v>
      </c>
      <c r="F48">
        <f>IF(ISBLANK('[1]2.Diagnostic Analysis'!D48),'[1]2.Diagnostic Analysis'!$Q$3,'[1]2.Diagnostic Analysis'!D48)</f>
        <v>68</v>
      </c>
      <c r="G48">
        <v>300</v>
      </c>
      <c r="H48">
        <v>2</v>
      </c>
      <c r="I48">
        <v>600</v>
      </c>
      <c r="J48">
        <v>9.56</v>
      </c>
      <c r="K48" s="2">
        <v>45283</v>
      </c>
      <c r="L48" t="str">
        <f>IF(ISBLANK('[1]2.Diagnostic Analysis'!K48),"Unknown",'[1]2.Diagnostic Analysis'!K48)</f>
        <v>Unknown</v>
      </c>
    </row>
    <row r="49" spans="1:12" x14ac:dyDescent="0.25">
      <c r="A49" t="s">
        <v>68</v>
      </c>
      <c r="B49" t="s">
        <v>13</v>
      </c>
      <c r="C49" t="str">
        <f>IF(ISBLANK('[1]2.Diagnostic Analysis'!C49),"Unknown",'[1]2.Diagnostic Analysis'!C49)</f>
        <v>West</v>
      </c>
      <c r="D49" t="s">
        <v>25</v>
      </c>
      <c r="E49" t="s">
        <v>26</v>
      </c>
      <c r="F49">
        <f>IF(ISBLANK('[1]2.Diagnostic Analysis'!D49),'[1]2.Diagnostic Analysis'!$Q$3,'[1]2.Diagnostic Analysis'!D49)</f>
        <v>44</v>
      </c>
      <c r="G49">
        <v>200</v>
      </c>
      <c r="H49">
        <v>3</v>
      </c>
      <c r="I49">
        <v>600</v>
      </c>
      <c r="J49">
        <v>18.09</v>
      </c>
      <c r="K49" s="2">
        <v>45227</v>
      </c>
      <c r="L49" t="str">
        <f>IF(ISBLANK('[1]2.Diagnostic Analysis'!K49),"Unknown",'[1]2.Diagnostic Analysis'!K49)</f>
        <v>In Transit</v>
      </c>
    </row>
    <row r="50" spans="1:12" x14ac:dyDescent="0.25">
      <c r="A50" t="s">
        <v>69</v>
      </c>
      <c r="B50" t="s">
        <v>20</v>
      </c>
      <c r="C50" t="str">
        <f>IF(ISBLANK('[1]2.Diagnostic Analysis'!C50),"Unknown",'[1]2.Diagnostic Analysis'!C50)</f>
        <v>West</v>
      </c>
      <c r="D50" t="s">
        <v>23</v>
      </c>
      <c r="E50" t="s">
        <v>15</v>
      </c>
      <c r="F50">
        <f>IF(ISBLANK('[1]2.Diagnostic Analysis'!D50),'[1]2.Diagnostic Analysis'!$Q$3,'[1]2.Diagnostic Analysis'!D50)</f>
        <v>67</v>
      </c>
      <c r="G50">
        <v>1500</v>
      </c>
      <c r="H50">
        <v>4</v>
      </c>
      <c r="I50">
        <v>6000</v>
      </c>
      <c r="J50">
        <v>7.01</v>
      </c>
      <c r="K50" s="2">
        <v>45170</v>
      </c>
      <c r="L50" t="str">
        <f>IF(ISBLANK('[1]2.Diagnostic Analysis'!K50),"Unknown",'[1]2.Diagnostic Analysis'!K50)</f>
        <v>Delivered</v>
      </c>
    </row>
    <row r="51" spans="1:12" x14ac:dyDescent="0.25">
      <c r="A51" t="s">
        <v>70</v>
      </c>
      <c r="B51" t="s">
        <v>13</v>
      </c>
      <c r="C51" t="str">
        <f>IF(ISBLANK('[1]2.Diagnostic Analysis'!C51),"Unknown",'[1]2.Diagnostic Analysis'!C51)</f>
        <v>West</v>
      </c>
      <c r="D51" t="s">
        <v>14</v>
      </c>
      <c r="E51" t="s">
        <v>15</v>
      </c>
      <c r="F51">
        <f>IF(ISBLANK('[1]2.Diagnostic Analysis'!D51),'[1]2.Diagnostic Analysis'!$Q$3,'[1]2.Diagnostic Analysis'!D51)</f>
        <v>23</v>
      </c>
      <c r="G51">
        <v>300</v>
      </c>
      <c r="H51">
        <v>3</v>
      </c>
      <c r="I51">
        <v>900</v>
      </c>
      <c r="J51">
        <v>12.58</v>
      </c>
      <c r="K51" s="2">
        <v>45032</v>
      </c>
      <c r="L51" t="str">
        <f>IF(ISBLANK('[1]2.Diagnostic Analysis'!K51),"Unknown",'[1]2.Diagnostic Analysis'!K51)</f>
        <v>Returned</v>
      </c>
    </row>
    <row r="52" spans="1:12" x14ac:dyDescent="0.25">
      <c r="A52" t="s">
        <v>71</v>
      </c>
      <c r="B52" t="s">
        <v>13</v>
      </c>
      <c r="C52" t="str">
        <f>IF(ISBLANK('[1]2.Diagnostic Analysis'!C52),"Unknown",'[1]2.Diagnostic Analysis'!C52)</f>
        <v>West</v>
      </c>
      <c r="D52" t="s">
        <v>17</v>
      </c>
      <c r="E52" t="s">
        <v>18</v>
      </c>
      <c r="F52">
        <f>IF(ISBLANK('[1]2.Diagnostic Analysis'!D52),'[1]2.Diagnostic Analysis'!$Q$3,'[1]2.Diagnostic Analysis'!D52)</f>
        <v>68</v>
      </c>
      <c r="G52">
        <v>100</v>
      </c>
      <c r="H52">
        <v>2</v>
      </c>
      <c r="I52">
        <v>200</v>
      </c>
      <c r="J52">
        <v>13.49</v>
      </c>
      <c r="K52" s="2">
        <v>45273</v>
      </c>
      <c r="L52" t="str">
        <f>IF(ISBLANK('[1]2.Diagnostic Analysis'!K52),"Unknown",'[1]2.Diagnostic Analysis'!K52)</f>
        <v>In Transit</v>
      </c>
    </row>
    <row r="53" spans="1:12" x14ac:dyDescent="0.25">
      <c r="A53" t="s">
        <v>72</v>
      </c>
      <c r="B53" t="s">
        <v>20</v>
      </c>
      <c r="C53" t="str">
        <f>IF(ISBLANK('[1]2.Diagnostic Analysis'!C53),"Unknown",'[1]2.Diagnostic Analysis'!C53)</f>
        <v>East</v>
      </c>
      <c r="D53" t="s">
        <v>14</v>
      </c>
      <c r="E53" t="s">
        <v>15</v>
      </c>
      <c r="F53">
        <f>IF(ISBLANK('[1]2.Diagnostic Analysis'!D53),'[1]2.Diagnostic Analysis'!$Q$3,'[1]2.Diagnostic Analysis'!D53)</f>
        <v>42</v>
      </c>
      <c r="G53">
        <v>300</v>
      </c>
      <c r="H53">
        <v>4</v>
      </c>
      <c r="I53">
        <v>1200</v>
      </c>
      <c r="J53">
        <v>18.149999999999999</v>
      </c>
      <c r="K53" s="2">
        <v>45012</v>
      </c>
      <c r="L53" t="str">
        <f>IF(ISBLANK('[1]2.Diagnostic Analysis'!K53),"Unknown",'[1]2.Diagnostic Analysis'!K53)</f>
        <v>In Transit</v>
      </c>
    </row>
    <row r="54" spans="1:12" x14ac:dyDescent="0.25">
      <c r="A54" t="s">
        <v>73</v>
      </c>
      <c r="B54" t="s">
        <v>13</v>
      </c>
      <c r="C54" t="str">
        <f>IF(ISBLANK('[1]2.Diagnostic Analysis'!C54),"Unknown",'[1]2.Diagnostic Analysis'!C54)</f>
        <v>South</v>
      </c>
      <c r="D54" t="s">
        <v>23</v>
      </c>
      <c r="E54" t="s">
        <v>15</v>
      </c>
      <c r="F54">
        <f>IF(ISBLANK('[1]2.Diagnostic Analysis'!D54),'[1]2.Diagnostic Analysis'!$Q$3,'[1]2.Diagnostic Analysis'!D54)</f>
        <v>51</v>
      </c>
      <c r="G54">
        <v>1500</v>
      </c>
      <c r="H54">
        <v>2</v>
      </c>
      <c r="I54">
        <v>3000</v>
      </c>
      <c r="J54">
        <v>7.43</v>
      </c>
      <c r="K54" s="2">
        <v>45246</v>
      </c>
      <c r="L54" t="str">
        <f>IF(ISBLANK('[1]2.Diagnostic Analysis'!K54),"Unknown",'[1]2.Diagnostic Analysis'!K54)</f>
        <v>Delivered</v>
      </c>
    </row>
    <row r="55" spans="1:12" x14ac:dyDescent="0.25">
      <c r="A55" t="s">
        <v>63</v>
      </c>
      <c r="B55" t="s">
        <v>20</v>
      </c>
      <c r="C55" t="str">
        <f>IF(ISBLANK('[1]2.Diagnostic Analysis'!C55),"Unknown",'[1]2.Diagnostic Analysis'!C55)</f>
        <v>West</v>
      </c>
      <c r="D55" t="s">
        <v>23</v>
      </c>
      <c r="E55" t="s">
        <v>15</v>
      </c>
      <c r="F55">
        <f>IF(ISBLANK('[1]2.Diagnostic Analysis'!D55),'[1]2.Diagnostic Analysis'!$Q$3,'[1]2.Diagnostic Analysis'!D55)</f>
        <v>61</v>
      </c>
      <c r="G55">
        <v>1500</v>
      </c>
      <c r="H55">
        <v>2</v>
      </c>
      <c r="I55">
        <v>3000</v>
      </c>
      <c r="J55">
        <v>5.42</v>
      </c>
      <c r="K55" s="2">
        <v>45091</v>
      </c>
      <c r="L55" t="str">
        <f>IF(ISBLANK('[1]2.Diagnostic Analysis'!K55),"Unknown",'[1]2.Diagnostic Analysis'!K55)</f>
        <v>Returned</v>
      </c>
    </row>
    <row r="56" spans="1:12" x14ac:dyDescent="0.25">
      <c r="A56" t="s">
        <v>74</v>
      </c>
      <c r="B56" t="s">
        <v>20</v>
      </c>
      <c r="C56" t="str">
        <f>IF(ISBLANK('[1]2.Diagnostic Analysis'!C56),"Unknown",'[1]2.Diagnostic Analysis'!C56)</f>
        <v>South</v>
      </c>
      <c r="D56" t="s">
        <v>40</v>
      </c>
      <c r="E56" t="s">
        <v>15</v>
      </c>
      <c r="F56">
        <f>IF(ISBLANK('[1]2.Diagnostic Analysis'!D56),'[1]2.Diagnostic Analysis'!$Q$3,'[1]2.Diagnostic Analysis'!D56)</f>
        <v>46</v>
      </c>
      <c r="G56">
        <v>800</v>
      </c>
      <c r="H56">
        <v>5</v>
      </c>
      <c r="I56">
        <v>4000</v>
      </c>
      <c r="J56">
        <v>10.62</v>
      </c>
      <c r="K56" s="2">
        <v>44952</v>
      </c>
      <c r="L56" t="str">
        <f>IF(ISBLANK('[1]2.Diagnostic Analysis'!K56),"Unknown",'[1]2.Diagnostic Analysis'!K56)</f>
        <v>Returned</v>
      </c>
    </row>
    <row r="57" spans="1:12" x14ac:dyDescent="0.25">
      <c r="A57" t="s">
        <v>75</v>
      </c>
      <c r="B57" t="s">
        <v>20</v>
      </c>
      <c r="C57" t="str">
        <f>IF(ISBLANK('[1]2.Diagnostic Analysis'!C57),"Unknown",'[1]2.Diagnostic Analysis'!C57)</f>
        <v>West</v>
      </c>
      <c r="D57" t="s">
        <v>29</v>
      </c>
      <c r="E57" t="s">
        <v>18</v>
      </c>
      <c r="F57">
        <f>IF(ISBLANK('[1]2.Diagnostic Analysis'!D57),'[1]2.Diagnostic Analysis'!$Q$3,'[1]2.Diagnostic Analysis'!D57)</f>
        <v>49</v>
      </c>
      <c r="G57">
        <v>50</v>
      </c>
      <c r="H57">
        <v>4</v>
      </c>
      <c r="I57">
        <v>200</v>
      </c>
      <c r="J57">
        <v>19.72</v>
      </c>
      <c r="K57" s="2">
        <v>45285</v>
      </c>
      <c r="L57" t="str">
        <f>IF(ISBLANK('[1]2.Diagnostic Analysis'!K57),"Unknown",'[1]2.Diagnostic Analysis'!K57)</f>
        <v>Unknown</v>
      </c>
    </row>
    <row r="58" spans="1:12" x14ac:dyDescent="0.25">
      <c r="A58" t="s">
        <v>76</v>
      </c>
      <c r="B58" t="s">
        <v>13</v>
      </c>
      <c r="C58" t="str">
        <f>IF(ISBLANK('[1]2.Diagnostic Analysis'!C58),"Unknown",'[1]2.Diagnostic Analysis'!C58)</f>
        <v>North</v>
      </c>
      <c r="D58" t="s">
        <v>29</v>
      </c>
      <c r="E58" t="s">
        <v>18</v>
      </c>
      <c r="F58">
        <f>IF(ISBLANK('[1]2.Diagnostic Analysis'!D58),'[1]2.Diagnostic Analysis'!$Q$3,'[1]2.Diagnostic Analysis'!D58)</f>
        <v>62</v>
      </c>
      <c r="G58">
        <v>50</v>
      </c>
      <c r="H58">
        <v>4</v>
      </c>
      <c r="I58">
        <v>200</v>
      </c>
      <c r="J58">
        <v>12.79</v>
      </c>
      <c r="K58" s="2">
        <v>45198</v>
      </c>
      <c r="L58" t="str">
        <f>IF(ISBLANK('[1]2.Diagnostic Analysis'!K58),"Unknown",'[1]2.Diagnostic Analysis'!K58)</f>
        <v>Delivered</v>
      </c>
    </row>
    <row r="59" spans="1:12" x14ac:dyDescent="0.25">
      <c r="A59" t="s">
        <v>77</v>
      </c>
      <c r="B59" t="s">
        <v>13</v>
      </c>
      <c r="C59" t="str">
        <f>IF(ISBLANK('[1]2.Diagnostic Analysis'!C59),"Unknown",'[1]2.Diagnostic Analysis'!C59)</f>
        <v>South</v>
      </c>
      <c r="D59" t="s">
        <v>23</v>
      </c>
      <c r="E59" t="s">
        <v>15</v>
      </c>
      <c r="F59">
        <f>IF(ISBLANK('[1]2.Diagnostic Analysis'!D59),'[1]2.Diagnostic Analysis'!$Q$3,'[1]2.Diagnostic Analysis'!D59)</f>
        <v>54</v>
      </c>
      <c r="G59">
        <v>1500</v>
      </c>
      <c r="H59">
        <v>1</v>
      </c>
      <c r="I59">
        <v>1500</v>
      </c>
      <c r="J59">
        <v>5.16</v>
      </c>
      <c r="K59" s="2">
        <v>44999</v>
      </c>
      <c r="L59" t="str">
        <f>IF(ISBLANK('[1]2.Diagnostic Analysis'!K59),"Unknown",'[1]2.Diagnostic Analysis'!K59)</f>
        <v>Delivered</v>
      </c>
    </row>
    <row r="60" spans="1:12" x14ac:dyDescent="0.25">
      <c r="A60" t="s">
        <v>78</v>
      </c>
      <c r="B60" t="s">
        <v>20</v>
      </c>
      <c r="C60" t="str">
        <f>IF(ISBLANK('[1]2.Diagnostic Analysis'!C60),"Unknown",'[1]2.Diagnostic Analysis'!C60)</f>
        <v>North</v>
      </c>
      <c r="D60" t="s">
        <v>17</v>
      </c>
      <c r="E60" t="s">
        <v>18</v>
      </c>
      <c r="F60">
        <f>IF(ISBLANK('[1]2.Diagnostic Analysis'!D60),'[1]2.Diagnostic Analysis'!$Q$3,'[1]2.Diagnostic Analysis'!D60)</f>
        <v>67</v>
      </c>
      <c r="G60">
        <v>100</v>
      </c>
      <c r="H60">
        <v>2</v>
      </c>
      <c r="I60">
        <v>200</v>
      </c>
      <c r="J60">
        <v>11.65</v>
      </c>
      <c r="K60" s="2">
        <v>45274</v>
      </c>
      <c r="L60" t="str">
        <f>IF(ISBLANK('[1]2.Diagnostic Analysis'!K60),"Unknown",'[1]2.Diagnostic Analysis'!K60)</f>
        <v>Returned</v>
      </c>
    </row>
    <row r="61" spans="1:12" x14ac:dyDescent="0.25">
      <c r="A61" t="s">
        <v>79</v>
      </c>
      <c r="B61" t="s">
        <v>13</v>
      </c>
      <c r="C61" t="str">
        <f>IF(ISBLANK('[1]2.Diagnostic Analysis'!C61),"Unknown",'[1]2.Diagnostic Analysis'!C61)</f>
        <v>South</v>
      </c>
      <c r="D61" t="s">
        <v>23</v>
      </c>
      <c r="E61" t="s">
        <v>15</v>
      </c>
      <c r="F61">
        <f>IF(ISBLANK('[1]2.Diagnostic Analysis'!D61),'[1]2.Diagnostic Analysis'!$Q$3,'[1]2.Diagnostic Analysis'!D61)</f>
        <v>52</v>
      </c>
      <c r="G61">
        <v>1500</v>
      </c>
      <c r="H61">
        <v>5</v>
      </c>
      <c r="I61">
        <v>7500</v>
      </c>
      <c r="J61">
        <v>19.690000000000001</v>
      </c>
      <c r="K61" s="2">
        <v>45186</v>
      </c>
      <c r="L61" t="str">
        <f>IF(ISBLANK('[1]2.Diagnostic Analysis'!K61),"Unknown",'[1]2.Diagnostic Analysis'!K61)</f>
        <v>In Transit</v>
      </c>
    </row>
    <row r="62" spans="1:12" x14ac:dyDescent="0.25">
      <c r="A62" t="s">
        <v>80</v>
      </c>
      <c r="B62" t="s">
        <v>13</v>
      </c>
      <c r="C62" t="str">
        <f>IF(ISBLANK('[1]2.Diagnostic Analysis'!C62),"Unknown",'[1]2.Diagnostic Analysis'!C62)</f>
        <v>East</v>
      </c>
      <c r="D62" t="s">
        <v>40</v>
      </c>
      <c r="E62" t="s">
        <v>15</v>
      </c>
      <c r="F62">
        <f>IF(ISBLANK('[1]2.Diagnostic Analysis'!D62),'[1]2.Diagnostic Analysis'!$Q$3,'[1]2.Diagnostic Analysis'!D62)</f>
        <v>64</v>
      </c>
      <c r="G62">
        <v>800</v>
      </c>
      <c r="H62">
        <v>4</v>
      </c>
      <c r="I62">
        <v>3200</v>
      </c>
      <c r="J62">
        <v>17.27</v>
      </c>
      <c r="K62" s="2">
        <v>45146</v>
      </c>
      <c r="L62" t="str">
        <f>IF(ISBLANK('[1]2.Diagnostic Analysis'!K62),"Unknown",'[1]2.Diagnostic Analysis'!K62)</f>
        <v>In Transit</v>
      </c>
    </row>
    <row r="63" spans="1:12" x14ac:dyDescent="0.25">
      <c r="A63" t="s">
        <v>81</v>
      </c>
      <c r="B63" t="s">
        <v>13</v>
      </c>
      <c r="C63" t="str">
        <f>IF(ISBLANK('[1]2.Diagnostic Analysis'!C63),"Unknown",'[1]2.Diagnostic Analysis'!C63)</f>
        <v>North</v>
      </c>
      <c r="D63" t="s">
        <v>14</v>
      </c>
      <c r="E63" t="s">
        <v>15</v>
      </c>
      <c r="F63">
        <f>IF(ISBLANK('[1]2.Diagnostic Analysis'!D63),'[1]2.Diagnostic Analysis'!$Q$3,'[1]2.Diagnostic Analysis'!D63)</f>
        <v>33</v>
      </c>
      <c r="G63">
        <v>300</v>
      </c>
      <c r="H63">
        <v>4</v>
      </c>
      <c r="I63">
        <v>1200</v>
      </c>
      <c r="J63">
        <v>14.88</v>
      </c>
      <c r="K63" s="2">
        <v>45028</v>
      </c>
      <c r="L63" t="str">
        <f>IF(ISBLANK('[1]2.Diagnostic Analysis'!K63),"Unknown",'[1]2.Diagnostic Analysis'!K63)</f>
        <v>Delivered</v>
      </c>
    </row>
    <row r="64" spans="1:12" x14ac:dyDescent="0.25">
      <c r="A64" t="s">
        <v>82</v>
      </c>
      <c r="B64" t="s">
        <v>20</v>
      </c>
      <c r="C64" t="str">
        <f>IF(ISBLANK('[1]2.Diagnostic Analysis'!C64),"Unknown",'[1]2.Diagnostic Analysis'!C64)</f>
        <v>West</v>
      </c>
      <c r="D64" t="s">
        <v>17</v>
      </c>
      <c r="E64" t="s">
        <v>18</v>
      </c>
      <c r="F64">
        <f>IF(ISBLANK('[1]2.Diagnostic Analysis'!D64),'[1]2.Diagnostic Analysis'!$Q$3,'[1]2.Diagnostic Analysis'!D64)</f>
        <v>24</v>
      </c>
      <c r="G64">
        <v>100</v>
      </c>
      <c r="H64">
        <v>3</v>
      </c>
      <c r="I64">
        <v>300</v>
      </c>
      <c r="J64">
        <v>8.49</v>
      </c>
      <c r="K64" s="2">
        <v>44978</v>
      </c>
      <c r="L64" t="str">
        <f>IF(ISBLANK('[1]2.Diagnostic Analysis'!K64),"Unknown",'[1]2.Diagnostic Analysis'!K64)</f>
        <v>In Transit</v>
      </c>
    </row>
    <row r="65" spans="1:12" x14ac:dyDescent="0.25">
      <c r="A65" t="s">
        <v>83</v>
      </c>
      <c r="B65" t="s">
        <v>13</v>
      </c>
      <c r="C65" t="str">
        <f>IF(ISBLANK('[1]2.Diagnostic Analysis'!C65),"Unknown",'[1]2.Diagnostic Analysis'!C65)</f>
        <v>East</v>
      </c>
      <c r="D65" t="s">
        <v>17</v>
      </c>
      <c r="E65" t="s">
        <v>18</v>
      </c>
      <c r="F65">
        <f>IF(ISBLANK('[1]2.Diagnostic Analysis'!D65),'[1]2.Diagnostic Analysis'!$Q$3,'[1]2.Diagnostic Analysis'!D65)</f>
        <v>36</v>
      </c>
      <c r="G65">
        <v>100</v>
      </c>
      <c r="H65">
        <v>2</v>
      </c>
      <c r="I65">
        <v>200</v>
      </c>
      <c r="J65">
        <v>7.71</v>
      </c>
      <c r="K65" s="2">
        <v>45233</v>
      </c>
      <c r="L65" t="str">
        <f>IF(ISBLANK('[1]2.Diagnostic Analysis'!K65),"Unknown",'[1]2.Diagnostic Analysis'!K65)</f>
        <v>Returned</v>
      </c>
    </row>
    <row r="66" spans="1:12" x14ac:dyDescent="0.25">
      <c r="A66" t="s">
        <v>64</v>
      </c>
      <c r="B66" t="s">
        <v>13</v>
      </c>
      <c r="C66" t="str">
        <f>IF(ISBLANK('[1]2.Diagnostic Analysis'!C66),"Unknown",'[1]2.Diagnostic Analysis'!C66)</f>
        <v>North</v>
      </c>
      <c r="D66" t="s">
        <v>14</v>
      </c>
      <c r="E66" t="s">
        <v>15</v>
      </c>
      <c r="F66">
        <f>IF(ISBLANK('[1]2.Diagnostic Analysis'!D66),'[1]2.Diagnostic Analysis'!$Q$3,'[1]2.Diagnostic Analysis'!D66)</f>
        <v>19</v>
      </c>
      <c r="G66">
        <v>300</v>
      </c>
      <c r="H66">
        <v>5</v>
      </c>
      <c r="I66">
        <v>1500</v>
      </c>
      <c r="J66">
        <v>13.7</v>
      </c>
      <c r="K66" s="2">
        <v>44942</v>
      </c>
      <c r="L66" t="str">
        <f>IF(ISBLANK('[1]2.Diagnostic Analysis'!K66),"Unknown",'[1]2.Diagnostic Analysis'!K66)</f>
        <v>In Transit</v>
      </c>
    </row>
    <row r="67" spans="1:12" x14ac:dyDescent="0.25">
      <c r="A67" t="s">
        <v>84</v>
      </c>
      <c r="B67" t="s">
        <v>13</v>
      </c>
      <c r="C67" t="str">
        <f>IF(ISBLANK('[1]2.Diagnostic Analysis'!C67),"Unknown",'[1]2.Diagnostic Analysis'!C67)</f>
        <v>East</v>
      </c>
      <c r="D67" t="s">
        <v>14</v>
      </c>
      <c r="E67" t="s">
        <v>15</v>
      </c>
      <c r="F67">
        <f>IF(ISBLANK('[1]2.Diagnostic Analysis'!D67),'[1]2.Diagnostic Analysis'!$Q$3,'[1]2.Diagnostic Analysis'!D67)</f>
        <v>28</v>
      </c>
      <c r="G67">
        <v>300</v>
      </c>
      <c r="H67">
        <v>1</v>
      </c>
      <c r="I67">
        <v>300</v>
      </c>
      <c r="J67">
        <v>17.98</v>
      </c>
      <c r="K67" s="2">
        <v>45294</v>
      </c>
      <c r="L67" t="str">
        <f>IF(ISBLANK('[1]2.Diagnostic Analysis'!K67),"Unknown",'[1]2.Diagnostic Analysis'!K67)</f>
        <v>Returned</v>
      </c>
    </row>
    <row r="68" spans="1:12" x14ac:dyDescent="0.25">
      <c r="A68" t="s">
        <v>85</v>
      </c>
      <c r="B68" t="s">
        <v>20</v>
      </c>
      <c r="C68" t="str">
        <f>IF(ISBLANK('[1]2.Diagnostic Analysis'!C68),"Unknown",'[1]2.Diagnostic Analysis'!C68)</f>
        <v>East</v>
      </c>
      <c r="D68" t="s">
        <v>17</v>
      </c>
      <c r="E68" t="s">
        <v>18</v>
      </c>
      <c r="F68">
        <f>IF(ISBLANK('[1]2.Diagnostic Analysis'!D68),'[1]2.Diagnostic Analysis'!$Q$3,'[1]2.Diagnostic Analysis'!D68)</f>
        <v>49</v>
      </c>
      <c r="G68">
        <v>100</v>
      </c>
      <c r="H68">
        <v>2</v>
      </c>
      <c r="I68">
        <v>200</v>
      </c>
      <c r="J68">
        <v>13.06</v>
      </c>
      <c r="K68" s="2">
        <v>44962</v>
      </c>
      <c r="L68" t="str">
        <f>IF(ISBLANK('[1]2.Diagnostic Analysis'!K68),"Unknown",'[1]2.Diagnostic Analysis'!K68)</f>
        <v>Returned</v>
      </c>
    </row>
    <row r="69" spans="1:12" x14ac:dyDescent="0.25">
      <c r="A69" t="s">
        <v>86</v>
      </c>
      <c r="B69" t="s">
        <v>20</v>
      </c>
      <c r="C69" t="str">
        <f>IF(ISBLANK('[1]2.Diagnostic Analysis'!C69),"Unknown",'[1]2.Diagnostic Analysis'!C69)</f>
        <v>Unknown</v>
      </c>
      <c r="D69" t="s">
        <v>40</v>
      </c>
      <c r="E69" t="s">
        <v>15</v>
      </c>
      <c r="F69">
        <f>IF(ISBLANK('[1]2.Diagnostic Analysis'!D69),'[1]2.Diagnostic Analysis'!$Q$3,'[1]2.Diagnostic Analysis'!D69)</f>
        <v>61</v>
      </c>
      <c r="G69">
        <v>800</v>
      </c>
      <c r="H69">
        <v>4</v>
      </c>
      <c r="I69">
        <v>3200</v>
      </c>
      <c r="J69">
        <v>11.79</v>
      </c>
      <c r="K69" s="2">
        <v>44964</v>
      </c>
      <c r="L69" t="str">
        <f>IF(ISBLANK('[1]2.Diagnostic Analysis'!K69),"Unknown",'[1]2.Diagnostic Analysis'!K69)</f>
        <v>In Transit</v>
      </c>
    </row>
    <row r="70" spans="1:12" x14ac:dyDescent="0.25">
      <c r="A70" t="s">
        <v>57</v>
      </c>
      <c r="B70" t="s">
        <v>13</v>
      </c>
      <c r="C70" t="str">
        <f>IF(ISBLANK('[1]2.Diagnostic Analysis'!C70),"Unknown",'[1]2.Diagnostic Analysis'!C70)</f>
        <v>South</v>
      </c>
      <c r="D70" t="s">
        <v>29</v>
      </c>
      <c r="E70" t="s">
        <v>18</v>
      </c>
      <c r="F70">
        <f>IF(ISBLANK('[1]2.Diagnostic Analysis'!D70),'[1]2.Diagnostic Analysis'!$Q$3,'[1]2.Diagnostic Analysis'!D70)</f>
        <v>41</v>
      </c>
      <c r="G70">
        <v>50</v>
      </c>
      <c r="H70">
        <v>4</v>
      </c>
      <c r="I70">
        <v>200</v>
      </c>
      <c r="J70">
        <v>19.12</v>
      </c>
      <c r="K70" s="2">
        <v>45019</v>
      </c>
      <c r="L70" t="str">
        <f>IF(ISBLANK('[1]2.Diagnostic Analysis'!K70),"Unknown",'[1]2.Diagnostic Analysis'!K70)</f>
        <v>Returned</v>
      </c>
    </row>
    <row r="71" spans="1:12" x14ac:dyDescent="0.25">
      <c r="A71" t="s">
        <v>87</v>
      </c>
      <c r="B71" t="s">
        <v>13</v>
      </c>
      <c r="C71" t="str">
        <f>IF(ISBLANK('[1]2.Diagnostic Analysis'!C71),"Unknown",'[1]2.Diagnostic Analysis'!C71)</f>
        <v>East</v>
      </c>
      <c r="D71" t="s">
        <v>30</v>
      </c>
      <c r="E71" t="s">
        <v>18</v>
      </c>
      <c r="F71">
        <f>IF(ISBLANK('[1]2.Diagnostic Analysis'!D71),'[1]2.Diagnostic Analysis'!$Q$3,'[1]2.Diagnostic Analysis'!D71)</f>
        <v>21</v>
      </c>
      <c r="G71">
        <v>30</v>
      </c>
      <c r="H71">
        <v>1</v>
      </c>
      <c r="I71">
        <v>30</v>
      </c>
      <c r="J71">
        <v>6.17</v>
      </c>
      <c r="K71" s="2">
        <v>45222</v>
      </c>
      <c r="L71" t="str">
        <f>IF(ISBLANK('[1]2.Diagnostic Analysis'!K71),"Unknown",'[1]2.Diagnostic Analysis'!K71)</f>
        <v>In Transit</v>
      </c>
    </row>
    <row r="72" spans="1:12" x14ac:dyDescent="0.25">
      <c r="A72" t="s">
        <v>88</v>
      </c>
      <c r="B72" t="s">
        <v>20</v>
      </c>
      <c r="C72" t="str">
        <f>IF(ISBLANK('[1]2.Diagnostic Analysis'!C72),"Unknown",'[1]2.Diagnostic Analysis'!C72)</f>
        <v>North</v>
      </c>
      <c r="D72" t="s">
        <v>29</v>
      </c>
      <c r="E72" t="s">
        <v>18</v>
      </c>
      <c r="F72">
        <f>IF(ISBLANK('[1]2.Diagnostic Analysis'!D72),'[1]2.Diagnostic Analysis'!$Q$3,'[1]2.Diagnostic Analysis'!D72)</f>
        <v>50</v>
      </c>
      <c r="G72">
        <v>50</v>
      </c>
      <c r="H72">
        <v>2</v>
      </c>
      <c r="I72">
        <v>100</v>
      </c>
      <c r="J72">
        <v>13.82</v>
      </c>
      <c r="K72" s="2">
        <v>45132</v>
      </c>
      <c r="L72" t="str">
        <f>IF(ISBLANK('[1]2.Diagnostic Analysis'!K72),"Unknown",'[1]2.Diagnostic Analysis'!K72)</f>
        <v>In Transit</v>
      </c>
    </row>
    <row r="73" spans="1:12" x14ac:dyDescent="0.25">
      <c r="A73" t="s">
        <v>89</v>
      </c>
      <c r="B73" t="s">
        <v>13</v>
      </c>
      <c r="C73" t="str">
        <f>IF(ISBLANK('[1]2.Diagnostic Analysis'!C73),"Unknown",'[1]2.Diagnostic Analysis'!C73)</f>
        <v>West</v>
      </c>
      <c r="D73" t="s">
        <v>23</v>
      </c>
      <c r="E73" t="s">
        <v>15</v>
      </c>
      <c r="F73">
        <f>IF(ISBLANK('[1]2.Diagnostic Analysis'!D73),'[1]2.Diagnostic Analysis'!$Q$3,'[1]2.Diagnostic Analysis'!D73)</f>
        <v>48</v>
      </c>
      <c r="G73">
        <v>1500</v>
      </c>
      <c r="H73">
        <v>5</v>
      </c>
      <c r="I73">
        <v>7500</v>
      </c>
      <c r="J73">
        <v>15.95</v>
      </c>
      <c r="K73" s="2">
        <v>45200</v>
      </c>
      <c r="L73" t="str">
        <f>IF(ISBLANK('[1]2.Diagnostic Analysis'!K73),"Unknown",'[1]2.Diagnostic Analysis'!K73)</f>
        <v>Returned</v>
      </c>
    </row>
    <row r="74" spans="1:12" x14ac:dyDescent="0.25">
      <c r="A74" t="s">
        <v>90</v>
      </c>
      <c r="B74" t="s">
        <v>13</v>
      </c>
      <c r="C74" t="str">
        <f>IF(ISBLANK('[1]2.Diagnostic Analysis'!C74),"Unknown",'[1]2.Diagnostic Analysis'!C74)</f>
        <v>South</v>
      </c>
      <c r="D74" t="s">
        <v>29</v>
      </c>
      <c r="E74" t="s">
        <v>18</v>
      </c>
      <c r="F74">
        <f>IF(ISBLANK('[1]2.Diagnostic Analysis'!D74),'[1]2.Diagnostic Analysis'!$Q$3,'[1]2.Diagnostic Analysis'!D74)</f>
        <v>50</v>
      </c>
      <c r="G74">
        <v>50</v>
      </c>
      <c r="H74">
        <v>5</v>
      </c>
      <c r="I74">
        <v>250</v>
      </c>
      <c r="J74">
        <v>10.89</v>
      </c>
      <c r="K74" s="2">
        <v>45004</v>
      </c>
      <c r="L74" t="str">
        <f>IF(ISBLANK('[1]2.Diagnostic Analysis'!K74),"Unknown",'[1]2.Diagnostic Analysis'!K74)</f>
        <v>Delivered</v>
      </c>
    </row>
    <row r="75" spans="1:12" x14ac:dyDescent="0.25">
      <c r="A75" t="s">
        <v>91</v>
      </c>
      <c r="B75" t="s">
        <v>20</v>
      </c>
      <c r="C75" t="str">
        <f>IF(ISBLANK('[1]2.Diagnostic Analysis'!C75),"Unknown",'[1]2.Diagnostic Analysis'!C75)</f>
        <v>West</v>
      </c>
      <c r="D75" t="s">
        <v>29</v>
      </c>
      <c r="E75" t="s">
        <v>18</v>
      </c>
      <c r="F75">
        <f>IF(ISBLANK('[1]2.Diagnostic Analysis'!D75),'[1]2.Diagnostic Analysis'!$Q$3,'[1]2.Diagnostic Analysis'!D75)</f>
        <v>54</v>
      </c>
      <c r="G75">
        <v>50</v>
      </c>
      <c r="H75">
        <v>4</v>
      </c>
      <c r="I75">
        <v>200</v>
      </c>
      <c r="J75">
        <v>9.2200000000000006</v>
      </c>
      <c r="K75" s="2">
        <v>45204</v>
      </c>
      <c r="L75" t="str">
        <f>IF(ISBLANK('[1]2.Diagnostic Analysis'!K75),"Unknown",'[1]2.Diagnostic Analysis'!K75)</f>
        <v>Returned</v>
      </c>
    </row>
    <row r="76" spans="1:12" x14ac:dyDescent="0.25">
      <c r="A76" t="s">
        <v>58</v>
      </c>
      <c r="B76" t="s">
        <v>20</v>
      </c>
      <c r="C76" t="str">
        <f>IF(ISBLANK('[1]2.Diagnostic Analysis'!C76),"Unknown",'[1]2.Diagnostic Analysis'!C76)</f>
        <v>North</v>
      </c>
      <c r="D76" t="s">
        <v>29</v>
      </c>
      <c r="E76" t="s">
        <v>18</v>
      </c>
      <c r="F76">
        <f>IF(ISBLANK('[1]2.Diagnostic Analysis'!D76),'[1]2.Diagnostic Analysis'!$Q$3,'[1]2.Diagnostic Analysis'!D76)</f>
        <v>64</v>
      </c>
      <c r="G76">
        <v>50</v>
      </c>
      <c r="H76">
        <v>3</v>
      </c>
      <c r="I76">
        <v>150</v>
      </c>
      <c r="J76">
        <v>17.760000000000002</v>
      </c>
      <c r="K76" s="2">
        <v>45027</v>
      </c>
      <c r="L76" t="str">
        <f>IF(ISBLANK('[1]2.Diagnostic Analysis'!K76),"Unknown",'[1]2.Diagnostic Analysis'!K76)</f>
        <v>In Transit</v>
      </c>
    </row>
    <row r="77" spans="1:12" x14ac:dyDescent="0.25">
      <c r="A77" t="s">
        <v>92</v>
      </c>
      <c r="B77" t="s">
        <v>13</v>
      </c>
      <c r="C77" t="str">
        <f>IF(ISBLANK('[1]2.Diagnostic Analysis'!C77),"Unknown",'[1]2.Diagnostic Analysis'!C77)</f>
        <v>North</v>
      </c>
      <c r="D77" t="s">
        <v>30</v>
      </c>
      <c r="E77" t="s">
        <v>18</v>
      </c>
      <c r="F77">
        <f>IF(ISBLANK('[1]2.Diagnostic Analysis'!D77),'[1]2.Diagnostic Analysis'!$Q$3,'[1]2.Diagnostic Analysis'!D77)</f>
        <v>63</v>
      </c>
      <c r="G77">
        <v>30</v>
      </c>
      <c r="H77">
        <v>1</v>
      </c>
      <c r="I77">
        <v>30</v>
      </c>
      <c r="J77">
        <v>13.28</v>
      </c>
      <c r="K77" s="2">
        <v>45180</v>
      </c>
      <c r="L77" t="str">
        <f>IF(ISBLANK('[1]2.Diagnostic Analysis'!K77),"Unknown",'[1]2.Diagnostic Analysis'!K77)</f>
        <v>Returned</v>
      </c>
    </row>
    <row r="78" spans="1:12" x14ac:dyDescent="0.25">
      <c r="A78" t="s">
        <v>93</v>
      </c>
      <c r="B78" t="s">
        <v>20</v>
      </c>
      <c r="C78" t="str">
        <f>IF(ISBLANK('[1]2.Diagnostic Analysis'!C78),"Unknown",'[1]2.Diagnostic Analysis'!C78)</f>
        <v>North</v>
      </c>
      <c r="D78" t="s">
        <v>40</v>
      </c>
      <c r="E78" t="s">
        <v>15</v>
      </c>
      <c r="F78">
        <f>IF(ISBLANK('[1]2.Diagnostic Analysis'!D78),'[1]2.Diagnostic Analysis'!$Q$3,'[1]2.Diagnostic Analysis'!D78)</f>
        <v>47</v>
      </c>
      <c r="G78">
        <v>800</v>
      </c>
      <c r="H78">
        <v>1</v>
      </c>
      <c r="I78">
        <v>800</v>
      </c>
      <c r="J78">
        <v>11.29</v>
      </c>
      <c r="K78" s="2">
        <v>45227</v>
      </c>
      <c r="L78" t="str">
        <f>IF(ISBLANK('[1]2.Diagnostic Analysis'!K78),"Unknown",'[1]2.Diagnostic Analysis'!K78)</f>
        <v>Returned</v>
      </c>
    </row>
    <row r="79" spans="1:12" x14ac:dyDescent="0.25">
      <c r="A79" t="s">
        <v>94</v>
      </c>
      <c r="B79" t="s">
        <v>13</v>
      </c>
      <c r="C79" t="str">
        <f>IF(ISBLANK('[1]2.Diagnostic Analysis'!C79),"Unknown",'[1]2.Diagnostic Analysis'!C79)</f>
        <v>North</v>
      </c>
      <c r="D79" t="s">
        <v>29</v>
      </c>
      <c r="E79" t="s">
        <v>18</v>
      </c>
      <c r="F79">
        <f>IF(ISBLANK('[1]2.Diagnostic Analysis'!D79),'[1]2.Diagnostic Analysis'!$Q$3,'[1]2.Diagnostic Analysis'!D79)</f>
        <v>45</v>
      </c>
      <c r="G79">
        <v>50</v>
      </c>
      <c r="H79">
        <v>2</v>
      </c>
      <c r="I79">
        <v>100</v>
      </c>
      <c r="J79">
        <v>19.04</v>
      </c>
      <c r="K79" s="2">
        <v>45001</v>
      </c>
      <c r="L79" t="str">
        <f>IF(ISBLANK('[1]2.Diagnostic Analysis'!K79),"Unknown",'[1]2.Diagnostic Analysis'!K79)</f>
        <v>Delivered</v>
      </c>
    </row>
    <row r="80" spans="1:12" x14ac:dyDescent="0.25">
      <c r="A80" t="s">
        <v>95</v>
      </c>
      <c r="B80" t="s">
        <v>20</v>
      </c>
      <c r="C80" t="str">
        <f>IF(ISBLANK('[1]2.Diagnostic Analysis'!C80),"Unknown",'[1]2.Diagnostic Analysis'!C80)</f>
        <v>North</v>
      </c>
      <c r="D80" t="s">
        <v>25</v>
      </c>
      <c r="E80" t="s">
        <v>26</v>
      </c>
      <c r="F80">
        <f>IF(ISBLANK('[1]2.Diagnostic Analysis'!D80),'[1]2.Diagnostic Analysis'!$Q$3,'[1]2.Diagnostic Analysis'!D80)</f>
        <v>33</v>
      </c>
      <c r="G80">
        <v>200</v>
      </c>
      <c r="H80">
        <v>2</v>
      </c>
      <c r="I80">
        <v>400</v>
      </c>
      <c r="J80">
        <v>10.07</v>
      </c>
      <c r="K80" s="2">
        <v>45251</v>
      </c>
      <c r="L80" t="str">
        <f>IF(ISBLANK('[1]2.Diagnostic Analysis'!K80),"Unknown",'[1]2.Diagnostic Analysis'!K80)</f>
        <v>Delivered</v>
      </c>
    </row>
    <row r="81" spans="1:12" x14ac:dyDescent="0.25">
      <c r="A81" t="s">
        <v>96</v>
      </c>
      <c r="B81" t="s">
        <v>20</v>
      </c>
      <c r="C81" t="str">
        <f>IF(ISBLANK('[1]2.Diagnostic Analysis'!C81),"Unknown",'[1]2.Diagnostic Analysis'!C81)</f>
        <v>East</v>
      </c>
      <c r="D81" t="s">
        <v>23</v>
      </c>
      <c r="E81" t="s">
        <v>15</v>
      </c>
      <c r="F81">
        <f>IF(ISBLANK('[1]2.Diagnostic Analysis'!D81),'[1]2.Diagnostic Analysis'!$Q$3,'[1]2.Diagnostic Analysis'!D81)</f>
        <v>64</v>
      </c>
      <c r="G81">
        <v>1500</v>
      </c>
      <c r="H81">
        <v>5</v>
      </c>
      <c r="I81">
        <v>7500</v>
      </c>
      <c r="J81">
        <v>6.53</v>
      </c>
      <c r="K81" s="2">
        <v>45263</v>
      </c>
      <c r="L81" t="str">
        <f>IF(ISBLANK('[1]2.Diagnostic Analysis'!K81),"Unknown",'[1]2.Diagnostic Analysis'!K81)</f>
        <v>Returned</v>
      </c>
    </row>
    <row r="82" spans="1:12" x14ac:dyDescent="0.25">
      <c r="A82" t="s">
        <v>97</v>
      </c>
      <c r="B82" t="s">
        <v>13</v>
      </c>
      <c r="C82" t="str">
        <f>IF(ISBLANK('[1]2.Diagnostic Analysis'!C82),"Unknown",'[1]2.Diagnostic Analysis'!C82)</f>
        <v>East</v>
      </c>
      <c r="D82" t="s">
        <v>25</v>
      </c>
      <c r="E82" t="s">
        <v>26</v>
      </c>
      <c r="F82">
        <f>IF(ISBLANK('[1]2.Diagnostic Analysis'!D82),'[1]2.Diagnostic Analysis'!$Q$3,'[1]2.Diagnostic Analysis'!D82)</f>
        <v>59</v>
      </c>
      <c r="G82">
        <v>200</v>
      </c>
      <c r="H82">
        <v>3</v>
      </c>
      <c r="I82">
        <v>600</v>
      </c>
      <c r="J82">
        <v>9.82</v>
      </c>
      <c r="K82" s="2">
        <v>44965</v>
      </c>
      <c r="L82" t="str">
        <f>IF(ISBLANK('[1]2.Diagnostic Analysis'!K82),"Unknown",'[1]2.Diagnostic Analysis'!K82)</f>
        <v>In Transit</v>
      </c>
    </row>
    <row r="83" spans="1:12" x14ac:dyDescent="0.25">
      <c r="A83" t="s">
        <v>98</v>
      </c>
      <c r="B83" t="s">
        <v>20</v>
      </c>
      <c r="C83" t="str">
        <f>IF(ISBLANK('[1]2.Diagnostic Analysis'!C83),"Unknown",'[1]2.Diagnostic Analysis'!C83)</f>
        <v>South</v>
      </c>
      <c r="D83" t="s">
        <v>30</v>
      </c>
      <c r="E83" t="s">
        <v>18</v>
      </c>
      <c r="F83">
        <f>IF(ISBLANK('[1]2.Diagnostic Analysis'!D83),'[1]2.Diagnostic Analysis'!$Q$3,'[1]2.Diagnostic Analysis'!D83)</f>
        <v>40</v>
      </c>
      <c r="G83">
        <v>30</v>
      </c>
      <c r="H83">
        <v>5</v>
      </c>
      <c r="I83">
        <v>150</v>
      </c>
      <c r="J83">
        <v>8.64</v>
      </c>
      <c r="K83" s="2">
        <v>45282</v>
      </c>
      <c r="L83" t="str">
        <f>IF(ISBLANK('[1]2.Diagnostic Analysis'!K83),"Unknown",'[1]2.Diagnostic Analysis'!K83)</f>
        <v>Delivered</v>
      </c>
    </row>
    <row r="84" spans="1:12" x14ac:dyDescent="0.25">
      <c r="A84" t="s">
        <v>99</v>
      </c>
      <c r="B84" t="s">
        <v>13</v>
      </c>
      <c r="C84" t="str">
        <f>IF(ISBLANK('[1]2.Diagnostic Analysis'!C84),"Unknown",'[1]2.Diagnostic Analysis'!C84)</f>
        <v>West</v>
      </c>
      <c r="D84" t="s">
        <v>14</v>
      </c>
      <c r="E84" t="s">
        <v>15</v>
      </c>
      <c r="F84">
        <f>IF(ISBLANK('[1]2.Diagnostic Analysis'!D84),'[1]2.Diagnostic Analysis'!$Q$3,'[1]2.Diagnostic Analysis'!D84)</f>
        <v>49</v>
      </c>
      <c r="G84">
        <v>300</v>
      </c>
      <c r="H84">
        <v>5</v>
      </c>
      <c r="I84">
        <v>1500</v>
      </c>
      <c r="J84">
        <v>7.77</v>
      </c>
      <c r="K84" s="2">
        <v>45223</v>
      </c>
      <c r="L84" t="str">
        <f>IF(ISBLANK('[1]2.Diagnostic Analysis'!K84),"Unknown",'[1]2.Diagnostic Analysis'!K84)</f>
        <v>In Transit</v>
      </c>
    </row>
    <row r="85" spans="1:12" x14ac:dyDescent="0.25">
      <c r="A85" t="s">
        <v>100</v>
      </c>
      <c r="B85" t="s">
        <v>13</v>
      </c>
      <c r="C85" t="str">
        <f>IF(ISBLANK('[1]2.Diagnostic Analysis'!C85),"Unknown",'[1]2.Diagnostic Analysis'!C85)</f>
        <v>Unknown</v>
      </c>
      <c r="D85" t="s">
        <v>30</v>
      </c>
      <c r="E85" t="s">
        <v>18</v>
      </c>
      <c r="F85">
        <f>IF(ISBLANK('[1]2.Diagnostic Analysis'!D85),'[1]2.Diagnostic Analysis'!$Q$3,'[1]2.Diagnostic Analysis'!D85)</f>
        <v>48</v>
      </c>
      <c r="G85">
        <v>62.191212249732999</v>
      </c>
      <c r="H85">
        <v>2</v>
      </c>
      <c r="I85">
        <v>60</v>
      </c>
      <c r="J85">
        <v>7.4</v>
      </c>
      <c r="K85" s="2">
        <v>45158</v>
      </c>
      <c r="L85" t="str">
        <f>IF(ISBLANK('[1]2.Diagnostic Analysis'!K85),"Unknown",'[1]2.Diagnostic Analysis'!K85)</f>
        <v>Returned</v>
      </c>
    </row>
    <row r="86" spans="1:12" x14ac:dyDescent="0.25">
      <c r="A86" t="s">
        <v>101</v>
      </c>
      <c r="B86" t="s">
        <v>13</v>
      </c>
      <c r="C86" t="str">
        <f>IF(ISBLANK('[1]2.Diagnostic Analysis'!C86),"Unknown",'[1]2.Diagnostic Analysis'!C86)</f>
        <v>West</v>
      </c>
      <c r="D86" t="s">
        <v>29</v>
      </c>
      <c r="E86" t="s">
        <v>18</v>
      </c>
      <c r="F86">
        <f>IF(ISBLANK('[1]2.Diagnostic Analysis'!D86),'[1]2.Diagnostic Analysis'!$Q$3,'[1]2.Diagnostic Analysis'!D86)</f>
        <v>51</v>
      </c>
      <c r="G86">
        <v>103.65202041622101</v>
      </c>
      <c r="H86">
        <v>4</v>
      </c>
      <c r="I86">
        <v>200</v>
      </c>
      <c r="J86">
        <v>11.41</v>
      </c>
      <c r="K86" s="2">
        <v>45066</v>
      </c>
      <c r="L86" t="str">
        <f>IF(ISBLANK('[1]2.Diagnostic Analysis'!K86),"Unknown",'[1]2.Diagnostic Analysis'!K86)</f>
        <v>Returned</v>
      </c>
    </row>
    <row r="87" spans="1:12" x14ac:dyDescent="0.25">
      <c r="A87" t="s">
        <v>79</v>
      </c>
      <c r="B87" t="s">
        <v>20</v>
      </c>
      <c r="C87" t="str">
        <f>IF(ISBLANK('[1]2.Diagnostic Analysis'!C87),"Unknown",'[1]2.Diagnostic Analysis'!C87)</f>
        <v>West</v>
      </c>
      <c r="D87" t="s">
        <v>14</v>
      </c>
      <c r="E87" t="s">
        <v>15</v>
      </c>
      <c r="F87">
        <f>IF(ISBLANK('[1]2.Diagnostic Analysis'!D87),'[1]2.Diagnostic Analysis'!$Q$3,'[1]2.Diagnostic Analysis'!D87)</f>
        <v>52</v>
      </c>
      <c r="G87">
        <v>300</v>
      </c>
      <c r="H87">
        <v>3</v>
      </c>
      <c r="I87">
        <v>900</v>
      </c>
      <c r="J87">
        <v>5.66</v>
      </c>
      <c r="K87" s="2">
        <v>44975</v>
      </c>
      <c r="L87" t="str">
        <f>IF(ISBLANK('[1]2.Diagnostic Analysis'!K87),"Unknown",'[1]2.Diagnostic Analysis'!K87)</f>
        <v>Delivered</v>
      </c>
    </row>
    <row r="88" spans="1:12" x14ac:dyDescent="0.25">
      <c r="A88" t="s">
        <v>74</v>
      </c>
      <c r="B88" t="s">
        <v>20</v>
      </c>
      <c r="C88" t="str">
        <f>IF(ISBLANK('[1]2.Diagnostic Analysis'!C88),"Unknown",'[1]2.Diagnostic Analysis'!C88)</f>
        <v>West</v>
      </c>
      <c r="D88" t="s">
        <v>30</v>
      </c>
      <c r="E88" t="s">
        <v>18</v>
      </c>
      <c r="F88">
        <f>IF(ISBLANK('[1]2.Diagnostic Analysis'!D88),'[1]2.Diagnostic Analysis'!$Q$3,'[1]2.Diagnostic Analysis'!D88)</f>
        <v>46</v>
      </c>
      <c r="G88">
        <v>30</v>
      </c>
      <c r="H88">
        <v>4</v>
      </c>
      <c r="I88">
        <v>120</v>
      </c>
      <c r="J88">
        <v>5.71</v>
      </c>
      <c r="K88" s="2">
        <v>45294</v>
      </c>
      <c r="L88" t="str">
        <f>IF(ISBLANK('[1]2.Diagnostic Analysis'!K88),"Unknown",'[1]2.Diagnostic Analysis'!K88)</f>
        <v>Delivered</v>
      </c>
    </row>
    <row r="89" spans="1:12" x14ac:dyDescent="0.25">
      <c r="A89" t="s">
        <v>79</v>
      </c>
      <c r="B89" t="s">
        <v>13</v>
      </c>
      <c r="C89" t="str">
        <f>IF(ISBLANK('[1]2.Diagnostic Analysis'!C89),"Unknown",'[1]2.Diagnostic Analysis'!C89)</f>
        <v>North</v>
      </c>
      <c r="D89" t="s">
        <v>25</v>
      </c>
      <c r="E89" t="s">
        <v>26</v>
      </c>
      <c r="F89">
        <f>IF(ISBLANK('[1]2.Diagnostic Analysis'!D89),'[1]2.Diagnostic Analysis'!$Q$3,'[1]2.Diagnostic Analysis'!D89)</f>
        <v>52</v>
      </c>
      <c r="G89">
        <v>200</v>
      </c>
      <c r="H89">
        <v>1</v>
      </c>
      <c r="I89">
        <v>200</v>
      </c>
      <c r="J89">
        <v>13.68</v>
      </c>
      <c r="K89" s="2">
        <v>45140</v>
      </c>
      <c r="L89" t="str">
        <f>IF(ISBLANK('[1]2.Diagnostic Analysis'!K89),"Unknown",'[1]2.Diagnostic Analysis'!K89)</f>
        <v>Delivered</v>
      </c>
    </row>
    <row r="90" spans="1:12" x14ac:dyDescent="0.25">
      <c r="A90" t="s">
        <v>102</v>
      </c>
      <c r="B90" t="s">
        <v>20</v>
      </c>
      <c r="C90" t="str">
        <f>IF(ISBLANK('[1]2.Diagnostic Analysis'!C90),"Unknown",'[1]2.Diagnostic Analysis'!C90)</f>
        <v>South</v>
      </c>
      <c r="D90" t="s">
        <v>30</v>
      </c>
      <c r="E90" t="s">
        <v>18</v>
      </c>
      <c r="F90">
        <f>IF(ISBLANK('[1]2.Diagnostic Analysis'!D90),'[1]2.Diagnostic Analysis'!$Q$3,'[1]2.Diagnostic Analysis'!D90)</f>
        <v>30</v>
      </c>
      <c r="G90">
        <v>30</v>
      </c>
      <c r="H90">
        <v>1</v>
      </c>
      <c r="I90">
        <v>30</v>
      </c>
      <c r="J90">
        <v>18.29</v>
      </c>
      <c r="K90" s="2">
        <v>45035</v>
      </c>
      <c r="L90" t="str">
        <f>IF(ISBLANK('[1]2.Diagnostic Analysis'!K90),"Unknown",'[1]2.Diagnostic Analysis'!K90)</f>
        <v>In Transit</v>
      </c>
    </row>
    <row r="91" spans="1:12" x14ac:dyDescent="0.25">
      <c r="A91" t="s">
        <v>63</v>
      </c>
      <c r="B91" t="s">
        <v>13</v>
      </c>
      <c r="C91" t="str">
        <f>IF(ISBLANK('[1]2.Diagnostic Analysis'!C91),"Unknown",'[1]2.Diagnostic Analysis'!C91)</f>
        <v>North</v>
      </c>
      <c r="D91" t="s">
        <v>40</v>
      </c>
      <c r="E91" t="s">
        <v>15</v>
      </c>
      <c r="F91">
        <f>IF(ISBLANK('[1]2.Diagnostic Analysis'!D91),'[1]2.Diagnostic Analysis'!$Q$3,'[1]2.Diagnostic Analysis'!D91)</f>
        <v>61</v>
      </c>
      <c r="G91">
        <v>800</v>
      </c>
      <c r="H91">
        <v>5</v>
      </c>
      <c r="I91">
        <v>4000</v>
      </c>
      <c r="J91">
        <v>6.31</v>
      </c>
      <c r="K91" s="2">
        <v>45106</v>
      </c>
      <c r="L91" t="str">
        <f>IF(ISBLANK('[1]2.Diagnostic Analysis'!K91),"Unknown",'[1]2.Diagnostic Analysis'!K91)</f>
        <v>Delivered</v>
      </c>
    </row>
    <row r="92" spans="1:12" x14ac:dyDescent="0.25">
      <c r="A92" t="s">
        <v>103</v>
      </c>
      <c r="B92" t="s">
        <v>20</v>
      </c>
      <c r="C92" t="str">
        <f>IF(ISBLANK('[1]2.Diagnostic Analysis'!C92),"Unknown",'[1]2.Diagnostic Analysis'!C92)</f>
        <v>North</v>
      </c>
      <c r="D92" t="s">
        <v>23</v>
      </c>
      <c r="E92" t="s">
        <v>15</v>
      </c>
      <c r="F92">
        <f>IF(ISBLANK('[1]2.Diagnostic Analysis'!D92),'[1]2.Diagnostic Analysis'!$Q$3,'[1]2.Diagnostic Analysis'!D92)</f>
        <v>63</v>
      </c>
      <c r="G92">
        <v>1500</v>
      </c>
      <c r="H92">
        <v>1</v>
      </c>
      <c r="I92">
        <v>1500</v>
      </c>
      <c r="J92">
        <v>13.15</v>
      </c>
      <c r="K92" s="2">
        <v>44993</v>
      </c>
      <c r="L92" t="str">
        <f>IF(ISBLANK('[1]2.Diagnostic Analysis'!K92),"Unknown",'[1]2.Diagnostic Analysis'!K92)</f>
        <v>Delivered</v>
      </c>
    </row>
    <row r="93" spans="1:12" x14ac:dyDescent="0.25">
      <c r="A93" t="s">
        <v>53</v>
      </c>
      <c r="B93" t="s">
        <v>13</v>
      </c>
      <c r="C93" t="str">
        <f>IF(ISBLANK('[1]2.Diagnostic Analysis'!C93),"Unknown",'[1]2.Diagnostic Analysis'!C93)</f>
        <v>West</v>
      </c>
      <c r="D93" t="s">
        <v>17</v>
      </c>
      <c r="E93" t="s">
        <v>18</v>
      </c>
      <c r="F93">
        <f>IF(ISBLANK('[1]2.Diagnostic Analysis'!D93),'[1]2.Diagnostic Analysis'!$Q$3,'[1]2.Diagnostic Analysis'!D93)</f>
        <v>55</v>
      </c>
      <c r="G93">
        <v>100</v>
      </c>
      <c r="H93">
        <v>2</v>
      </c>
      <c r="I93">
        <v>200</v>
      </c>
      <c r="J93">
        <v>16.23</v>
      </c>
      <c r="K93" s="2">
        <v>45111</v>
      </c>
      <c r="L93" t="str">
        <f>IF(ISBLANK('[1]2.Diagnostic Analysis'!K93),"Unknown",'[1]2.Diagnostic Analysis'!K93)</f>
        <v>Returned</v>
      </c>
    </row>
    <row r="94" spans="1:12" x14ac:dyDescent="0.25">
      <c r="A94" t="s">
        <v>104</v>
      </c>
      <c r="B94" t="s">
        <v>20</v>
      </c>
      <c r="C94" t="str">
        <f>IF(ISBLANK('[1]2.Diagnostic Analysis'!C94),"Unknown",'[1]2.Diagnostic Analysis'!C94)</f>
        <v>East</v>
      </c>
      <c r="D94" t="s">
        <v>29</v>
      </c>
      <c r="E94" t="s">
        <v>18</v>
      </c>
      <c r="F94">
        <f>IF(ISBLANK('[1]2.Diagnostic Analysis'!D94),'[1]2.Diagnostic Analysis'!$Q$3,'[1]2.Diagnostic Analysis'!D94)</f>
        <v>69</v>
      </c>
      <c r="G94">
        <v>50</v>
      </c>
      <c r="H94">
        <v>1</v>
      </c>
      <c r="I94">
        <v>50</v>
      </c>
      <c r="J94">
        <v>14.53</v>
      </c>
      <c r="K94" s="2">
        <v>45039</v>
      </c>
      <c r="L94" t="str">
        <f>IF(ISBLANK('[1]2.Diagnostic Analysis'!K94),"Unknown",'[1]2.Diagnostic Analysis'!K94)</f>
        <v>Returned</v>
      </c>
    </row>
    <row r="95" spans="1:12" x14ac:dyDescent="0.25">
      <c r="A95" t="s">
        <v>105</v>
      </c>
      <c r="B95" t="s">
        <v>13</v>
      </c>
      <c r="C95" t="str">
        <f>IF(ISBLANK('[1]2.Diagnostic Analysis'!C95),"Unknown",'[1]2.Diagnostic Analysis'!C95)</f>
        <v>East</v>
      </c>
      <c r="D95" t="s">
        <v>29</v>
      </c>
      <c r="E95" t="s">
        <v>18</v>
      </c>
      <c r="F95">
        <f>IF(ISBLANK('[1]2.Diagnostic Analysis'!D95),'[1]2.Diagnostic Analysis'!$Q$3,'[1]2.Diagnostic Analysis'!D95)</f>
        <v>18</v>
      </c>
      <c r="G95">
        <v>50</v>
      </c>
      <c r="H95">
        <v>2</v>
      </c>
      <c r="I95">
        <v>100</v>
      </c>
      <c r="J95">
        <v>11.25</v>
      </c>
      <c r="K95" s="2">
        <v>45009</v>
      </c>
      <c r="L95" t="str">
        <f>IF(ISBLANK('[1]2.Diagnostic Analysis'!K95),"Unknown",'[1]2.Diagnostic Analysis'!K95)</f>
        <v>Returned</v>
      </c>
    </row>
    <row r="96" spans="1:12" x14ac:dyDescent="0.25">
      <c r="A96" t="s">
        <v>28</v>
      </c>
      <c r="B96" t="s">
        <v>13</v>
      </c>
      <c r="C96" t="str">
        <f>IF(ISBLANK('[1]2.Diagnostic Analysis'!C96),"Unknown",'[1]2.Diagnostic Analysis'!C96)</f>
        <v>West</v>
      </c>
      <c r="D96" t="s">
        <v>29</v>
      </c>
      <c r="E96" t="s">
        <v>18</v>
      </c>
      <c r="F96">
        <f>IF(ISBLANK('[1]2.Diagnostic Analysis'!D96),'[1]2.Diagnostic Analysis'!$Q$3,'[1]2.Diagnostic Analysis'!D96)</f>
        <v>18</v>
      </c>
      <c r="G96">
        <v>50</v>
      </c>
      <c r="H96">
        <v>5</v>
      </c>
      <c r="I96">
        <v>250</v>
      </c>
      <c r="J96">
        <v>11.11</v>
      </c>
      <c r="K96" s="2">
        <v>45180</v>
      </c>
      <c r="L96" t="str">
        <f>IF(ISBLANK('[1]2.Diagnostic Analysis'!K96),"Unknown",'[1]2.Diagnostic Analysis'!K96)</f>
        <v>Returned</v>
      </c>
    </row>
    <row r="97" spans="1:12" x14ac:dyDescent="0.25">
      <c r="A97" t="s">
        <v>106</v>
      </c>
      <c r="B97" t="s">
        <v>13</v>
      </c>
      <c r="C97" t="str">
        <f>IF(ISBLANK('[1]2.Diagnostic Analysis'!C97),"Unknown",'[1]2.Diagnostic Analysis'!C97)</f>
        <v>North</v>
      </c>
      <c r="D97" t="s">
        <v>30</v>
      </c>
      <c r="E97" t="s">
        <v>18</v>
      </c>
      <c r="F97">
        <f>IF(ISBLANK('[1]2.Diagnostic Analysis'!D97),'[1]2.Diagnostic Analysis'!$Q$3,'[1]2.Diagnostic Analysis'!D97)</f>
        <v>42</v>
      </c>
      <c r="G97">
        <v>30</v>
      </c>
      <c r="H97">
        <v>2</v>
      </c>
      <c r="I97">
        <v>60</v>
      </c>
      <c r="J97">
        <v>18.98</v>
      </c>
      <c r="K97" s="2">
        <v>44959</v>
      </c>
      <c r="L97" t="str">
        <f>IF(ISBLANK('[1]2.Diagnostic Analysis'!K97),"Unknown",'[1]2.Diagnostic Analysis'!K97)</f>
        <v>In Transit</v>
      </c>
    </row>
    <row r="98" spans="1:12" x14ac:dyDescent="0.25">
      <c r="A98" t="s">
        <v>28</v>
      </c>
      <c r="B98" t="s">
        <v>13</v>
      </c>
      <c r="C98" t="str">
        <f>IF(ISBLANK('[1]2.Diagnostic Analysis'!C98),"Unknown",'[1]2.Diagnostic Analysis'!C98)</f>
        <v>North</v>
      </c>
      <c r="D98" t="s">
        <v>17</v>
      </c>
      <c r="E98" t="s">
        <v>18</v>
      </c>
      <c r="F98">
        <f>IF(ISBLANK('[1]2.Diagnostic Analysis'!D98),'[1]2.Diagnostic Analysis'!$Q$3,'[1]2.Diagnostic Analysis'!D98)</f>
        <v>18</v>
      </c>
      <c r="G98">
        <v>100</v>
      </c>
      <c r="H98">
        <v>1</v>
      </c>
      <c r="I98">
        <v>100</v>
      </c>
      <c r="J98">
        <v>18.47</v>
      </c>
      <c r="K98" s="2">
        <v>45151</v>
      </c>
      <c r="L98" t="str">
        <f>IF(ISBLANK('[1]2.Diagnostic Analysis'!K98),"Unknown",'[1]2.Diagnostic Analysis'!K98)</f>
        <v>Delivered</v>
      </c>
    </row>
    <row r="99" spans="1:12" x14ac:dyDescent="0.25">
      <c r="A99" t="s">
        <v>63</v>
      </c>
      <c r="B99" t="s">
        <v>13</v>
      </c>
      <c r="C99" t="str">
        <f>IF(ISBLANK('[1]2.Diagnostic Analysis'!C99),"Unknown",'[1]2.Diagnostic Analysis'!C99)</f>
        <v>West</v>
      </c>
      <c r="D99" t="s">
        <v>14</v>
      </c>
      <c r="E99" t="s">
        <v>15</v>
      </c>
      <c r="F99">
        <f>IF(ISBLANK('[1]2.Diagnostic Analysis'!D99),'[1]2.Diagnostic Analysis'!$Q$3,'[1]2.Diagnostic Analysis'!D99)</f>
        <v>61</v>
      </c>
      <c r="G99">
        <v>300</v>
      </c>
      <c r="H99">
        <v>4</v>
      </c>
      <c r="I99">
        <v>1200</v>
      </c>
      <c r="J99">
        <v>18.5</v>
      </c>
      <c r="K99" s="2">
        <v>45069</v>
      </c>
      <c r="L99" t="str">
        <f>IF(ISBLANK('[1]2.Diagnostic Analysis'!K99),"Unknown",'[1]2.Diagnostic Analysis'!K99)</f>
        <v>Returned</v>
      </c>
    </row>
    <row r="100" spans="1:12" x14ac:dyDescent="0.25">
      <c r="A100" t="s">
        <v>107</v>
      </c>
      <c r="B100" t="s">
        <v>20</v>
      </c>
      <c r="C100" t="str">
        <f>IF(ISBLANK('[1]2.Diagnostic Analysis'!C100),"Unknown",'[1]2.Diagnostic Analysis'!C100)</f>
        <v>South</v>
      </c>
      <c r="D100" t="s">
        <v>23</v>
      </c>
      <c r="E100" t="s">
        <v>15</v>
      </c>
      <c r="F100">
        <f>IF(ISBLANK('[1]2.Diagnostic Analysis'!D100),'[1]2.Diagnostic Analysis'!$Q$3,'[1]2.Diagnostic Analysis'!D100)</f>
        <v>26</v>
      </c>
      <c r="G100">
        <v>1500</v>
      </c>
      <c r="H100">
        <v>4</v>
      </c>
      <c r="I100">
        <v>6000</v>
      </c>
      <c r="J100">
        <v>15.74</v>
      </c>
      <c r="K100" s="2">
        <v>45150</v>
      </c>
      <c r="L100" t="str">
        <f>IF(ISBLANK('[1]2.Diagnostic Analysis'!K100),"Unknown",'[1]2.Diagnostic Analysis'!K100)</f>
        <v>Returned</v>
      </c>
    </row>
    <row r="101" spans="1:12" x14ac:dyDescent="0.25">
      <c r="A101" t="s">
        <v>108</v>
      </c>
      <c r="B101" t="s">
        <v>13</v>
      </c>
      <c r="C101" t="str">
        <f>IF(ISBLANK('[1]2.Diagnostic Analysis'!C101),"Unknown",'[1]2.Diagnostic Analysis'!C101)</f>
        <v>North</v>
      </c>
      <c r="D101" t="s">
        <v>40</v>
      </c>
      <c r="E101" t="s">
        <v>15</v>
      </c>
      <c r="F101">
        <f>IF(ISBLANK('[1]2.Diagnostic Analysis'!D101),'[1]2.Diagnostic Analysis'!$Q$3,'[1]2.Diagnostic Analysis'!D101)</f>
        <v>25</v>
      </c>
      <c r="G101">
        <v>800</v>
      </c>
      <c r="H101">
        <v>4</v>
      </c>
      <c r="I101">
        <v>3200</v>
      </c>
      <c r="J101">
        <v>18.2</v>
      </c>
      <c r="K101" s="2">
        <v>44950</v>
      </c>
      <c r="L101" t="str">
        <f>IF(ISBLANK('[1]2.Diagnostic Analysis'!K101),"Unknown",'[1]2.Diagnostic Analysis'!K101)</f>
        <v>In Transit</v>
      </c>
    </row>
    <row r="102" spans="1:12" x14ac:dyDescent="0.25">
      <c r="A102" t="s">
        <v>109</v>
      </c>
      <c r="B102" t="s">
        <v>20</v>
      </c>
      <c r="C102" t="str">
        <f>IF(ISBLANK('[1]2.Diagnostic Analysis'!C102),"Unknown",'[1]2.Diagnostic Analysis'!C102)</f>
        <v>East</v>
      </c>
      <c r="D102" t="s">
        <v>25</v>
      </c>
      <c r="E102" t="s">
        <v>26</v>
      </c>
      <c r="F102">
        <f>IF(ISBLANK('[1]2.Diagnostic Analysis'!D102),'[1]2.Diagnostic Analysis'!$Q$3,'[1]2.Diagnostic Analysis'!D102)</f>
        <v>57</v>
      </c>
      <c r="G102">
        <v>200</v>
      </c>
      <c r="H102">
        <v>2</v>
      </c>
      <c r="I102">
        <v>400</v>
      </c>
      <c r="J102">
        <v>17.940000000000001</v>
      </c>
      <c r="K102" s="2">
        <v>45268</v>
      </c>
      <c r="L102" t="str">
        <f>IF(ISBLANK('[1]2.Diagnostic Analysis'!K102),"Unknown",'[1]2.Diagnostic Analysis'!K102)</f>
        <v>In Transit</v>
      </c>
    </row>
    <row r="103" spans="1:12" x14ac:dyDescent="0.25">
      <c r="A103" t="s">
        <v>110</v>
      </c>
      <c r="B103" t="s">
        <v>13</v>
      </c>
      <c r="C103" t="str">
        <f>IF(ISBLANK('[1]2.Diagnostic Analysis'!C103),"Unknown",'[1]2.Diagnostic Analysis'!C103)</f>
        <v>South</v>
      </c>
      <c r="D103" t="s">
        <v>40</v>
      </c>
      <c r="E103" t="s">
        <v>15</v>
      </c>
      <c r="F103">
        <f>IF(ISBLANK('[1]2.Diagnostic Analysis'!D103),'[1]2.Diagnostic Analysis'!$Q$3,'[1]2.Diagnostic Analysis'!D103)</f>
        <v>38</v>
      </c>
      <c r="G103">
        <v>800</v>
      </c>
      <c r="H103">
        <v>2</v>
      </c>
      <c r="I103">
        <v>1600</v>
      </c>
      <c r="J103">
        <v>16.510000000000002</v>
      </c>
      <c r="K103" s="2">
        <v>45183</v>
      </c>
      <c r="L103" t="str">
        <f>IF(ISBLANK('[1]2.Diagnostic Analysis'!K103),"Unknown",'[1]2.Diagnostic Analysis'!K103)</f>
        <v>In Transit</v>
      </c>
    </row>
    <row r="104" spans="1:12" x14ac:dyDescent="0.25">
      <c r="A104" t="s">
        <v>111</v>
      </c>
      <c r="B104" t="s">
        <v>20</v>
      </c>
      <c r="C104" t="str">
        <f>IF(ISBLANK('[1]2.Diagnostic Analysis'!C104),"Unknown",'[1]2.Diagnostic Analysis'!C104)</f>
        <v>North</v>
      </c>
      <c r="D104" t="s">
        <v>25</v>
      </c>
      <c r="E104" t="s">
        <v>26</v>
      </c>
      <c r="F104">
        <f>IF(ISBLANK('[1]2.Diagnostic Analysis'!D104),'[1]2.Diagnostic Analysis'!$Q$3,'[1]2.Diagnostic Analysis'!D104)</f>
        <v>58</v>
      </c>
      <c r="G104">
        <v>200</v>
      </c>
      <c r="H104">
        <v>4</v>
      </c>
      <c r="I104">
        <v>800</v>
      </c>
      <c r="J104">
        <v>9.9700000000000006</v>
      </c>
      <c r="K104" s="2">
        <v>45242</v>
      </c>
      <c r="L104" t="str">
        <f>IF(ISBLANK('[1]2.Diagnostic Analysis'!K104),"Unknown",'[1]2.Diagnostic Analysis'!K104)</f>
        <v>Delivered</v>
      </c>
    </row>
    <row r="105" spans="1:12" x14ac:dyDescent="0.25">
      <c r="A105" t="s">
        <v>112</v>
      </c>
      <c r="B105" t="s">
        <v>20</v>
      </c>
      <c r="C105" t="str">
        <f>IF(ISBLANK('[1]2.Diagnostic Analysis'!C105),"Unknown",'[1]2.Diagnostic Analysis'!C105)</f>
        <v>East</v>
      </c>
      <c r="D105" t="s">
        <v>14</v>
      </c>
      <c r="E105" t="s">
        <v>15</v>
      </c>
      <c r="F105">
        <f>IF(ISBLANK('[1]2.Diagnostic Analysis'!D105),'[1]2.Diagnostic Analysis'!$Q$3,'[1]2.Diagnostic Analysis'!D105)</f>
        <v>40</v>
      </c>
      <c r="G105">
        <v>300</v>
      </c>
      <c r="H105">
        <v>1</v>
      </c>
      <c r="I105">
        <v>300</v>
      </c>
      <c r="J105">
        <v>6.85</v>
      </c>
      <c r="K105" s="2">
        <v>45098</v>
      </c>
      <c r="L105" t="str">
        <f>IF(ISBLANK('[1]2.Diagnostic Analysis'!K105),"Unknown",'[1]2.Diagnostic Analysis'!K105)</f>
        <v>Returned</v>
      </c>
    </row>
    <row r="106" spans="1:12" x14ac:dyDescent="0.25">
      <c r="A106" t="s">
        <v>76</v>
      </c>
      <c r="B106" t="s">
        <v>20</v>
      </c>
      <c r="C106" t="str">
        <f>IF(ISBLANK('[1]2.Diagnostic Analysis'!C106),"Unknown",'[1]2.Diagnostic Analysis'!C106)</f>
        <v>East</v>
      </c>
      <c r="D106" t="s">
        <v>29</v>
      </c>
      <c r="E106" t="s">
        <v>18</v>
      </c>
      <c r="F106">
        <f>IF(ISBLANK('[1]2.Diagnostic Analysis'!D106),'[1]2.Diagnostic Analysis'!$Q$3,'[1]2.Diagnostic Analysis'!D106)</f>
        <v>62</v>
      </c>
      <c r="G106">
        <v>50</v>
      </c>
      <c r="H106">
        <v>5</v>
      </c>
      <c r="I106">
        <v>250</v>
      </c>
      <c r="J106">
        <v>14.04</v>
      </c>
      <c r="K106" s="2">
        <v>45294</v>
      </c>
      <c r="L106" t="str">
        <f>IF(ISBLANK('[1]2.Diagnostic Analysis'!K106),"Unknown",'[1]2.Diagnostic Analysis'!K106)</f>
        <v>Unknown</v>
      </c>
    </row>
    <row r="107" spans="1:12" x14ac:dyDescent="0.25">
      <c r="A107" t="s">
        <v>111</v>
      </c>
      <c r="B107" t="s">
        <v>13</v>
      </c>
      <c r="C107" t="str">
        <f>IF(ISBLANK('[1]2.Diagnostic Analysis'!C107),"Unknown",'[1]2.Diagnostic Analysis'!C107)</f>
        <v>Unknown</v>
      </c>
      <c r="D107" t="s">
        <v>29</v>
      </c>
      <c r="E107" t="s">
        <v>18</v>
      </c>
      <c r="F107">
        <f>IF(ISBLANK('[1]2.Diagnostic Analysis'!D107),'[1]2.Diagnostic Analysis'!$Q$3,'[1]2.Diagnostic Analysis'!D107)</f>
        <v>58</v>
      </c>
      <c r="G107">
        <v>50</v>
      </c>
      <c r="H107">
        <v>3</v>
      </c>
      <c r="I107">
        <v>150</v>
      </c>
      <c r="J107">
        <v>6.37</v>
      </c>
      <c r="K107" s="2">
        <v>45294</v>
      </c>
      <c r="L107" t="str">
        <f>IF(ISBLANK('[1]2.Diagnostic Analysis'!K107),"Unknown",'[1]2.Diagnostic Analysis'!K107)</f>
        <v>In Transit</v>
      </c>
    </row>
    <row r="108" spans="1:12" x14ac:dyDescent="0.25">
      <c r="A108" t="s">
        <v>113</v>
      </c>
      <c r="B108" t="s">
        <v>20</v>
      </c>
      <c r="C108" t="str">
        <f>IF(ISBLANK('[1]2.Diagnostic Analysis'!C108),"Unknown",'[1]2.Diagnostic Analysis'!C108)</f>
        <v>North</v>
      </c>
      <c r="D108" t="s">
        <v>23</v>
      </c>
      <c r="E108" t="s">
        <v>15</v>
      </c>
      <c r="F108">
        <f>IF(ISBLANK('[1]2.Diagnostic Analysis'!D108),'[1]2.Diagnostic Analysis'!$Q$3,'[1]2.Diagnostic Analysis'!D108)</f>
        <v>63</v>
      </c>
      <c r="G108">
        <v>1500</v>
      </c>
      <c r="H108">
        <v>3</v>
      </c>
      <c r="I108">
        <v>4500</v>
      </c>
      <c r="J108">
        <v>18.66</v>
      </c>
      <c r="K108" s="2">
        <v>45052</v>
      </c>
      <c r="L108" t="str">
        <f>IF(ISBLANK('[1]2.Diagnostic Analysis'!K108),"Unknown",'[1]2.Diagnostic Analysis'!K108)</f>
        <v>Returned</v>
      </c>
    </row>
    <row r="109" spans="1:12" x14ac:dyDescent="0.25">
      <c r="A109" t="s">
        <v>114</v>
      </c>
      <c r="B109" t="s">
        <v>13</v>
      </c>
      <c r="C109" t="str">
        <f>IF(ISBLANK('[1]2.Diagnostic Analysis'!C109),"Unknown",'[1]2.Diagnostic Analysis'!C109)</f>
        <v>South</v>
      </c>
      <c r="D109" t="s">
        <v>30</v>
      </c>
      <c r="E109" t="s">
        <v>18</v>
      </c>
      <c r="F109">
        <f>IF(ISBLANK('[1]2.Diagnostic Analysis'!D109),'[1]2.Diagnostic Analysis'!$Q$3,'[1]2.Diagnostic Analysis'!D109)</f>
        <v>33</v>
      </c>
      <c r="G109">
        <v>30</v>
      </c>
      <c r="H109">
        <v>1</v>
      </c>
      <c r="I109">
        <v>30</v>
      </c>
      <c r="J109">
        <v>7.78</v>
      </c>
      <c r="K109" s="2">
        <v>44929</v>
      </c>
      <c r="L109" t="str">
        <f>IF(ISBLANK('[1]2.Diagnostic Analysis'!K109),"Unknown",'[1]2.Diagnostic Analysis'!K109)</f>
        <v>In Transit</v>
      </c>
    </row>
    <row r="110" spans="1:12" x14ac:dyDescent="0.25">
      <c r="A110" t="s">
        <v>115</v>
      </c>
      <c r="B110" t="s">
        <v>20</v>
      </c>
      <c r="C110" t="str">
        <f>IF(ISBLANK('[1]2.Diagnostic Analysis'!C110),"Unknown",'[1]2.Diagnostic Analysis'!C110)</f>
        <v>North</v>
      </c>
      <c r="D110" t="s">
        <v>17</v>
      </c>
      <c r="E110" t="s">
        <v>18</v>
      </c>
      <c r="F110">
        <f>IF(ISBLANK('[1]2.Diagnostic Analysis'!D110),'[1]2.Diagnostic Analysis'!$Q$3,'[1]2.Diagnostic Analysis'!D110)</f>
        <v>22</v>
      </c>
      <c r="G110">
        <v>100</v>
      </c>
      <c r="H110">
        <v>3</v>
      </c>
      <c r="I110">
        <v>300</v>
      </c>
      <c r="J110">
        <v>6.16</v>
      </c>
      <c r="K110" s="2">
        <v>45211</v>
      </c>
      <c r="L110" t="str">
        <f>IF(ISBLANK('[1]2.Diagnostic Analysis'!K110),"Unknown",'[1]2.Diagnostic Analysis'!K110)</f>
        <v>Returned</v>
      </c>
    </row>
    <row r="111" spans="1:12" x14ac:dyDescent="0.25">
      <c r="A111" t="s">
        <v>114</v>
      </c>
      <c r="B111" t="s">
        <v>20</v>
      </c>
      <c r="C111" t="str">
        <f>IF(ISBLANK('[1]2.Diagnostic Analysis'!C111),"Unknown",'[1]2.Diagnostic Analysis'!C111)</f>
        <v>East</v>
      </c>
      <c r="D111" t="s">
        <v>23</v>
      </c>
      <c r="E111" t="s">
        <v>15</v>
      </c>
      <c r="F111">
        <f>IF(ISBLANK('[1]2.Diagnostic Analysis'!D111),'[1]2.Diagnostic Analysis'!$Q$3,'[1]2.Diagnostic Analysis'!D111)</f>
        <v>33</v>
      </c>
      <c r="G111">
        <v>1500</v>
      </c>
      <c r="H111">
        <v>3</v>
      </c>
      <c r="I111">
        <v>4500</v>
      </c>
      <c r="J111">
        <v>6.92</v>
      </c>
      <c r="K111" s="2">
        <v>45103</v>
      </c>
      <c r="L111" t="str">
        <f>IF(ISBLANK('[1]2.Diagnostic Analysis'!K111),"Unknown",'[1]2.Diagnostic Analysis'!K111)</f>
        <v>Returned</v>
      </c>
    </row>
    <row r="112" spans="1:12" x14ac:dyDescent="0.25">
      <c r="A112" t="s">
        <v>116</v>
      </c>
      <c r="B112" t="s">
        <v>20</v>
      </c>
      <c r="C112" t="str">
        <f>IF(ISBLANK('[1]2.Diagnostic Analysis'!C112),"Unknown",'[1]2.Diagnostic Analysis'!C112)</f>
        <v>Unknown</v>
      </c>
      <c r="D112" t="s">
        <v>30</v>
      </c>
      <c r="E112" t="s">
        <v>18</v>
      </c>
      <c r="F112">
        <f>IF(ISBLANK('[1]2.Diagnostic Analysis'!D112),'[1]2.Diagnostic Analysis'!$Q$3,'[1]2.Diagnostic Analysis'!D112)</f>
        <v>20</v>
      </c>
      <c r="G112">
        <v>62.191212249732999</v>
      </c>
      <c r="H112">
        <v>2</v>
      </c>
      <c r="I112">
        <v>60</v>
      </c>
      <c r="J112">
        <v>15.12</v>
      </c>
      <c r="K112" s="2">
        <v>45072</v>
      </c>
      <c r="L112" t="str">
        <f>IF(ISBLANK('[1]2.Diagnostic Analysis'!K112),"Unknown",'[1]2.Diagnostic Analysis'!K112)</f>
        <v>In Transit</v>
      </c>
    </row>
    <row r="113" spans="1:12" x14ac:dyDescent="0.25">
      <c r="A113" t="s">
        <v>117</v>
      </c>
      <c r="B113" t="s">
        <v>13</v>
      </c>
      <c r="C113" t="str">
        <f>IF(ISBLANK('[1]2.Diagnostic Analysis'!C113),"Unknown",'[1]2.Diagnostic Analysis'!C113)</f>
        <v>North</v>
      </c>
      <c r="D113" t="s">
        <v>30</v>
      </c>
      <c r="E113" t="s">
        <v>18</v>
      </c>
      <c r="F113">
        <f>IF(ISBLANK('[1]2.Diagnostic Analysis'!D113),'[1]2.Diagnostic Analysis'!$Q$3,'[1]2.Diagnostic Analysis'!D113)</f>
        <v>49</v>
      </c>
      <c r="G113">
        <v>30</v>
      </c>
      <c r="H113">
        <v>5</v>
      </c>
      <c r="I113">
        <v>150</v>
      </c>
      <c r="J113">
        <v>16.86</v>
      </c>
      <c r="K113" s="2">
        <v>45238</v>
      </c>
      <c r="L113" t="str">
        <f>IF(ISBLANK('[1]2.Diagnostic Analysis'!K113),"Unknown",'[1]2.Diagnostic Analysis'!K113)</f>
        <v>Returned</v>
      </c>
    </row>
    <row r="114" spans="1:12" x14ac:dyDescent="0.25">
      <c r="A114" t="s">
        <v>91</v>
      </c>
      <c r="B114" t="s">
        <v>13</v>
      </c>
      <c r="C114" t="str">
        <f>IF(ISBLANK('[1]2.Diagnostic Analysis'!C114),"Unknown",'[1]2.Diagnostic Analysis'!C114)</f>
        <v>West</v>
      </c>
      <c r="D114" t="s">
        <v>40</v>
      </c>
      <c r="E114" t="s">
        <v>15</v>
      </c>
      <c r="F114">
        <f>IF(ISBLANK('[1]2.Diagnostic Analysis'!D114),'[1]2.Diagnostic Analysis'!$Q$3,'[1]2.Diagnostic Analysis'!D114)</f>
        <v>54</v>
      </c>
      <c r="G114">
        <v>800</v>
      </c>
      <c r="H114">
        <v>3</v>
      </c>
      <c r="I114">
        <v>2400</v>
      </c>
      <c r="J114">
        <v>18.760000000000002</v>
      </c>
      <c r="K114" s="2">
        <v>45267</v>
      </c>
      <c r="L114" t="str">
        <f>IF(ISBLANK('[1]2.Diagnostic Analysis'!K114),"Unknown",'[1]2.Diagnostic Analysis'!K114)</f>
        <v>In Transit</v>
      </c>
    </row>
    <row r="115" spans="1:12" x14ac:dyDescent="0.25">
      <c r="A115" t="s">
        <v>118</v>
      </c>
      <c r="B115" t="s">
        <v>13</v>
      </c>
      <c r="C115" t="str">
        <f>IF(ISBLANK('[1]2.Diagnostic Analysis'!C115),"Unknown",'[1]2.Diagnostic Analysis'!C115)</f>
        <v>West</v>
      </c>
      <c r="D115" t="s">
        <v>23</v>
      </c>
      <c r="E115" t="s">
        <v>15</v>
      </c>
      <c r="F115">
        <f>IF(ISBLANK('[1]2.Diagnostic Analysis'!D115),'[1]2.Diagnostic Analysis'!$Q$3,'[1]2.Diagnostic Analysis'!D115)</f>
        <v>37</v>
      </c>
      <c r="G115">
        <v>1500</v>
      </c>
      <c r="H115">
        <v>5</v>
      </c>
      <c r="I115">
        <v>7500</v>
      </c>
      <c r="J115">
        <v>6.68</v>
      </c>
      <c r="K115" s="2">
        <v>45113</v>
      </c>
      <c r="L115" t="str">
        <f>IF(ISBLANK('[1]2.Diagnostic Analysis'!K115),"Unknown",'[1]2.Diagnostic Analysis'!K115)</f>
        <v>Delivered</v>
      </c>
    </row>
    <row r="116" spans="1:12" x14ac:dyDescent="0.25">
      <c r="A116" t="s">
        <v>16</v>
      </c>
      <c r="B116" t="s">
        <v>20</v>
      </c>
      <c r="C116" t="str">
        <f>IF(ISBLANK('[1]2.Diagnostic Analysis'!C116),"Unknown",'[1]2.Diagnostic Analysis'!C116)</f>
        <v>South</v>
      </c>
      <c r="D116" t="s">
        <v>23</v>
      </c>
      <c r="E116" t="s">
        <v>15</v>
      </c>
      <c r="F116">
        <f>IF(ISBLANK('[1]2.Diagnostic Analysis'!D116),'[1]2.Diagnostic Analysis'!$Q$3,'[1]2.Diagnostic Analysis'!D116)</f>
        <v>22</v>
      </c>
      <c r="G116">
        <v>1500</v>
      </c>
      <c r="H116">
        <v>3</v>
      </c>
      <c r="I116">
        <v>4500</v>
      </c>
      <c r="J116">
        <v>11.69</v>
      </c>
      <c r="K116" s="2">
        <v>45097</v>
      </c>
      <c r="L116" t="str">
        <f>IF(ISBLANK('[1]2.Diagnostic Analysis'!K116),"Unknown",'[1]2.Diagnostic Analysis'!K116)</f>
        <v>Delivered</v>
      </c>
    </row>
    <row r="117" spans="1:12" x14ac:dyDescent="0.25">
      <c r="A117" t="s">
        <v>22</v>
      </c>
      <c r="B117" t="s">
        <v>13</v>
      </c>
      <c r="C117" t="str">
        <f>IF(ISBLANK('[1]2.Diagnostic Analysis'!C117),"Unknown",'[1]2.Diagnostic Analysis'!C117)</f>
        <v>Unknown</v>
      </c>
      <c r="D117" t="s">
        <v>17</v>
      </c>
      <c r="E117" t="s">
        <v>18</v>
      </c>
      <c r="F117">
        <f>IF(ISBLANK('[1]2.Diagnostic Analysis'!D117),'[1]2.Diagnostic Analysis'!$Q$3,'[1]2.Diagnostic Analysis'!D117)</f>
        <v>65</v>
      </c>
      <c r="G117">
        <v>100</v>
      </c>
      <c r="H117">
        <v>1</v>
      </c>
      <c r="I117">
        <v>100</v>
      </c>
      <c r="J117">
        <v>19.28</v>
      </c>
      <c r="K117" s="2">
        <v>44968</v>
      </c>
      <c r="L117" t="str">
        <f>IF(ISBLANK('[1]2.Diagnostic Analysis'!K117),"Unknown",'[1]2.Diagnostic Analysis'!K117)</f>
        <v>Returned</v>
      </c>
    </row>
    <row r="118" spans="1:12" x14ac:dyDescent="0.25">
      <c r="A118" t="s">
        <v>119</v>
      </c>
      <c r="B118" t="s">
        <v>20</v>
      </c>
      <c r="C118" t="str">
        <f>IF(ISBLANK('[1]2.Diagnostic Analysis'!C118),"Unknown",'[1]2.Diagnostic Analysis'!C118)</f>
        <v>North</v>
      </c>
      <c r="D118" t="s">
        <v>17</v>
      </c>
      <c r="E118" t="s">
        <v>18</v>
      </c>
      <c r="F118">
        <f>IF(ISBLANK('[1]2.Diagnostic Analysis'!D118),'[1]2.Diagnostic Analysis'!$Q$3,'[1]2.Diagnostic Analysis'!D118)</f>
        <v>49</v>
      </c>
      <c r="G118">
        <v>100</v>
      </c>
      <c r="H118">
        <v>5</v>
      </c>
      <c r="I118">
        <v>500</v>
      </c>
      <c r="J118">
        <v>16.04</v>
      </c>
      <c r="K118" s="2">
        <v>44959</v>
      </c>
      <c r="L118" t="str">
        <f>IF(ISBLANK('[1]2.Diagnostic Analysis'!K118),"Unknown",'[1]2.Diagnostic Analysis'!K118)</f>
        <v>Delivered</v>
      </c>
    </row>
    <row r="119" spans="1:12" x14ac:dyDescent="0.25">
      <c r="A119" t="s">
        <v>120</v>
      </c>
      <c r="B119" t="s">
        <v>13</v>
      </c>
      <c r="C119" t="str">
        <f>IF(ISBLANK('[1]2.Diagnostic Analysis'!C119),"Unknown",'[1]2.Diagnostic Analysis'!C119)</f>
        <v>West</v>
      </c>
      <c r="D119" t="s">
        <v>17</v>
      </c>
      <c r="E119" t="s">
        <v>18</v>
      </c>
      <c r="F119">
        <f>IF(ISBLANK('[1]2.Diagnostic Analysis'!D119),'[1]2.Diagnostic Analysis'!$Q$3,'[1]2.Diagnostic Analysis'!D119)</f>
        <v>58</v>
      </c>
      <c r="G119">
        <v>100</v>
      </c>
      <c r="H119">
        <v>3</v>
      </c>
      <c r="I119">
        <v>300</v>
      </c>
      <c r="J119">
        <v>6.08</v>
      </c>
      <c r="K119" s="2">
        <v>45007</v>
      </c>
      <c r="L119" t="str">
        <f>IF(ISBLANK('[1]2.Diagnostic Analysis'!K119),"Unknown",'[1]2.Diagnostic Analysis'!K119)</f>
        <v>Returned</v>
      </c>
    </row>
    <row r="120" spans="1:12" x14ac:dyDescent="0.25">
      <c r="A120" t="s">
        <v>21</v>
      </c>
      <c r="B120" t="s">
        <v>13</v>
      </c>
      <c r="C120" t="str">
        <f>IF(ISBLANK('[1]2.Diagnostic Analysis'!C120),"Unknown",'[1]2.Diagnostic Analysis'!C120)</f>
        <v>East</v>
      </c>
      <c r="D120" t="s">
        <v>40</v>
      </c>
      <c r="E120" t="s">
        <v>15</v>
      </c>
      <c r="F120">
        <f>IF(ISBLANK('[1]2.Diagnostic Analysis'!D120),'[1]2.Diagnostic Analysis'!$Q$3,'[1]2.Diagnostic Analysis'!D120)</f>
        <v>23</v>
      </c>
      <c r="G120">
        <v>800</v>
      </c>
      <c r="H120">
        <v>1</v>
      </c>
      <c r="I120">
        <v>800</v>
      </c>
      <c r="J120">
        <v>12.64</v>
      </c>
      <c r="K120" s="2">
        <v>45179</v>
      </c>
      <c r="L120" t="str">
        <f>IF(ISBLANK('[1]2.Diagnostic Analysis'!K120),"Unknown",'[1]2.Diagnostic Analysis'!K120)</f>
        <v>Returned</v>
      </c>
    </row>
    <row r="121" spans="1:12" x14ac:dyDescent="0.25">
      <c r="A121" t="s">
        <v>121</v>
      </c>
      <c r="B121" t="s">
        <v>20</v>
      </c>
      <c r="C121" t="str">
        <f>IF(ISBLANK('[1]2.Diagnostic Analysis'!C121),"Unknown",'[1]2.Diagnostic Analysis'!C121)</f>
        <v>South</v>
      </c>
      <c r="D121" t="s">
        <v>30</v>
      </c>
      <c r="E121" t="s">
        <v>18</v>
      </c>
      <c r="F121">
        <f>IF(ISBLANK('[1]2.Diagnostic Analysis'!D121),'[1]2.Diagnostic Analysis'!$Q$3,'[1]2.Diagnostic Analysis'!D121)</f>
        <v>38</v>
      </c>
      <c r="G121">
        <v>30</v>
      </c>
      <c r="H121">
        <v>1</v>
      </c>
      <c r="I121">
        <v>30</v>
      </c>
      <c r="J121">
        <v>10.92</v>
      </c>
      <c r="K121" s="2">
        <v>44979</v>
      </c>
      <c r="L121" t="str">
        <f>IF(ISBLANK('[1]2.Diagnostic Analysis'!K121),"Unknown",'[1]2.Diagnostic Analysis'!K121)</f>
        <v>Delivered</v>
      </c>
    </row>
    <row r="122" spans="1:12" x14ac:dyDescent="0.25">
      <c r="A122" t="s">
        <v>122</v>
      </c>
      <c r="B122" t="s">
        <v>13</v>
      </c>
      <c r="C122" t="str">
        <f>IF(ISBLANK('[1]2.Diagnostic Analysis'!C122),"Unknown",'[1]2.Diagnostic Analysis'!C122)</f>
        <v>North</v>
      </c>
      <c r="D122" t="s">
        <v>40</v>
      </c>
      <c r="E122" t="s">
        <v>15</v>
      </c>
      <c r="F122">
        <f>IF(ISBLANK('[1]2.Diagnostic Analysis'!D122),'[1]2.Diagnostic Analysis'!$Q$3,'[1]2.Diagnostic Analysis'!D122)</f>
        <v>19</v>
      </c>
      <c r="G122">
        <v>800</v>
      </c>
      <c r="H122">
        <v>3</v>
      </c>
      <c r="I122">
        <v>2400</v>
      </c>
      <c r="J122">
        <v>16.82</v>
      </c>
      <c r="K122" s="2">
        <v>45066</v>
      </c>
      <c r="L122" t="str">
        <f>IF(ISBLANK('[1]2.Diagnostic Analysis'!K122),"Unknown",'[1]2.Diagnostic Analysis'!K122)</f>
        <v>In Transit</v>
      </c>
    </row>
    <row r="123" spans="1:12" x14ac:dyDescent="0.25">
      <c r="A123" t="s">
        <v>38</v>
      </c>
      <c r="B123" t="s">
        <v>13</v>
      </c>
      <c r="C123" t="str">
        <f>IF(ISBLANK('[1]2.Diagnostic Analysis'!C123),"Unknown",'[1]2.Diagnostic Analysis'!C123)</f>
        <v>South</v>
      </c>
      <c r="D123" t="s">
        <v>25</v>
      </c>
      <c r="E123" t="s">
        <v>26</v>
      </c>
      <c r="F123">
        <f>IF(ISBLANK('[1]2.Diagnostic Analysis'!D123),'[1]2.Diagnostic Analysis'!$Q$3,'[1]2.Diagnostic Analysis'!D123)</f>
        <v>49</v>
      </c>
      <c r="G123">
        <v>200</v>
      </c>
      <c r="H123">
        <v>2</v>
      </c>
      <c r="I123">
        <v>400</v>
      </c>
      <c r="J123">
        <v>9.18</v>
      </c>
      <c r="K123" s="2">
        <v>45103</v>
      </c>
      <c r="L123" t="str">
        <f>IF(ISBLANK('[1]2.Diagnostic Analysis'!K123),"Unknown",'[1]2.Diagnostic Analysis'!K123)</f>
        <v>Delivered</v>
      </c>
    </row>
    <row r="124" spans="1:12" x14ac:dyDescent="0.25">
      <c r="A124" t="s">
        <v>123</v>
      </c>
      <c r="B124" t="s">
        <v>20</v>
      </c>
      <c r="C124" t="str">
        <f>IF(ISBLANK('[1]2.Diagnostic Analysis'!C124),"Unknown",'[1]2.Diagnostic Analysis'!C124)</f>
        <v>South</v>
      </c>
      <c r="D124" t="s">
        <v>14</v>
      </c>
      <c r="E124" t="s">
        <v>15</v>
      </c>
      <c r="F124">
        <f>IF(ISBLANK('[1]2.Diagnostic Analysis'!D124),'[1]2.Diagnostic Analysis'!$Q$3,'[1]2.Diagnostic Analysis'!D124)</f>
        <v>49</v>
      </c>
      <c r="G124">
        <v>300</v>
      </c>
      <c r="H124">
        <v>2</v>
      </c>
      <c r="I124">
        <v>600</v>
      </c>
      <c r="J124">
        <v>15.3</v>
      </c>
      <c r="K124" s="2">
        <v>45028</v>
      </c>
      <c r="L124" t="str">
        <f>IF(ISBLANK('[1]2.Diagnostic Analysis'!K124),"Unknown",'[1]2.Diagnostic Analysis'!K124)</f>
        <v>Delivered</v>
      </c>
    </row>
    <row r="125" spans="1:12" x14ac:dyDescent="0.25">
      <c r="A125" t="s">
        <v>124</v>
      </c>
      <c r="B125" t="s">
        <v>13</v>
      </c>
      <c r="C125" t="str">
        <f>IF(ISBLANK('[1]2.Diagnostic Analysis'!C125),"Unknown",'[1]2.Diagnostic Analysis'!C125)</f>
        <v>North</v>
      </c>
      <c r="D125" t="s">
        <v>14</v>
      </c>
      <c r="E125" t="s">
        <v>15</v>
      </c>
      <c r="F125">
        <f>IF(ISBLANK('[1]2.Diagnostic Analysis'!D125),'[1]2.Diagnostic Analysis'!$Q$3,'[1]2.Diagnostic Analysis'!D125)</f>
        <v>61</v>
      </c>
      <c r="G125">
        <v>300</v>
      </c>
      <c r="H125">
        <v>2</v>
      </c>
      <c r="I125">
        <v>600</v>
      </c>
      <c r="J125">
        <v>13.84</v>
      </c>
      <c r="K125" s="2">
        <v>45209</v>
      </c>
      <c r="L125" t="str">
        <f>IF(ISBLANK('[1]2.Diagnostic Analysis'!K125),"Unknown",'[1]2.Diagnostic Analysis'!K125)</f>
        <v>In Transit</v>
      </c>
    </row>
    <row r="126" spans="1:12" x14ac:dyDescent="0.25">
      <c r="A126" t="s">
        <v>119</v>
      </c>
      <c r="B126" t="s">
        <v>20</v>
      </c>
      <c r="C126" t="str">
        <f>IF(ISBLANK('[1]2.Diagnostic Analysis'!C126),"Unknown",'[1]2.Diagnostic Analysis'!C126)</f>
        <v>North</v>
      </c>
      <c r="D126" t="s">
        <v>29</v>
      </c>
      <c r="E126" t="s">
        <v>18</v>
      </c>
      <c r="F126">
        <f>IF(ISBLANK('[1]2.Diagnostic Analysis'!D126),'[1]2.Diagnostic Analysis'!$Q$3,'[1]2.Diagnostic Analysis'!D126)</f>
        <v>18</v>
      </c>
      <c r="G126">
        <v>50</v>
      </c>
      <c r="H126">
        <v>3</v>
      </c>
      <c r="I126">
        <v>150</v>
      </c>
      <c r="J126">
        <v>13.86</v>
      </c>
      <c r="K126" s="2">
        <v>45075</v>
      </c>
      <c r="L126" t="str">
        <f>IF(ISBLANK('[1]2.Diagnostic Analysis'!K126),"Unknown",'[1]2.Diagnostic Analysis'!K126)</f>
        <v>Delivered</v>
      </c>
    </row>
    <row r="127" spans="1:12" x14ac:dyDescent="0.25">
      <c r="A127" t="s">
        <v>125</v>
      </c>
      <c r="B127" t="s">
        <v>13</v>
      </c>
      <c r="C127" t="str">
        <f>IF(ISBLANK('[1]2.Diagnostic Analysis'!C127),"Unknown",'[1]2.Diagnostic Analysis'!C127)</f>
        <v>North</v>
      </c>
      <c r="D127" t="s">
        <v>23</v>
      </c>
      <c r="E127" t="s">
        <v>15</v>
      </c>
      <c r="F127">
        <f>IF(ISBLANK('[1]2.Diagnostic Analysis'!D127),'[1]2.Diagnostic Analysis'!$Q$3,'[1]2.Diagnostic Analysis'!D127)</f>
        <v>29</v>
      </c>
      <c r="G127">
        <v>1500</v>
      </c>
      <c r="H127">
        <v>3</v>
      </c>
      <c r="I127">
        <v>4500</v>
      </c>
      <c r="J127">
        <v>14.23</v>
      </c>
      <c r="K127" s="2">
        <v>45078</v>
      </c>
      <c r="L127" t="str">
        <f>IF(ISBLANK('[1]2.Diagnostic Analysis'!K127),"Unknown",'[1]2.Diagnostic Analysis'!K127)</f>
        <v>Returned</v>
      </c>
    </row>
    <row r="128" spans="1:12" x14ac:dyDescent="0.25">
      <c r="A128" t="s">
        <v>126</v>
      </c>
      <c r="B128" t="s">
        <v>13</v>
      </c>
      <c r="C128" t="str">
        <f>IF(ISBLANK('[1]2.Diagnostic Analysis'!C128),"Unknown",'[1]2.Diagnostic Analysis'!C128)</f>
        <v>Unknown</v>
      </c>
      <c r="D128" t="s">
        <v>25</v>
      </c>
      <c r="E128" t="s">
        <v>26</v>
      </c>
      <c r="F128">
        <f>IF(ISBLANK('[1]2.Diagnostic Analysis'!D128),'[1]2.Diagnostic Analysis'!$Q$3,'[1]2.Diagnostic Analysis'!D128)</f>
        <v>50</v>
      </c>
      <c r="G128">
        <v>200</v>
      </c>
      <c r="H128">
        <v>5</v>
      </c>
      <c r="I128">
        <v>1000</v>
      </c>
      <c r="J128">
        <v>6.09</v>
      </c>
      <c r="K128" s="2">
        <v>45160</v>
      </c>
      <c r="L128" t="str">
        <f>IF(ISBLANK('[1]2.Diagnostic Analysis'!K128),"Unknown",'[1]2.Diagnostic Analysis'!K128)</f>
        <v>In Transit</v>
      </c>
    </row>
    <row r="129" spans="1:12" x14ac:dyDescent="0.25">
      <c r="A129" t="s">
        <v>127</v>
      </c>
      <c r="B129" t="s">
        <v>20</v>
      </c>
      <c r="C129" t="str">
        <f>IF(ISBLANK('[1]2.Diagnostic Analysis'!C129),"Unknown",'[1]2.Diagnostic Analysis'!C129)</f>
        <v>North</v>
      </c>
      <c r="D129" t="s">
        <v>23</v>
      </c>
      <c r="E129" t="s">
        <v>15</v>
      </c>
      <c r="F129">
        <f>IF(ISBLANK('[1]2.Diagnostic Analysis'!D129),'[1]2.Diagnostic Analysis'!$Q$3,'[1]2.Diagnostic Analysis'!D129)</f>
        <v>38</v>
      </c>
      <c r="G129">
        <v>1500</v>
      </c>
      <c r="H129">
        <v>3</v>
      </c>
      <c r="I129">
        <v>4500</v>
      </c>
      <c r="J129">
        <v>19.98</v>
      </c>
      <c r="K129" s="2">
        <v>45056</v>
      </c>
      <c r="L129" t="str">
        <f>IF(ISBLANK('[1]2.Diagnostic Analysis'!K129),"Unknown",'[1]2.Diagnostic Analysis'!K129)</f>
        <v>In Transit</v>
      </c>
    </row>
    <row r="130" spans="1:12" x14ac:dyDescent="0.25">
      <c r="A130" t="s">
        <v>128</v>
      </c>
      <c r="B130" t="s">
        <v>13</v>
      </c>
      <c r="C130" t="str">
        <f>IF(ISBLANK('[1]2.Diagnostic Analysis'!C130),"Unknown",'[1]2.Diagnostic Analysis'!C130)</f>
        <v>North</v>
      </c>
      <c r="D130" t="s">
        <v>40</v>
      </c>
      <c r="E130" t="s">
        <v>15</v>
      </c>
      <c r="F130">
        <f>IF(ISBLANK('[1]2.Diagnostic Analysis'!D130),'[1]2.Diagnostic Analysis'!$Q$3,'[1]2.Diagnostic Analysis'!D130)</f>
        <v>63</v>
      </c>
      <c r="G130">
        <v>800</v>
      </c>
      <c r="H130">
        <v>5</v>
      </c>
      <c r="I130">
        <v>4000</v>
      </c>
      <c r="J130">
        <v>11.1</v>
      </c>
      <c r="K130" s="2">
        <v>45236</v>
      </c>
      <c r="L130" t="str">
        <f>IF(ISBLANK('[1]2.Diagnostic Analysis'!K130),"Unknown",'[1]2.Diagnostic Analysis'!K130)</f>
        <v>In Transit</v>
      </c>
    </row>
    <row r="131" spans="1:12" x14ac:dyDescent="0.25">
      <c r="A131" t="s">
        <v>42</v>
      </c>
      <c r="B131" t="s">
        <v>20</v>
      </c>
      <c r="C131" t="str">
        <f>IF(ISBLANK('[1]2.Diagnostic Analysis'!C131),"Unknown",'[1]2.Diagnostic Analysis'!C131)</f>
        <v>North</v>
      </c>
      <c r="D131" t="s">
        <v>23</v>
      </c>
      <c r="E131" t="s">
        <v>15</v>
      </c>
      <c r="F131">
        <f>IF(ISBLANK('[1]2.Diagnostic Analysis'!D131),'[1]2.Diagnostic Analysis'!$Q$3,'[1]2.Diagnostic Analysis'!D131)</f>
        <v>59</v>
      </c>
      <c r="G131">
        <v>1500</v>
      </c>
      <c r="H131">
        <v>1</v>
      </c>
      <c r="I131">
        <v>1500</v>
      </c>
      <c r="J131">
        <v>12.63</v>
      </c>
      <c r="K131" s="2">
        <v>44963</v>
      </c>
      <c r="L131" t="str">
        <f>IF(ISBLANK('[1]2.Diagnostic Analysis'!K131),"Unknown",'[1]2.Diagnostic Analysis'!K131)</f>
        <v>Returned</v>
      </c>
    </row>
    <row r="132" spans="1:12" x14ac:dyDescent="0.25">
      <c r="A132" t="s">
        <v>129</v>
      </c>
      <c r="B132" t="s">
        <v>20</v>
      </c>
      <c r="C132" t="str">
        <f>IF(ISBLANK('[1]2.Diagnostic Analysis'!C132),"Unknown",'[1]2.Diagnostic Analysis'!C132)</f>
        <v>North</v>
      </c>
      <c r="D132" t="s">
        <v>23</v>
      </c>
      <c r="E132" t="s">
        <v>15</v>
      </c>
      <c r="F132">
        <f>IF(ISBLANK('[1]2.Diagnostic Analysis'!D132),'[1]2.Diagnostic Analysis'!$Q$3,'[1]2.Diagnostic Analysis'!D132)</f>
        <v>49</v>
      </c>
      <c r="G132">
        <v>1500</v>
      </c>
      <c r="H132">
        <v>5</v>
      </c>
      <c r="I132">
        <v>7500</v>
      </c>
      <c r="J132">
        <v>10.18</v>
      </c>
      <c r="K132" s="2">
        <v>45248</v>
      </c>
      <c r="L132" t="str">
        <f>IF(ISBLANK('[1]2.Diagnostic Analysis'!K132),"Unknown",'[1]2.Diagnostic Analysis'!K132)</f>
        <v>In Transit</v>
      </c>
    </row>
    <row r="133" spans="1:12" x14ac:dyDescent="0.25">
      <c r="A133" t="s">
        <v>130</v>
      </c>
      <c r="B133" t="s">
        <v>13</v>
      </c>
      <c r="C133" t="str">
        <f>IF(ISBLANK('[1]2.Diagnostic Analysis'!C133),"Unknown",'[1]2.Diagnostic Analysis'!C133)</f>
        <v>North</v>
      </c>
      <c r="D133" t="s">
        <v>40</v>
      </c>
      <c r="E133" t="s">
        <v>15</v>
      </c>
      <c r="F133">
        <f>IF(ISBLANK('[1]2.Diagnostic Analysis'!D133),'[1]2.Diagnostic Analysis'!$Q$3,'[1]2.Diagnostic Analysis'!D133)</f>
        <v>47</v>
      </c>
      <c r="G133">
        <v>800</v>
      </c>
      <c r="H133">
        <v>1</v>
      </c>
      <c r="I133">
        <v>800</v>
      </c>
      <c r="J133">
        <v>10.16</v>
      </c>
      <c r="K133" s="2">
        <v>44939</v>
      </c>
      <c r="L133" t="str">
        <f>IF(ISBLANK('[1]2.Diagnostic Analysis'!K133),"Unknown",'[1]2.Diagnostic Analysis'!K133)</f>
        <v>Unknown</v>
      </c>
    </row>
    <row r="134" spans="1:12" x14ac:dyDescent="0.25">
      <c r="A134" t="s">
        <v>131</v>
      </c>
      <c r="B134" t="s">
        <v>20</v>
      </c>
      <c r="C134" t="str">
        <f>IF(ISBLANK('[1]2.Diagnostic Analysis'!C134),"Unknown",'[1]2.Diagnostic Analysis'!C134)</f>
        <v>Unknown</v>
      </c>
      <c r="D134" t="s">
        <v>25</v>
      </c>
      <c r="E134" t="s">
        <v>26</v>
      </c>
      <c r="F134">
        <f>IF(ISBLANK('[1]2.Diagnostic Analysis'!D134),'[1]2.Diagnostic Analysis'!$Q$3,'[1]2.Diagnostic Analysis'!D134)</f>
        <v>49</v>
      </c>
      <c r="G134">
        <v>200</v>
      </c>
      <c r="H134">
        <v>1</v>
      </c>
      <c r="I134">
        <v>200</v>
      </c>
      <c r="J134">
        <v>6.03</v>
      </c>
      <c r="K134" s="2">
        <v>45037</v>
      </c>
      <c r="L134" t="str">
        <f>IF(ISBLANK('[1]2.Diagnostic Analysis'!K134),"Unknown",'[1]2.Diagnostic Analysis'!K134)</f>
        <v>Returned</v>
      </c>
    </row>
    <row r="135" spans="1:12" x14ac:dyDescent="0.25">
      <c r="A135" t="s">
        <v>132</v>
      </c>
      <c r="B135" t="s">
        <v>20</v>
      </c>
      <c r="C135" t="str">
        <f>IF(ISBLANK('[1]2.Diagnostic Analysis'!C135),"Unknown",'[1]2.Diagnostic Analysis'!C135)</f>
        <v>North</v>
      </c>
      <c r="D135" t="s">
        <v>29</v>
      </c>
      <c r="E135" t="s">
        <v>18</v>
      </c>
      <c r="F135">
        <f>IF(ISBLANK('[1]2.Diagnostic Analysis'!D135),'[1]2.Diagnostic Analysis'!$Q$3,'[1]2.Diagnostic Analysis'!D135)</f>
        <v>33</v>
      </c>
      <c r="G135">
        <v>50</v>
      </c>
      <c r="H135">
        <v>1</v>
      </c>
      <c r="I135">
        <v>50</v>
      </c>
      <c r="J135">
        <v>6.06</v>
      </c>
      <c r="K135" s="2">
        <v>45140</v>
      </c>
      <c r="L135" t="str">
        <f>IF(ISBLANK('[1]2.Diagnostic Analysis'!K135),"Unknown",'[1]2.Diagnostic Analysis'!K135)</f>
        <v>Delivered</v>
      </c>
    </row>
    <row r="136" spans="1:12" x14ac:dyDescent="0.25">
      <c r="A136" t="s">
        <v>133</v>
      </c>
      <c r="B136" t="s">
        <v>20</v>
      </c>
      <c r="C136" t="str">
        <f>IF(ISBLANK('[1]2.Diagnostic Analysis'!C136),"Unknown",'[1]2.Diagnostic Analysis'!C136)</f>
        <v>North</v>
      </c>
      <c r="D136" t="s">
        <v>23</v>
      </c>
      <c r="E136" t="s">
        <v>15</v>
      </c>
      <c r="F136">
        <f>IF(ISBLANK('[1]2.Diagnostic Analysis'!D136),'[1]2.Diagnostic Analysis'!$Q$3,'[1]2.Diagnostic Analysis'!D136)</f>
        <v>41</v>
      </c>
      <c r="G136">
        <v>1500</v>
      </c>
      <c r="H136">
        <v>2</v>
      </c>
      <c r="I136">
        <v>3000</v>
      </c>
      <c r="J136">
        <v>9.2100000000000009</v>
      </c>
      <c r="K136" s="2">
        <v>44959</v>
      </c>
      <c r="L136" t="str">
        <f>IF(ISBLANK('[1]2.Diagnostic Analysis'!K136),"Unknown",'[1]2.Diagnostic Analysis'!K136)</f>
        <v>Returned</v>
      </c>
    </row>
    <row r="137" spans="1:12" x14ac:dyDescent="0.25">
      <c r="A137" t="s">
        <v>134</v>
      </c>
      <c r="B137" t="s">
        <v>13</v>
      </c>
      <c r="C137" t="str">
        <f>IF(ISBLANK('[1]2.Diagnostic Analysis'!C137),"Unknown",'[1]2.Diagnostic Analysis'!C137)</f>
        <v>North</v>
      </c>
      <c r="D137" t="s">
        <v>29</v>
      </c>
      <c r="E137" t="s">
        <v>18</v>
      </c>
      <c r="F137">
        <f>IF(ISBLANK('[1]2.Diagnostic Analysis'!D137),'[1]2.Diagnostic Analysis'!$Q$3,'[1]2.Diagnostic Analysis'!D137)</f>
        <v>46</v>
      </c>
      <c r="G137">
        <v>50</v>
      </c>
      <c r="H137">
        <v>3</v>
      </c>
      <c r="I137">
        <v>150</v>
      </c>
      <c r="J137">
        <v>5.09</v>
      </c>
      <c r="K137" s="2">
        <v>45001</v>
      </c>
      <c r="L137" t="str">
        <f>IF(ISBLANK('[1]2.Diagnostic Analysis'!K137),"Unknown",'[1]2.Diagnostic Analysis'!K137)</f>
        <v>Returned</v>
      </c>
    </row>
    <row r="138" spans="1:12" x14ac:dyDescent="0.25">
      <c r="A138" t="s">
        <v>32</v>
      </c>
      <c r="B138" t="s">
        <v>20</v>
      </c>
      <c r="C138" t="str">
        <f>IF(ISBLANK('[1]2.Diagnostic Analysis'!C138),"Unknown",'[1]2.Diagnostic Analysis'!C138)</f>
        <v>North</v>
      </c>
      <c r="D138" t="s">
        <v>30</v>
      </c>
      <c r="E138" t="s">
        <v>18</v>
      </c>
      <c r="F138">
        <f>IF(ISBLANK('[1]2.Diagnostic Analysis'!D138),'[1]2.Diagnostic Analysis'!$Q$3,'[1]2.Diagnostic Analysis'!D138)</f>
        <v>49</v>
      </c>
      <c r="G138">
        <v>30</v>
      </c>
      <c r="H138">
        <v>2</v>
      </c>
      <c r="I138">
        <v>60</v>
      </c>
      <c r="J138">
        <v>8.39</v>
      </c>
      <c r="K138" s="2">
        <v>45233</v>
      </c>
      <c r="L138" t="str">
        <f>IF(ISBLANK('[1]2.Diagnostic Analysis'!K138),"Unknown",'[1]2.Diagnostic Analysis'!K138)</f>
        <v>In Transit</v>
      </c>
    </row>
    <row r="139" spans="1:12" x14ac:dyDescent="0.25">
      <c r="A139" t="s">
        <v>135</v>
      </c>
      <c r="B139" t="s">
        <v>20</v>
      </c>
      <c r="C139" t="str">
        <f>IF(ISBLANK('[1]2.Diagnostic Analysis'!C139),"Unknown",'[1]2.Diagnostic Analysis'!C139)</f>
        <v>West</v>
      </c>
      <c r="D139" t="s">
        <v>30</v>
      </c>
      <c r="E139" t="s">
        <v>18</v>
      </c>
      <c r="F139">
        <f>IF(ISBLANK('[1]2.Diagnostic Analysis'!D139),'[1]2.Diagnostic Analysis'!$Q$3,'[1]2.Diagnostic Analysis'!D139)</f>
        <v>54</v>
      </c>
      <c r="G139">
        <v>30</v>
      </c>
      <c r="H139">
        <v>2</v>
      </c>
      <c r="I139">
        <v>60</v>
      </c>
      <c r="J139">
        <v>8.59</v>
      </c>
      <c r="K139" s="2">
        <v>45081</v>
      </c>
      <c r="L139" t="str">
        <f>IF(ISBLANK('[1]2.Diagnostic Analysis'!K139),"Unknown",'[1]2.Diagnostic Analysis'!K139)</f>
        <v>Delivered</v>
      </c>
    </row>
    <row r="140" spans="1:12" x14ac:dyDescent="0.25">
      <c r="A140" t="s">
        <v>131</v>
      </c>
      <c r="B140" t="s">
        <v>13</v>
      </c>
      <c r="C140" t="str">
        <f>IF(ISBLANK('[1]2.Diagnostic Analysis'!C140),"Unknown",'[1]2.Diagnostic Analysis'!C140)</f>
        <v>West</v>
      </c>
      <c r="D140" t="s">
        <v>23</v>
      </c>
      <c r="E140" t="s">
        <v>15</v>
      </c>
      <c r="F140">
        <f>IF(ISBLANK('[1]2.Diagnostic Analysis'!D140),'[1]2.Diagnostic Analysis'!$Q$3,'[1]2.Diagnostic Analysis'!D140)</f>
        <v>30</v>
      </c>
      <c r="G140">
        <v>1500</v>
      </c>
      <c r="H140">
        <v>1</v>
      </c>
      <c r="I140">
        <v>1500</v>
      </c>
      <c r="J140">
        <v>9.98</v>
      </c>
      <c r="K140" s="2">
        <v>45264</v>
      </c>
      <c r="L140" t="str">
        <f>IF(ISBLANK('[1]2.Diagnostic Analysis'!K140),"Unknown",'[1]2.Diagnostic Analysis'!K140)</f>
        <v>Delivered</v>
      </c>
    </row>
    <row r="141" spans="1:12" x14ac:dyDescent="0.25">
      <c r="A141" t="s">
        <v>102</v>
      </c>
      <c r="B141" t="s">
        <v>13</v>
      </c>
      <c r="C141" t="str">
        <f>IF(ISBLANK('[1]2.Diagnostic Analysis'!C141),"Unknown",'[1]2.Diagnostic Analysis'!C141)</f>
        <v>East</v>
      </c>
      <c r="D141" t="s">
        <v>23</v>
      </c>
      <c r="E141" t="s">
        <v>15</v>
      </c>
      <c r="F141">
        <f>IF(ISBLANK('[1]2.Diagnostic Analysis'!D141),'[1]2.Diagnostic Analysis'!$Q$3,'[1]2.Diagnostic Analysis'!D141)</f>
        <v>30</v>
      </c>
      <c r="G141">
        <v>1500</v>
      </c>
      <c r="H141">
        <v>5</v>
      </c>
      <c r="I141">
        <v>7500</v>
      </c>
      <c r="J141">
        <v>7.58</v>
      </c>
      <c r="K141" s="2">
        <v>45195</v>
      </c>
      <c r="L141" t="str">
        <f>IF(ISBLANK('[1]2.Diagnostic Analysis'!K141),"Unknown",'[1]2.Diagnostic Analysis'!K141)</f>
        <v>Delivered</v>
      </c>
    </row>
    <row r="142" spans="1:12" x14ac:dyDescent="0.25">
      <c r="A142" t="s">
        <v>136</v>
      </c>
      <c r="B142" t="s">
        <v>13</v>
      </c>
      <c r="C142" t="str">
        <f>IF(ISBLANK('[1]2.Diagnostic Analysis'!C142),"Unknown",'[1]2.Diagnostic Analysis'!C142)</f>
        <v>West</v>
      </c>
      <c r="D142" t="s">
        <v>23</v>
      </c>
      <c r="E142" t="s">
        <v>15</v>
      </c>
      <c r="F142">
        <f>IF(ISBLANK('[1]2.Diagnostic Analysis'!D142),'[1]2.Diagnostic Analysis'!$Q$3,'[1]2.Diagnostic Analysis'!D142)</f>
        <v>37</v>
      </c>
      <c r="G142">
        <v>1500</v>
      </c>
      <c r="H142">
        <v>2</v>
      </c>
      <c r="I142">
        <v>3000</v>
      </c>
      <c r="J142">
        <v>5.69</v>
      </c>
      <c r="K142" s="2">
        <v>44944</v>
      </c>
      <c r="L142" t="str">
        <f>IF(ISBLANK('[1]2.Diagnostic Analysis'!K142),"Unknown",'[1]2.Diagnostic Analysis'!K142)</f>
        <v>Returned</v>
      </c>
    </row>
    <row r="143" spans="1:12" x14ac:dyDescent="0.25">
      <c r="A143" t="s">
        <v>137</v>
      </c>
      <c r="B143" t="s">
        <v>20</v>
      </c>
      <c r="C143" t="str">
        <f>IF(ISBLANK('[1]2.Diagnostic Analysis'!C143),"Unknown",'[1]2.Diagnostic Analysis'!C143)</f>
        <v>East</v>
      </c>
      <c r="D143" t="s">
        <v>14</v>
      </c>
      <c r="E143" t="s">
        <v>15</v>
      </c>
      <c r="F143">
        <f>IF(ISBLANK('[1]2.Diagnostic Analysis'!D143),'[1]2.Diagnostic Analysis'!$Q$3,'[1]2.Diagnostic Analysis'!D143)</f>
        <v>27</v>
      </c>
      <c r="G143">
        <v>300</v>
      </c>
      <c r="H143">
        <v>1</v>
      </c>
      <c r="I143">
        <v>300</v>
      </c>
      <c r="J143">
        <v>16.61</v>
      </c>
      <c r="K143" s="2">
        <v>45253</v>
      </c>
      <c r="L143" t="str">
        <f>IF(ISBLANK('[1]2.Diagnostic Analysis'!K143),"Unknown",'[1]2.Diagnostic Analysis'!K143)</f>
        <v>In Transit</v>
      </c>
    </row>
    <row r="144" spans="1:12" x14ac:dyDescent="0.25">
      <c r="A144" t="s">
        <v>127</v>
      </c>
      <c r="B144" t="s">
        <v>20</v>
      </c>
      <c r="C144" t="str">
        <f>IF(ISBLANK('[1]2.Diagnostic Analysis'!C144),"Unknown",'[1]2.Diagnostic Analysis'!C144)</f>
        <v>West</v>
      </c>
      <c r="D144" t="s">
        <v>25</v>
      </c>
      <c r="E144" t="s">
        <v>26</v>
      </c>
      <c r="F144">
        <f>IF(ISBLANK('[1]2.Diagnostic Analysis'!D144),'[1]2.Diagnostic Analysis'!$Q$3,'[1]2.Diagnostic Analysis'!D144)</f>
        <v>38</v>
      </c>
      <c r="G144">
        <v>200</v>
      </c>
      <c r="H144">
        <v>4</v>
      </c>
      <c r="I144">
        <v>800</v>
      </c>
      <c r="J144">
        <v>18.89</v>
      </c>
      <c r="K144" s="2">
        <v>45049</v>
      </c>
      <c r="L144" t="str">
        <f>IF(ISBLANK('[1]2.Diagnostic Analysis'!K144),"Unknown",'[1]2.Diagnostic Analysis'!K144)</f>
        <v>Returned</v>
      </c>
    </row>
    <row r="145" spans="1:12" x14ac:dyDescent="0.25">
      <c r="A145" t="s">
        <v>138</v>
      </c>
      <c r="B145" t="s">
        <v>13</v>
      </c>
      <c r="C145" t="str">
        <f>IF(ISBLANK('[1]2.Diagnostic Analysis'!C145),"Unknown",'[1]2.Diagnostic Analysis'!C145)</f>
        <v>West</v>
      </c>
      <c r="D145" t="s">
        <v>29</v>
      </c>
      <c r="E145" t="s">
        <v>18</v>
      </c>
      <c r="F145">
        <f>IF(ISBLANK('[1]2.Diagnostic Analysis'!D145),'[1]2.Diagnostic Analysis'!$Q$3,'[1]2.Diagnostic Analysis'!D145)</f>
        <v>44</v>
      </c>
      <c r="G145">
        <v>50</v>
      </c>
      <c r="H145">
        <v>4</v>
      </c>
      <c r="I145">
        <v>200</v>
      </c>
      <c r="J145">
        <v>19.809999999999999</v>
      </c>
      <c r="K145" s="2">
        <v>45165</v>
      </c>
      <c r="L145" t="str">
        <f>IF(ISBLANK('[1]2.Diagnostic Analysis'!K145),"Unknown",'[1]2.Diagnostic Analysis'!K145)</f>
        <v>In Transit</v>
      </c>
    </row>
    <row r="146" spans="1:12" x14ac:dyDescent="0.25">
      <c r="A146" t="s">
        <v>62</v>
      </c>
      <c r="B146" t="s">
        <v>13</v>
      </c>
      <c r="C146" t="str">
        <f>IF(ISBLANK('[1]2.Diagnostic Analysis'!C146),"Unknown",'[1]2.Diagnostic Analysis'!C146)</f>
        <v>West</v>
      </c>
      <c r="D146" t="s">
        <v>17</v>
      </c>
      <c r="E146" t="s">
        <v>18</v>
      </c>
      <c r="F146">
        <f>IF(ISBLANK('[1]2.Diagnostic Analysis'!D146),'[1]2.Diagnostic Analysis'!$Q$3,'[1]2.Diagnostic Analysis'!D146)</f>
        <v>58</v>
      </c>
      <c r="G146">
        <v>100</v>
      </c>
      <c r="H146">
        <v>5</v>
      </c>
      <c r="I146">
        <v>500</v>
      </c>
      <c r="J146">
        <v>14.5</v>
      </c>
      <c r="K146" s="2">
        <v>44942</v>
      </c>
      <c r="L146" t="str">
        <f>IF(ISBLANK('[1]2.Diagnostic Analysis'!K146),"Unknown",'[1]2.Diagnostic Analysis'!K146)</f>
        <v>Returned</v>
      </c>
    </row>
    <row r="147" spans="1:12" x14ac:dyDescent="0.25">
      <c r="A147" t="s">
        <v>49</v>
      </c>
      <c r="B147" t="s">
        <v>20</v>
      </c>
      <c r="C147" t="str">
        <f>IF(ISBLANK('[1]2.Diagnostic Analysis'!C147),"Unknown",'[1]2.Diagnostic Analysis'!C147)</f>
        <v>East</v>
      </c>
      <c r="D147" t="s">
        <v>25</v>
      </c>
      <c r="E147" t="s">
        <v>26</v>
      </c>
      <c r="F147">
        <f>IF(ISBLANK('[1]2.Diagnostic Analysis'!D147),'[1]2.Diagnostic Analysis'!$Q$3,'[1]2.Diagnostic Analysis'!D147)</f>
        <v>25</v>
      </c>
      <c r="G147">
        <v>200</v>
      </c>
      <c r="H147">
        <v>5</v>
      </c>
      <c r="I147">
        <v>1000</v>
      </c>
      <c r="J147">
        <v>16.41</v>
      </c>
      <c r="K147" s="2">
        <v>45132</v>
      </c>
      <c r="L147" t="str">
        <f>IF(ISBLANK('[1]2.Diagnostic Analysis'!K147),"Unknown",'[1]2.Diagnostic Analysis'!K147)</f>
        <v>In Transit</v>
      </c>
    </row>
    <row r="148" spans="1:12" x14ac:dyDescent="0.25">
      <c r="A148" t="s">
        <v>139</v>
      </c>
      <c r="B148" t="s">
        <v>13</v>
      </c>
      <c r="C148" t="str">
        <f>IF(ISBLANK('[1]2.Diagnostic Analysis'!C148),"Unknown",'[1]2.Diagnostic Analysis'!C148)</f>
        <v>North</v>
      </c>
      <c r="D148" t="s">
        <v>25</v>
      </c>
      <c r="E148" t="s">
        <v>26</v>
      </c>
      <c r="F148">
        <f>IF(ISBLANK('[1]2.Diagnostic Analysis'!D148),'[1]2.Diagnostic Analysis'!$Q$3,'[1]2.Diagnostic Analysis'!D148)</f>
        <v>35</v>
      </c>
      <c r="G148">
        <v>200</v>
      </c>
      <c r="H148">
        <v>1</v>
      </c>
      <c r="I148">
        <v>200</v>
      </c>
      <c r="J148">
        <v>7.32</v>
      </c>
      <c r="K148" s="2">
        <v>45248</v>
      </c>
      <c r="L148" t="str">
        <f>IF(ISBLANK('[1]2.Diagnostic Analysis'!K148),"Unknown",'[1]2.Diagnostic Analysis'!K148)</f>
        <v>Delivered</v>
      </c>
    </row>
    <row r="149" spans="1:12" x14ac:dyDescent="0.25">
      <c r="A149" t="s">
        <v>140</v>
      </c>
      <c r="B149" t="s">
        <v>13</v>
      </c>
      <c r="C149" t="str">
        <f>IF(ISBLANK('[1]2.Diagnostic Analysis'!C149),"Unknown",'[1]2.Diagnostic Analysis'!C149)</f>
        <v>East</v>
      </c>
      <c r="D149" t="s">
        <v>17</v>
      </c>
      <c r="E149" t="s">
        <v>18</v>
      </c>
      <c r="F149">
        <f>IF(ISBLANK('[1]2.Diagnostic Analysis'!D149),'[1]2.Diagnostic Analysis'!$Q$3,'[1]2.Diagnostic Analysis'!D149)</f>
        <v>49</v>
      </c>
      <c r="G149">
        <v>100</v>
      </c>
      <c r="H149">
        <v>3</v>
      </c>
      <c r="I149">
        <v>300</v>
      </c>
      <c r="J149">
        <v>10.81</v>
      </c>
      <c r="K149" s="2">
        <v>45267</v>
      </c>
      <c r="L149" t="str">
        <f>IF(ISBLANK('[1]2.Diagnostic Analysis'!K149),"Unknown",'[1]2.Diagnostic Analysis'!K149)</f>
        <v>Returned</v>
      </c>
    </row>
    <row r="150" spans="1:12" x14ac:dyDescent="0.25">
      <c r="A150" t="s">
        <v>92</v>
      </c>
      <c r="B150" t="s">
        <v>13</v>
      </c>
      <c r="C150" t="str">
        <f>IF(ISBLANK('[1]2.Diagnostic Analysis'!C150),"Unknown",'[1]2.Diagnostic Analysis'!C150)</f>
        <v>West</v>
      </c>
      <c r="D150" t="s">
        <v>30</v>
      </c>
      <c r="E150" t="s">
        <v>18</v>
      </c>
      <c r="F150">
        <f>IF(ISBLANK('[1]2.Diagnostic Analysis'!D150),'[1]2.Diagnostic Analysis'!$Q$3,'[1]2.Diagnostic Analysis'!D150)</f>
        <v>63</v>
      </c>
      <c r="G150">
        <v>30</v>
      </c>
      <c r="H150">
        <v>3</v>
      </c>
      <c r="I150">
        <v>90</v>
      </c>
      <c r="J150">
        <v>13.95</v>
      </c>
      <c r="K150" s="2">
        <v>45061</v>
      </c>
      <c r="L150" t="str">
        <f>IF(ISBLANK('[1]2.Diagnostic Analysis'!K150),"Unknown",'[1]2.Diagnostic Analysis'!K150)</f>
        <v>Returned</v>
      </c>
    </row>
    <row r="151" spans="1:12" x14ac:dyDescent="0.25">
      <c r="A151" t="s">
        <v>141</v>
      </c>
      <c r="B151" t="s">
        <v>20</v>
      </c>
      <c r="C151" t="str">
        <f>IF(ISBLANK('[1]2.Diagnostic Analysis'!C151),"Unknown",'[1]2.Diagnostic Analysis'!C151)</f>
        <v>South</v>
      </c>
      <c r="D151" t="s">
        <v>14</v>
      </c>
      <c r="E151" t="s">
        <v>15</v>
      </c>
      <c r="F151">
        <f>IF(ISBLANK('[1]2.Diagnostic Analysis'!D151),'[1]2.Diagnostic Analysis'!$Q$3,'[1]2.Diagnostic Analysis'!D151)</f>
        <v>39</v>
      </c>
      <c r="G151">
        <v>300</v>
      </c>
      <c r="H151">
        <v>4</v>
      </c>
      <c r="I151">
        <v>1200</v>
      </c>
      <c r="J151">
        <v>9.5500000000000007</v>
      </c>
      <c r="K151" s="2">
        <v>45062</v>
      </c>
      <c r="L151" t="str">
        <f>IF(ISBLANK('[1]2.Diagnostic Analysis'!K151),"Unknown",'[1]2.Diagnostic Analysis'!K151)</f>
        <v>In Transit</v>
      </c>
    </row>
    <row r="152" spans="1:12" x14ac:dyDescent="0.25">
      <c r="A152" t="s">
        <v>142</v>
      </c>
      <c r="B152" t="s">
        <v>13</v>
      </c>
      <c r="C152" t="str">
        <f>IF(ISBLANK('[1]2.Diagnostic Analysis'!C152),"Unknown",'[1]2.Diagnostic Analysis'!C152)</f>
        <v>South</v>
      </c>
      <c r="D152" t="s">
        <v>25</v>
      </c>
      <c r="E152" t="s">
        <v>26</v>
      </c>
      <c r="F152">
        <f>IF(ISBLANK('[1]2.Diagnostic Analysis'!D152),'[1]2.Diagnostic Analysis'!$Q$3,'[1]2.Diagnostic Analysis'!D152)</f>
        <v>29</v>
      </c>
      <c r="G152">
        <v>200</v>
      </c>
      <c r="H152">
        <v>3</v>
      </c>
      <c r="I152">
        <v>600</v>
      </c>
      <c r="J152">
        <v>13.87</v>
      </c>
      <c r="K152" s="2">
        <v>45003</v>
      </c>
      <c r="L152" t="str">
        <f>IF(ISBLANK('[1]2.Diagnostic Analysis'!K152),"Unknown",'[1]2.Diagnostic Analysis'!K152)</f>
        <v>In Transit</v>
      </c>
    </row>
    <row r="153" spans="1:12" x14ac:dyDescent="0.25">
      <c r="A153" t="s">
        <v>143</v>
      </c>
      <c r="B153" t="s">
        <v>13</v>
      </c>
      <c r="C153" t="str">
        <f>IF(ISBLANK('[1]2.Diagnostic Analysis'!C153),"Unknown",'[1]2.Diagnostic Analysis'!C153)</f>
        <v>East</v>
      </c>
      <c r="D153" t="s">
        <v>17</v>
      </c>
      <c r="E153" t="s">
        <v>18</v>
      </c>
      <c r="F153">
        <f>IF(ISBLANK('[1]2.Diagnostic Analysis'!D153),'[1]2.Diagnostic Analysis'!$Q$3,'[1]2.Diagnostic Analysis'!D153)</f>
        <v>49</v>
      </c>
      <c r="G153">
        <v>100</v>
      </c>
      <c r="H153">
        <v>2</v>
      </c>
      <c r="I153">
        <v>200</v>
      </c>
      <c r="J153">
        <v>10.96</v>
      </c>
      <c r="K153" s="2">
        <v>44993</v>
      </c>
      <c r="L153" t="str">
        <f>IF(ISBLANK('[1]2.Diagnostic Analysis'!K153),"Unknown",'[1]2.Diagnostic Analysis'!K153)</f>
        <v>Delivered</v>
      </c>
    </row>
    <row r="154" spans="1:12" x14ac:dyDescent="0.25">
      <c r="A154" t="s">
        <v>144</v>
      </c>
      <c r="B154" t="s">
        <v>20</v>
      </c>
      <c r="C154" t="str">
        <f>IF(ISBLANK('[1]2.Diagnostic Analysis'!C154),"Unknown",'[1]2.Diagnostic Analysis'!C154)</f>
        <v>North</v>
      </c>
      <c r="D154" t="s">
        <v>30</v>
      </c>
      <c r="E154" t="s">
        <v>18</v>
      </c>
      <c r="F154">
        <f>IF(ISBLANK('[1]2.Diagnostic Analysis'!D154),'[1]2.Diagnostic Analysis'!$Q$3,'[1]2.Diagnostic Analysis'!D154)</f>
        <v>27</v>
      </c>
      <c r="G154">
        <v>30</v>
      </c>
      <c r="H154">
        <v>3</v>
      </c>
      <c r="I154">
        <v>90</v>
      </c>
      <c r="J154">
        <v>6.45</v>
      </c>
      <c r="K154" s="2">
        <v>45188</v>
      </c>
      <c r="L154" t="str">
        <f>IF(ISBLANK('[1]2.Diagnostic Analysis'!K154),"Unknown",'[1]2.Diagnostic Analysis'!K154)</f>
        <v>In Transit</v>
      </c>
    </row>
    <row r="155" spans="1:12" x14ac:dyDescent="0.25">
      <c r="A155" t="s">
        <v>72</v>
      </c>
      <c r="B155" t="s">
        <v>20</v>
      </c>
      <c r="C155" t="str">
        <f>IF(ISBLANK('[1]2.Diagnostic Analysis'!C155),"Unknown",'[1]2.Diagnostic Analysis'!C155)</f>
        <v>West</v>
      </c>
      <c r="D155" t="s">
        <v>40</v>
      </c>
      <c r="E155" t="s">
        <v>15</v>
      </c>
      <c r="F155">
        <f>IF(ISBLANK('[1]2.Diagnostic Analysis'!D155),'[1]2.Diagnostic Analysis'!$Q$3,'[1]2.Diagnostic Analysis'!D155)</f>
        <v>42</v>
      </c>
      <c r="G155">
        <v>800</v>
      </c>
      <c r="H155">
        <v>2</v>
      </c>
      <c r="I155">
        <v>1600</v>
      </c>
      <c r="J155">
        <v>13.79</v>
      </c>
      <c r="K155" s="2">
        <v>45194</v>
      </c>
      <c r="L155" t="str">
        <f>IF(ISBLANK('[1]2.Diagnostic Analysis'!K155),"Unknown",'[1]2.Diagnostic Analysis'!K155)</f>
        <v>In Transit</v>
      </c>
    </row>
    <row r="156" spans="1:12" x14ac:dyDescent="0.25">
      <c r="A156" t="s">
        <v>73</v>
      </c>
      <c r="B156" t="s">
        <v>13</v>
      </c>
      <c r="C156" t="str">
        <f>IF(ISBLANK('[1]2.Diagnostic Analysis'!C156),"Unknown",'[1]2.Diagnostic Analysis'!C156)</f>
        <v>East</v>
      </c>
      <c r="D156" t="s">
        <v>23</v>
      </c>
      <c r="E156" t="s">
        <v>15</v>
      </c>
      <c r="F156">
        <f>IF(ISBLANK('[1]2.Diagnostic Analysis'!D156),'[1]2.Diagnostic Analysis'!$Q$3,'[1]2.Diagnostic Analysis'!D156)</f>
        <v>51</v>
      </c>
      <c r="G156">
        <v>1500</v>
      </c>
      <c r="H156">
        <v>3</v>
      </c>
      <c r="I156">
        <v>4500</v>
      </c>
      <c r="J156">
        <v>16.420000000000002</v>
      </c>
      <c r="K156" s="2">
        <v>45227</v>
      </c>
      <c r="L156" t="str">
        <f>IF(ISBLANK('[1]2.Diagnostic Analysis'!K156),"Unknown",'[1]2.Diagnostic Analysis'!K156)</f>
        <v>In Transit</v>
      </c>
    </row>
    <row r="157" spans="1:12" x14ac:dyDescent="0.25">
      <c r="A157" t="s">
        <v>144</v>
      </c>
      <c r="B157" t="s">
        <v>20</v>
      </c>
      <c r="C157" t="str">
        <f>IF(ISBLANK('[1]2.Diagnostic Analysis'!C157),"Unknown",'[1]2.Diagnostic Analysis'!C157)</f>
        <v>South</v>
      </c>
      <c r="D157" t="s">
        <v>14</v>
      </c>
      <c r="E157" t="s">
        <v>15</v>
      </c>
      <c r="F157">
        <f>IF(ISBLANK('[1]2.Diagnostic Analysis'!D157),'[1]2.Diagnostic Analysis'!$Q$3,'[1]2.Diagnostic Analysis'!D157)</f>
        <v>27</v>
      </c>
      <c r="G157">
        <v>300</v>
      </c>
      <c r="H157">
        <v>3</v>
      </c>
      <c r="I157">
        <v>900</v>
      </c>
      <c r="J157">
        <v>7.99</v>
      </c>
      <c r="K157" s="2">
        <v>44978</v>
      </c>
      <c r="L157" t="str">
        <f>IF(ISBLANK('[1]2.Diagnostic Analysis'!K157),"Unknown",'[1]2.Diagnostic Analysis'!K157)</f>
        <v>In Transit</v>
      </c>
    </row>
    <row r="158" spans="1:12" x14ac:dyDescent="0.25">
      <c r="A158" t="s">
        <v>138</v>
      </c>
      <c r="B158" t="s">
        <v>20</v>
      </c>
      <c r="C158" t="str">
        <f>IF(ISBLANK('[1]2.Diagnostic Analysis'!C158),"Unknown",'[1]2.Diagnostic Analysis'!C158)</f>
        <v>West</v>
      </c>
      <c r="D158" t="s">
        <v>29</v>
      </c>
      <c r="E158" t="s">
        <v>18</v>
      </c>
      <c r="F158">
        <f>IF(ISBLANK('[1]2.Diagnostic Analysis'!D158),'[1]2.Diagnostic Analysis'!$Q$3,'[1]2.Diagnostic Analysis'!D158)</f>
        <v>44</v>
      </c>
      <c r="G158">
        <v>50</v>
      </c>
      <c r="H158">
        <v>2</v>
      </c>
      <c r="I158">
        <v>100</v>
      </c>
      <c r="J158">
        <v>6.45</v>
      </c>
      <c r="K158" s="2">
        <v>45166</v>
      </c>
      <c r="L158" t="str">
        <f>IF(ISBLANK('[1]2.Diagnostic Analysis'!K158),"Unknown",'[1]2.Diagnostic Analysis'!K158)</f>
        <v>Returned</v>
      </c>
    </row>
    <row r="159" spans="1:12" x14ac:dyDescent="0.25">
      <c r="A159" t="s">
        <v>145</v>
      </c>
      <c r="B159" t="s">
        <v>13</v>
      </c>
      <c r="C159" t="str">
        <f>IF(ISBLANK('[1]2.Diagnostic Analysis'!C159),"Unknown",'[1]2.Diagnostic Analysis'!C159)</f>
        <v>East</v>
      </c>
      <c r="D159" t="s">
        <v>30</v>
      </c>
      <c r="E159" t="s">
        <v>18</v>
      </c>
      <c r="F159">
        <f>IF(ISBLANK('[1]2.Diagnostic Analysis'!D159),'[1]2.Diagnostic Analysis'!$Q$3,'[1]2.Diagnostic Analysis'!D159)</f>
        <v>30</v>
      </c>
      <c r="G159">
        <v>30</v>
      </c>
      <c r="H159">
        <v>5</v>
      </c>
      <c r="I159">
        <v>150</v>
      </c>
      <c r="J159">
        <v>16.62</v>
      </c>
      <c r="K159" s="2">
        <v>45227</v>
      </c>
      <c r="L159" t="str">
        <f>IF(ISBLANK('[1]2.Diagnostic Analysis'!K159),"Unknown",'[1]2.Diagnostic Analysis'!K159)</f>
        <v>Returned</v>
      </c>
    </row>
    <row r="160" spans="1:12" x14ac:dyDescent="0.25">
      <c r="A160" t="s">
        <v>122</v>
      </c>
      <c r="B160" t="s">
        <v>20</v>
      </c>
      <c r="C160" t="str">
        <f>IF(ISBLANK('[1]2.Diagnostic Analysis'!C160),"Unknown",'[1]2.Diagnostic Analysis'!C160)</f>
        <v>South</v>
      </c>
      <c r="D160" t="s">
        <v>14</v>
      </c>
      <c r="E160" t="s">
        <v>15</v>
      </c>
      <c r="F160">
        <f>IF(ISBLANK('[1]2.Diagnostic Analysis'!D160),'[1]2.Diagnostic Analysis'!$Q$3,'[1]2.Diagnostic Analysis'!D160)</f>
        <v>49</v>
      </c>
      <c r="G160">
        <v>300</v>
      </c>
      <c r="H160">
        <v>5</v>
      </c>
      <c r="I160">
        <v>1500</v>
      </c>
      <c r="J160">
        <v>6</v>
      </c>
      <c r="K160" s="2">
        <v>45238</v>
      </c>
      <c r="L160" t="str">
        <f>IF(ISBLANK('[1]2.Diagnostic Analysis'!K160),"Unknown",'[1]2.Diagnostic Analysis'!K160)</f>
        <v>Delivered</v>
      </c>
    </row>
    <row r="161" spans="1:12" x14ac:dyDescent="0.25">
      <c r="A161" t="s">
        <v>146</v>
      </c>
      <c r="B161" t="s">
        <v>20</v>
      </c>
      <c r="C161" t="str">
        <f>IF(ISBLANK('[1]2.Diagnostic Analysis'!C161),"Unknown",'[1]2.Diagnostic Analysis'!C161)</f>
        <v>East</v>
      </c>
      <c r="D161" t="s">
        <v>23</v>
      </c>
      <c r="E161" t="s">
        <v>15</v>
      </c>
      <c r="F161">
        <f>IF(ISBLANK('[1]2.Diagnostic Analysis'!D161),'[1]2.Diagnostic Analysis'!$Q$3,'[1]2.Diagnostic Analysis'!D161)</f>
        <v>68</v>
      </c>
      <c r="G161">
        <v>1500</v>
      </c>
      <c r="H161">
        <v>1</v>
      </c>
      <c r="I161">
        <v>1500</v>
      </c>
      <c r="J161">
        <v>16.34</v>
      </c>
      <c r="K161" s="2">
        <v>45053</v>
      </c>
      <c r="L161" t="str">
        <f>IF(ISBLANK('[1]2.Diagnostic Analysis'!K161),"Unknown",'[1]2.Diagnostic Analysis'!K161)</f>
        <v>Delivered</v>
      </c>
    </row>
    <row r="162" spans="1:12" x14ac:dyDescent="0.25">
      <c r="A162" t="s">
        <v>147</v>
      </c>
      <c r="B162" t="s">
        <v>20</v>
      </c>
      <c r="C162" t="str">
        <f>IF(ISBLANK('[1]2.Diagnostic Analysis'!C162),"Unknown",'[1]2.Diagnostic Analysis'!C162)</f>
        <v>East</v>
      </c>
      <c r="D162" t="s">
        <v>30</v>
      </c>
      <c r="E162" t="s">
        <v>18</v>
      </c>
      <c r="F162">
        <f>IF(ISBLANK('[1]2.Diagnostic Analysis'!D162),'[1]2.Diagnostic Analysis'!$Q$3,'[1]2.Diagnostic Analysis'!D162)</f>
        <v>58</v>
      </c>
      <c r="G162">
        <v>30</v>
      </c>
      <c r="H162">
        <v>1</v>
      </c>
      <c r="I162">
        <v>30</v>
      </c>
      <c r="J162">
        <v>12.22</v>
      </c>
      <c r="K162" s="2">
        <v>45202</v>
      </c>
      <c r="L162" t="str">
        <f>IF(ISBLANK('[1]2.Diagnostic Analysis'!K162),"Unknown",'[1]2.Diagnostic Analysis'!K162)</f>
        <v>In Transit</v>
      </c>
    </row>
    <row r="163" spans="1:12" x14ac:dyDescent="0.25">
      <c r="A163" t="s">
        <v>148</v>
      </c>
      <c r="B163" t="s">
        <v>13</v>
      </c>
      <c r="C163" t="str">
        <f>IF(ISBLANK('[1]2.Diagnostic Analysis'!C163),"Unknown",'[1]2.Diagnostic Analysis'!C163)</f>
        <v>South</v>
      </c>
      <c r="D163" t="s">
        <v>30</v>
      </c>
      <c r="E163" t="s">
        <v>18</v>
      </c>
      <c r="F163">
        <f>IF(ISBLANK('[1]2.Diagnostic Analysis'!D163),'[1]2.Diagnostic Analysis'!$Q$3,'[1]2.Diagnostic Analysis'!D163)</f>
        <v>56</v>
      </c>
      <c r="G163">
        <v>30</v>
      </c>
      <c r="H163">
        <v>3</v>
      </c>
      <c r="I163">
        <v>90</v>
      </c>
      <c r="J163">
        <v>5.07</v>
      </c>
      <c r="K163" s="2">
        <v>44931</v>
      </c>
      <c r="L163" t="str">
        <f>IF(ISBLANK('[1]2.Diagnostic Analysis'!K163),"Unknown",'[1]2.Diagnostic Analysis'!K163)</f>
        <v>Delivered</v>
      </c>
    </row>
    <row r="164" spans="1:12" x14ac:dyDescent="0.25">
      <c r="A164" t="s">
        <v>149</v>
      </c>
      <c r="B164" t="s">
        <v>13</v>
      </c>
      <c r="C164" t="str">
        <f>IF(ISBLANK('[1]2.Diagnostic Analysis'!C164),"Unknown",'[1]2.Diagnostic Analysis'!C164)</f>
        <v>West</v>
      </c>
      <c r="D164" t="s">
        <v>23</v>
      </c>
      <c r="E164" t="s">
        <v>15</v>
      </c>
      <c r="F164">
        <f>IF(ISBLANK('[1]2.Diagnostic Analysis'!D164),'[1]2.Diagnostic Analysis'!$Q$3,'[1]2.Diagnostic Analysis'!D164)</f>
        <v>59</v>
      </c>
      <c r="G164">
        <v>1500</v>
      </c>
      <c r="H164">
        <v>2</v>
      </c>
      <c r="I164">
        <v>3000</v>
      </c>
      <c r="J164">
        <v>7.5</v>
      </c>
      <c r="K164" s="2">
        <v>45160</v>
      </c>
      <c r="L164" t="str">
        <f>IF(ISBLANK('[1]2.Diagnostic Analysis'!K164),"Unknown",'[1]2.Diagnostic Analysis'!K164)</f>
        <v>Delivered</v>
      </c>
    </row>
    <row r="165" spans="1:12" x14ac:dyDescent="0.25">
      <c r="A165" t="s">
        <v>87</v>
      </c>
      <c r="B165" t="s">
        <v>20</v>
      </c>
      <c r="C165" t="str">
        <f>IF(ISBLANK('[1]2.Diagnostic Analysis'!C165),"Unknown",'[1]2.Diagnostic Analysis'!C165)</f>
        <v>East</v>
      </c>
      <c r="D165" t="s">
        <v>40</v>
      </c>
      <c r="E165" t="s">
        <v>15</v>
      </c>
      <c r="F165">
        <f>IF(ISBLANK('[1]2.Diagnostic Analysis'!D165),'[1]2.Diagnostic Analysis'!$Q$3,'[1]2.Diagnostic Analysis'!D165)</f>
        <v>21</v>
      </c>
      <c r="G165">
        <v>800</v>
      </c>
      <c r="H165">
        <v>3</v>
      </c>
      <c r="I165">
        <v>2400</v>
      </c>
      <c r="J165">
        <v>15.78</v>
      </c>
      <c r="K165" s="2">
        <v>45237</v>
      </c>
      <c r="L165" t="str">
        <f>IF(ISBLANK('[1]2.Diagnostic Analysis'!K165),"Unknown",'[1]2.Diagnostic Analysis'!K165)</f>
        <v>Delivered</v>
      </c>
    </row>
    <row r="166" spans="1:12" x14ac:dyDescent="0.25">
      <c r="A166" t="s">
        <v>72</v>
      </c>
      <c r="B166" t="s">
        <v>20</v>
      </c>
      <c r="C166" t="str">
        <f>IF(ISBLANK('[1]2.Diagnostic Analysis'!C166),"Unknown",'[1]2.Diagnostic Analysis'!C166)</f>
        <v>West</v>
      </c>
      <c r="D166" t="s">
        <v>29</v>
      </c>
      <c r="E166" t="s">
        <v>18</v>
      </c>
      <c r="F166">
        <f>IF(ISBLANK('[1]2.Diagnostic Analysis'!D166),'[1]2.Diagnostic Analysis'!$Q$3,'[1]2.Diagnostic Analysis'!D166)</f>
        <v>42</v>
      </c>
      <c r="G166">
        <v>50</v>
      </c>
      <c r="H166">
        <v>1</v>
      </c>
      <c r="I166">
        <v>50</v>
      </c>
      <c r="J166">
        <v>15.92</v>
      </c>
      <c r="K166" s="2">
        <v>45101</v>
      </c>
      <c r="L166" t="str">
        <f>IF(ISBLANK('[1]2.Diagnostic Analysis'!K166),"Unknown",'[1]2.Diagnostic Analysis'!K166)</f>
        <v>Delivered</v>
      </c>
    </row>
    <row r="167" spans="1:12" x14ac:dyDescent="0.25">
      <c r="A167" t="s">
        <v>150</v>
      </c>
      <c r="B167" t="s">
        <v>20</v>
      </c>
      <c r="C167" t="str">
        <f>IF(ISBLANK('[1]2.Diagnostic Analysis'!C167),"Unknown",'[1]2.Diagnostic Analysis'!C167)</f>
        <v>Unknown</v>
      </c>
      <c r="D167" t="s">
        <v>29</v>
      </c>
      <c r="E167" t="s">
        <v>18</v>
      </c>
      <c r="F167">
        <f>IF(ISBLANK('[1]2.Diagnostic Analysis'!D167),'[1]2.Diagnostic Analysis'!$Q$3,'[1]2.Diagnostic Analysis'!D167)</f>
        <v>36</v>
      </c>
      <c r="G167">
        <v>50</v>
      </c>
      <c r="H167">
        <v>5</v>
      </c>
      <c r="I167">
        <v>250</v>
      </c>
      <c r="J167">
        <v>11.09</v>
      </c>
      <c r="K167" s="2">
        <v>45083</v>
      </c>
      <c r="L167" t="str">
        <f>IF(ISBLANK('[1]2.Diagnostic Analysis'!K167),"Unknown",'[1]2.Diagnostic Analysis'!K167)</f>
        <v>Returned</v>
      </c>
    </row>
    <row r="168" spans="1:12" x14ac:dyDescent="0.25">
      <c r="A168" t="s">
        <v>108</v>
      </c>
      <c r="B168" t="s">
        <v>13</v>
      </c>
      <c r="C168" t="str">
        <f>IF(ISBLANK('[1]2.Diagnostic Analysis'!C168),"Unknown",'[1]2.Diagnostic Analysis'!C168)</f>
        <v>South</v>
      </c>
      <c r="D168" t="s">
        <v>30</v>
      </c>
      <c r="E168" t="s">
        <v>18</v>
      </c>
      <c r="F168">
        <f>IF(ISBLANK('[1]2.Diagnostic Analysis'!D168),'[1]2.Diagnostic Analysis'!$Q$3,'[1]2.Diagnostic Analysis'!D168)</f>
        <v>25</v>
      </c>
      <c r="G168">
        <v>30</v>
      </c>
      <c r="H168">
        <v>4</v>
      </c>
      <c r="I168">
        <v>120</v>
      </c>
      <c r="J168">
        <v>18.600000000000001</v>
      </c>
      <c r="K168" s="2">
        <v>45106</v>
      </c>
      <c r="L168" t="str">
        <f>IF(ISBLANK('[1]2.Diagnostic Analysis'!K168),"Unknown",'[1]2.Diagnostic Analysis'!K168)</f>
        <v>Returned</v>
      </c>
    </row>
    <row r="169" spans="1:12" x14ac:dyDescent="0.25">
      <c r="A169" t="s">
        <v>34</v>
      </c>
      <c r="B169" t="s">
        <v>20</v>
      </c>
      <c r="C169" t="str">
        <f>IF(ISBLANK('[1]2.Diagnostic Analysis'!C169),"Unknown",'[1]2.Diagnostic Analysis'!C169)</f>
        <v>South</v>
      </c>
      <c r="D169" t="s">
        <v>40</v>
      </c>
      <c r="E169" t="s">
        <v>15</v>
      </c>
      <c r="F169">
        <f>IF(ISBLANK('[1]2.Diagnostic Analysis'!D169),'[1]2.Diagnostic Analysis'!$Q$3,'[1]2.Diagnostic Analysis'!D169)</f>
        <v>41</v>
      </c>
      <c r="G169">
        <v>800</v>
      </c>
      <c r="H169">
        <v>4</v>
      </c>
      <c r="I169">
        <v>3200</v>
      </c>
      <c r="J169">
        <v>16.45</v>
      </c>
      <c r="K169" s="2">
        <v>44944</v>
      </c>
      <c r="L169" t="str">
        <f>IF(ISBLANK('[1]2.Diagnostic Analysis'!K169),"Unknown",'[1]2.Diagnostic Analysis'!K169)</f>
        <v>In Transit</v>
      </c>
    </row>
    <row r="170" spans="1:12" x14ac:dyDescent="0.25">
      <c r="A170" t="s">
        <v>85</v>
      </c>
      <c r="B170" t="s">
        <v>13</v>
      </c>
      <c r="C170" t="str">
        <f>IF(ISBLANK('[1]2.Diagnostic Analysis'!C170),"Unknown",'[1]2.Diagnostic Analysis'!C170)</f>
        <v>North</v>
      </c>
      <c r="D170" t="s">
        <v>17</v>
      </c>
      <c r="E170" t="s">
        <v>18</v>
      </c>
      <c r="F170">
        <f>IF(ISBLANK('[1]2.Diagnostic Analysis'!D170),'[1]2.Diagnostic Analysis'!$Q$3,'[1]2.Diagnostic Analysis'!D170)</f>
        <v>41</v>
      </c>
      <c r="G170">
        <v>100</v>
      </c>
      <c r="H170">
        <v>5</v>
      </c>
      <c r="I170">
        <v>500</v>
      </c>
      <c r="J170">
        <v>19.62</v>
      </c>
      <c r="K170" s="2">
        <v>44989</v>
      </c>
      <c r="L170" t="str">
        <f>IF(ISBLANK('[1]2.Diagnostic Analysis'!K170),"Unknown",'[1]2.Diagnostic Analysis'!K170)</f>
        <v>Delivered</v>
      </c>
    </row>
    <row r="171" spans="1:12" x14ac:dyDescent="0.25">
      <c r="A171" t="s">
        <v>130</v>
      </c>
      <c r="B171" t="s">
        <v>20</v>
      </c>
      <c r="C171" t="str">
        <f>IF(ISBLANK('[1]2.Diagnostic Analysis'!C171),"Unknown",'[1]2.Diagnostic Analysis'!C171)</f>
        <v>East</v>
      </c>
      <c r="D171" t="s">
        <v>23</v>
      </c>
      <c r="E171" t="s">
        <v>15</v>
      </c>
      <c r="F171">
        <f>IF(ISBLANK('[1]2.Diagnostic Analysis'!D171),'[1]2.Diagnostic Analysis'!$Q$3,'[1]2.Diagnostic Analysis'!D171)</f>
        <v>47</v>
      </c>
      <c r="G171">
        <v>1500</v>
      </c>
      <c r="H171">
        <v>3</v>
      </c>
      <c r="I171">
        <v>4500</v>
      </c>
      <c r="J171">
        <v>8.8699999999999992</v>
      </c>
      <c r="K171" s="2">
        <v>45180</v>
      </c>
      <c r="L171" t="str">
        <f>IF(ISBLANK('[1]2.Diagnostic Analysis'!K171),"Unknown",'[1]2.Diagnostic Analysis'!K171)</f>
        <v>Delivered</v>
      </c>
    </row>
    <row r="172" spans="1:12" x14ac:dyDescent="0.25">
      <c r="A172" t="s">
        <v>151</v>
      </c>
      <c r="B172" t="s">
        <v>13</v>
      </c>
      <c r="C172" t="str">
        <f>IF(ISBLANK('[1]2.Diagnostic Analysis'!C172),"Unknown",'[1]2.Diagnostic Analysis'!C172)</f>
        <v>North</v>
      </c>
      <c r="D172" t="s">
        <v>14</v>
      </c>
      <c r="E172" t="s">
        <v>15</v>
      </c>
      <c r="F172">
        <f>IF(ISBLANK('[1]2.Diagnostic Analysis'!D172),'[1]2.Diagnostic Analysis'!$Q$3,'[1]2.Diagnostic Analysis'!D172)</f>
        <v>66</v>
      </c>
      <c r="G172">
        <v>300</v>
      </c>
      <c r="H172">
        <v>1</v>
      </c>
      <c r="I172">
        <v>300</v>
      </c>
      <c r="J172">
        <v>16.579999999999998</v>
      </c>
      <c r="K172" s="2">
        <v>44984</v>
      </c>
      <c r="L172" t="str">
        <f>IF(ISBLANK('[1]2.Diagnostic Analysis'!K172),"Unknown",'[1]2.Diagnostic Analysis'!K172)</f>
        <v>Delivered</v>
      </c>
    </row>
    <row r="173" spans="1:12" x14ac:dyDescent="0.25">
      <c r="A173" t="s">
        <v>72</v>
      </c>
      <c r="B173" t="s">
        <v>20</v>
      </c>
      <c r="C173" t="str">
        <f>IF(ISBLANK('[1]2.Diagnostic Analysis'!C173),"Unknown",'[1]2.Diagnostic Analysis'!C173)</f>
        <v>South</v>
      </c>
      <c r="D173" t="s">
        <v>14</v>
      </c>
      <c r="E173" t="s">
        <v>15</v>
      </c>
      <c r="F173">
        <f>IF(ISBLANK('[1]2.Diagnostic Analysis'!D173),'[1]2.Diagnostic Analysis'!$Q$3,'[1]2.Diagnostic Analysis'!D173)</f>
        <v>42</v>
      </c>
      <c r="G173">
        <v>300</v>
      </c>
      <c r="H173">
        <v>1</v>
      </c>
      <c r="I173">
        <v>300</v>
      </c>
      <c r="J173">
        <v>14.7</v>
      </c>
      <c r="K173" s="2">
        <v>45246</v>
      </c>
      <c r="L173" t="str">
        <f>IF(ISBLANK('[1]2.Diagnostic Analysis'!K173),"Unknown",'[1]2.Diagnostic Analysis'!K173)</f>
        <v>Delivered</v>
      </c>
    </row>
    <row r="174" spans="1:12" x14ac:dyDescent="0.25">
      <c r="A174" t="s">
        <v>152</v>
      </c>
      <c r="B174" t="s">
        <v>13</v>
      </c>
      <c r="C174" t="str">
        <f>IF(ISBLANK('[1]2.Diagnostic Analysis'!C174),"Unknown",'[1]2.Diagnostic Analysis'!C174)</f>
        <v>South</v>
      </c>
      <c r="D174" t="s">
        <v>40</v>
      </c>
      <c r="E174" t="s">
        <v>15</v>
      </c>
      <c r="F174">
        <f>IF(ISBLANK('[1]2.Diagnostic Analysis'!D174),'[1]2.Diagnostic Analysis'!$Q$3,'[1]2.Diagnostic Analysis'!D174)</f>
        <v>53</v>
      </c>
      <c r="G174">
        <v>800</v>
      </c>
      <c r="H174">
        <v>2</v>
      </c>
      <c r="I174">
        <v>1600</v>
      </c>
      <c r="J174">
        <v>16.23</v>
      </c>
      <c r="K174" s="2">
        <v>45126</v>
      </c>
      <c r="L174" t="str">
        <f>IF(ISBLANK('[1]2.Diagnostic Analysis'!K174),"Unknown",'[1]2.Diagnostic Analysis'!K174)</f>
        <v>In Transit</v>
      </c>
    </row>
    <row r="175" spans="1:12" x14ac:dyDescent="0.25">
      <c r="A175" t="s">
        <v>153</v>
      </c>
      <c r="B175" t="s">
        <v>13</v>
      </c>
      <c r="C175" t="str">
        <f>IF(ISBLANK('[1]2.Diagnostic Analysis'!C175),"Unknown",'[1]2.Diagnostic Analysis'!C175)</f>
        <v>West</v>
      </c>
      <c r="D175" t="s">
        <v>17</v>
      </c>
      <c r="E175" t="s">
        <v>18</v>
      </c>
      <c r="F175">
        <f>IF(ISBLANK('[1]2.Diagnostic Analysis'!D175),'[1]2.Diagnostic Analysis'!$Q$3,'[1]2.Diagnostic Analysis'!D175)</f>
        <v>43</v>
      </c>
      <c r="G175">
        <v>100</v>
      </c>
      <c r="H175">
        <v>4</v>
      </c>
      <c r="I175">
        <v>400</v>
      </c>
      <c r="J175">
        <v>11.4</v>
      </c>
      <c r="K175" s="2">
        <v>45040</v>
      </c>
      <c r="L175" t="str">
        <f>IF(ISBLANK('[1]2.Diagnostic Analysis'!K175),"Unknown",'[1]2.Diagnostic Analysis'!K175)</f>
        <v>Returned</v>
      </c>
    </row>
    <row r="176" spans="1:12" x14ac:dyDescent="0.25">
      <c r="A176" t="s">
        <v>74</v>
      </c>
      <c r="B176" t="s">
        <v>13</v>
      </c>
      <c r="C176" t="str">
        <f>IF(ISBLANK('[1]2.Diagnostic Analysis'!C176),"Unknown",'[1]2.Diagnostic Analysis'!C176)</f>
        <v>West</v>
      </c>
      <c r="D176" t="s">
        <v>40</v>
      </c>
      <c r="E176" t="s">
        <v>15</v>
      </c>
      <c r="F176">
        <f>IF(ISBLANK('[1]2.Diagnostic Analysis'!D176),'[1]2.Diagnostic Analysis'!$Q$3,'[1]2.Diagnostic Analysis'!D176)</f>
        <v>46</v>
      </c>
      <c r="G176">
        <v>800</v>
      </c>
      <c r="H176">
        <v>5</v>
      </c>
      <c r="I176">
        <v>4000</v>
      </c>
      <c r="J176">
        <v>19.079999999999998</v>
      </c>
      <c r="K176" s="2">
        <v>45047</v>
      </c>
      <c r="L176" t="str">
        <f>IF(ISBLANK('[1]2.Diagnostic Analysis'!K176),"Unknown",'[1]2.Diagnostic Analysis'!K176)</f>
        <v>In Transit</v>
      </c>
    </row>
    <row r="177" spans="1:12" x14ac:dyDescent="0.25">
      <c r="A177" t="s">
        <v>57</v>
      </c>
      <c r="B177" t="s">
        <v>13</v>
      </c>
      <c r="C177" t="str">
        <f>IF(ISBLANK('[1]2.Diagnostic Analysis'!C177),"Unknown",'[1]2.Diagnostic Analysis'!C177)</f>
        <v>Unknown</v>
      </c>
      <c r="D177" t="s">
        <v>29</v>
      </c>
      <c r="E177" t="s">
        <v>18</v>
      </c>
      <c r="F177">
        <f>IF(ISBLANK('[1]2.Diagnostic Analysis'!D177),'[1]2.Diagnostic Analysis'!$Q$3,'[1]2.Diagnostic Analysis'!D177)</f>
        <v>41</v>
      </c>
      <c r="G177">
        <v>50</v>
      </c>
      <c r="H177">
        <v>1</v>
      </c>
      <c r="I177">
        <v>50</v>
      </c>
      <c r="J177">
        <v>5.56</v>
      </c>
      <c r="K177" s="2">
        <v>45103</v>
      </c>
      <c r="L177" t="str">
        <f>IF(ISBLANK('[1]2.Diagnostic Analysis'!K177),"Unknown",'[1]2.Diagnostic Analysis'!K177)</f>
        <v>Delivered</v>
      </c>
    </row>
    <row r="178" spans="1:12" x14ac:dyDescent="0.25">
      <c r="A178" t="s">
        <v>154</v>
      </c>
      <c r="B178" t="s">
        <v>20</v>
      </c>
      <c r="C178" t="str">
        <f>IF(ISBLANK('[1]2.Diagnostic Analysis'!C178),"Unknown",'[1]2.Diagnostic Analysis'!C178)</f>
        <v>South</v>
      </c>
      <c r="D178" t="s">
        <v>25</v>
      </c>
      <c r="E178" t="s">
        <v>26</v>
      </c>
      <c r="F178">
        <f>IF(ISBLANK('[1]2.Diagnostic Analysis'!D178),'[1]2.Diagnostic Analysis'!$Q$3,'[1]2.Diagnostic Analysis'!D178)</f>
        <v>23</v>
      </c>
      <c r="G178">
        <v>200</v>
      </c>
      <c r="H178">
        <v>2</v>
      </c>
      <c r="I178">
        <v>400</v>
      </c>
      <c r="J178">
        <v>5.73</v>
      </c>
      <c r="K178" s="2">
        <v>45294</v>
      </c>
      <c r="L178" t="str">
        <f>IF(ISBLANK('[1]2.Diagnostic Analysis'!K178),"Unknown",'[1]2.Diagnostic Analysis'!K178)</f>
        <v>Returned</v>
      </c>
    </row>
    <row r="179" spans="1:12" x14ac:dyDescent="0.25">
      <c r="A179" t="s">
        <v>66</v>
      </c>
      <c r="B179" t="s">
        <v>13</v>
      </c>
      <c r="C179" t="str">
        <f>IF(ISBLANK('[1]2.Diagnostic Analysis'!C179),"Unknown",'[1]2.Diagnostic Analysis'!C179)</f>
        <v>South</v>
      </c>
      <c r="D179" t="s">
        <v>40</v>
      </c>
      <c r="E179" t="s">
        <v>15</v>
      </c>
      <c r="F179">
        <f>IF(ISBLANK('[1]2.Diagnostic Analysis'!D179),'[1]2.Diagnostic Analysis'!$Q$3,'[1]2.Diagnostic Analysis'!D179)</f>
        <v>44</v>
      </c>
      <c r="G179">
        <v>800</v>
      </c>
      <c r="H179">
        <v>1</v>
      </c>
      <c r="I179">
        <v>800</v>
      </c>
      <c r="J179">
        <v>7.11</v>
      </c>
      <c r="K179" s="2">
        <v>44945</v>
      </c>
      <c r="L179" t="str">
        <f>IF(ISBLANK('[1]2.Diagnostic Analysis'!K179),"Unknown",'[1]2.Diagnostic Analysis'!K179)</f>
        <v>In Transit</v>
      </c>
    </row>
    <row r="180" spans="1:12" x14ac:dyDescent="0.25">
      <c r="A180" t="s">
        <v>69</v>
      </c>
      <c r="B180" t="s">
        <v>20</v>
      </c>
      <c r="C180" t="str">
        <f>IF(ISBLANK('[1]2.Diagnostic Analysis'!C180),"Unknown",'[1]2.Diagnostic Analysis'!C180)</f>
        <v>East</v>
      </c>
      <c r="D180" t="s">
        <v>14</v>
      </c>
      <c r="E180" t="s">
        <v>15</v>
      </c>
      <c r="F180">
        <f>IF(ISBLANK('[1]2.Diagnostic Analysis'!D180),'[1]2.Diagnostic Analysis'!$Q$3,'[1]2.Diagnostic Analysis'!D180)</f>
        <v>67</v>
      </c>
      <c r="G180">
        <v>300</v>
      </c>
      <c r="H180">
        <v>1</v>
      </c>
      <c r="I180">
        <v>300</v>
      </c>
      <c r="J180">
        <v>15.92</v>
      </c>
      <c r="K180" s="2">
        <v>45049</v>
      </c>
      <c r="L180" t="str">
        <f>IF(ISBLANK('[1]2.Diagnostic Analysis'!K180),"Unknown",'[1]2.Diagnostic Analysis'!K180)</f>
        <v>Unknown</v>
      </c>
    </row>
    <row r="181" spans="1:12" x14ac:dyDescent="0.25">
      <c r="A181" t="s">
        <v>155</v>
      </c>
      <c r="B181" t="s">
        <v>20</v>
      </c>
      <c r="C181" t="str">
        <f>IF(ISBLANK('[1]2.Diagnostic Analysis'!C181),"Unknown",'[1]2.Diagnostic Analysis'!C181)</f>
        <v>West</v>
      </c>
      <c r="D181" t="s">
        <v>14</v>
      </c>
      <c r="E181" t="s">
        <v>15</v>
      </c>
      <c r="F181">
        <f>IF(ISBLANK('[1]2.Diagnostic Analysis'!D181),'[1]2.Diagnostic Analysis'!$Q$3,'[1]2.Diagnostic Analysis'!D181)</f>
        <v>60</v>
      </c>
      <c r="G181">
        <v>300</v>
      </c>
      <c r="H181">
        <v>3</v>
      </c>
      <c r="I181">
        <v>900</v>
      </c>
      <c r="J181">
        <v>18.61</v>
      </c>
      <c r="K181" s="2">
        <v>45128</v>
      </c>
      <c r="L181" t="str">
        <f>IF(ISBLANK('[1]2.Diagnostic Analysis'!K181),"Unknown",'[1]2.Diagnostic Analysis'!K181)</f>
        <v>In Transit</v>
      </c>
    </row>
    <row r="182" spans="1:12" x14ac:dyDescent="0.25">
      <c r="A182" t="s">
        <v>131</v>
      </c>
      <c r="B182" t="s">
        <v>20</v>
      </c>
      <c r="C182" t="str">
        <f>IF(ISBLANK('[1]2.Diagnostic Analysis'!C182),"Unknown",'[1]2.Diagnostic Analysis'!C182)</f>
        <v>Unknown</v>
      </c>
      <c r="D182" t="s">
        <v>40</v>
      </c>
      <c r="E182" t="s">
        <v>15</v>
      </c>
      <c r="F182">
        <f>IF(ISBLANK('[1]2.Diagnostic Analysis'!D182),'[1]2.Diagnostic Analysis'!$Q$3,'[1]2.Diagnostic Analysis'!D182)</f>
        <v>49</v>
      </c>
      <c r="G182">
        <v>800</v>
      </c>
      <c r="H182">
        <v>4</v>
      </c>
      <c r="I182">
        <v>3200</v>
      </c>
      <c r="J182">
        <v>13.77</v>
      </c>
      <c r="K182" s="2">
        <v>45210</v>
      </c>
      <c r="L182" t="str">
        <f>IF(ISBLANK('[1]2.Diagnostic Analysis'!K182),"Unknown",'[1]2.Diagnostic Analysis'!K182)</f>
        <v>Delivered</v>
      </c>
    </row>
    <row r="183" spans="1:12" x14ac:dyDescent="0.25">
      <c r="A183" t="s">
        <v>156</v>
      </c>
      <c r="B183" t="s">
        <v>20</v>
      </c>
      <c r="C183" t="str">
        <f>IF(ISBLANK('[1]2.Diagnostic Analysis'!C183),"Unknown",'[1]2.Diagnostic Analysis'!C183)</f>
        <v>West</v>
      </c>
      <c r="D183" t="s">
        <v>30</v>
      </c>
      <c r="E183" t="s">
        <v>18</v>
      </c>
      <c r="F183">
        <f>IF(ISBLANK('[1]2.Diagnostic Analysis'!D183),'[1]2.Diagnostic Analysis'!$Q$3,'[1]2.Diagnostic Analysis'!D183)</f>
        <v>54</v>
      </c>
      <c r="G183">
        <v>30</v>
      </c>
      <c r="H183">
        <v>3</v>
      </c>
      <c r="I183">
        <v>90</v>
      </c>
      <c r="J183">
        <v>14.78</v>
      </c>
      <c r="K183" s="2">
        <v>45092</v>
      </c>
      <c r="L183" t="str">
        <f>IF(ISBLANK('[1]2.Diagnostic Analysis'!K183),"Unknown",'[1]2.Diagnostic Analysis'!K183)</f>
        <v>Returned</v>
      </c>
    </row>
    <row r="184" spans="1:12" x14ac:dyDescent="0.25">
      <c r="A184" t="s">
        <v>157</v>
      </c>
      <c r="B184" t="s">
        <v>20</v>
      </c>
      <c r="C184" t="str">
        <f>IF(ISBLANK('[1]2.Diagnostic Analysis'!C184),"Unknown",'[1]2.Diagnostic Analysis'!C184)</f>
        <v>South</v>
      </c>
      <c r="D184" t="s">
        <v>14</v>
      </c>
      <c r="E184" t="s">
        <v>15</v>
      </c>
      <c r="F184">
        <f>IF(ISBLANK('[1]2.Diagnostic Analysis'!D184),'[1]2.Diagnostic Analysis'!$Q$3,'[1]2.Diagnostic Analysis'!D184)</f>
        <v>56</v>
      </c>
      <c r="G184">
        <v>300</v>
      </c>
      <c r="H184">
        <v>2</v>
      </c>
      <c r="I184">
        <v>600</v>
      </c>
      <c r="J184">
        <v>13.6</v>
      </c>
      <c r="K184" s="2">
        <v>45154</v>
      </c>
      <c r="L184" t="str">
        <f>IF(ISBLANK('[1]2.Diagnostic Analysis'!K184),"Unknown",'[1]2.Diagnostic Analysis'!K184)</f>
        <v>Delivered</v>
      </c>
    </row>
    <row r="185" spans="1:12" x14ac:dyDescent="0.25">
      <c r="A185" t="s">
        <v>158</v>
      </c>
      <c r="B185" t="s">
        <v>13</v>
      </c>
      <c r="C185" t="str">
        <f>IF(ISBLANK('[1]2.Diagnostic Analysis'!C185),"Unknown",'[1]2.Diagnostic Analysis'!C185)</f>
        <v>East</v>
      </c>
      <c r="D185" t="s">
        <v>14</v>
      </c>
      <c r="E185" t="s">
        <v>15</v>
      </c>
      <c r="F185">
        <f>IF(ISBLANK('[1]2.Diagnostic Analysis'!D185),'[1]2.Diagnostic Analysis'!$Q$3,'[1]2.Diagnostic Analysis'!D185)</f>
        <v>32</v>
      </c>
      <c r="G185">
        <v>300</v>
      </c>
      <c r="H185">
        <v>1</v>
      </c>
      <c r="I185">
        <v>300</v>
      </c>
      <c r="J185">
        <v>15.5</v>
      </c>
      <c r="K185" s="2">
        <v>45030</v>
      </c>
      <c r="L185" t="str">
        <f>IF(ISBLANK('[1]2.Diagnostic Analysis'!K185),"Unknown",'[1]2.Diagnostic Analysis'!K185)</f>
        <v>Delivered</v>
      </c>
    </row>
    <row r="186" spans="1:12" x14ac:dyDescent="0.25">
      <c r="A186" t="s">
        <v>159</v>
      </c>
      <c r="B186" t="s">
        <v>13</v>
      </c>
      <c r="C186" t="str">
        <f>IF(ISBLANK('[1]2.Diagnostic Analysis'!C186),"Unknown",'[1]2.Diagnostic Analysis'!C186)</f>
        <v>East</v>
      </c>
      <c r="D186" t="s">
        <v>17</v>
      </c>
      <c r="E186" t="s">
        <v>18</v>
      </c>
      <c r="F186">
        <f>IF(ISBLANK('[1]2.Diagnostic Analysis'!D186),'[1]2.Diagnostic Analysis'!$Q$3,'[1]2.Diagnostic Analysis'!D186)</f>
        <v>26</v>
      </c>
      <c r="G186">
        <v>100</v>
      </c>
      <c r="H186">
        <v>5</v>
      </c>
      <c r="I186">
        <v>500</v>
      </c>
      <c r="J186">
        <v>16.96</v>
      </c>
      <c r="K186" s="2">
        <v>45223</v>
      </c>
      <c r="L186" t="str">
        <f>IF(ISBLANK('[1]2.Diagnostic Analysis'!K186),"Unknown",'[1]2.Diagnostic Analysis'!K186)</f>
        <v>Delivered</v>
      </c>
    </row>
    <row r="187" spans="1:12" x14ac:dyDescent="0.25">
      <c r="A187" t="s">
        <v>160</v>
      </c>
      <c r="B187" t="s">
        <v>13</v>
      </c>
      <c r="C187" t="str">
        <f>IF(ISBLANK('[1]2.Diagnostic Analysis'!C187),"Unknown",'[1]2.Diagnostic Analysis'!C187)</f>
        <v>East</v>
      </c>
      <c r="D187" t="s">
        <v>25</v>
      </c>
      <c r="E187" t="s">
        <v>26</v>
      </c>
      <c r="F187">
        <f>IF(ISBLANK('[1]2.Diagnostic Analysis'!D187),'[1]2.Diagnostic Analysis'!$Q$3,'[1]2.Diagnostic Analysis'!D187)</f>
        <v>27</v>
      </c>
      <c r="G187">
        <v>200</v>
      </c>
      <c r="H187">
        <v>5</v>
      </c>
      <c r="I187">
        <v>1000</v>
      </c>
      <c r="J187">
        <v>12</v>
      </c>
      <c r="K187" s="2">
        <v>45121</v>
      </c>
      <c r="L187" t="str">
        <f>IF(ISBLANK('[1]2.Diagnostic Analysis'!K187),"Unknown",'[1]2.Diagnostic Analysis'!K187)</f>
        <v>In Transit</v>
      </c>
    </row>
    <row r="188" spans="1:12" x14ac:dyDescent="0.25">
      <c r="A188" t="s">
        <v>161</v>
      </c>
      <c r="B188" t="s">
        <v>20</v>
      </c>
      <c r="C188" t="str">
        <f>IF(ISBLANK('[1]2.Diagnostic Analysis'!C188),"Unknown",'[1]2.Diagnostic Analysis'!C188)</f>
        <v>West</v>
      </c>
      <c r="D188" t="s">
        <v>29</v>
      </c>
      <c r="E188" t="s">
        <v>18</v>
      </c>
      <c r="F188">
        <f>IF(ISBLANK('[1]2.Diagnostic Analysis'!D188),'[1]2.Diagnostic Analysis'!$Q$3,'[1]2.Diagnostic Analysis'!D188)</f>
        <v>65</v>
      </c>
      <c r="G188">
        <v>50</v>
      </c>
      <c r="H188">
        <v>3</v>
      </c>
      <c r="I188">
        <v>150</v>
      </c>
      <c r="J188">
        <v>19.62</v>
      </c>
      <c r="K188" s="2">
        <v>45266</v>
      </c>
      <c r="L188" t="str">
        <f>IF(ISBLANK('[1]2.Diagnostic Analysis'!K188),"Unknown",'[1]2.Diagnostic Analysis'!K188)</f>
        <v>In Transit</v>
      </c>
    </row>
    <row r="189" spans="1:12" x14ac:dyDescent="0.25">
      <c r="A189" t="s">
        <v>162</v>
      </c>
      <c r="B189" t="s">
        <v>13</v>
      </c>
      <c r="C189" t="str">
        <f>IF(ISBLANK('[1]2.Diagnostic Analysis'!C189),"Unknown",'[1]2.Diagnostic Analysis'!C189)</f>
        <v>North</v>
      </c>
      <c r="D189" t="s">
        <v>25</v>
      </c>
      <c r="E189" t="s">
        <v>26</v>
      </c>
      <c r="F189">
        <f>IF(ISBLANK('[1]2.Diagnostic Analysis'!D189),'[1]2.Diagnostic Analysis'!$Q$3,'[1]2.Diagnostic Analysis'!D189)</f>
        <v>62</v>
      </c>
      <c r="G189">
        <v>200</v>
      </c>
      <c r="H189">
        <v>2</v>
      </c>
      <c r="I189">
        <v>400</v>
      </c>
      <c r="J189">
        <v>11.66</v>
      </c>
      <c r="K189" s="2">
        <v>45169</v>
      </c>
      <c r="L189" t="str">
        <f>IF(ISBLANK('[1]2.Diagnostic Analysis'!K189),"Unknown",'[1]2.Diagnostic Analysis'!K189)</f>
        <v>Delivered</v>
      </c>
    </row>
    <row r="190" spans="1:12" x14ac:dyDescent="0.25">
      <c r="A190" t="s">
        <v>163</v>
      </c>
      <c r="B190" t="s">
        <v>13</v>
      </c>
      <c r="C190" t="str">
        <f>IF(ISBLANK('[1]2.Diagnostic Analysis'!C190),"Unknown",'[1]2.Diagnostic Analysis'!C190)</f>
        <v>South</v>
      </c>
      <c r="D190" t="s">
        <v>17</v>
      </c>
      <c r="E190" t="s">
        <v>18</v>
      </c>
      <c r="F190">
        <f>IF(ISBLANK('[1]2.Diagnostic Analysis'!D190),'[1]2.Diagnostic Analysis'!$Q$3,'[1]2.Diagnostic Analysis'!D190)</f>
        <v>21</v>
      </c>
      <c r="G190">
        <v>100</v>
      </c>
      <c r="H190">
        <v>1</v>
      </c>
      <c r="I190">
        <v>100</v>
      </c>
      <c r="J190">
        <v>11.24</v>
      </c>
      <c r="K190" s="2">
        <v>45171</v>
      </c>
      <c r="L190" t="str">
        <f>IF(ISBLANK('[1]2.Diagnostic Analysis'!K190),"Unknown",'[1]2.Diagnostic Analysis'!K190)</f>
        <v>Delivered</v>
      </c>
    </row>
    <row r="191" spans="1:12" x14ac:dyDescent="0.25">
      <c r="A191" t="s">
        <v>152</v>
      </c>
      <c r="B191" t="s">
        <v>13</v>
      </c>
      <c r="C191" t="str">
        <f>IF(ISBLANK('[1]2.Diagnostic Analysis'!C191),"Unknown",'[1]2.Diagnostic Analysis'!C191)</f>
        <v>North</v>
      </c>
      <c r="D191" t="s">
        <v>40</v>
      </c>
      <c r="E191" t="s">
        <v>15</v>
      </c>
      <c r="F191">
        <f>IF(ISBLANK('[1]2.Diagnostic Analysis'!D191),'[1]2.Diagnostic Analysis'!$Q$3,'[1]2.Diagnostic Analysis'!D191)</f>
        <v>53</v>
      </c>
      <c r="G191">
        <v>800</v>
      </c>
      <c r="H191">
        <v>4</v>
      </c>
      <c r="I191">
        <v>3200</v>
      </c>
      <c r="J191">
        <v>6.27</v>
      </c>
      <c r="K191" s="2">
        <v>45022</v>
      </c>
      <c r="L191" t="str">
        <f>IF(ISBLANK('[1]2.Diagnostic Analysis'!K191),"Unknown",'[1]2.Diagnostic Analysis'!K191)</f>
        <v>Returned</v>
      </c>
    </row>
    <row r="192" spans="1:12" x14ac:dyDescent="0.25">
      <c r="A192" t="s">
        <v>164</v>
      </c>
      <c r="B192" t="s">
        <v>20</v>
      </c>
      <c r="C192" t="str">
        <f>IF(ISBLANK('[1]2.Diagnostic Analysis'!C192),"Unknown",'[1]2.Diagnostic Analysis'!C192)</f>
        <v>South</v>
      </c>
      <c r="D192" t="s">
        <v>40</v>
      </c>
      <c r="E192" t="s">
        <v>15</v>
      </c>
      <c r="F192">
        <f>IF(ISBLANK('[1]2.Diagnostic Analysis'!D192),'[1]2.Diagnostic Analysis'!$Q$3,'[1]2.Diagnostic Analysis'!D192)</f>
        <v>57</v>
      </c>
      <c r="G192">
        <v>800</v>
      </c>
      <c r="H192">
        <v>4</v>
      </c>
      <c r="I192">
        <v>3200</v>
      </c>
      <c r="J192">
        <v>16.09</v>
      </c>
      <c r="K192" s="2">
        <v>45289</v>
      </c>
      <c r="L192" t="str">
        <f>IF(ISBLANK('[1]2.Diagnostic Analysis'!K192),"Unknown",'[1]2.Diagnostic Analysis'!K192)</f>
        <v>In Transit</v>
      </c>
    </row>
    <row r="193" spans="1:12" x14ac:dyDescent="0.25">
      <c r="A193" t="s">
        <v>165</v>
      </c>
      <c r="B193" t="s">
        <v>13</v>
      </c>
      <c r="C193" t="str">
        <f>IF(ISBLANK('[1]2.Diagnostic Analysis'!C193),"Unknown",'[1]2.Diagnostic Analysis'!C193)</f>
        <v>North</v>
      </c>
      <c r="D193" t="s">
        <v>30</v>
      </c>
      <c r="E193" t="s">
        <v>18</v>
      </c>
      <c r="F193">
        <f>IF(ISBLANK('[1]2.Diagnostic Analysis'!D193),'[1]2.Diagnostic Analysis'!$Q$3,'[1]2.Diagnostic Analysis'!D193)</f>
        <v>66</v>
      </c>
      <c r="G193">
        <v>30</v>
      </c>
      <c r="H193">
        <v>4</v>
      </c>
      <c r="I193">
        <v>120</v>
      </c>
      <c r="J193">
        <v>8.24</v>
      </c>
      <c r="K193" s="2">
        <v>45086</v>
      </c>
      <c r="L193" t="str">
        <f>IF(ISBLANK('[1]2.Diagnostic Analysis'!K193),"Unknown",'[1]2.Diagnostic Analysis'!K193)</f>
        <v>Returned</v>
      </c>
    </row>
    <row r="194" spans="1:12" x14ac:dyDescent="0.25">
      <c r="A194" t="s">
        <v>166</v>
      </c>
      <c r="B194" t="s">
        <v>20</v>
      </c>
      <c r="C194" t="str">
        <f>IF(ISBLANK('[1]2.Diagnostic Analysis'!C194),"Unknown",'[1]2.Diagnostic Analysis'!C194)</f>
        <v>West</v>
      </c>
      <c r="D194" t="s">
        <v>40</v>
      </c>
      <c r="E194" t="s">
        <v>15</v>
      </c>
      <c r="F194">
        <f>IF(ISBLANK('[1]2.Diagnostic Analysis'!D194),'[1]2.Diagnostic Analysis'!$Q$3,'[1]2.Diagnostic Analysis'!D194)</f>
        <v>49</v>
      </c>
      <c r="G194">
        <v>800</v>
      </c>
      <c r="H194">
        <v>4</v>
      </c>
      <c r="I194">
        <v>3200</v>
      </c>
      <c r="J194">
        <v>17.91</v>
      </c>
      <c r="K194" s="2">
        <v>45091</v>
      </c>
      <c r="L194" t="str">
        <f>IF(ISBLANK('[1]2.Diagnostic Analysis'!K194),"Unknown",'[1]2.Diagnostic Analysis'!K194)</f>
        <v>In Transit</v>
      </c>
    </row>
    <row r="195" spans="1:12" x14ac:dyDescent="0.25">
      <c r="A195" t="s">
        <v>167</v>
      </c>
      <c r="B195" t="s">
        <v>20</v>
      </c>
      <c r="C195" t="str">
        <f>IF(ISBLANK('[1]2.Diagnostic Analysis'!C195),"Unknown",'[1]2.Diagnostic Analysis'!C195)</f>
        <v>West</v>
      </c>
      <c r="D195" t="s">
        <v>23</v>
      </c>
      <c r="E195" t="s">
        <v>15</v>
      </c>
      <c r="F195">
        <f>IF(ISBLANK('[1]2.Diagnostic Analysis'!D195),'[1]2.Diagnostic Analysis'!$Q$3,'[1]2.Diagnostic Analysis'!D195)</f>
        <v>64</v>
      </c>
      <c r="G195">
        <v>1500</v>
      </c>
      <c r="H195">
        <v>1</v>
      </c>
      <c r="I195">
        <v>1500</v>
      </c>
      <c r="J195">
        <v>18.88</v>
      </c>
      <c r="K195" s="2">
        <v>45121</v>
      </c>
      <c r="L195" t="str">
        <f>IF(ISBLANK('[1]2.Diagnostic Analysis'!K195),"Unknown",'[1]2.Diagnostic Analysis'!K195)</f>
        <v>Returned</v>
      </c>
    </row>
    <row r="196" spans="1:12" x14ac:dyDescent="0.25">
      <c r="A196" t="s">
        <v>96</v>
      </c>
      <c r="B196" t="s">
        <v>13</v>
      </c>
      <c r="C196" t="str">
        <f>IF(ISBLANK('[1]2.Diagnostic Analysis'!C196),"Unknown",'[1]2.Diagnostic Analysis'!C196)</f>
        <v>North</v>
      </c>
      <c r="D196" t="s">
        <v>14</v>
      </c>
      <c r="E196" t="s">
        <v>15</v>
      </c>
      <c r="F196">
        <f>IF(ISBLANK('[1]2.Diagnostic Analysis'!D196),'[1]2.Diagnostic Analysis'!$Q$3,'[1]2.Diagnostic Analysis'!D196)</f>
        <v>64</v>
      </c>
      <c r="G196">
        <v>621.91212249732996</v>
      </c>
      <c r="H196">
        <v>5</v>
      </c>
      <c r="I196">
        <v>1500</v>
      </c>
      <c r="J196">
        <v>6.93</v>
      </c>
      <c r="K196" s="2">
        <v>45039</v>
      </c>
      <c r="L196" t="str">
        <f>IF(ISBLANK('[1]2.Diagnostic Analysis'!K196),"Unknown",'[1]2.Diagnostic Analysis'!K196)</f>
        <v>Delivered</v>
      </c>
    </row>
    <row r="197" spans="1:12" x14ac:dyDescent="0.25">
      <c r="A197" t="s">
        <v>168</v>
      </c>
      <c r="B197" t="s">
        <v>20</v>
      </c>
      <c r="C197" t="str">
        <f>IF(ISBLANK('[1]2.Diagnostic Analysis'!C197),"Unknown",'[1]2.Diagnostic Analysis'!C197)</f>
        <v>West</v>
      </c>
      <c r="D197" t="s">
        <v>40</v>
      </c>
      <c r="E197" t="s">
        <v>15</v>
      </c>
      <c r="F197">
        <f>IF(ISBLANK('[1]2.Diagnostic Analysis'!D197),'[1]2.Diagnostic Analysis'!$Q$3,'[1]2.Diagnostic Analysis'!D197)</f>
        <v>42</v>
      </c>
      <c r="G197">
        <v>800</v>
      </c>
      <c r="H197">
        <v>3</v>
      </c>
      <c r="I197">
        <v>2400</v>
      </c>
      <c r="J197">
        <v>7.22</v>
      </c>
      <c r="K197" s="2">
        <v>45220</v>
      </c>
      <c r="L197" t="str">
        <f>IF(ISBLANK('[1]2.Diagnostic Analysis'!K197),"Unknown",'[1]2.Diagnostic Analysis'!K197)</f>
        <v>Delivered</v>
      </c>
    </row>
    <row r="198" spans="1:12" x14ac:dyDescent="0.25">
      <c r="A198" t="s">
        <v>60</v>
      </c>
      <c r="B198" t="s">
        <v>13</v>
      </c>
      <c r="C198" t="str">
        <f>IF(ISBLANK('[1]2.Diagnostic Analysis'!C198),"Unknown",'[1]2.Diagnostic Analysis'!C198)</f>
        <v>South</v>
      </c>
      <c r="D198" t="s">
        <v>29</v>
      </c>
      <c r="E198" t="s">
        <v>18</v>
      </c>
      <c r="F198">
        <f>IF(ISBLANK('[1]2.Diagnostic Analysis'!D198),'[1]2.Diagnostic Analysis'!$Q$3,'[1]2.Diagnostic Analysis'!D198)</f>
        <v>43</v>
      </c>
      <c r="G198">
        <v>50</v>
      </c>
      <c r="H198">
        <v>2</v>
      </c>
      <c r="I198">
        <v>100</v>
      </c>
      <c r="J198">
        <v>5.05</v>
      </c>
      <c r="K198" s="2">
        <v>45208</v>
      </c>
      <c r="L198" t="str">
        <f>IF(ISBLANK('[1]2.Diagnostic Analysis'!K198),"Unknown",'[1]2.Diagnostic Analysis'!K198)</f>
        <v>Delivered</v>
      </c>
    </row>
    <row r="199" spans="1:12" x14ac:dyDescent="0.25">
      <c r="A199" t="s">
        <v>169</v>
      </c>
      <c r="B199" t="s">
        <v>20</v>
      </c>
      <c r="C199" t="str">
        <f>IF(ISBLANK('[1]2.Diagnostic Analysis'!C199),"Unknown",'[1]2.Diagnostic Analysis'!C199)</f>
        <v>East</v>
      </c>
      <c r="D199" t="s">
        <v>17</v>
      </c>
      <c r="E199" t="s">
        <v>18</v>
      </c>
      <c r="F199">
        <f>IF(ISBLANK('[1]2.Diagnostic Analysis'!D199),'[1]2.Diagnostic Analysis'!$Q$3,'[1]2.Diagnostic Analysis'!D199)</f>
        <v>51</v>
      </c>
      <c r="G199">
        <v>100</v>
      </c>
      <c r="H199">
        <v>1</v>
      </c>
      <c r="I199">
        <v>100</v>
      </c>
      <c r="J199">
        <v>19.84</v>
      </c>
      <c r="K199" s="2">
        <v>45073</v>
      </c>
      <c r="L199" t="str">
        <f>IF(ISBLANK('[1]2.Diagnostic Analysis'!K199),"Unknown",'[1]2.Diagnostic Analysis'!K199)</f>
        <v>Delivered</v>
      </c>
    </row>
    <row r="200" spans="1:12" x14ac:dyDescent="0.25">
      <c r="A200" t="s">
        <v>170</v>
      </c>
      <c r="B200" t="s">
        <v>20</v>
      </c>
      <c r="C200" t="str">
        <f>IF(ISBLANK('[1]2.Diagnostic Analysis'!C200),"Unknown",'[1]2.Diagnostic Analysis'!C200)</f>
        <v>West</v>
      </c>
      <c r="D200" t="s">
        <v>23</v>
      </c>
      <c r="E200" t="s">
        <v>15</v>
      </c>
      <c r="F200">
        <f>IF(ISBLANK('[1]2.Diagnostic Analysis'!D200),'[1]2.Diagnostic Analysis'!$Q$3,'[1]2.Diagnostic Analysis'!D200)</f>
        <v>57</v>
      </c>
      <c r="G200">
        <v>1500</v>
      </c>
      <c r="H200">
        <v>1</v>
      </c>
      <c r="I200">
        <v>1500</v>
      </c>
      <c r="J200">
        <v>16.28</v>
      </c>
      <c r="K200" s="2">
        <v>44958</v>
      </c>
      <c r="L200" t="str">
        <f>IF(ISBLANK('[1]2.Diagnostic Analysis'!K200),"Unknown",'[1]2.Diagnostic Analysis'!K200)</f>
        <v>Returned</v>
      </c>
    </row>
    <row r="201" spans="1:12" x14ac:dyDescent="0.25">
      <c r="A201" t="s">
        <v>171</v>
      </c>
      <c r="B201" t="s">
        <v>20</v>
      </c>
      <c r="C201" t="str">
        <f>IF(ISBLANK('[1]2.Diagnostic Analysis'!C201),"Unknown",'[1]2.Diagnostic Analysis'!C201)</f>
        <v>West</v>
      </c>
      <c r="D201" t="s">
        <v>30</v>
      </c>
      <c r="E201" t="s">
        <v>18</v>
      </c>
      <c r="F201">
        <f>IF(ISBLANK('[1]2.Diagnostic Analysis'!D201),'[1]2.Diagnostic Analysis'!$Q$3,'[1]2.Diagnostic Analysis'!D201)</f>
        <v>55</v>
      </c>
      <c r="G201">
        <v>30</v>
      </c>
      <c r="H201">
        <v>5</v>
      </c>
      <c r="I201">
        <v>150</v>
      </c>
      <c r="J201">
        <v>17.36</v>
      </c>
      <c r="K201" s="2">
        <v>45053</v>
      </c>
      <c r="L201" t="str">
        <f>IF(ISBLANK('[1]2.Diagnostic Analysis'!K201),"Unknown",'[1]2.Diagnostic Analysis'!K201)</f>
        <v>In Transit</v>
      </c>
    </row>
    <row r="202" spans="1:12" x14ac:dyDescent="0.25">
      <c r="A202" t="s">
        <v>172</v>
      </c>
      <c r="B202" t="s">
        <v>20</v>
      </c>
      <c r="C202" t="str">
        <f>IF(ISBLANK('[1]2.Diagnostic Analysis'!C202),"Unknown",'[1]2.Diagnostic Analysis'!C202)</f>
        <v>Unknown</v>
      </c>
      <c r="D202" t="s">
        <v>30</v>
      </c>
      <c r="E202" t="s">
        <v>18</v>
      </c>
      <c r="F202">
        <f>IF(ISBLANK('[1]2.Diagnostic Analysis'!D202),'[1]2.Diagnostic Analysis'!$Q$3,'[1]2.Diagnostic Analysis'!D202)</f>
        <v>57</v>
      </c>
      <c r="G202">
        <v>30</v>
      </c>
      <c r="H202">
        <v>1</v>
      </c>
      <c r="I202">
        <v>30</v>
      </c>
      <c r="J202">
        <v>9.59</v>
      </c>
      <c r="K202" s="2">
        <v>44997</v>
      </c>
      <c r="L202" t="str">
        <f>IF(ISBLANK('[1]2.Diagnostic Analysis'!K202),"Unknown",'[1]2.Diagnostic Analysis'!K202)</f>
        <v>In Transit</v>
      </c>
    </row>
    <row r="203" spans="1:12" x14ac:dyDescent="0.25">
      <c r="A203" t="s">
        <v>126</v>
      </c>
      <c r="B203" t="s">
        <v>20</v>
      </c>
      <c r="C203" t="str">
        <f>IF(ISBLANK('[1]2.Diagnostic Analysis'!C203),"Unknown",'[1]2.Diagnostic Analysis'!C203)</f>
        <v>East</v>
      </c>
      <c r="D203" t="s">
        <v>17</v>
      </c>
      <c r="E203" t="s">
        <v>18</v>
      </c>
      <c r="F203">
        <f>IF(ISBLANK('[1]2.Diagnostic Analysis'!D203),'[1]2.Diagnostic Analysis'!$Q$3,'[1]2.Diagnostic Analysis'!D203)</f>
        <v>50</v>
      </c>
      <c r="G203">
        <v>100</v>
      </c>
      <c r="H203">
        <v>5</v>
      </c>
      <c r="I203">
        <v>500</v>
      </c>
      <c r="J203">
        <v>16.11</v>
      </c>
      <c r="K203" s="2">
        <v>45237</v>
      </c>
      <c r="L203" t="str">
        <f>IF(ISBLANK('[1]2.Diagnostic Analysis'!K203),"Unknown",'[1]2.Diagnostic Analysis'!K203)</f>
        <v>In Transit</v>
      </c>
    </row>
    <row r="204" spans="1:12" x14ac:dyDescent="0.25">
      <c r="A204" t="s">
        <v>84</v>
      </c>
      <c r="B204" t="s">
        <v>13</v>
      </c>
      <c r="C204" t="str">
        <f>IF(ISBLANK('[1]2.Diagnostic Analysis'!C204),"Unknown",'[1]2.Diagnostic Analysis'!C204)</f>
        <v>West</v>
      </c>
      <c r="D204" t="s">
        <v>29</v>
      </c>
      <c r="E204" t="s">
        <v>18</v>
      </c>
      <c r="F204">
        <f>IF(ISBLANK('[1]2.Diagnostic Analysis'!D204),'[1]2.Diagnostic Analysis'!$Q$3,'[1]2.Diagnostic Analysis'!D204)</f>
        <v>28</v>
      </c>
      <c r="G204">
        <v>50</v>
      </c>
      <c r="H204">
        <v>2</v>
      </c>
      <c r="I204">
        <v>100</v>
      </c>
      <c r="J204">
        <v>9.48</v>
      </c>
      <c r="K204" s="2">
        <v>45183</v>
      </c>
      <c r="L204" t="str">
        <f>IF(ISBLANK('[1]2.Diagnostic Analysis'!K204),"Unknown",'[1]2.Diagnostic Analysis'!K204)</f>
        <v>Returned</v>
      </c>
    </row>
    <row r="205" spans="1:12" x14ac:dyDescent="0.25">
      <c r="A205" t="s">
        <v>150</v>
      </c>
      <c r="B205" t="s">
        <v>20</v>
      </c>
      <c r="C205" t="str">
        <f>IF(ISBLANK('[1]2.Diagnostic Analysis'!C205),"Unknown",'[1]2.Diagnostic Analysis'!C205)</f>
        <v>South</v>
      </c>
      <c r="D205" t="s">
        <v>14</v>
      </c>
      <c r="E205" t="s">
        <v>15</v>
      </c>
      <c r="F205">
        <f>IF(ISBLANK('[1]2.Diagnostic Analysis'!D205),'[1]2.Diagnostic Analysis'!$Q$3,'[1]2.Diagnostic Analysis'!D205)</f>
        <v>36</v>
      </c>
      <c r="G205">
        <v>300</v>
      </c>
      <c r="H205">
        <v>2</v>
      </c>
      <c r="I205">
        <v>600</v>
      </c>
      <c r="J205">
        <v>18.440000000000001</v>
      </c>
      <c r="K205" s="2">
        <v>45004</v>
      </c>
      <c r="L205" t="str">
        <f>IF(ISBLANK('[1]2.Diagnostic Analysis'!K205),"Unknown",'[1]2.Diagnostic Analysis'!K205)</f>
        <v>Returned</v>
      </c>
    </row>
    <row r="206" spans="1:12" x14ac:dyDescent="0.25">
      <c r="A206" t="s">
        <v>114</v>
      </c>
      <c r="B206" t="s">
        <v>20</v>
      </c>
      <c r="C206" t="str">
        <f>IF(ISBLANK('[1]2.Diagnostic Analysis'!C206),"Unknown",'[1]2.Diagnostic Analysis'!C206)</f>
        <v>South</v>
      </c>
      <c r="D206" t="s">
        <v>29</v>
      </c>
      <c r="E206" t="s">
        <v>18</v>
      </c>
      <c r="F206">
        <f>IF(ISBLANK('[1]2.Diagnostic Analysis'!D206),'[1]2.Diagnostic Analysis'!$Q$3,'[1]2.Diagnostic Analysis'!D206)</f>
        <v>33</v>
      </c>
      <c r="G206">
        <v>50</v>
      </c>
      <c r="H206">
        <v>5</v>
      </c>
      <c r="I206">
        <v>250</v>
      </c>
      <c r="J206">
        <v>8.43</v>
      </c>
      <c r="K206" s="2">
        <v>45204</v>
      </c>
      <c r="L206" t="str">
        <f>IF(ISBLANK('[1]2.Diagnostic Analysis'!K206),"Unknown",'[1]2.Diagnostic Analysis'!K206)</f>
        <v>In Transit</v>
      </c>
    </row>
    <row r="207" spans="1:12" x14ac:dyDescent="0.25">
      <c r="A207" t="s">
        <v>173</v>
      </c>
      <c r="B207" t="s">
        <v>20</v>
      </c>
      <c r="C207" t="str">
        <f>IF(ISBLANK('[1]2.Diagnostic Analysis'!C207),"Unknown",'[1]2.Diagnostic Analysis'!C207)</f>
        <v>East</v>
      </c>
      <c r="D207" t="s">
        <v>23</v>
      </c>
      <c r="E207" t="s">
        <v>15</v>
      </c>
      <c r="F207">
        <f>IF(ISBLANK('[1]2.Diagnostic Analysis'!D207),'[1]2.Diagnostic Analysis'!$Q$3,'[1]2.Diagnostic Analysis'!D207)</f>
        <v>49</v>
      </c>
      <c r="G207">
        <v>1500</v>
      </c>
      <c r="H207">
        <v>5</v>
      </c>
      <c r="I207">
        <v>7500</v>
      </c>
      <c r="J207">
        <v>7.38</v>
      </c>
      <c r="K207" s="2">
        <v>45095</v>
      </c>
      <c r="L207" t="str">
        <f>IF(ISBLANK('[1]2.Diagnostic Analysis'!K207),"Unknown",'[1]2.Diagnostic Analysis'!K207)</f>
        <v>Returned</v>
      </c>
    </row>
    <row r="208" spans="1:12" x14ac:dyDescent="0.25">
      <c r="A208" t="s">
        <v>174</v>
      </c>
      <c r="B208" t="s">
        <v>13</v>
      </c>
      <c r="C208" t="str">
        <f>IF(ISBLANK('[1]2.Diagnostic Analysis'!C208),"Unknown",'[1]2.Diagnostic Analysis'!C208)</f>
        <v>North</v>
      </c>
      <c r="D208" t="s">
        <v>40</v>
      </c>
      <c r="E208" t="s">
        <v>15</v>
      </c>
      <c r="F208">
        <f>IF(ISBLANK('[1]2.Diagnostic Analysis'!D208),'[1]2.Diagnostic Analysis'!$Q$3,'[1]2.Diagnostic Analysis'!D208)</f>
        <v>54</v>
      </c>
      <c r="G208">
        <v>800</v>
      </c>
      <c r="H208">
        <v>2</v>
      </c>
      <c r="I208">
        <v>1600</v>
      </c>
      <c r="J208">
        <v>6.45</v>
      </c>
      <c r="K208" s="2">
        <v>45001</v>
      </c>
      <c r="L208" t="str">
        <f>IF(ISBLANK('[1]2.Diagnostic Analysis'!K208),"Unknown",'[1]2.Diagnostic Analysis'!K208)</f>
        <v>Delivered</v>
      </c>
    </row>
    <row r="209" spans="1:12" x14ac:dyDescent="0.25">
      <c r="A209" t="s">
        <v>75</v>
      </c>
      <c r="B209" t="s">
        <v>13</v>
      </c>
      <c r="C209" t="str">
        <f>IF(ISBLANK('[1]2.Diagnostic Analysis'!C209),"Unknown",'[1]2.Diagnostic Analysis'!C209)</f>
        <v>West</v>
      </c>
      <c r="D209" t="s">
        <v>29</v>
      </c>
      <c r="E209" t="s">
        <v>18</v>
      </c>
      <c r="F209">
        <f>IF(ISBLANK('[1]2.Diagnostic Analysis'!D209),'[1]2.Diagnostic Analysis'!$Q$3,'[1]2.Diagnostic Analysis'!D209)</f>
        <v>49</v>
      </c>
      <c r="G209">
        <v>50</v>
      </c>
      <c r="H209">
        <v>1</v>
      </c>
      <c r="I209">
        <v>50</v>
      </c>
      <c r="J209">
        <v>8.9700000000000006</v>
      </c>
      <c r="K209" s="2">
        <v>45069</v>
      </c>
      <c r="L209" t="str">
        <f>IF(ISBLANK('[1]2.Diagnostic Analysis'!K209),"Unknown",'[1]2.Diagnostic Analysis'!K209)</f>
        <v>Returned</v>
      </c>
    </row>
    <row r="210" spans="1:12" x14ac:dyDescent="0.25">
      <c r="A210" t="s">
        <v>96</v>
      </c>
      <c r="B210" t="s">
        <v>13</v>
      </c>
      <c r="C210" t="str">
        <f>IF(ISBLANK('[1]2.Diagnostic Analysis'!C210),"Unknown",'[1]2.Diagnostic Analysis'!C210)</f>
        <v>North</v>
      </c>
      <c r="D210" t="s">
        <v>17</v>
      </c>
      <c r="E210" t="s">
        <v>18</v>
      </c>
      <c r="F210">
        <f>IF(ISBLANK('[1]2.Diagnostic Analysis'!D210),'[1]2.Diagnostic Analysis'!$Q$3,'[1]2.Diagnostic Analysis'!D210)</f>
        <v>64</v>
      </c>
      <c r="G210">
        <v>100</v>
      </c>
      <c r="H210">
        <v>3</v>
      </c>
      <c r="I210">
        <v>300</v>
      </c>
      <c r="J210">
        <v>11.64</v>
      </c>
      <c r="K210" s="2">
        <v>45254</v>
      </c>
      <c r="L210" t="str">
        <f>IF(ISBLANK('[1]2.Diagnostic Analysis'!K210),"Unknown",'[1]2.Diagnostic Analysis'!K210)</f>
        <v>Returned</v>
      </c>
    </row>
    <row r="211" spans="1:12" x14ac:dyDescent="0.25">
      <c r="A211" t="s">
        <v>175</v>
      </c>
      <c r="B211" t="s">
        <v>13</v>
      </c>
      <c r="C211" t="str">
        <f>IF(ISBLANK('[1]2.Diagnostic Analysis'!C211),"Unknown",'[1]2.Diagnostic Analysis'!C211)</f>
        <v>North</v>
      </c>
      <c r="D211" t="s">
        <v>14</v>
      </c>
      <c r="E211" t="s">
        <v>15</v>
      </c>
      <c r="F211">
        <f>IF(ISBLANK('[1]2.Diagnostic Analysis'!D211),'[1]2.Diagnostic Analysis'!$Q$3,'[1]2.Diagnostic Analysis'!D211)</f>
        <v>49</v>
      </c>
      <c r="G211">
        <v>621.91212249732996</v>
      </c>
      <c r="H211">
        <v>5</v>
      </c>
      <c r="I211">
        <v>1500</v>
      </c>
      <c r="J211">
        <v>7.22</v>
      </c>
      <c r="K211" s="2">
        <v>45143</v>
      </c>
      <c r="L211" t="str">
        <f>IF(ISBLANK('[1]2.Diagnostic Analysis'!K211),"Unknown",'[1]2.Diagnostic Analysis'!K211)</f>
        <v>Returned</v>
      </c>
    </row>
    <row r="212" spans="1:12" x14ac:dyDescent="0.25">
      <c r="A212" t="s">
        <v>176</v>
      </c>
      <c r="B212" t="s">
        <v>20</v>
      </c>
      <c r="C212" t="str">
        <f>IF(ISBLANK('[1]2.Diagnostic Analysis'!C212),"Unknown",'[1]2.Diagnostic Analysis'!C212)</f>
        <v>East</v>
      </c>
      <c r="D212" t="s">
        <v>17</v>
      </c>
      <c r="E212" t="s">
        <v>18</v>
      </c>
      <c r="F212">
        <f>IF(ISBLANK('[1]2.Diagnostic Analysis'!D212),'[1]2.Diagnostic Analysis'!$Q$3,'[1]2.Diagnostic Analysis'!D212)</f>
        <v>49</v>
      </c>
      <c r="G212">
        <v>100</v>
      </c>
      <c r="H212">
        <v>2</v>
      </c>
      <c r="I212">
        <v>200</v>
      </c>
      <c r="J212">
        <v>15.13</v>
      </c>
      <c r="K212" s="2">
        <v>44949</v>
      </c>
      <c r="L212" t="str">
        <f>IF(ISBLANK('[1]2.Diagnostic Analysis'!K212),"Unknown",'[1]2.Diagnostic Analysis'!K212)</f>
        <v>Delivered</v>
      </c>
    </row>
    <row r="213" spans="1:12" x14ac:dyDescent="0.25">
      <c r="A213" t="s">
        <v>122</v>
      </c>
      <c r="B213" t="s">
        <v>20</v>
      </c>
      <c r="C213" t="str">
        <f>IF(ISBLANK('[1]2.Diagnostic Analysis'!C213),"Unknown",'[1]2.Diagnostic Analysis'!C213)</f>
        <v>West</v>
      </c>
      <c r="D213" t="s">
        <v>40</v>
      </c>
      <c r="E213" t="s">
        <v>15</v>
      </c>
      <c r="F213">
        <f>IF(ISBLANK('[1]2.Diagnostic Analysis'!D213),'[1]2.Diagnostic Analysis'!$Q$3,'[1]2.Diagnostic Analysis'!D213)</f>
        <v>19</v>
      </c>
      <c r="G213">
        <v>800</v>
      </c>
      <c r="H213">
        <v>3</v>
      </c>
      <c r="I213">
        <v>2400</v>
      </c>
      <c r="J213">
        <v>11.21</v>
      </c>
      <c r="K213" s="2">
        <v>45139</v>
      </c>
      <c r="L213" t="str">
        <f>IF(ISBLANK('[1]2.Diagnostic Analysis'!K213),"Unknown",'[1]2.Diagnostic Analysis'!K213)</f>
        <v>Returned</v>
      </c>
    </row>
    <row r="214" spans="1:12" x14ac:dyDescent="0.25">
      <c r="A214" t="s">
        <v>177</v>
      </c>
      <c r="B214" t="s">
        <v>13</v>
      </c>
      <c r="C214" t="str">
        <f>IF(ISBLANK('[1]2.Diagnostic Analysis'!C214),"Unknown",'[1]2.Diagnostic Analysis'!C214)</f>
        <v>West</v>
      </c>
      <c r="D214" t="s">
        <v>29</v>
      </c>
      <c r="E214" t="s">
        <v>18</v>
      </c>
      <c r="F214">
        <f>IF(ISBLANK('[1]2.Diagnostic Analysis'!D214),'[1]2.Diagnostic Analysis'!$Q$3,'[1]2.Diagnostic Analysis'!D214)</f>
        <v>29</v>
      </c>
      <c r="G214">
        <v>50</v>
      </c>
      <c r="H214">
        <v>2</v>
      </c>
      <c r="I214">
        <v>100</v>
      </c>
      <c r="J214">
        <v>5.18</v>
      </c>
      <c r="K214" s="2">
        <v>45030</v>
      </c>
      <c r="L214" t="str">
        <f>IF(ISBLANK('[1]2.Diagnostic Analysis'!K214),"Unknown",'[1]2.Diagnostic Analysis'!K214)</f>
        <v>Returned</v>
      </c>
    </row>
    <row r="215" spans="1:12" x14ac:dyDescent="0.25">
      <c r="A215" t="s">
        <v>59</v>
      </c>
      <c r="B215" t="s">
        <v>13</v>
      </c>
      <c r="C215" t="str">
        <f>IF(ISBLANK('[1]2.Diagnostic Analysis'!C215),"Unknown",'[1]2.Diagnostic Analysis'!C215)</f>
        <v>North</v>
      </c>
      <c r="D215" t="s">
        <v>25</v>
      </c>
      <c r="E215" t="s">
        <v>26</v>
      </c>
      <c r="F215">
        <f>IF(ISBLANK('[1]2.Diagnostic Analysis'!D215),'[1]2.Diagnostic Analysis'!$Q$3,'[1]2.Diagnostic Analysis'!D215)</f>
        <v>68</v>
      </c>
      <c r="G215">
        <v>200</v>
      </c>
      <c r="H215">
        <v>3</v>
      </c>
      <c r="I215">
        <v>600</v>
      </c>
      <c r="J215">
        <v>7.93</v>
      </c>
      <c r="K215" s="2">
        <v>45099</v>
      </c>
      <c r="L215" t="str">
        <f>IF(ISBLANK('[1]2.Diagnostic Analysis'!K215),"Unknown",'[1]2.Diagnostic Analysis'!K215)</f>
        <v>In Transit</v>
      </c>
    </row>
    <row r="216" spans="1:12" x14ac:dyDescent="0.25">
      <c r="A216" t="s">
        <v>178</v>
      </c>
      <c r="B216" t="s">
        <v>13</v>
      </c>
      <c r="C216" t="str">
        <f>IF(ISBLANK('[1]2.Diagnostic Analysis'!C216),"Unknown",'[1]2.Diagnostic Analysis'!C216)</f>
        <v>North</v>
      </c>
      <c r="D216" t="s">
        <v>23</v>
      </c>
      <c r="E216" t="s">
        <v>15</v>
      </c>
      <c r="F216">
        <f>IF(ISBLANK('[1]2.Diagnostic Analysis'!D216),'[1]2.Diagnostic Analysis'!$Q$3,'[1]2.Diagnostic Analysis'!D216)</f>
        <v>30</v>
      </c>
      <c r="G216">
        <v>1500</v>
      </c>
      <c r="H216">
        <v>1</v>
      </c>
      <c r="I216">
        <v>1500</v>
      </c>
      <c r="J216">
        <v>14.53</v>
      </c>
      <c r="K216" s="2">
        <v>45034</v>
      </c>
      <c r="L216" t="str">
        <f>IF(ISBLANK('[1]2.Diagnostic Analysis'!K216),"Unknown",'[1]2.Diagnostic Analysis'!K216)</f>
        <v>In Transit</v>
      </c>
    </row>
    <row r="217" spans="1:12" x14ac:dyDescent="0.25">
      <c r="A217" t="s">
        <v>179</v>
      </c>
      <c r="B217" t="s">
        <v>20</v>
      </c>
      <c r="C217" t="str">
        <f>IF(ISBLANK('[1]2.Diagnostic Analysis'!C217),"Unknown",'[1]2.Diagnostic Analysis'!C217)</f>
        <v>West</v>
      </c>
      <c r="D217" t="s">
        <v>30</v>
      </c>
      <c r="E217" t="s">
        <v>18</v>
      </c>
      <c r="F217">
        <f>IF(ISBLANK('[1]2.Diagnostic Analysis'!D217),'[1]2.Diagnostic Analysis'!$Q$3,'[1]2.Diagnostic Analysis'!D217)</f>
        <v>61</v>
      </c>
      <c r="G217">
        <v>62.191212249732999</v>
      </c>
      <c r="H217">
        <v>1</v>
      </c>
      <c r="I217">
        <v>30</v>
      </c>
      <c r="J217">
        <v>10.41</v>
      </c>
      <c r="K217" s="2">
        <v>44954</v>
      </c>
      <c r="L217" t="str">
        <f>IF(ISBLANK('[1]2.Diagnostic Analysis'!K217),"Unknown",'[1]2.Diagnostic Analysis'!K217)</f>
        <v>Returned</v>
      </c>
    </row>
    <row r="218" spans="1:12" x14ac:dyDescent="0.25">
      <c r="A218" t="s">
        <v>146</v>
      </c>
      <c r="B218" t="s">
        <v>20</v>
      </c>
      <c r="C218" t="str">
        <f>IF(ISBLANK('[1]2.Diagnostic Analysis'!C218),"Unknown",'[1]2.Diagnostic Analysis'!C218)</f>
        <v>North</v>
      </c>
      <c r="D218" t="s">
        <v>40</v>
      </c>
      <c r="E218" t="s">
        <v>15</v>
      </c>
      <c r="F218">
        <f>IF(ISBLANK('[1]2.Diagnostic Analysis'!D218),'[1]2.Diagnostic Analysis'!$Q$3,'[1]2.Diagnostic Analysis'!D218)</f>
        <v>49</v>
      </c>
      <c r="G218">
        <v>800</v>
      </c>
      <c r="H218">
        <v>4</v>
      </c>
      <c r="I218">
        <v>3200</v>
      </c>
      <c r="J218">
        <v>9.4499999999999993</v>
      </c>
      <c r="K218" s="2">
        <v>45054</v>
      </c>
      <c r="L218" t="str">
        <f>IF(ISBLANK('[1]2.Diagnostic Analysis'!K218),"Unknown",'[1]2.Diagnostic Analysis'!K218)</f>
        <v>Returned</v>
      </c>
    </row>
    <row r="219" spans="1:12" x14ac:dyDescent="0.25">
      <c r="A219" t="s">
        <v>180</v>
      </c>
      <c r="B219" t="s">
        <v>20</v>
      </c>
      <c r="C219" t="str">
        <f>IF(ISBLANK('[1]2.Diagnostic Analysis'!C219),"Unknown",'[1]2.Diagnostic Analysis'!C219)</f>
        <v>South</v>
      </c>
      <c r="D219" t="s">
        <v>23</v>
      </c>
      <c r="E219" t="s">
        <v>15</v>
      </c>
      <c r="F219">
        <f>IF(ISBLANK('[1]2.Diagnostic Analysis'!D219),'[1]2.Diagnostic Analysis'!$Q$3,'[1]2.Diagnostic Analysis'!D219)</f>
        <v>49</v>
      </c>
      <c r="G219">
        <v>1500</v>
      </c>
      <c r="H219">
        <v>2</v>
      </c>
      <c r="I219">
        <v>3000</v>
      </c>
      <c r="J219">
        <v>9.01</v>
      </c>
      <c r="K219" s="2">
        <v>45084</v>
      </c>
      <c r="L219" t="str">
        <f>IF(ISBLANK('[1]2.Diagnostic Analysis'!K219),"Unknown",'[1]2.Diagnostic Analysis'!K219)</f>
        <v>In Transit</v>
      </c>
    </row>
    <row r="220" spans="1:12" x14ac:dyDescent="0.25">
      <c r="A220" t="s">
        <v>181</v>
      </c>
      <c r="B220" t="s">
        <v>13</v>
      </c>
      <c r="C220" t="str">
        <f>IF(ISBLANK('[1]2.Diagnostic Analysis'!C220),"Unknown",'[1]2.Diagnostic Analysis'!C220)</f>
        <v>North</v>
      </c>
      <c r="D220" t="s">
        <v>40</v>
      </c>
      <c r="E220" t="s">
        <v>15</v>
      </c>
      <c r="F220">
        <f>IF(ISBLANK('[1]2.Diagnostic Analysis'!D220),'[1]2.Diagnostic Analysis'!$Q$3,'[1]2.Diagnostic Analysis'!D220)</f>
        <v>29</v>
      </c>
      <c r="G220">
        <v>800</v>
      </c>
      <c r="H220">
        <v>5</v>
      </c>
      <c r="I220">
        <v>4000</v>
      </c>
      <c r="J220">
        <v>6.06</v>
      </c>
      <c r="K220" s="2">
        <v>44981</v>
      </c>
      <c r="L220" t="str">
        <f>IF(ISBLANK('[1]2.Diagnostic Analysis'!K220),"Unknown",'[1]2.Diagnostic Analysis'!K220)</f>
        <v>Delivered</v>
      </c>
    </row>
    <row r="221" spans="1:12" x14ac:dyDescent="0.25">
      <c r="A221" t="s">
        <v>172</v>
      </c>
      <c r="B221" t="s">
        <v>13</v>
      </c>
      <c r="C221" t="str">
        <f>IF(ISBLANK('[1]2.Diagnostic Analysis'!C221),"Unknown",'[1]2.Diagnostic Analysis'!C221)</f>
        <v>West</v>
      </c>
      <c r="D221" t="s">
        <v>29</v>
      </c>
      <c r="E221" t="s">
        <v>18</v>
      </c>
      <c r="F221">
        <f>IF(ISBLANK('[1]2.Diagnostic Analysis'!D221),'[1]2.Diagnostic Analysis'!$Q$3,'[1]2.Diagnostic Analysis'!D221)</f>
        <v>57</v>
      </c>
      <c r="G221">
        <v>50</v>
      </c>
      <c r="H221">
        <v>3</v>
      </c>
      <c r="I221">
        <v>150</v>
      </c>
      <c r="J221">
        <v>11.12</v>
      </c>
      <c r="K221" s="2">
        <v>44973</v>
      </c>
      <c r="L221" t="str">
        <f>IF(ISBLANK('[1]2.Diagnostic Analysis'!K221),"Unknown",'[1]2.Diagnostic Analysis'!K221)</f>
        <v>In Transit</v>
      </c>
    </row>
    <row r="222" spans="1:12" x14ac:dyDescent="0.25">
      <c r="A222" t="s">
        <v>65</v>
      </c>
      <c r="B222" t="s">
        <v>13</v>
      </c>
      <c r="C222" t="str">
        <f>IF(ISBLANK('[1]2.Diagnostic Analysis'!C222),"Unknown",'[1]2.Diagnostic Analysis'!C222)</f>
        <v>West</v>
      </c>
      <c r="D222" t="s">
        <v>25</v>
      </c>
      <c r="E222" t="s">
        <v>26</v>
      </c>
      <c r="F222">
        <f>IF(ISBLANK('[1]2.Diagnostic Analysis'!D222),'[1]2.Diagnostic Analysis'!$Q$3,'[1]2.Diagnostic Analysis'!D222)</f>
        <v>38</v>
      </c>
      <c r="G222">
        <v>200</v>
      </c>
      <c r="H222">
        <v>3</v>
      </c>
      <c r="I222">
        <v>600</v>
      </c>
      <c r="J222">
        <v>19.89</v>
      </c>
      <c r="K222" s="2">
        <v>45145</v>
      </c>
      <c r="L222" t="str">
        <f>IF(ISBLANK('[1]2.Diagnostic Analysis'!K222),"Unknown",'[1]2.Diagnostic Analysis'!K222)</f>
        <v>Returned</v>
      </c>
    </row>
    <row r="223" spans="1:12" x14ac:dyDescent="0.25">
      <c r="A223" t="s">
        <v>55</v>
      </c>
      <c r="B223" t="s">
        <v>13</v>
      </c>
      <c r="C223" t="str">
        <f>IF(ISBLANK('[1]2.Diagnostic Analysis'!C223),"Unknown",'[1]2.Diagnostic Analysis'!C223)</f>
        <v>North</v>
      </c>
      <c r="D223" t="s">
        <v>40</v>
      </c>
      <c r="E223" t="s">
        <v>15</v>
      </c>
      <c r="F223">
        <f>IF(ISBLANK('[1]2.Diagnostic Analysis'!D223),'[1]2.Diagnostic Analysis'!$Q$3,'[1]2.Diagnostic Analysis'!D223)</f>
        <v>58</v>
      </c>
      <c r="G223">
        <v>800</v>
      </c>
      <c r="H223">
        <v>4</v>
      </c>
      <c r="I223">
        <v>3200</v>
      </c>
      <c r="J223">
        <v>18.55</v>
      </c>
      <c r="K223" s="2">
        <v>45020</v>
      </c>
      <c r="L223" t="str">
        <f>IF(ISBLANK('[1]2.Diagnostic Analysis'!K223),"Unknown",'[1]2.Diagnostic Analysis'!K223)</f>
        <v>Unknown</v>
      </c>
    </row>
    <row r="224" spans="1:12" x14ac:dyDescent="0.25">
      <c r="A224" t="s">
        <v>121</v>
      </c>
      <c r="B224" t="s">
        <v>20</v>
      </c>
      <c r="C224" t="str">
        <f>IF(ISBLANK('[1]2.Diagnostic Analysis'!C224),"Unknown",'[1]2.Diagnostic Analysis'!C224)</f>
        <v>East</v>
      </c>
      <c r="D224" t="s">
        <v>14</v>
      </c>
      <c r="E224" t="s">
        <v>15</v>
      </c>
      <c r="F224">
        <f>IF(ISBLANK('[1]2.Diagnostic Analysis'!D224),'[1]2.Diagnostic Analysis'!$Q$3,'[1]2.Diagnostic Analysis'!D224)</f>
        <v>38</v>
      </c>
      <c r="G224">
        <v>300</v>
      </c>
      <c r="H224">
        <v>1</v>
      </c>
      <c r="I224">
        <v>300</v>
      </c>
      <c r="J224">
        <v>11.89</v>
      </c>
      <c r="K224" s="2">
        <v>45047</v>
      </c>
      <c r="L224" t="str">
        <f>IF(ISBLANK('[1]2.Diagnostic Analysis'!K224),"Unknown",'[1]2.Diagnostic Analysis'!K224)</f>
        <v>In Transit</v>
      </c>
    </row>
    <row r="225" spans="1:12" x14ac:dyDescent="0.25">
      <c r="A225" t="s">
        <v>182</v>
      </c>
      <c r="B225" t="s">
        <v>20</v>
      </c>
      <c r="C225" t="str">
        <f>IF(ISBLANK('[1]2.Diagnostic Analysis'!C225),"Unknown",'[1]2.Diagnostic Analysis'!C225)</f>
        <v>East</v>
      </c>
      <c r="D225" t="s">
        <v>40</v>
      </c>
      <c r="E225" t="s">
        <v>15</v>
      </c>
      <c r="F225">
        <f>IF(ISBLANK('[1]2.Diagnostic Analysis'!D225),'[1]2.Diagnostic Analysis'!$Q$3,'[1]2.Diagnostic Analysis'!D225)</f>
        <v>32</v>
      </c>
      <c r="G225">
        <v>800</v>
      </c>
      <c r="H225">
        <v>3</v>
      </c>
      <c r="I225">
        <v>2400</v>
      </c>
      <c r="J225">
        <v>14.12</v>
      </c>
      <c r="K225" s="2">
        <v>45197</v>
      </c>
      <c r="L225" t="str">
        <f>IF(ISBLANK('[1]2.Diagnostic Analysis'!K225),"Unknown",'[1]2.Diagnostic Analysis'!K225)</f>
        <v>In Transit</v>
      </c>
    </row>
    <row r="226" spans="1:12" x14ac:dyDescent="0.25">
      <c r="A226" t="s">
        <v>183</v>
      </c>
      <c r="B226" t="s">
        <v>20</v>
      </c>
      <c r="C226" t="str">
        <f>IF(ISBLANK('[1]2.Diagnostic Analysis'!C226),"Unknown",'[1]2.Diagnostic Analysis'!C226)</f>
        <v>West</v>
      </c>
      <c r="D226" t="s">
        <v>30</v>
      </c>
      <c r="E226" t="s">
        <v>18</v>
      </c>
      <c r="F226">
        <f>IF(ISBLANK('[1]2.Diagnostic Analysis'!D226),'[1]2.Diagnostic Analysis'!$Q$3,'[1]2.Diagnostic Analysis'!D226)</f>
        <v>49</v>
      </c>
      <c r="G226">
        <v>30</v>
      </c>
      <c r="H226">
        <v>2</v>
      </c>
      <c r="I226">
        <v>60</v>
      </c>
      <c r="J226">
        <v>7.56</v>
      </c>
      <c r="K226" s="2">
        <v>45285</v>
      </c>
      <c r="L226" t="str">
        <f>IF(ISBLANK('[1]2.Diagnostic Analysis'!K226),"Unknown",'[1]2.Diagnostic Analysis'!K226)</f>
        <v>Delivered</v>
      </c>
    </row>
    <row r="227" spans="1:12" x14ac:dyDescent="0.25">
      <c r="A227" t="s">
        <v>113</v>
      </c>
      <c r="B227" t="s">
        <v>13</v>
      </c>
      <c r="C227" t="str">
        <f>IF(ISBLANK('[1]2.Diagnostic Analysis'!C227),"Unknown",'[1]2.Diagnostic Analysis'!C227)</f>
        <v>South</v>
      </c>
      <c r="D227" t="s">
        <v>17</v>
      </c>
      <c r="E227" t="s">
        <v>18</v>
      </c>
      <c r="F227">
        <f>IF(ISBLANK('[1]2.Diagnostic Analysis'!D227),'[1]2.Diagnostic Analysis'!$Q$3,'[1]2.Diagnostic Analysis'!D227)</f>
        <v>63</v>
      </c>
      <c r="G227">
        <v>100</v>
      </c>
      <c r="H227">
        <v>4</v>
      </c>
      <c r="I227">
        <v>400</v>
      </c>
      <c r="J227">
        <v>11.39</v>
      </c>
      <c r="K227" s="2">
        <v>45052</v>
      </c>
      <c r="L227" t="str">
        <f>IF(ISBLANK('[1]2.Diagnostic Analysis'!K227),"Unknown",'[1]2.Diagnostic Analysis'!K227)</f>
        <v>Delivered</v>
      </c>
    </row>
    <row r="228" spans="1:12" x14ac:dyDescent="0.25">
      <c r="A228" t="s">
        <v>48</v>
      </c>
      <c r="B228" t="s">
        <v>20</v>
      </c>
      <c r="C228" t="str">
        <f>IF(ISBLANK('[1]2.Diagnostic Analysis'!C228),"Unknown",'[1]2.Diagnostic Analysis'!C228)</f>
        <v>West</v>
      </c>
      <c r="D228" t="s">
        <v>29</v>
      </c>
      <c r="E228" t="s">
        <v>18</v>
      </c>
      <c r="F228">
        <f>IF(ISBLANK('[1]2.Diagnostic Analysis'!D228),'[1]2.Diagnostic Analysis'!$Q$3,'[1]2.Diagnostic Analysis'!D228)</f>
        <v>59</v>
      </c>
      <c r="G228">
        <v>103.65202041622101</v>
      </c>
      <c r="H228">
        <v>4</v>
      </c>
      <c r="I228">
        <v>200</v>
      </c>
      <c r="J228">
        <v>10.49</v>
      </c>
      <c r="K228" s="2">
        <v>45159</v>
      </c>
      <c r="L228" t="str">
        <f>IF(ISBLANK('[1]2.Diagnostic Analysis'!K228),"Unknown",'[1]2.Diagnostic Analysis'!K228)</f>
        <v>Delivered</v>
      </c>
    </row>
    <row r="229" spans="1:12" x14ac:dyDescent="0.25">
      <c r="A229" t="s">
        <v>160</v>
      </c>
      <c r="B229" t="s">
        <v>13</v>
      </c>
      <c r="C229" t="str">
        <f>IF(ISBLANK('[1]2.Diagnostic Analysis'!C229),"Unknown",'[1]2.Diagnostic Analysis'!C229)</f>
        <v>West</v>
      </c>
      <c r="D229" t="s">
        <v>17</v>
      </c>
      <c r="E229" t="s">
        <v>18</v>
      </c>
      <c r="F229">
        <f>IF(ISBLANK('[1]2.Diagnostic Analysis'!D229),'[1]2.Diagnostic Analysis'!$Q$3,'[1]2.Diagnostic Analysis'!D229)</f>
        <v>27</v>
      </c>
      <c r="G229">
        <v>100</v>
      </c>
      <c r="H229">
        <v>3</v>
      </c>
      <c r="I229">
        <v>300</v>
      </c>
      <c r="J229">
        <v>17.920000000000002</v>
      </c>
      <c r="K229" s="2">
        <v>44998</v>
      </c>
      <c r="L229" t="str">
        <f>IF(ISBLANK('[1]2.Diagnostic Analysis'!K229),"Unknown",'[1]2.Diagnostic Analysis'!K229)</f>
        <v>Returned</v>
      </c>
    </row>
    <row r="230" spans="1:12" x14ac:dyDescent="0.25">
      <c r="A230" t="s">
        <v>184</v>
      </c>
      <c r="B230" t="s">
        <v>20</v>
      </c>
      <c r="C230" t="str">
        <f>IF(ISBLANK('[1]2.Diagnostic Analysis'!C230),"Unknown",'[1]2.Diagnostic Analysis'!C230)</f>
        <v>West</v>
      </c>
      <c r="D230" t="s">
        <v>23</v>
      </c>
      <c r="E230" t="s">
        <v>15</v>
      </c>
      <c r="F230">
        <f>IF(ISBLANK('[1]2.Diagnostic Analysis'!D230),'[1]2.Diagnostic Analysis'!$Q$3,'[1]2.Diagnostic Analysis'!D230)</f>
        <v>51</v>
      </c>
      <c r="G230">
        <v>1500</v>
      </c>
      <c r="H230">
        <v>1</v>
      </c>
      <c r="I230">
        <v>1500</v>
      </c>
      <c r="J230">
        <v>12.36</v>
      </c>
      <c r="K230" s="2">
        <v>44985</v>
      </c>
      <c r="L230" t="str">
        <f>IF(ISBLANK('[1]2.Diagnostic Analysis'!K230),"Unknown",'[1]2.Diagnostic Analysis'!K230)</f>
        <v>Returned</v>
      </c>
    </row>
    <row r="231" spans="1:12" x14ac:dyDescent="0.25">
      <c r="A231" t="s">
        <v>181</v>
      </c>
      <c r="B231" t="s">
        <v>13</v>
      </c>
      <c r="C231" t="str">
        <f>IF(ISBLANK('[1]2.Diagnostic Analysis'!C231),"Unknown",'[1]2.Diagnostic Analysis'!C231)</f>
        <v>West</v>
      </c>
      <c r="D231" t="s">
        <v>14</v>
      </c>
      <c r="E231" t="s">
        <v>15</v>
      </c>
      <c r="F231">
        <f>IF(ISBLANK('[1]2.Diagnostic Analysis'!D231),'[1]2.Diagnostic Analysis'!$Q$3,'[1]2.Diagnostic Analysis'!D231)</f>
        <v>29</v>
      </c>
      <c r="G231">
        <v>300</v>
      </c>
      <c r="H231">
        <v>4</v>
      </c>
      <c r="I231">
        <v>1200</v>
      </c>
      <c r="J231">
        <v>8.15</v>
      </c>
      <c r="K231" s="2">
        <v>45133</v>
      </c>
      <c r="L231" t="str">
        <f>IF(ISBLANK('[1]2.Diagnostic Analysis'!K231),"Unknown",'[1]2.Diagnostic Analysis'!K231)</f>
        <v>Delivered</v>
      </c>
    </row>
    <row r="232" spans="1:12" x14ac:dyDescent="0.25">
      <c r="A232" t="s">
        <v>165</v>
      </c>
      <c r="B232" t="s">
        <v>13</v>
      </c>
      <c r="C232" t="str">
        <f>IF(ISBLANK('[1]2.Diagnostic Analysis'!C232),"Unknown",'[1]2.Diagnostic Analysis'!C232)</f>
        <v>East</v>
      </c>
      <c r="D232" t="s">
        <v>14</v>
      </c>
      <c r="E232" t="s">
        <v>15</v>
      </c>
      <c r="F232">
        <f>IF(ISBLANK('[1]2.Diagnostic Analysis'!D232),'[1]2.Diagnostic Analysis'!$Q$3,'[1]2.Diagnostic Analysis'!D232)</f>
        <v>66</v>
      </c>
      <c r="G232">
        <v>300</v>
      </c>
      <c r="H232">
        <v>2</v>
      </c>
      <c r="I232">
        <v>600</v>
      </c>
      <c r="J232">
        <v>19.100000000000001</v>
      </c>
      <c r="K232" s="2">
        <v>45109</v>
      </c>
      <c r="L232" t="str">
        <f>IF(ISBLANK('[1]2.Diagnostic Analysis'!K232),"Unknown",'[1]2.Diagnostic Analysis'!K232)</f>
        <v>Unknown</v>
      </c>
    </row>
    <row r="233" spans="1:12" x14ac:dyDescent="0.25">
      <c r="A233" t="s">
        <v>174</v>
      </c>
      <c r="B233" t="s">
        <v>13</v>
      </c>
      <c r="C233" t="str">
        <f>IF(ISBLANK('[1]2.Diagnostic Analysis'!C233),"Unknown",'[1]2.Diagnostic Analysis'!C233)</f>
        <v>East</v>
      </c>
      <c r="D233" t="s">
        <v>25</v>
      </c>
      <c r="E233" t="s">
        <v>26</v>
      </c>
      <c r="F233">
        <f>IF(ISBLANK('[1]2.Diagnostic Analysis'!D233),'[1]2.Diagnostic Analysis'!$Q$3,'[1]2.Diagnostic Analysis'!D233)</f>
        <v>54</v>
      </c>
      <c r="G233">
        <v>200</v>
      </c>
      <c r="H233">
        <v>5</v>
      </c>
      <c r="I233">
        <v>1000</v>
      </c>
      <c r="J233">
        <v>10.029999999999999</v>
      </c>
      <c r="K233" s="2">
        <v>45216</v>
      </c>
      <c r="L233" t="str">
        <f>IF(ISBLANK('[1]2.Diagnostic Analysis'!K233),"Unknown",'[1]2.Diagnostic Analysis'!K233)</f>
        <v>Returned</v>
      </c>
    </row>
    <row r="234" spans="1:12" x14ac:dyDescent="0.25">
      <c r="A234" t="s">
        <v>185</v>
      </c>
      <c r="B234" t="s">
        <v>13</v>
      </c>
      <c r="C234" t="str">
        <f>IF(ISBLANK('[1]2.Diagnostic Analysis'!C234),"Unknown",'[1]2.Diagnostic Analysis'!C234)</f>
        <v>East</v>
      </c>
      <c r="D234" t="s">
        <v>14</v>
      </c>
      <c r="E234" t="s">
        <v>15</v>
      </c>
      <c r="F234">
        <f>IF(ISBLANK('[1]2.Diagnostic Analysis'!D234),'[1]2.Diagnostic Analysis'!$Q$3,'[1]2.Diagnostic Analysis'!D234)</f>
        <v>68</v>
      </c>
      <c r="G234">
        <v>300</v>
      </c>
      <c r="H234">
        <v>3</v>
      </c>
      <c r="I234">
        <v>900</v>
      </c>
      <c r="J234">
        <v>5</v>
      </c>
      <c r="K234" s="2">
        <v>45217</v>
      </c>
      <c r="L234" t="str">
        <f>IF(ISBLANK('[1]2.Diagnostic Analysis'!K234),"Unknown",'[1]2.Diagnostic Analysis'!K234)</f>
        <v>In Transit</v>
      </c>
    </row>
    <row r="235" spans="1:12" x14ac:dyDescent="0.25">
      <c r="A235" t="s">
        <v>121</v>
      </c>
      <c r="B235" t="s">
        <v>20</v>
      </c>
      <c r="C235" t="str">
        <f>IF(ISBLANK('[1]2.Diagnostic Analysis'!C235),"Unknown",'[1]2.Diagnostic Analysis'!C235)</f>
        <v>West</v>
      </c>
      <c r="D235" t="s">
        <v>23</v>
      </c>
      <c r="E235" t="s">
        <v>15</v>
      </c>
      <c r="F235">
        <f>IF(ISBLANK('[1]2.Diagnostic Analysis'!D235),'[1]2.Diagnostic Analysis'!$Q$3,'[1]2.Diagnostic Analysis'!D235)</f>
        <v>49</v>
      </c>
      <c r="G235">
        <v>1500</v>
      </c>
      <c r="H235">
        <v>3</v>
      </c>
      <c r="I235">
        <v>4500</v>
      </c>
      <c r="J235">
        <v>9.92</v>
      </c>
      <c r="K235" s="2">
        <v>45022</v>
      </c>
      <c r="L235" t="str">
        <f>IF(ISBLANK('[1]2.Diagnostic Analysis'!K235),"Unknown",'[1]2.Diagnostic Analysis'!K235)</f>
        <v>Delivered</v>
      </c>
    </row>
    <row r="236" spans="1:12" x14ac:dyDescent="0.25">
      <c r="A236" t="s">
        <v>31</v>
      </c>
      <c r="B236" t="s">
        <v>20</v>
      </c>
      <c r="C236" t="str">
        <f>IF(ISBLANK('[1]2.Diagnostic Analysis'!C236),"Unknown",'[1]2.Diagnostic Analysis'!C236)</f>
        <v>South</v>
      </c>
      <c r="D236" t="s">
        <v>14</v>
      </c>
      <c r="E236" t="s">
        <v>15</v>
      </c>
      <c r="F236">
        <f>IF(ISBLANK('[1]2.Diagnostic Analysis'!D236),'[1]2.Diagnostic Analysis'!$Q$3,'[1]2.Diagnostic Analysis'!D236)</f>
        <v>29</v>
      </c>
      <c r="G236">
        <v>300</v>
      </c>
      <c r="H236">
        <v>3</v>
      </c>
      <c r="I236">
        <v>900</v>
      </c>
      <c r="J236">
        <v>18.32</v>
      </c>
      <c r="K236" s="2">
        <v>45127</v>
      </c>
      <c r="L236" t="str">
        <f>IF(ISBLANK('[1]2.Diagnostic Analysis'!K236),"Unknown",'[1]2.Diagnostic Analysis'!K236)</f>
        <v>Delivered</v>
      </c>
    </row>
    <row r="237" spans="1:12" x14ac:dyDescent="0.25">
      <c r="A237" t="s">
        <v>186</v>
      </c>
      <c r="B237" t="s">
        <v>20</v>
      </c>
      <c r="C237" t="str">
        <f>IF(ISBLANK('[1]2.Diagnostic Analysis'!C237),"Unknown",'[1]2.Diagnostic Analysis'!C237)</f>
        <v>West</v>
      </c>
      <c r="D237" t="s">
        <v>25</v>
      </c>
      <c r="E237" t="s">
        <v>26</v>
      </c>
      <c r="F237">
        <f>IF(ISBLANK('[1]2.Diagnostic Analysis'!D237),'[1]2.Diagnostic Analysis'!$Q$3,'[1]2.Diagnostic Analysis'!D237)</f>
        <v>40</v>
      </c>
      <c r="G237">
        <v>200</v>
      </c>
      <c r="H237">
        <v>1</v>
      </c>
      <c r="I237">
        <v>200</v>
      </c>
      <c r="J237">
        <v>8.82</v>
      </c>
      <c r="K237" s="2">
        <v>45024</v>
      </c>
      <c r="L237" t="str">
        <f>IF(ISBLANK('[1]2.Diagnostic Analysis'!K237),"Unknown",'[1]2.Diagnostic Analysis'!K237)</f>
        <v>Returned</v>
      </c>
    </row>
    <row r="238" spans="1:12" x14ac:dyDescent="0.25">
      <c r="A238" t="s">
        <v>187</v>
      </c>
      <c r="B238" t="s">
        <v>13</v>
      </c>
      <c r="C238" t="str">
        <f>IF(ISBLANK('[1]2.Diagnostic Analysis'!C238),"Unknown",'[1]2.Diagnostic Analysis'!C238)</f>
        <v>West</v>
      </c>
      <c r="D238" t="s">
        <v>29</v>
      </c>
      <c r="E238" t="s">
        <v>18</v>
      </c>
      <c r="F238">
        <f>IF(ISBLANK('[1]2.Diagnostic Analysis'!D238),'[1]2.Diagnostic Analysis'!$Q$3,'[1]2.Diagnostic Analysis'!D238)</f>
        <v>48</v>
      </c>
      <c r="G238">
        <v>50</v>
      </c>
      <c r="H238">
        <v>3</v>
      </c>
      <c r="I238">
        <v>150</v>
      </c>
      <c r="J238">
        <v>16.84</v>
      </c>
      <c r="K238" s="2">
        <v>44934</v>
      </c>
      <c r="L238" t="str">
        <f>IF(ISBLANK('[1]2.Diagnostic Analysis'!K238),"Unknown",'[1]2.Diagnostic Analysis'!K238)</f>
        <v>Returned</v>
      </c>
    </row>
    <row r="239" spans="1:12" x14ac:dyDescent="0.25">
      <c r="A239" t="s">
        <v>188</v>
      </c>
      <c r="B239" t="s">
        <v>20</v>
      </c>
      <c r="C239" t="str">
        <f>IF(ISBLANK('[1]2.Diagnostic Analysis'!C239),"Unknown",'[1]2.Diagnostic Analysis'!C239)</f>
        <v>West</v>
      </c>
      <c r="D239" t="s">
        <v>23</v>
      </c>
      <c r="E239" t="s">
        <v>15</v>
      </c>
      <c r="F239">
        <f>IF(ISBLANK('[1]2.Diagnostic Analysis'!D239),'[1]2.Diagnostic Analysis'!$Q$3,'[1]2.Diagnostic Analysis'!D239)</f>
        <v>52</v>
      </c>
      <c r="G239">
        <v>1500</v>
      </c>
      <c r="H239">
        <v>5</v>
      </c>
      <c r="I239">
        <v>7500</v>
      </c>
      <c r="J239">
        <v>9.4499999999999993</v>
      </c>
      <c r="K239" s="2">
        <v>45059</v>
      </c>
      <c r="L239" t="str">
        <f>IF(ISBLANK('[1]2.Diagnostic Analysis'!K239),"Unknown",'[1]2.Diagnostic Analysis'!K239)</f>
        <v>Unknown</v>
      </c>
    </row>
    <row r="240" spans="1:12" x14ac:dyDescent="0.25">
      <c r="A240" t="s">
        <v>189</v>
      </c>
      <c r="B240" t="s">
        <v>13</v>
      </c>
      <c r="C240" t="str">
        <f>IF(ISBLANK('[1]2.Diagnostic Analysis'!C240),"Unknown",'[1]2.Diagnostic Analysis'!C240)</f>
        <v>East</v>
      </c>
      <c r="D240" t="s">
        <v>14</v>
      </c>
      <c r="E240" t="s">
        <v>15</v>
      </c>
      <c r="F240">
        <f>IF(ISBLANK('[1]2.Diagnostic Analysis'!D240),'[1]2.Diagnostic Analysis'!$Q$3,'[1]2.Diagnostic Analysis'!D240)</f>
        <v>69</v>
      </c>
      <c r="G240">
        <v>300</v>
      </c>
      <c r="H240">
        <v>4</v>
      </c>
      <c r="I240">
        <v>1200</v>
      </c>
      <c r="J240">
        <v>8.25</v>
      </c>
      <c r="K240" s="2">
        <v>45153</v>
      </c>
      <c r="L240" t="str">
        <f>IF(ISBLANK('[1]2.Diagnostic Analysis'!K240),"Unknown",'[1]2.Diagnostic Analysis'!K240)</f>
        <v>Returned</v>
      </c>
    </row>
    <row r="241" spans="1:12" x14ac:dyDescent="0.25">
      <c r="A241" t="s">
        <v>69</v>
      </c>
      <c r="B241" t="s">
        <v>13</v>
      </c>
      <c r="C241" t="str">
        <f>IF(ISBLANK('[1]2.Diagnostic Analysis'!C241),"Unknown",'[1]2.Diagnostic Analysis'!C241)</f>
        <v>North</v>
      </c>
      <c r="D241" t="s">
        <v>40</v>
      </c>
      <c r="E241" t="s">
        <v>15</v>
      </c>
      <c r="F241">
        <f>IF(ISBLANK('[1]2.Diagnostic Analysis'!D241),'[1]2.Diagnostic Analysis'!$Q$3,'[1]2.Diagnostic Analysis'!D241)</f>
        <v>67</v>
      </c>
      <c r="G241">
        <v>800</v>
      </c>
      <c r="H241">
        <v>4</v>
      </c>
      <c r="I241">
        <v>3200</v>
      </c>
      <c r="J241">
        <v>14.61</v>
      </c>
      <c r="K241" s="2">
        <v>45187</v>
      </c>
      <c r="L241" t="str">
        <f>IF(ISBLANK('[1]2.Diagnostic Analysis'!K241),"Unknown",'[1]2.Diagnostic Analysis'!K241)</f>
        <v>In Transit</v>
      </c>
    </row>
    <row r="242" spans="1:12" x14ac:dyDescent="0.25">
      <c r="A242" t="s">
        <v>190</v>
      </c>
      <c r="B242" t="s">
        <v>20</v>
      </c>
      <c r="C242" t="str">
        <f>IF(ISBLANK('[1]2.Diagnostic Analysis'!C242),"Unknown",'[1]2.Diagnostic Analysis'!C242)</f>
        <v>North</v>
      </c>
      <c r="D242" t="s">
        <v>30</v>
      </c>
      <c r="E242" t="s">
        <v>18</v>
      </c>
      <c r="F242">
        <f>IF(ISBLANK('[1]2.Diagnostic Analysis'!D242),'[1]2.Diagnostic Analysis'!$Q$3,'[1]2.Diagnostic Analysis'!D242)</f>
        <v>59</v>
      </c>
      <c r="G242">
        <v>30</v>
      </c>
      <c r="H242">
        <v>1</v>
      </c>
      <c r="I242">
        <v>30</v>
      </c>
      <c r="J242">
        <v>6.08</v>
      </c>
      <c r="K242" s="2">
        <v>44972</v>
      </c>
      <c r="L242" t="str">
        <f>IF(ISBLANK('[1]2.Diagnostic Analysis'!K242),"Unknown",'[1]2.Diagnostic Analysis'!K242)</f>
        <v>Returned</v>
      </c>
    </row>
    <row r="243" spans="1:12" x14ac:dyDescent="0.25">
      <c r="A243" t="s">
        <v>191</v>
      </c>
      <c r="B243" t="s">
        <v>20</v>
      </c>
      <c r="C243" t="str">
        <f>IF(ISBLANK('[1]2.Diagnostic Analysis'!C243),"Unknown",'[1]2.Diagnostic Analysis'!C243)</f>
        <v>West</v>
      </c>
      <c r="D243" t="s">
        <v>25</v>
      </c>
      <c r="E243" t="s">
        <v>26</v>
      </c>
      <c r="F243">
        <f>IF(ISBLANK('[1]2.Diagnostic Analysis'!D243),'[1]2.Diagnostic Analysis'!$Q$3,'[1]2.Diagnostic Analysis'!D243)</f>
        <v>64</v>
      </c>
      <c r="G243">
        <v>200</v>
      </c>
      <c r="H243">
        <v>2</v>
      </c>
      <c r="I243">
        <v>400</v>
      </c>
      <c r="J243">
        <v>15.94</v>
      </c>
      <c r="K243" s="2">
        <v>45258</v>
      </c>
      <c r="L243" t="str">
        <f>IF(ISBLANK('[1]2.Diagnostic Analysis'!K243),"Unknown",'[1]2.Diagnostic Analysis'!K243)</f>
        <v>Delivered</v>
      </c>
    </row>
    <row r="244" spans="1:12" x14ac:dyDescent="0.25">
      <c r="A244" t="s">
        <v>192</v>
      </c>
      <c r="B244" t="s">
        <v>13</v>
      </c>
      <c r="C244" t="str">
        <f>IF(ISBLANK('[1]2.Diagnostic Analysis'!C244),"Unknown",'[1]2.Diagnostic Analysis'!C244)</f>
        <v>East</v>
      </c>
      <c r="D244" t="s">
        <v>30</v>
      </c>
      <c r="E244" t="s">
        <v>18</v>
      </c>
      <c r="F244">
        <f>IF(ISBLANK('[1]2.Diagnostic Analysis'!D244),'[1]2.Diagnostic Analysis'!$Q$3,'[1]2.Diagnostic Analysis'!D244)</f>
        <v>49</v>
      </c>
      <c r="G244">
        <v>30</v>
      </c>
      <c r="H244">
        <v>3</v>
      </c>
      <c r="I244">
        <v>90</v>
      </c>
      <c r="J244">
        <v>16.489999999999998</v>
      </c>
      <c r="K244" s="2">
        <v>45136</v>
      </c>
      <c r="L244" t="str">
        <f>IF(ISBLANK('[1]2.Diagnostic Analysis'!K244),"Unknown",'[1]2.Diagnostic Analysis'!K244)</f>
        <v>In Transit</v>
      </c>
    </row>
    <row r="245" spans="1:12" x14ac:dyDescent="0.25">
      <c r="A245" t="s">
        <v>162</v>
      </c>
      <c r="B245" t="s">
        <v>20</v>
      </c>
      <c r="C245" t="str">
        <f>IF(ISBLANK('[1]2.Diagnostic Analysis'!C245),"Unknown",'[1]2.Diagnostic Analysis'!C245)</f>
        <v>South</v>
      </c>
      <c r="D245" t="s">
        <v>40</v>
      </c>
      <c r="E245" t="s">
        <v>15</v>
      </c>
      <c r="F245">
        <f>IF(ISBLANK('[1]2.Diagnostic Analysis'!D245),'[1]2.Diagnostic Analysis'!$Q$3,'[1]2.Diagnostic Analysis'!D245)</f>
        <v>62</v>
      </c>
      <c r="G245">
        <v>800</v>
      </c>
      <c r="H245">
        <v>4</v>
      </c>
      <c r="I245">
        <v>3200</v>
      </c>
      <c r="J245">
        <v>6.66</v>
      </c>
      <c r="K245" s="2">
        <v>45117</v>
      </c>
      <c r="L245" t="str">
        <f>IF(ISBLANK('[1]2.Diagnostic Analysis'!K245),"Unknown",'[1]2.Diagnostic Analysis'!K245)</f>
        <v>In Transit</v>
      </c>
    </row>
    <row r="246" spans="1:12" x14ac:dyDescent="0.25">
      <c r="A246" t="s">
        <v>193</v>
      </c>
      <c r="B246" t="s">
        <v>20</v>
      </c>
      <c r="C246" t="str">
        <f>IF(ISBLANK('[1]2.Diagnostic Analysis'!C246),"Unknown",'[1]2.Diagnostic Analysis'!C246)</f>
        <v>North</v>
      </c>
      <c r="D246" t="s">
        <v>14</v>
      </c>
      <c r="E246" t="s">
        <v>15</v>
      </c>
      <c r="F246">
        <f>IF(ISBLANK('[1]2.Diagnostic Analysis'!D246),'[1]2.Diagnostic Analysis'!$Q$3,'[1]2.Diagnostic Analysis'!D246)</f>
        <v>52</v>
      </c>
      <c r="G246">
        <v>621.91212249732996</v>
      </c>
      <c r="H246">
        <v>3</v>
      </c>
      <c r="I246">
        <v>900</v>
      </c>
      <c r="J246">
        <v>11.04</v>
      </c>
      <c r="K246" s="2">
        <v>45224</v>
      </c>
      <c r="L246" t="str">
        <f>IF(ISBLANK('[1]2.Diagnostic Analysis'!K246),"Unknown",'[1]2.Diagnostic Analysis'!K246)</f>
        <v>Delivered</v>
      </c>
    </row>
    <row r="247" spans="1:12" x14ac:dyDescent="0.25">
      <c r="A247" t="s">
        <v>133</v>
      </c>
      <c r="B247" t="s">
        <v>13</v>
      </c>
      <c r="C247" t="str">
        <f>IF(ISBLANK('[1]2.Diagnostic Analysis'!C247),"Unknown",'[1]2.Diagnostic Analysis'!C247)</f>
        <v>West</v>
      </c>
      <c r="D247" t="s">
        <v>17</v>
      </c>
      <c r="E247" t="s">
        <v>18</v>
      </c>
      <c r="F247">
        <f>IF(ISBLANK('[1]2.Diagnostic Analysis'!D247),'[1]2.Diagnostic Analysis'!$Q$3,'[1]2.Diagnostic Analysis'!D247)</f>
        <v>41</v>
      </c>
      <c r="G247">
        <v>100</v>
      </c>
      <c r="H247">
        <v>3</v>
      </c>
      <c r="I247">
        <v>300</v>
      </c>
      <c r="J247">
        <v>11.98</v>
      </c>
      <c r="K247" s="2">
        <v>45089</v>
      </c>
      <c r="L247" t="str">
        <f>IF(ISBLANK('[1]2.Diagnostic Analysis'!K247),"Unknown",'[1]2.Diagnostic Analysis'!K247)</f>
        <v>Delivered</v>
      </c>
    </row>
    <row r="248" spans="1:12" x14ac:dyDescent="0.25">
      <c r="A248" t="s">
        <v>194</v>
      </c>
      <c r="B248" t="s">
        <v>13</v>
      </c>
      <c r="C248" t="str">
        <f>IF(ISBLANK('[1]2.Diagnostic Analysis'!C248),"Unknown",'[1]2.Diagnostic Analysis'!C248)</f>
        <v>South</v>
      </c>
      <c r="D248" t="s">
        <v>17</v>
      </c>
      <c r="E248" t="s">
        <v>18</v>
      </c>
      <c r="F248">
        <f>IF(ISBLANK('[1]2.Diagnostic Analysis'!D248),'[1]2.Diagnostic Analysis'!$Q$3,'[1]2.Diagnostic Analysis'!D248)</f>
        <v>53</v>
      </c>
      <c r="G248">
        <v>100</v>
      </c>
      <c r="H248">
        <v>5</v>
      </c>
      <c r="I248">
        <v>500</v>
      </c>
      <c r="J248">
        <v>5.93</v>
      </c>
      <c r="K248" s="2">
        <v>45129</v>
      </c>
      <c r="L248" t="str">
        <f>IF(ISBLANK('[1]2.Diagnostic Analysis'!K248),"Unknown",'[1]2.Diagnostic Analysis'!K248)</f>
        <v>In Transit</v>
      </c>
    </row>
    <row r="249" spans="1:12" x14ac:dyDescent="0.25">
      <c r="A249" t="s">
        <v>194</v>
      </c>
      <c r="B249" t="s">
        <v>13</v>
      </c>
      <c r="C249" t="str">
        <f>IF(ISBLANK('[1]2.Diagnostic Analysis'!C249),"Unknown",'[1]2.Diagnostic Analysis'!C249)</f>
        <v>West</v>
      </c>
      <c r="D249" t="s">
        <v>25</v>
      </c>
      <c r="E249" t="s">
        <v>26</v>
      </c>
      <c r="F249">
        <f>IF(ISBLANK('[1]2.Diagnostic Analysis'!D249),'[1]2.Diagnostic Analysis'!$Q$3,'[1]2.Diagnostic Analysis'!D249)</f>
        <v>53</v>
      </c>
      <c r="G249">
        <v>200</v>
      </c>
      <c r="H249">
        <v>5</v>
      </c>
      <c r="I249">
        <v>1000</v>
      </c>
      <c r="J249">
        <v>19.43</v>
      </c>
      <c r="K249" s="2">
        <v>45102</v>
      </c>
      <c r="L249" t="str">
        <f>IF(ISBLANK('[1]2.Diagnostic Analysis'!K249),"Unknown",'[1]2.Diagnostic Analysis'!K249)</f>
        <v>Returned</v>
      </c>
    </row>
    <row r="250" spans="1:12" x14ac:dyDescent="0.25">
      <c r="A250" t="s">
        <v>59</v>
      </c>
      <c r="B250" t="s">
        <v>13</v>
      </c>
      <c r="C250" t="str">
        <f>IF(ISBLANK('[1]2.Diagnostic Analysis'!C250),"Unknown",'[1]2.Diagnostic Analysis'!C250)</f>
        <v>East</v>
      </c>
      <c r="D250" t="s">
        <v>40</v>
      </c>
      <c r="E250" t="s">
        <v>15</v>
      </c>
      <c r="F250">
        <f>IF(ISBLANK('[1]2.Diagnostic Analysis'!D250),'[1]2.Diagnostic Analysis'!$Q$3,'[1]2.Diagnostic Analysis'!D250)</f>
        <v>68</v>
      </c>
      <c r="G250">
        <v>800</v>
      </c>
      <c r="H250">
        <v>3</v>
      </c>
      <c r="I250">
        <v>2400</v>
      </c>
      <c r="J250">
        <v>8.23</v>
      </c>
      <c r="K250" s="2">
        <v>45259</v>
      </c>
      <c r="L250" t="str">
        <f>IF(ISBLANK('[1]2.Diagnostic Analysis'!K250),"Unknown",'[1]2.Diagnostic Analysis'!K250)</f>
        <v>Returned</v>
      </c>
    </row>
    <row r="251" spans="1:12" x14ac:dyDescent="0.25">
      <c r="A251" t="s">
        <v>195</v>
      </c>
      <c r="B251" t="s">
        <v>13</v>
      </c>
      <c r="C251" t="str">
        <f>IF(ISBLANK('[1]2.Diagnostic Analysis'!C251),"Unknown",'[1]2.Diagnostic Analysis'!C251)</f>
        <v>West</v>
      </c>
      <c r="D251" t="s">
        <v>40</v>
      </c>
      <c r="E251" t="s">
        <v>15</v>
      </c>
      <c r="F251">
        <f>IF(ISBLANK('[1]2.Diagnostic Analysis'!D251),'[1]2.Diagnostic Analysis'!$Q$3,'[1]2.Diagnostic Analysis'!D251)</f>
        <v>51</v>
      </c>
      <c r="G251">
        <v>800</v>
      </c>
      <c r="H251">
        <v>1</v>
      </c>
      <c r="I251">
        <v>800</v>
      </c>
      <c r="J251">
        <v>18.579999999999998</v>
      </c>
      <c r="K251" s="2">
        <v>45202</v>
      </c>
      <c r="L251" t="str">
        <f>IF(ISBLANK('[1]2.Diagnostic Analysis'!K251),"Unknown",'[1]2.Diagnostic Analysis'!K251)</f>
        <v>Returned</v>
      </c>
    </row>
    <row r="252" spans="1:12" x14ac:dyDescent="0.25">
      <c r="A252" t="s">
        <v>196</v>
      </c>
      <c r="B252" t="s">
        <v>20</v>
      </c>
      <c r="C252" t="str">
        <f>IF(ISBLANK('[1]2.Diagnostic Analysis'!C252),"Unknown",'[1]2.Diagnostic Analysis'!C252)</f>
        <v>South</v>
      </c>
      <c r="D252" t="s">
        <v>23</v>
      </c>
      <c r="E252" t="s">
        <v>15</v>
      </c>
      <c r="F252">
        <f>IF(ISBLANK('[1]2.Diagnostic Analysis'!D252),'[1]2.Diagnostic Analysis'!$Q$3,'[1]2.Diagnostic Analysis'!D252)</f>
        <v>66</v>
      </c>
      <c r="G252">
        <v>1500</v>
      </c>
      <c r="H252">
        <v>1</v>
      </c>
      <c r="I252">
        <v>1500</v>
      </c>
      <c r="J252">
        <v>13.16</v>
      </c>
      <c r="K252" s="2">
        <v>44963</v>
      </c>
      <c r="L252" t="str">
        <f>IF(ISBLANK('[1]2.Diagnostic Analysis'!K252),"Unknown",'[1]2.Diagnostic Analysis'!K252)</f>
        <v>In Transit</v>
      </c>
    </row>
    <row r="253" spans="1:12" x14ac:dyDescent="0.25">
      <c r="A253" t="s">
        <v>54</v>
      </c>
      <c r="B253" t="s">
        <v>13</v>
      </c>
      <c r="C253" t="str">
        <f>IF(ISBLANK('[1]2.Diagnostic Analysis'!C253),"Unknown",'[1]2.Diagnostic Analysis'!C253)</f>
        <v>South</v>
      </c>
      <c r="D253" t="s">
        <v>14</v>
      </c>
      <c r="E253" t="s">
        <v>15</v>
      </c>
      <c r="F253">
        <f>IF(ISBLANK('[1]2.Diagnostic Analysis'!D253),'[1]2.Diagnostic Analysis'!$Q$3,'[1]2.Diagnostic Analysis'!D253)</f>
        <v>53</v>
      </c>
      <c r="G253">
        <v>300</v>
      </c>
      <c r="H253">
        <v>2</v>
      </c>
      <c r="I253">
        <v>600</v>
      </c>
      <c r="J253">
        <v>8.51</v>
      </c>
      <c r="K253" s="2">
        <v>45063</v>
      </c>
      <c r="L253" t="str">
        <f>IF(ISBLANK('[1]2.Diagnostic Analysis'!K253),"Unknown",'[1]2.Diagnostic Analysis'!K253)</f>
        <v>Returned</v>
      </c>
    </row>
    <row r="254" spans="1:12" x14ac:dyDescent="0.25">
      <c r="A254" t="s">
        <v>197</v>
      </c>
      <c r="B254" t="s">
        <v>20</v>
      </c>
      <c r="C254" t="str">
        <f>IF(ISBLANK('[1]2.Diagnostic Analysis'!C254),"Unknown",'[1]2.Diagnostic Analysis'!C254)</f>
        <v>North</v>
      </c>
      <c r="D254" t="s">
        <v>25</v>
      </c>
      <c r="E254" t="s">
        <v>26</v>
      </c>
      <c r="F254">
        <f>IF(ISBLANK('[1]2.Diagnostic Analysis'!D254),'[1]2.Diagnostic Analysis'!$Q$3,'[1]2.Diagnostic Analysis'!D254)</f>
        <v>45</v>
      </c>
      <c r="G254">
        <v>200</v>
      </c>
      <c r="H254">
        <v>2</v>
      </c>
      <c r="I254">
        <v>400</v>
      </c>
      <c r="J254">
        <v>10.82</v>
      </c>
      <c r="K254" s="2">
        <v>45192</v>
      </c>
      <c r="L254" t="str">
        <f>IF(ISBLANK('[1]2.Diagnostic Analysis'!K254),"Unknown",'[1]2.Diagnostic Analysis'!K254)</f>
        <v>Returned</v>
      </c>
    </row>
    <row r="255" spans="1:12" x14ac:dyDescent="0.25">
      <c r="A255" t="s">
        <v>32</v>
      </c>
      <c r="B255" t="s">
        <v>20</v>
      </c>
      <c r="C255" t="str">
        <f>IF(ISBLANK('[1]2.Diagnostic Analysis'!C255),"Unknown",'[1]2.Diagnostic Analysis'!C255)</f>
        <v>South</v>
      </c>
      <c r="D255" t="s">
        <v>23</v>
      </c>
      <c r="E255" t="s">
        <v>15</v>
      </c>
      <c r="F255">
        <f>IF(ISBLANK('[1]2.Diagnostic Analysis'!D255),'[1]2.Diagnostic Analysis'!$Q$3,'[1]2.Diagnostic Analysis'!D255)</f>
        <v>49</v>
      </c>
      <c r="G255">
        <v>1500</v>
      </c>
      <c r="H255">
        <v>3</v>
      </c>
      <c r="I255">
        <v>4500</v>
      </c>
      <c r="J255">
        <v>17.62</v>
      </c>
      <c r="K255" s="2">
        <v>45285</v>
      </c>
      <c r="L255" t="str">
        <f>IF(ISBLANK('[1]2.Diagnostic Analysis'!K255),"Unknown",'[1]2.Diagnostic Analysis'!K255)</f>
        <v>Returned</v>
      </c>
    </row>
    <row r="256" spans="1:12" x14ac:dyDescent="0.25">
      <c r="A256" t="s">
        <v>189</v>
      </c>
      <c r="B256" t="s">
        <v>20</v>
      </c>
      <c r="C256" t="str">
        <f>IF(ISBLANK('[1]2.Diagnostic Analysis'!C256),"Unknown",'[1]2.Diagnostic Analysis'!C256)</f>
        <v>West</v>
      </c>
      <c r="D256" t="s">
        <v>30</v>
      </c>
      <c r="E256" t="s">
        <v>18</v>
      </c>
      <c r="F256">
        <f>IF(ISBLANK('[1]2.Diagnostic Analysis'!D256),'[1]2.Diagnostic Analysis'!$Q$3,'[1]2.Diagnostic Analysis'!D256)</f>
        <v>69</v>
      </c>
      <c r="G256">
        <v>30</v>
      </c>
      <c r="H256">
        <v>5</v>
      </c>
      <c r="I256">
        <v>150</v>
      </c>
      <c r="J256">
        <v>9.07</v>
      </c>
      <c r="K256" s="2">
        <v>44976</v>
      </c>
      <c r="L256" t="str">
        <f>IF(ISBLANK('[1]2.Diagnostic Analysis'!K256),"Unknown",'[1]2.Diagnostic Analysis'!K256)</f>
        <v>Delivered</v>
      </c>
    </row>
    <row r="257" spans="1:12" x14ac:dyDescent="0.25">
      <c r="A257" t="s">
        <v>197</v>
      </c>
      <c r="B257" t="s">
        <v>13</v>
      </c>
      <c r="C257" t="str">
        <f>IF(ISBLANK('[1]2.Diagnostic Analysis'!C257),"Unknown",'[1]2.Diagnostic Analysis'!C257)</f>
        <v>East</v>
      </c>
      <c r="D257" t="s">
        <v>29</v>
      </c>
      <c r="E257" t="s">
        <v>18</v>
      </c>
      <c r="F257">
        <f>IF(ISBLANK('[1]2.Diagnostic Analysis'!D257),'[1]2.Diagnostic Analysis'!$Q$3,'[1]2.Diagnostic Analysis'!D257)</f>
        <v>45</v>
      </c>
      <c r="G257">
        <v>50</v>
      </c>
      <c r="H257">
        <v>1</v>
      </c>
      <c r="I257">
        <v>50</v>
      </c>
      <c r="J257">
        <v>11.27</v>
      </c>
      <c r="K257" s="2">
        <v>45182</v>
      </c>
      <c r="L257" t="str">
        <f>IF(ISBLANK('[1]2.Diagnostic Analysis'!K257),"Unknown",'[1]2.Diagnostic Analysis'!K257)</f>
        <v>Returned</v>
      </c>
    </row>
    <row r="258" spans="1:12" x14ac:dyDescent="0.25">
      <c r="A258" t="s">
        <v>159</v>
      </c>
      <c r="B258" t="s">
        <v>13</v>
      </c>
      <c r="C258" t="str">
        <f>IF(ISBLANK('[1]2.Diagnostic Analysis'!C258),"Unknown",'[1]2.Diagnostic Analysis'!C258)</f>
        <v>South</v>
      </c>
      <c r="D258" t="s">
        <v>14</v>
      </c>
      <c r="E258" t="s">
        <v>15</v>
      </c>
      <c r="F258">
        <f>IF(ISBLANK('[1]2.Diagnostic Analysis'!D258),'[1]2.Diagnostic Analysis'!$Q$3,'[1]2.Diagnostic Analysis'!D258)</f>
        <v>26</v>
      </c>
      <c r="G258">
        <v>300</v>
      </c>
      <c r="H258">
        <v>4</v>
      </c>
      <c r="I258">
        <v>1200</v>
      </c>
      <c r="J258">
        <v>6.9</v>
      </c>
      <c r="K258" s="2">
        <v>45235</v>
      </c>
      <c r="L258" t="str">
        <f>IF(ISBLANK('[1]2.Diagnostic Analysis'!K258),"Unknown",'[1]2.Diagnostic Analysis'!K258)</f>
        <v>Returned</v>
      </c>
    </row>
    <row r="259" spans="1:12" x14ac:dyDescent="0.25">
      <c r="A259" t="s">
        <v>180</v>
      </c>
      <c r="B259" t="s">
        <v>13</v>
      </c>
      <c r="C259" t="str">
        <f>IF(ISBLANK('[1]2.Diagnostic Analysis'!C259),"Unknown",'[1]2.Diagnostic Analysis'!C259)</f>
        <v>South</v>
      </c>
      <c r="D259" t="s">
        <v>14</v>
      </c>
      <c r="E259" t="s">
        <v>15</v>
      </c>
      <c r="F259">
        <f>IF(ISBLANK('[1]2.Diagnostic Analysis'!D259),'[1]2.Diagnostic Analysis'!$Q$3,'[1]2.Diagnostic Analysis'!D259)</f>
        <v>55</v>
      </c>
      <c r="G259">
        <v>300</v>
      </c>
      <c r="H259">
        <v>3</v>
      </c>
      <c r="I259">
        <v>900</v>
      </c>
      <c r="J259">
        <v>7.31</v>
      </c>
      <c r="K259" s="2">
        <v>44941</v>
      </c>
      <c r="L259" t="str">
        <f>IF(ISBLANK('[1]2.Diagnostic Analysis'!K259),"Unknown",'[1]2.Diagnostic Analysis'!K259)</f>
        <v>In Transit</v>
      </c>
    </row>
    <row r="260" spans="1:12" x14ac:dyDescent="0.25">
      <c r="A260" t="s">
        <v>95</v>
      </c>
      <c r="B260" t="s">
        <v>20</v>
      </c>
      <c r="C260" t="str">
        <f>IF(ISBLANK('[1]2.Diagnostic Analysis'!C260),"Unknown",'[1]2.Diagnostic Analysis'!C260)</f>
        <v>Unknown</v>
      </c>
      <c r="D260" t="s">
        <v>30</v>
      </c>
      <c r="E260" t="s">
        <v>18</v>
      </c>
      <c r="F260">
        <f>IF(ISBLANK('[1]2.Diagnostic Analysis'!D260),'[1]2.Diagnostic Analysis'!$Q$3,'[1]2.Diagnostic Analysis'!D260)</f>
        <v>33</v>
      </c>
      <c r="G260">
        <v>30</v>
      </c>
      <c r="H260">
        <v>1</v>
      </c>
      <c r="I260">
        <v>30</v>
      </c>
      <c r="J260">
        <v>15.29</v>
      </c>
      <c r="K260" s="2">
        <v>44984</v>
      </c>
      <c r="L260" t="str">
        <f>IF(ISBLANK('[1]2.Diagnostic Analysis'!K260),"Unknown",'[1]2.Diagnostic Analysis'!K260)</f>
        <v>Delivered</v>
      </c>
    </row>
    <row r="261" spans="1:12" x14ac:dyDescent="0.25">
      <c r="A261" t="s">
        <v>174</v>
      </c>
      <c r="B261" t="s">
        <v>13</v>
      </c>
      <c r="C261" t="str">
        <f>IF(ISBLANK('[1]2.Diagnostic Analysis'!C261),"Unknown",'[1]2.Diagnostic Analysis'!C261)</f>
        <v>East</v>
      </c>
      <c r="D261" t="s">
        <v>23</v>
      </c>
      <c r="E261" t="s">
        <v>15</v>
      </c>
      <c r="F261">
        <f>IF(ISBLANK('[1]2.Diagnostic Analysis'!D261),'[1]2.Diagnostic Analysis'!$Q$3,'[1]2.Diagnostic Analysis'!D261)</f>
        <v>54</v>
      </c>
      <c r="G261">
        <v>1500</v>
      </c>
      <c r="H261">
        <v>2</v>
      </c>
      <c r="I261">
        <v>3000</v>
      </c>
      <c r="J261">
        <v>12.68</v>
      </c>
      <c r="K261" s="2">
        <v>45057</v>
      </c>
      <c r="L261" t="str">
        <f>IF(ISBLANK('[1]2.Diagnostic Analysis'!K261),"Unknown",'[1]2.Diagnostic Analysis'!K261)</f>
        <v>Delivered</v>
      </c>
    </row>
    <row r="262" spans="1:12" x14ac:dyDescent="0.25">
      <c r="A262" t="s">
        <v>179</v>
      </c>
      <c r="B262" t="s">
        <v>20</v>
      </c>
      <c r="C262" t="str">
        <f>IF(ISBLANK('[1]2.Diagnostic Analysis'!C262),"Unknown",'[1]2.Diagnostic Analysis'!C262)</f>
        <v>South</v>
      </c>
      <c r="D262" t="s">
        <v>30</v>
      </c>
      <c r="E262" t="s">
        <v>18</v>
      </c>
      <c r="F262">
        <f>IF(ISBLANK('[1]2.Diagnostic Analysis'!D262),'[1]2.Diagnostic Analysis'!$Q$3,'[1]2.Diagnostic Analysis'!D262)</f>
        <v>61</v>
      </c>
      <c r="G262">
        <v>30</v>
      </c>
      <c r="H262">
        <v>1</v>
      </c>
      <c r="I262">
        <v>30</v>
      </c>
      <c r="J262">
        <v>19.54</v>
      </c>
      <c r="K262" s="2">
        <v>45032</v>
      </c>
      <c r="L262" t="str">
        <f>IF(ISBLANK('[1]2.Diagnostic Analysis'!K262),"Unknown",'[1]2.Diagnostic Analysis'!K262)</f>
        <v>In Transit</v>
      </c>
    </row>
    <row r="263" spans="1:12" x14ac:dyDescent="0.25">
      <c r="A263" t="s">
        <v>134</v>
      </c>
      <c r="B263" t="s">
        <v>13</v>
      </c>
      <c r="C263" t="str">
        <f>IF(ISBLANK('[1]2.Diagnostic Analysis'!C263),"Unknown",'[1]2.Diagnostic Analysis'!C263)</f>
        <v>East</v>
      </c>
      <c r="D263" t="s">
        <v>40</v>
      </c>
      <c r="E263" t="s">
        <v>15</v>
      </c>
      <c r="F263">
        <f>IF(ISBLANK('[1]2.Diagnostic Analysis'!D263),'[1]2.Diagnostic Analysis'!$Q$3,'[1]2.Diagnostic Analysis'!D263)</f>
        <v>46</v>
      </c>
      <c r="G263">
        <v>800</v>
      </c>
      <c r="H263">
        <v>4</v>
      </c>
      <c r="I263">
        <v>3200</v>
      </c>
      <c r="J263">
        <v>17.82</v>
      </c>
      <c r="K263" s="2">
        <v>45002</v>
      </c>
      <c r="L263" t="str">
        <f>IF(ISBLANK('[1]2.Diagnostic Analysis'!K263),"Unknown",'[1]2.Diagnostic Analysis'!K263)</f>
        <v>Unknown</v>
      </c>
    </row>
    <row r="264" spans="1:12" x14ac:dyDescent="0.25">
      <c r="A264" t="s">
        <v>198</v>
      </c>
      <c r="B264" t="s">
        <v>20</v>
      </c>
      <c r="C264" t="str">
        <f>IF(ISBLANK('[1]2.Diagnostic Analysis'!C264),"Unknown",'[1]2.Diagnostic Analysis'!C264)</f>
        <v>North</v>
      </c>
      <c r="D264" t="s">
        <v>30</v>
      </c>
      <c r="E264" t="s">
        <v>18</v>
      </c>
      <c r="F264">
        <f>IF(ISBLANK('[1]2.Diagnostic Analysis'!D264),'[1]2.Diagnostic Analysis'!$Q$3,'[1]2.Diagnostic Analysis'!D264)</f>
        <v>46</v>
      </c>
      <c r="G264">
        <v>30</v>
      </c>
      <c r="H264">
        <v>4</v>
      </c>
      <c r="I264">
        <v>120</v>
      </c>
      <c r="J264">
        <v>10.01</v>
      </c>
      <c r="K264" s="2">
        <v>45027</v>
      </c>
      <c r="L264" t="str">
        <f>IF(ISBLANK('[1]2.Diagnostic Analysis'!K264),"Unknown",'[1]2.Diagnostic Analysis'!K264)</f>
        <v>In Transit</v>
      </c>
    </row>
    <row r="265" spans="1:12" x14ac:dyDescent="0.25">
      <c r="A265" t="s">
        <v>145</v>
      </c>
      <c r="B265" t="s">
        <v>20</v>
      </c>
      <c r="C265" t="str">
        <f>IF(ISBLANK('[1]2.Diagnostic Analysis'!C265),"Unknown",'[1]2.Diagnostic Analysis'!C265)</f>
        <v>North</v>
      </c>
      <c r="D265" t="s">
        <v>29</v>
      </c>
      <c r="E265" t="s">
        <v>18</v>
      </c>
      <c r="F265">
        <f>IF(ISBLANK('[1]2.Diagnostic Analysis'!D265),'[1]2.Diagnostic Analysis'!$Q$3,'[1]2.Diagnostic Analysis'!D265)</f>
        <v>30</v>
      </c>
      <c r="G265">
        <v>50</v>
      </c>
      <c r="H265">
        <v>4</v>
      </c>
      <c r="I265">
        <v>200</v>
      </c>
      <c r="J265">
        <v>16.61</v>
      </c>
      <c r="K265" s="2">
        <v>45215</v>
      </c>
      <c r="L265" t="str">
        <f>IF(ISBLANK('[1]2.Diagnostic Analysis'!K265),"Unknown",'[1]2.Diagnostic Analysis'!K265)</f>
        <v>Returned</v>
      </c>
    </row>
    <row r="266" spans="1:12" x14ac:dyDescent="0.25">
      <c r="A266" t="s">
        <v>180</v>
      </c>
      <c r="B266" t="s">
        <v>13</v>
      </c>
      <c r="C266" t="str">
        <f>IF(ISBLANK('[1]2.Diagnostic Analysis'!C266),"Unknown",'[1]2.Diagnostic Analysis'!C266)</f>
        <v>South</v>
      </c>
      <c r="D266" t="s">
        <v>17</v>
      </c>
      <c r="E266" t="s">
        <v>18</v>
      </c>
      <c r="F266">
        <f>IF(ISBLANK('[1]2.Diagnostic Analysis'!D266),'[1]2.Diagnostic Analysis'!$Q$3,'[1]2.Diagnostic Analysis'!D266)</f>
        <v>55</v>
      </c>
      <c r="G266">
        <v>100</v>
      </c>
      <c r="H266">
        <v>4</v>
      </c>
      <c r="I266">
        <v>400</v>
      </c>
      <c r="J266">
        <v>18.989999999999998</v>
      </c>
      <c r="K266" s="2">
        <v>45215</v>
      </c>
      <c r="L266" t="str">
        <f>IF(ISBLANK('[1]2.Diagnostic Analysis'!K266),"Unknown",'[1]2.Diagnostic Analysis'!K266)</f>
        <v>In Transit</v>
      </c>
    </row>
    <row r="267" spans="1:12" x14ac:dyDescent="0.25">
      <c r="A267" t="s">
        <v>43</v>
      </c>
      <c r="B267" t="s">
        <v>20</v>
      </c>
      <c r="C267" t="str">
        <f>IF(ISBLANK('[1]2.Diagnostic Analysis'!C267),"Unknown",'[1]2.Diagnostic Analysis'!C267)</f>
        <v>East</v>
      </c>
      <c r="D267" t="s">
        <v>17</v>
      </c>
      <c r="E267" t="s">
        <v>18</v>
      </c>
      <c r="F267">
        <f>IF(ISBLANK('[1]2.Diagnostic Analysis'!D267),'[1]2.Diagnostic Analysis'!$Q$3,'[1]2.Diagnostic Analysis'!D267)</f>
        <v>37</v>
      </c>
      <c r="G267">
        <v>100</v>
      </c>
      <c r="H267">
        <v>4</v>
      </c>
      <c r="I267">
        <v>400</v>
      </c>
      <c r="J267">
        <v>11.4</v>
      </c>
      <c r="K267" s="2">
        <v>44979</v>
      </c>
      <c r="L267" t="str">
        <f>IF(ISBLANK('[1]2.Diagnostic Analysis'!K267),"Unknown",'[1]2.Diagnostic Analysis'!K267)</f>
        <v>Delivered</v>
      </c>
    </row>
    <row r="268" spans="1:12" x14ac:dyDescent="0.25">
      <c r="A268" t="s">
        <v>129</v>
      </c>
      <c r="B268" t="s">
        <v>20</v>
      </c>
      <c r="C268" t="str">
        <f>IF(ISBLANK('[1]2.Diagnostic Analysis'!C268),"Unknown",'[1]2.Diagnostic Analysis'!C268)</f>
        <v>East</v>
      </c>
      <c r="D268" t="s">
        <v>30</v>
      </c>
      <c r="E268" t="s">
        <v>18</v>
      </c>
      <c r="F268">
        <f>IF(ISBLANK('[1]2.Diagnostic Analysis'!D268),'[1]2.Diagnostic Analysis'!$Q$3,'[1]2.Diagnostic Analysis'!D268)</f>
        <v>62</v>
      </c>
      <c r="G268">
        <v>30</v>
      </c>
      <c r="H268">
        <v>2</v>
      </c>
      <c r="I268">
        <v>60</v>
      </c>
      <c r="J268">
        <v>8.36</v>
      </c>
      <c r="K268" s="2">
        <v>45124</v>
      </c>
      <c r="L268" t="str">
        <f>IF(ISBLANK('[1]2.Diagnostic Analysis'!K268),"Unknown",'[1]2.Diagnostic Analysis'!K268)</f>
        <v>Delivered</v>
      </c>
    </row>
    <row r="269" spans="1:12" x14ac:dyDescent="0.25">
      <c r="A269" t="s">
        <v>199</v>
      </c>
      <c r="B269" t="s">
        <v>20</v>
      </c>
      <c r="C269" t="str">
        <f>IF(ISBLANK('[1]2.Diagnostic Analysis'!C269),"Unknown",'[1]2.Diagnostic Analysis'!C269)</f>
        <v>East</v>
      </c>
      <c r="D269" t="s">
        <v>30</v>
      </c>
      <c r="E269" t="s">
        <v>18</v>
      </c>
      <c r="F269">
        <f>IF(ISBLANK('[1]2.Diagnostic Analysis'!D269),'[1]2.Diagnostic Analysis'!$Q$3,'[1]2.Diagnostic Analysis'!D269)</f>
        <v>49</v>
      </c>
      <c r="G269">
        <v>30</v>
      </c>
      <c r="H269">
        <v>5</v>
      </c>
      <c r="I269">
        <v>150</v>
      </c>
      <c r="J269">
        <v>10.029999999999999</v>
      </c>
      <c r="K269" s="2">
        <v>45107</v>
      </c>
      <c r="L269" t="str">
        <f>IF(ISBLANK('[1]2.Diagnostic Analysis'!K269),"Unknown",'[1]2.Diagnostic Analysis'!K269)</f>
        <v>Delivered</v>
      </c>
    </row>
    <row r="270" spans="1:12" x14ac:dyDescent="0.25">
      <c r="A270" t="s">
        <v>93</v>
      </c>
      <c r="B270" t="s">
        <v>13</v>
      </c>
      <c r="C270" t="str">
        <f>IF(ISBLANK('[1]2.Diagnostic Analysis'!C270),"Unknown",'[1]2.Diagnostic Analysis'!C270)</f>
        <v>North</v>
      </c>
      <c r="D270" t="s">
        <v>17</v>
      </c>
      <c r="E270" t="s">
        <v>18</v>
      </c>
      <c r="F270">
        <f>IF(ISBLANK('[1]2.Diagnostic Analysis'!D270),'[1]2.Diagnostic Analysis'!$Q$3,'[1]2.Diagnostic Analysis'!D270)</f>
        <v>47</v>
      </c>
      <c r="G270">
        <v>100</v>
      </c>
      <c r="H270">
        <v>3</v>
      </c>
      <c r="I270">
        <v>300</v>
      </c>
      <c r="J270">
        <v>15</v>
      </c>
      <c r="K270" s="2">
        <v>45116</v>
      </c>
      <c r="L270" t="str">
        <f>IF(ISBLANK('[1]2.Diagnostic Analysis'!K270),"Unknown",'[1]2.Diagnostic Analysis'!K270)</f>
        <v>Delivered</v>
      </c>
    </row>
    <row r="271" spans="1:12" x14ac:dyDescent="0.25">
      <c r="A271" t="s">
        <v>27</v>
      </c>
      <c r="B271" t="s">
        <v>13</v>
      </c>
      <c r="C271" t="str">
        <f>IF(ISBLANK('[1]2.Diagnostic Analysis'!C271),"Unknown",'[1]2.Diagnostic Analysis'!C271)</f>
        <v>West</v>
      </c>
      <c r="D271" t="s">
        <v>30</v>
      </c>
      <c r="E271" t="s">
        <v>18</v>
      </c>
      <c r="F271">
        <f>IF(ISBLANK('[1]2.Diagnostic Analysis'!D271),'[1]2.Diagnostic Analysis'!$Q$3,'[1]2.Diagnostic Analysis'!D271)</f>
        <v>27</v>
      </c>
      <c r="G271">
        <v>30</v>
      </c>
      <c r="H271">
        <v>4</v>
      </c>
      <c r="I271">
        <v>120</v>
      </c>
      <c r="J271">
        <v>16.05</v>
      </c>
      <c r="K271" s="2">
        <v>45053</v>
      </c>
      <c r="L271" t="str">
        <f>IF(ISBLANK('[1]2.Diagnostic Analysis'!K271),"Unknown",'[1]2.Diagnostic Analysis'!K271)</f>
        <v>Returned</v>
      </c>
    </row>
    <row r="272" spans="1:12" x14ac:dyDescent="0.25">
      <c r="A272" t="s">
        <v>200</v>
      </c>
      <c r="B272" t="s">
        <v>20</v>
      </c>
      <c r="C272" t="str">
        <f>IF(ISBLANK('[1]2.Diagnostic Analysis'!C272),"Unknown",'[1]2.Diagnostic Analysis'!C272)</f>
        <v>East</v>
      </c>
      <c r="D272" t="s">
        <v>29</v>
      </c>
      <c r="E272" t="s">
        <v>18</v>
      </c>
      <c r="F272">
        <f>IF(ISBLANK('[1]2.Diagnostic Analysis'!D272),'[1]2.Diagnostic Analysis'!$Q$3,'[1]2.Diagnostic Analysis'!D272)</f>
        <v>44</v>
      </c>
      <c r="G272">
        <v>50</v>
      </c>
      <c r="H272">
        <v>4</v>
      </c>
      <c r="I272">
        <v>200</v>
      </c>
      <c r="J272">
        <v>12.3</v>
      </c>
      <c r="K272" s="2">
        <v>45007</v>
      </c>
      <c r="L272" t="str">
        <f>IF(ISBLANK('[1]2.Diagnostic Analysis'!K272),"Unknown",'[1]2.Diagnostic Analysis'!K272)</f>
        <v>In Transit</v>
      </c>
    </row>
    <row r="273" spans="1:12" x14ac:dyDescent="0.25">
      <c r="A273" t="s">
        <v>201</v>
      </c>
      <c r="B273" t="s">
        <v>13</v>
      </c>
      <c r="C273" t="str">
        <f>IF(ISBLANK('[1]2.Diagnostic Analysis'!C273),"Unknown",'[1]2.Diagnostic Analysis'!C273)</f>
        <v>North</v>
      </c>
      <c r="D273" t="s">
        <v>25</v>
      </c>
      <c r="E273" t="s">
        <v>26</v>
      </c>
      <c r="F273">
        <f>IF(ISBLANK('[1]2.Diagnostic Analysis'!D273),'[1]2.Diagnostic Analysis'!$Q$3,'[1]2.Diagnostic Analysis'!D273)</f>
        <v>36</v>
      </c>
      <c r="G273">
        <v>200</v>
      </c>
      <c r="H273">
        <v>2</v>
      </c>
      <c r="I273">
        <v>400</v>
      </c>
      <c r="J273">
        <v>12.03</v>
      </c>
      <c r="K273" s="2">
        <v>45166</v>
      </c>
      <c r="L273" t="str">
        <f>IF(ISBLANK('[1]2.Diagnostic Analysis'!K273),"Unknown",'[1]2.Diagnostic Analysis'!K273)</f>
        <v>Returned</v>
      </c>
    </row>
    <row r="274" spans="1:12" x14ac:dyDescent="0.25">
      <c r="A274" t="s">
        <v>202</v>
      </c>
      <c r="B274" t="s">
        <v>20</v>
      </c>
      <c r="C274" t="str">
        <f>IF(ISBLANK('[1]2.Diagnostic Analysis'!C274),"Unknown",'[1]2.Diagnostic Analysis'!C274)</f>
        <v>East</v>
      </c>
      <c r="D274" t="s">
        <v>30</v>
      </c>
      <c r="E274" t="s">
        <v>18</v>
      </c>
      <c r="F274">
        <f>IF(ISBLANK('[1]2.Diagnostic Analysis'!D274),'[1]2.Diagnostic Analysis'!$Q$3,'[1]2.Diagnostic Analysis'!D274)</f>
        <v>49</v>
      </c>
      <c r="G274">
        <v>30</v>
      </c>
      <c r="H274">
        <v>3</v>
      </c>
      <c r="I274">
        <v>90</v>
      </c>
      <c r="J274">
        <v>11.56</v>
      </c>
      <c r="K274" s="2">
        <v>44943</v>
      </c>
      <c r="L274" t="str">
        <f>IF(ISBLANK('[1]2.Diagnostic Analysis'!K274),"Unknown",'[1]2.Diagnostic Analysis'!K274)</f>
        <v>In Transit</v>
      </c>
    </row>
    <row r="275" spans="1:12" x14ac:dyDescent="0.25">
      <c r="A275" t="s">
        <v>150</v>
      </c>
      <c r="B275" t="s">
        <v>20</v>
      </c>
      <c r="C275" t="str">
        <f>IF(ISBLANK('[1]2.Diagnostic Analysis'!C275),"Unknown",'[1]2.Diagnostic Analysis'!C275)</f>
        <v>North</v>
      </c>
      <c r="D275" t="s">
        <v>23</v>
      </c>
      <c r="E275" t="s">
        <v>15</v>
      </c>
      <c r="F275">
        <f>IF(ISBLANK('[1]2.Diagnostic Analysis'!D275),'[1]2.Diagnostic Analysis'!$Q$3,'[1]2.Diagnostic Analysis'!D275)</f>
        <v>36</v>
      </c>
      <c r="G275">
        <v>1500</v>
      </c>
      <c r="H275">
        <v>4</v>
      </c>
      <c r="I275">
        <v>6000</v>
      </c>
      <c r="J275">
        <v>11.21</v>
      </c>
      <c r="K275" s="2">
        <v>45215</v>
      </c>
      <c r="L275" t="str">
        <f>IF(ISBLANK('[1]2.Diagnostic Analysis'!K275),"Unknown",'[1]2.Diagnostic Analysis'!K275)</f>
        <v>Unknown</v>
      </c>
    </row>
    <row r="276" spans="1:12" x14ac:dyDescent="0.25">
      <c r="A276" t="s">
        <v>203</v>
      </c>
      <c r="B276" t="s">
        <v>13</v>
      </c>
      <c r="C276" t="str">
        <f>IF(ISBLANK('[1]2.Diagnostic Analysis'!C276),"Unknown",'[1]2.Diagnostic Analysis'!C276)</f>
        <v>South</v>
      </c>
      <c r="D276" t="s">
        <v>40</v>
      </c>
      <c r="E276" t="s">
        <v>15</v>
      </c>
      <c r="F276">
        <f>IF(ISBLANK('[1]2.Diagnostic Analysis'!D276),'[1]2.Diagnostic Analysis'!$Q$3,'[1]2.Diagnostic Analysis'!D276)</f>
        <v>61</v>
      </c>
      <c r="G276">
        <v>800</v>
      </c>
      <c r="H276">
        <v>1</v>
      </c>
      <c r="I276">
        <v>800</v>
      </c>
      <c r="J276">
        <v>17.43</v>
      </c>
      <c r="K276" s="2">
        <v>44936</v>
      </c>
      <c r="L276" t="str">
        <f>IF(ISBLANK('[1]2.Diagnostic Analysis'!K276),"Unknown",'[1]2.Diagnostic Analysis'!K276)</f>
        <v>Delivered</v>
      </c>
    </row>
    <row r="277" spans="1:12" x14ac:dyDescent="0.25">
      <c r="A277" t="s">
        <v>204</v>
      </c>
      <c r="B277" t="s">
        <v>13</v>
      </c>
      <c r="C277" t="str">
        <f>IF(ISBLANK('[1]2.Diagnostic Analysis'!C277),"Unknown",'[1]2.Diagnostic Analysis'!C277)</f>
        <v>South</v>
      </c>
      <c r="D277" t="s">
        <v>40</v>
      </c>
      <c r="E277" t="s">
        <v>15</v>
      </c>
      <c r="F277">
        <f>IF(ISBLANK('[1]2.Diagnostic Analysis'!D277),'[1]2.Diagnostic Analysis'!$Q$3,'[1]2.Diagnostic Analysis'!D277)</f>
        <v>69</v>
      </c>
      <c r="G277">
        <v>800</v>
      </c>
      <c r="H277">
        <v>3</v>
      </c>
      <c r="I277">
        <v>2400</v>
      </c>
      <c r="J277">
        <v>13.57</v>
      </c>
      <c r="K277" s="2">
        <v>45010</v>
      </c>
      <c r="L277" t="str">
        <f>IF(ISBLANK('[1]2.Diagnostic Analysis'!K277),"Unknown",'[1]2.Diagnostic Analysis'!K277)</f>
        <v>Returned</v>
      </c>
    </row>
    <row r="278" spans="1:12" x14ac:dyDescent="0.25">
      <c r="A278" t="s">
        <v>205</v>
      </c>
      <c r="B278" t="s">
        <v>20</v>
      </c>
      <c r="C278" t="str">
        <f>IF(ISBLANK('[1]2.Diagnostic Analysis'!C278),"Unknown",'[1]2.Diagnostic Analysis'!C278)</f>
        <v>East</v>
      </c>
      <c r="D278" t="s">
        <v>25</v>
      </c>
      <c r="E278" t="s">
        <v>26</v>
      </c>
      <c r="F278">
        <f>IF(ISBLANK('[1]2.Diagnostic Analysis'!D278),'[1]2.Diagnostic Analysis'!$Q$3,'[1]2.Diagnostic Analysis'!D278)</f>
        <v>52</v>
      </c>
      <c r="G278">
        <v>200</v>
      </c>
      <c r="H278">
        <v>3</v>
      </c>
      <c r="I278">
        <v>600</v>
      </c>
      <c r="J278">
        <v>10.210000000000001</v>
      </c>
      <c r="K278" s="2">
        <v>44955</v>
      </c>
      <c r="L278" t="str">
        <f>IF(ISBLANK('[1]2.Diagnostic Analysis'!K278),"Unknown",'[1]2.Diagnostic Analysis'!K278)</f>
        <v>In Transit</v>
      </c>
    </row>
    <row r="279" spans="1:12" x14ac:dyDescent="0.25">
      <c r="A279" t="s">
        <v>173</v>
      </c>
      <c r="B279" t="s">
        <v>20</v>
      </c>
      <c r="C279" t="str">
        <f>IF(ISBLANK('[1]2.Diagnostic Analysis'!C279),"Unknown",'[1]2.Diagnostic Analysis'!C279)</f>
        <v>South</v>
      </c>
      <c r="D279" t="s">
        <v>40</v>
      </c>
      <c r="E279" t="s">
        <v>15</v>
      </c>
      <c r="F279">
        <f>IF(ISBLANK('[1]2.Diagnostic Analysis'!D279),'[1]2.Diagnostic Analysis'!$Q$3,'[1]2.Diagnostic Analysis'!D279)</f>
        <v>60</v>
      </c>
      <c r="G279">
        <v>800</v>
      </c>
      <c r="H279">
        <v>5</v>
      </c>
      <c r="I279">
        <v>4000</v>
      </c>
      <c r="J279">
        <v>18.75</v>
      </c>
      <c r="K279" s="2">
        <v>44945</v>
      </c>
      <c r="L279" t="str">
        <f>IF(ISBLANK('[1]2.Diagnostic Analysis'!K279),"Unknown",'[1]2.Diagnostic Analysis'!K279)</f>
        <v>Delivered</v>
      </c>
    </row>
    <row r="280" spans="1:12" x14ac:dyDescent="0.25">
      <c r="A280" t="s">
        <v>206</v>
      </c>
      <c r="B280" t="s">
        <v>13</v>
      </c>
      <c r="C280" t="str">
        <f>IF(ISBLANK('[1]2.Diagnostic Analysis'!C280),"Unknown",'[1]2.Diagnostic Analysis'!C280)</f>
        <v>West</v>
      </c>
      <c r="D280" t="s">
        <v>14</v>
      </c>
      <c r="E280" t="s">
        <v>15</v>
      </c>
      <c r="F280">
        <f>IF(ISBLANK('[1]2.Diagnostic Analysis'!D280),'[1]2.Diagnostic Analysis'!$Q$3,'[1]2.Diagnostic Analysis'!D280)</f>
        <v>45</v>
      </c>
      <c r="G280">
        <v>300</v>
      </c>
      <c r="H280">
        <v>1</v>
      </c>
      <c r="I280">
        <v>300</v>
      </c>
      <c r="J280">
        <v>16.7</v>
      </c>
      <c r="K280" s="2">
        <v>45185</v>
      </c>
      <c r="L280" t="str">
        <f>IF(ISBLANK('[1]2.Diagnostic Analysis'!K280),"Unknown",'[1]2.Diagnostic Analysis'!K280)</f>
        <v>Delivered</v>
      </c>
    </row>
    <row r="281" spans="1:12" x14ac:dyDescent="0.25">
      <c r="A281" t="s">
        <v>193</v>
      </c>
      <c r="B281" t="s">
        <v>13</v>
      </c>
      <c r="C281" t="str">
        <f>IF(ISBLANK('[1]2.Diagnostic Analysis'!C281),"Unknown",'[1]2.Diagnostic Analysis'!C281)</f>
        <v>West</v>
      </c>
      <c r="D281" t="s">
        <v>14</v>
      </c>
      <c r="E281" t="s">
        <v>15</v>
      </c>
      <c r="F281">
        <f>IF(ISBLANK('[1]2.Diagnostic Analysis'!D281),'[1]2.Diagnostic Analysis'!$Q$3,'[1]2.Diagnostic Analysis'!D281)</f>
        <v>52</v>
      </c>
      <c r="G281">
        <v>300</v>
      </c>
      <c r="H281">
        <v>1</v>
      </c>
      <c r="I281">
        <v>300</v>
      </c>
      <c r="J281">
        <v>14.67</v>
      </c>
      <c r="K281" s="2">
        <v>45128</v>
      </c>
      <c r="L281" t="str">
        <f>IF(ISBLANK('[1]2.Diagnostic Analysis'!K281),"Unknown",'[1]2.Diagnostic Analysis'!K281)</f>
        <v>Delivered</v>
      </c>
    </row>
    <row r="282" spans="1:12" x14ac:dyDescent="0.25">
      <c r="A282" t="s">
        <v>207</v>
      </c>
      <c r="B282" t="s">
        <v>20</v>
      </c>
      <c r="C282" t="str">
        <f>IF(ISBLANK('[1]2.Diagnostic Analysis'!C282),"Unknown",'[1]2.Diagnostic Analysis'!C282)</f>
        <v>South</v>
      </c>
      <c r="D282" t="s">
        <v>14</v>
      </c>
      <c r="E282" t="s">
        <v>15</v>
      </c>
      <c r="F282">
        <f>IF(ISBLANK('[1]2.Diagnostic Analysis'!D282),'[1]2.Diagnostic Analysis'!$Q$3,'[1]2.Diagnostic Analysis'!D282)</f>
        <v>63</v>
      </c>
      <c r="G282">
        <v>300</v>
      </c>
      <c r="H282">
        <v>5</v>
      </c>
      <c r="I282">
        <v>1500</v>
      </c>
      <c r="J282">
        <v>18</v>
      </c>
      <c r="K282" s="2">
        <v>45006</v>
      </c>
      <c r="L282" t="str">
        <f>IF(ISBLANK('[1]2.Diagnostic Analysis'!K282),"Unknown",'[1]2.Diagnostic Analysis'!K282)</f>
        <v>Returned</v>
      </c>
    </row>
    <row r="283" spans="1:12" x14ac:dyDescent="0.25">
      <c r="A283" t="s">
        <v>33</v>
      </c>
      <c r="B283" t="s">
        <v>20</v>
      </c>
      <c r="C283" t="str">
        <f>IF(ISBLANK('[1]2.Diagnostic Analysis'!C283),"Unknown",'[1]2.Diagnostic Analysis'!C283)</f>
        <v>South</v>
      </c>
      <c r="D283" t="s">
        <v>29</v>
      </c>
      <c r="E283" t="s">
        <v>18</v>
      </c>
      <c r="F283">
        <f>IF(ISBLANK('[1]2.Diagnostic Analysis'!D283),'[1]2.Diagnostic Analysis'!$Q$3,'[1]2.Diagnostic Analysis'!D283)</f>
        <v>67</v>
      </c>
      <c r="G283">
        <v>50</v>
      </c>
      <c r="H283">
        <v>5</v>
      </c>
      <c r="I283">
        <v>250</v>
      </c>
      <c r="J283">
        <v>10.039999999999999</v>
      </c>
      <c r="K283" s="2">
        <v>45049</v>
      </c>
      <c r="L283" t="str">
        <f>IF(ISBLANK('[1]2.Diagnostic Analysis'!K283),"Unknown",'[1]2.Diagnostic Analysis'!K283)</f>
        <v>In Transit</v>
      </c>
    </row>
    <row r="284" spans="1:12" x14ac:dyDescent="0.25">
      <c r="A284" t="s">
        <v>208</v>
      </c>
      <c r="B284" t="s">
        <v>13</v>
      </c>
      <c r="C284" t="str">
        <f>IF(ISBLANK('[1]2.Diagnostic Analysis'!C284),"Unknown",'[1]2.Diagnostic Analysis'!C284)</f>
        <v>West</v>
      </c>
      <c r="D284" t="s">
        <v>29</v>
      </c>
      <c r="E284" t="s">
        <v>18</v>
      </c>
      <c r="F284">
        <f>IF(ISBLANK('[1]2.Diagnostic Analysis'!D284),'[1]2.Diagnostic Analysis'!$Q$3,'[1]2.Diagnostic Analysis'!D284)</f>
        <v>26</v>
      </c>
      <c r="G284">
        <v>50</v>
      </c>
      <c r="H284">
        <v>4</v>
      </c>
      <c r="I284">
        <v>200</v>
      </c>
      <c r="J284">
        <v>10.23</v>
      </c>
      <c r="K284" s="2">
        <v>44950</v>
      </c>
      <c r="L284" t="str">
        <f>IF(ISBLANK('[1]2.Diagnostic Analysis'!K284),"Unknown",'[1]2.Diagnostic Analysis'!K284)</f>
        <v>Delivered</v>
      </c>
    </row>
    <row r="285" spans="1:12" x14ac:dyDescent="0.25">
      <c r="A285" t="s">
        <v>209</v>
      </c>
      <c r="B285" t="s">
        <v>13</v>
      </c>
      <c r="C285" t="str">
        <f>IF(ISBLANK('[1]2.Diagnostic Analysis'!C285),"Unknown",'[1]2.Diagnostic Analysis'!C285)</f>
        <v>West</v>
      </c>
      <c r="D285" t="s">
        <v>25</v>
      </c>
      <c r="E285" t="s">
        <v>26</v>
      </c>
      <c r="F285">
        <f>IF(ISBLANK('[1]2.Diagnostic Analysis'!D285),'[1]2.Diagnostic Analysis'!$Q$3,'[1]2.Diagnostic Analysis'!D285)</f>
        <v>41</v>
      </c>
      <c r="G285">
        <v>200</v>
      </c>
      <c r="H285">
        <v>4</v>
      </c>
      <c r="I285">
        <v>800</v>
      </c>
      <c r="J285">
        <v>8.56</v>
      </c>
      <c r="K285" s="2">
        <v>45294</v>
      </c>
      <c r="L285" t="str">
        <f>IF(ISBLANK('[1]2.Diagnostic Analysis'!K285),"Unknown",'[1]2.Diagnostic Analysis'!K285)</f>
        <v>Returned</v>
      </c>
    </row>
    <row r="286" spans="1:12" x14ac:dyDescent="0.25">
      <c r="A286" t="s">
        <v>210</v>
      </c>
      <c r="B286" t="s">
        <v>20</v>
      </c>
      <c r="C286" t="str">
        <f>IF(ISBLANK('[1]2.Diagnostic Analysis'!C286),"Unknown",'[1]2.Diagnostic Analysis'!C286)</f>
        <v>South</v>
      </c>
      <c r="D286" t="s">
        <v>40</v>
      </c>
      <c r="E286" t="s">
        <v>15</v>
      </c>
      <c r="F286">
        <f>IF(ISBLANK('[1]2.Diagnostic Analysis'!D286),'[1]2.Diagnostic Analysis'!$Q$3,'[1]2.Diagnostic Analysis'!D286)</f>
        <v>49</v>
      </c>
      <c r="G286">
        <v>800</v>
      </c>
      <c r="H286">
        <v>5</v>
      </c>
      <c r="I286">
        <v>4000</v>
      </c>
      <c r="J286">
        <v>10.52</v>
      </c>
      <c r="K286" s="2">
        <v>45261</v>
      </c>
      <c r="L286" t="str">
        <f>IF(ISBLANK('[1]2.Diagnostic Analysis'!K286),"Unknown",'[1]2.Diagnostic Analysis'!K286)</f>
        <v>Delivered</v>
      </c>
    </row>
    <row r="287" spans="1:12" x14ac:dyDescent="0.25">
      <c r="A287" t="s">
        <v>175</v>
      </c>
      <c r="B287" t="s">
        <v>13</v>
      </c>
      <c r="C287" t="str">
        <f>IF(ISBLANK('[1]2.Diagnostic Analysis'!C287),"Unknown",'[1]2.Diagnostic Analysis'!C287)</f>
        <v>South</v>
      </c>
      <c r="D287" t="s">
        <v>14</v>
      </c>
      <c r="E287" t="s">
        <v>15</v>
      </c>
      <c r="F287">
        <f>IF(ISBLANK('[1]2.Diagnostic Analysis'!D287),'[1]2.Diagnostic Analysis'!$Q$3,'[1]2.Diagnostic Analysis'!D287)</f>
        <v>58</v>
      </c>
      <c r="G287">
        <v>300</v>
      </c>
      <c r="H287">
        <v>5</v>
      </c>
      <c r="I287">
        <v>1500</v>
      </c>
      <c r="J287">
        <v>19.72</v>
      </c>
      <c r="K287" s="2">
        <v>45062</v>
      </c>
      <c r="L287" t="str">
        <f>IF(ISBLANK('[1]2.Diagnostic Analysis'!K287),"Unknown",'[1]2.Diagnostic Analysis'!K287)</f>
        <v>Delivered</v>
      </c>
    </row>
    <row r="288" spans="1:12" x14ac:dyDescent="0.25">
      <c r="A288" t="s">
        <v>211</v>
      </c>
      <c r="B288" t="s">
        <v>13</v>
      </c>
      <c r="C288" t="str">
        <f>IF(ISBLANK('[1]2.Diagnostic Analysis'!C288),"Unknown",'[1]2.Diagnostic Analysis'!C288)</f>
        <v>South</v>
      </c>
      <c r="D288" t="s">
        <v>30</v>
      </c>
      <c r="E288" t="s">
        <v>18</v>
      </c>
      <c r="F288">
        <f>IF(ISBLANK('[1]2.Diagnostic Analysis'!D288),'[1]2.Diagnostic Analysis'!$Q$3,'[1]2.Diagnostic Analysis'!D288)</f>
        <v>66</v>
      </c>
      <c r="G288">
        <v>30</v>
      </c>
      <c r="H288">
        <v>2</v>
      </c>
      <c r="I288">
        <v>60</v>
      </c>
      <c r="J288">
        <v>9.19</v>
      </c>
      <c r="K288" s="2">
        <v>45053</v>
      </c>
      <c r="L288" t="str">
        <f>IF(ISBLANK('[1]2.Diagnostic Analysis'!K288),"Unknown",'[1]2.Diagnostic Analysis'!K288)</f>
        <v>In Transit</v>
      </c>
    </row>
    <row r="289" spans="1:12" x14ac:dyDescent="0.25">
      <c r="A289" t="s">
        <v>212</v>
      </c>
      <c r="B289" t="s">
        <v>20</v>
      </c>
      <c r="C289" t="str">
        <f>IF(ISBLANK('[1]2.Diagnostic Analysis'!C289),"Unknown",'[1]2.Diagnostic Analysis'!C289)</f>
        <v>West</v>
      </c>
      <c r="D289" t="s">
        <v>17</v>
      </c>
      <c r="E289" t="s">
        <v>18</v>
      </c>
      <c r="F289">
        <f>IF(ISBLANK('[1]2.Diagnostic Analysis'!D289),'[1]2.Diagnostic Analysis'!$Q$3,'[1]2.Diagnostic Analysis'!D289)</f>
        <v>67</v>
      </c>
      <c r="G289">
        <v>100</v>
      </c>
      <c r="H289">
        <v>2</v>
      </c>
      <c r="I289">
        <v>200</v>
      </c>
      <c r="J289">
        <v>19.579999999999998</v>
      </c>
      <c r="K289" s="2">
        <v>45078</v>
      </c>
      <c r="L289" t="str">
        <f>IF(ISBLANK('[1]2.Diagnostic Analysis'!K289),"Unknown",'[1]2.Diagnostic Analysis'!K289)</f>
        <v>Returned</v>
      </c>
    </row>
    <row r="290" spans="1:12" x14ac:dyDescent="0.25">
      <c r="A290" t="s">
        <v>56</v>
      </c>
      <c r="B290" t="s">
        <v>13</v>
      </c>
      <c r="C290" t="str">
        <f>IF(ISBLANK('[1]2.Diagnostic Analysis'!C290),"Unknown",'[1]2.Diagnostic Analysis'!C290)</f>
        <v>North</v>
      </c>
      <c r="D290" t="s">
        <v>40</v>
      </c>
      <c r="E290" t="s">
        <v>15</v>
      </c>
      <c r="F290">
        <f>IF(ISBLANK('[1]2.Diagnostic Analysis'!D290),'[1]2.Diagnostic Analysis'!$Q$3,'[1]2.Diagnostic Analysis'!D290)</f>
        <v>35</v>
      </c>
      <c r="G290">
        <v>800</v>
      </c>
      <c r="H290">
        <v>5</v>
      </c>
      <c r="I290">
        <v>4000</v>
      </c>
      <c r="J290">
        <v>15.61</v>
      </c>
      <c r="K290" s="2">
        <v>44953</v>
      </c>
      <c r="L290" t="str">
        <f>IF(ISBLANK('[1]2.Diagnostic Analysis'!K290),"Unknown",'[1]2.Diagnostic Analysis'!K290)</f>
        <v>In Transit</v>
      </c>
    </row>
    <row r="291" spans="1:12" x14ac:dyDescent="0.25">
      <c r="A291" t="s">
        <v>188</v>
      </c>
      <c r="B291" t="s">
        <v>13</v>
      </c>
      <c r="C291" t="str">
        <f>IF(ISBLANK('[1]2.Diagnostic Analysis'!C291),"Unknown",'[1]2.Diagnostic Analysis'!C291)</f>
        <v>South</v>
      </c>
      <c r="D291" t="s">
        <v>29</v>
      </c>
      <c r="E291" t="s">
        <v>18</v>
      </c>
      <c r="F291">
        <f>IF(ISBLANK('[1]2.Diagnostic Analysis'!D291),'[1]2.Diagnostic Analysis'!$Q$3,'[1]2.Diagnostic Analysis'!D291)</f>
        <v>52</v>
      </c>
      <c r="G291">
        <v>50</v>
      </c>
      <c r="H291">
        <v>2</v>
      </c>
      <c r="I291">
        <v>100</v>
      </c>
      <c r="J291">
        <v>13.78</v>
      </c>
      <c r="K291" s="2">
        <v>45173</v>
      </c>
      <c r="L291" t="str">
        <f>IF(ISBLANK('[1]2.Diagnostic Analysis'!K291),"Unknown",'[1]2.Diagnostic Analysis'!K291)</f>
        <v>Delivered</v>
      </c>
    </row>
    <row r="292" spans="1:12" x14ac:dyDescent="0.25">
      <c r="A292" t="s">
        <v>182</v>
      </c>
      <c r="B292" t="s">
        <v>20</v>
      </c>
      <c r="C292" t="str">
        <f>IF(ISBLANK('[1]2.Diagnostic Analysis'!C292),"Unknown",'[1]2.Diagnostic Analysis'!C292)</f>
        <v>East</v>
      </c>
      <c r="D292" t="s">
        <v>30</v>
      </c>
      <c r="E292" t="s">
        <v>18</v>
      </c>
      <c r="F292">
        <f>IF(ISBLANK('[1]2.Diagnostic Analysis'!D292),'[1]2.Diagnostic Analysis'!$Q$3,'[1]2.Diagnostic Analysis'!D292)</f>
        <v>32</v>
      </c>
      <c r="G292">
        <v>30</v>
      </c>
      <c r="H292">
        <v>5</v>
      </c>
      <c r="I292">
        <v>150</v>
      </c>
      <c r="J292">
        <v>15.68</v>
      </c>
      <c r="K292" s="2">
        <v>45236</v>
      </c>
      <c r="L292" t="str">
        <f>IF(ISBLANK('[1]2.Diagnostic Analysis'!K292),"Unknown",'[1]2.Diagnostic Analysis'!K292)</f>
        <v>Delivered</v>
      </c>
    </row>
    <row r="293" spans="1:12" x14ac:dyDescent="0.25">
      <c r="A293" t="s">
        <v>114</v>
      </c>
      <c r="B293" t="s">
        <v>20</v>
      </c>
      <c r="C293" t="str">
        <f>IF(ISBLANK('[1]2.Diagnostic Analysis'!C293),"Unknown",'[1]2.Diagnostic Analysis'!C293)</f>
        <v>Unknown</v>
      </c>
      <c r="D293" t="s">
        <v>25</v>
      </c>
      <c r="E293" t="s">
        <v>26</v>
      </c>
      <c r="F293">
        <f>IF(ISBLANK('[1]2.Diagnostic Analysis'!D293),'[1]2.Diagnostic Analysis'!$Q$3,'[1]2.Diagnostic Analysis'!D293)</f>
        <v>33</v>
      </c>
      <c r="G293">
        <v>200</v>
      </c>
      <c r="H293">
        <v>1</v>
      </c>
      <c r="I293">
        <v>200</v>
      </c>
      <c r="J293">
        <v>14.86</v>
      </c>
      <c r="K293" s="2">
        <v>45193</v>
      </c>
      <c r="L293" t="str">
        <f>IF(ISBLANK('[1]2.Diagnostic Analysis'!K293),"Unknown",'[1]2.Diagnostic Analysis'!K293)</f>
        <v>Returned</v>
      </c>
    </row>
    <row r="294" spans="1:12" x14ac:dyDescent="0.25">
      <c r="A294" t="s">
        <v>172</v>
      </c>
      <c r="B294" t="s">
        <v>13</v>
      </c>
      <c r="C294" t="str">
        <f>IF(ISBLANK('[1]2.Diagnostic Analysis'!C294),"Unknown",'[1]2.Diagnostic Analysis'!C294)</f>
        <v>North</v>
      </c>
      <c r="D294" t="s">
        <v>25</v>
      </c>
      <c r="E294" t="s">
        <v>26</v>
      </c>
      <c r="F294">
        <f>IF(ISBLANK('[1]2.Diagnostic Analysis'!D294),'[1]2.Diagnostic Analysis'!$Q$3,'[1]2.Diagnostic Analysis'!D294)</f>
        <v>57</v>
      </c>
      <c r="G294">
        <v>200</v>
      </c>
      <c r="H294">
        <v>1</v>
      </c>
      <c r="I294">
        <v>200</v>
      </c>
      <c r="J294">
        <v>13.34</v>
      </c>
      <c r="K294" s="2">
        <v>45177</v>
      </c>
      <c r="L294" t="str">
        <f>IF(ISBLANK('[1]2.Diagnostic Analysis'!K294),"Unknown",'[1]2.Diagnostic Analysis'!K294)</f>
        <v>Returned</v>
      </c>
    </row>
    <row r="295" spans="1:12" x14ac:dyDescent="0.25">
      <c r="A295" t="s">
        <v>174</v>
      </c>
      <c r="B295" t="s">
        <v>20</v>
      </c>
      <c r="C295" t="str">
        <f>IF(ISBLANK('[1]2.Diagnostic Analysis'!C295),"Unknown",'[1]2.Diagnostic Analysis'!C295)</f>
        <v>South</v>
      </c>
      <c r="D295" t="s">
        <v>23</v>
      </c>
      <c r="E295" t="s">
        <v>15</v>
      </c>
      <c r="F295">
        <f>IF(ISBLANK('[1]2.Diagnostic Analysis'!D295),'[1]2.Diagnostic Analysis'!$Q$3,'[1]2.Diagnostic Analysis'!D295)</f>
        <v>54</v>
      </c>
      <c r="G295">
        <v>1500</v>
      </c>
      <c r="H295">
        <v>5</v>
      </c>
      <c r="I295">
        <v>7500</v>
      </c>
      <c r="J295">
        <v>5.0199999999999996</v>
      </c>
      <c r="K295" s="2">
        <v>45166</v>
      </c>
      <c r="L295" t="str">
        <f>IF(ISBLANK('[1]2.Diagnostic Analysis'!K295),"Unknown",'[1]2.Diagnostic Analysis'!K295)</f>
        <v>Returned</v>
      </c>
    </row>
    <row r="296" spans="1:12" x14ac:dyDescent="0.25">
      <c r="A296" t="s">
        <v>213</v>
      </c>
      <c r="B296" t="s">
        <v>13</v>
      </c>
      <c r="C296" t="str">
        <f>IF(ISBLANK('[1]2.Diagnostic Analysis'!C296),"Unknown",'[1]2.Diagnostic Analysis'!C296)</f>
        <v>West</v>
      </c>
      <c r="D296" t="s">
        <v>25</v>
      </c>
      <c r="E296" t="s">
        <v>26</v>
      </c>
      <c r="F296">
        <f>IF(ISBLANK('[1]2.Diagnostic Analysis'!D296),'[1]2.Diagnostic Analysis'!$Q$3,'[1]2.Diagnostic Analysis'!D296)</f>
        <v>49</v>
      </c>
      <c r="G296">
        <v>200</v>
      </c>
      <c r="H296">
        <v>4</v>
      </c>
      <c r="I296">
        <v>800</v>
      </c>
      <c r="J296">
        <v>18.559999999999999</v>
      </c>
      <c r="K296" s="2">
        <v>45003</v>
      </c>
      <c r="L296" t="str">
        <f>IF(ISBLANK('[1]2.Diagnostic Analysis'!K296),"Unknown",'[1]2.Diagnostic Analysis'!K296)</f>
        <v>Delivered</v>
      </c>
    </row>
    <row r="297" spans="1:12" x14ac:dyDescent="0.25">
      <c r="A297" t="s">
        <v>112</v>
      </c>
      <c r="B297" t="s">
        <v>20</v>
      </c>
      <c r="C297" t="str">
        <f>IF(ISBLANK('[1]2.Diagnostic Analysis'!C297),"Unknown",'[1]2.Diagnostic Analysis'!C297)</f>
        <v>South</v>
      </c>
      <c r="D297" t="s">
        <v>17</v>
      </c>
      <c r="E297" t="s">
        <v>18</v>
      </c>
      <c r="F297">
        <f>IF(ISBLANK('[1]2.Diagnostic Analysis'!D297),'[1]2.Diagnostic Analysis'!$Q$3,'[1]2.Diagnostic Analysis'!D297)</f>
        <v>40</v>
      </c>
      <c r="G297">
        <v>100</v>
      </c>
      <c r="H297">
        <v>5</v>
      </c>
      <c r="I297">
        <v>500</v>
      </c>
      <c r="J297">
        <v>14.22</v>
      </c>
      <c r="K297" s="2">
        <v>44959</v>
      </c>
      <c r="L297" t="str">
        <f>IF(ISBLANK('[1]2.Diagnostic Analysis'!K297),"Unknown",'[1]2.Diagnostic Analysis'!K297)</f>
        <v>Delivered</v>
      </c>
    </row>
    <row r="298" spans="1:12" x14ac:dyDescent="0.25">
      <c r="A298" t="s">
        <v>214</v>
      </c>
      <c r="B298" t="s">
        <v>13</v>
      </c>
      <c r="C298" t="str">
        <f>IF(ISBLANK('[1]2.Diagnostic Analysis'!C298),"Unknown",'[1]2.Diagnostic Analysis'!C298)</f>
        <v>North</v>
      </c>
      <c r="D298" t="s">
        <v>17</v>
      </c>
      <c r="E298" t="s">
        <v>18</v>
      </c>
      <c r="F298">
        <f>IF(ISBLANK('[1]2.Diagnostic Analysis'!D298),'[1]2.Diagnostic Analysis'!$Q$3,'[1]2.Diagnostic Analysis'!D298)</f>
        <v>67</v>
      </c>
      <c r="G298">
        <v>100</v>
      </c>
      <c r="H298">
        <v>5</v>
      </c>
      <c r="I298">
        <v>500</v>
      </c>
      <c r="J298">
        <v>13.85</v>
      </c>
      <c r="K298" s="2">
        <v>45000</v>
      </c>
      <c r="L298" t="str">
        <f>IF(ISBLANK('[1]2.Diagnostic Analysis'!K298),"Unknown",'[1]2.Diagnostic Analysis'!K298)</f>
        <v>Returned</v>
      </c>
    </row>
    <row r="299" spans="1:12" x14ac:dyDescent="0.25">
      <c r="A299" t="s">
        <v>34</v>
      </c>
      <c r="B299" t="s">
        <v>20</v>
      </c>
      <c r="C299" t="str">
        <f>IF(ISBLANK('[1]2.Diagnostic Analysis'!C299),"Unknown",'[1]2.Diagnostic Analysis'!C299)</f>
        <v>North</v>
      </c>
      <c r="D299" t="s">
        <v>30</v>
      </c>
      <c r="E299" t="s">
        <v>18</v>
      </c>
      <c r="F299">
        <f>IF(ISBLANK('[1]2.Diagnostic Analysis'!D299),'[1]2.Diagnostic Analysis'!$Q$3,'[1]2.Diagnostic Analysis'!D299)</f>
        <v>41</v>
      </c>
      <c r="G299">
        <v>30</v>
      </c>
      <c r="H299">
        <v>3</v>
      </c>
      <c r="I299">
        <v>90</v>
      </c>
      <c r="J299">
        <v>18.37</v>
      </c>
      <c r="K299" s="2">
        <v>45294</v>
      </c>
      <c r="L299" t="str">
        <f>IF(ISBLANK('[1]2.Diagnostic Analysis'!K299),"Unknown",'[1]2.Diagnostic Analysis'!K299)</f>
        <v>Returned</v>
      </c>
    </row>
    <row r="300" spans="1:12" x14ac:dyDescent="0.25">
      <c r="A300" t="s">
        <v>92</v>
      </c>
      <c r="B300" t="s">
        <v>13</v>
      </c>
      <c r="C300" t="str">
        <f>IF(ISBLANK('[1]2.Diagnostic Analysis'!C300),"Unknown",'[1]2.Diagnostic Analysis'!C300)</f>
        <v>West</v>
      </c>
      <c r="D300" t="s">
        <v>40</v>
      </c>
      <c r="E300" t="s">
        <v>15</v>
      </c>
      <c r="F300">
        <f>IF(ISBLANK('[1]2.Diagnostic Analysis'!D300),'[1]2.Diagnostic Analysis'!$Q$3,'[1]2.Diagnostic Analysis'!D300)</f>
        <v>63</v>
      </c>
      <c r="G300">
        <v>800</v>
      </c>
      <c r="H300">
        <v>2</v>
      </c>
      <c r="I300">
        <v>1600</v>
      </c>
      <c r="J300">
        <v>19.63</v>
      </c>
      <c r="K300" s="2">
        <v>45287</v>
      </c>
      <c r="L300" t="str">
        <f>IF(ISBLANK('[1]2.Diagnostic Analysis'!K300),"Unknown",'[1]2.Diagnostic Analysis'!K300)</f>
        <v>Delivered</v>
      </c>
    </row>
    <row r="301" spans="1:12" x14ac:dyDescent="0.25">
      <c r="A301" t="s">
        <v>108</v>
      </c>
      <c r="B301" t="s">
        <v>13</v>
      </c>
      <c r="C301" t="str">
        <f>IF(ISBLANK('[1]2.Diagnostic Analysis'!C301),"Unknown",'[1]2.Diagnostic Analysis'!C301)</f>
        <v>North</v>
      </c>
      <c r="D301" t="s">
        <v>40</v>
      </c>
      <c r="E301" t="s">
        <v>15</v>
      </c>
      <c r="F301">
        <f>IF(ISBLANK('[1]2.Diagnostic Analysis'!D301),'[1]2.Diagnostic Analysis'!$Q$3,'[1]2.Diagnostic Analysis'!D301)</f>
        <v>25</v>
      </c>
      <c r="G301">
        <v>800</v>
      </c>
      <c r="H301">
        <v>1</v>
      </c>
      <c r="I301">
        <v>800</v>
      </c>
      <c r="J301">
        <v>5.64</v>
      </c>
      <c r="K301" s="2">
        <v>45192</v>
      </c>
      <c r="L301" t="str">
        <f>IF(ISBLANK('[1]2.Diagnostic Analysis'!K301),"Unknown",'[1]2.Diagnostic Analysis'!K301)</f>
        <v>In Transit</v>
      </c>
    </row>
    <row r="302" spans="1:12" x14ac:dyDescent="0.25">
      <c r="A302" t="s">
        <v>199</v>
      </c>
      <c r="B302" t="s">
        <v>13</v>
      </c>
      <c r="C302" t="str">
        <f>IF(ISBLANK('[1]2.Diagnostic Analysis'!C302),"Unknown",'[1]2.Diagnostic Analysis'!C302)</f>
        <v>North</v>
      </c>
      <c r="D302" t="s">
        <v>23</v>
      </c>
      <c r="E302" t="s">
        <v>15</v>
      </c>
      <c r="F302">
        <f>IF(ISBLANK('[1]2.Diagnostic Analysis'!D302),'[1]2.Diagnostic Analysis'!$Q$3,'[1]2.Diagnostic Analysis'!D302)</f>
        <v>50</v>
      </c>
      <c r="G302">
        <v>1500</v>
      </c>
      <c r="H302">
        <v>5</v>
      </c>
      <c r="I302">
        <v>7500</v>
      </c>
      <c r="J302">
        <v>15.14</v>
      </c>
      <c r="K302" s="2">
        <v>45085</v>
      </c>
      <c r="L302" t="str">
        <f>IF(ISBLANK('[1]2.Diagnostic Analysis'!K302),"Unknown",'[1]2.Diagnostic Analysis'!K302)</f>
        <v>In Transit</v>
      </c>
    </row>
    <row r="303" spans="1:12" x14ac:dyDescent="0.25">
      <c r="A303" t="s">
        <v>146</v>
      </c>
      <c r="B303" t="s">
        <v>13</v>
      </c>
      <c r="C303" t="str">
        <f>IF(ISBLANK('[1]2.Diagnostic Analysis'!C303),"Unknown",'[1]2.Diagnostic Analysis'!C303)</f>
        <v>West</v>
      </c>
      <c r="D303" t="s">
        <v>30</v>
      </c>
      <c r="E303" t="s">
        <v>18</v>
      </c>
      <c r="F303">
        <f>IF(ISBLANK('[1]2.Diagnostic Analysis'!D303),'[1]2.Diagnostic Analysis'!$Q$3,'[1]2.Diagnostic Analysis'!D303)</f>
        <v>68</v>
      </c>
      <c r="G303">
        <v>30</v>
      </c>
      <c r="H303">
        <v>4</v>
      </c>
      <c r="I303">
        <v>120</v>
      </c>
      <c r="J303">
        <v>14.02</v>
      </c>
      <c r="K303" s="2">
        <v>45182</v>
      </c>
      <c r="L303" t="str">
        <f>IF(ISBLANK('[1]2.Diagnostic Analysis'!K303),"Unknown",'[1]2.Diagnostic Analysis'!K303)</f>
        <v>Returned</v>
      </c>
    </row>
    <row r="304" spans="1:12" x14ac:dyDescent="0.25">
      <c r="A304" t="s">
        <v>215</v>
      </c>
      <c r="B304" t="s">
        <v>13</v>
      </c>
      <c r="C304" t="str">
        <f>IF(ISBLANK('[1]2.Diagnostic Analysis'!C304),"Unknown",'[1]2.Diagnostic Analysis'!C304)</f>
        <v>West</v>
      </c>
      <c r="D304" t="s">
        <v>25</v>
      </c>
      <c r="E304" t="s">
        <v>26</v>
      </c>
      <c r="F304">
        <f>IF(ISBLANK('[1]2.Diagnostic Analysis'!D304),'[1]2.Diagnostic Analysis'!$Q$3,'[1]2.Diagnostic Analysis'!D304)</f>
        <v>62</v>
      </c>
      <c r="G304">
        <v>200</v>
      </c>
      <c r="H304">
        <v>3</v>
      </c>
      <c r="I304">
        <v>600</v>
      </c>
      <c r="J304">
        <v>17.899999999999999</v>
      </c>
      <c r="K304" s="2">
        <v>44929</v>
      </c>
      <c r="L304" t="str">
        <f>IF(ISBLANK('[1]2.Diagnostic Analysis'!K304),"Unknown",'[1]2.Diagnostic Analysis'!K304)</f>
        <v>Returned</v>
      </c>
    </row>
    <row r="305" spans="1:12" x14ac:dyDescent="0.25">
      <c r="A305" t="s">
        <v>174</v>
      </c>
      <c r="B305" t="s">
        <v>13</v>
      </c>
      <c r="C305" t="str">
        <f>IF(ISBLANK('[1]2.Diagnostic Analysis'!C305),"Unknown",'[1]2.Diagnostic Analysis'!C305)</f>
        <v>South</v>
      </c>
      <c r="D305" t="s">
        <v>40</v>
      </c>
      <c r="E305" t="s">
        <v>15</v>
      </c>
      <c r="F305">
        <f>IF(ISBLANK('[1]2.Diagnostic Analysis'!D305),'[1]2.Diagnostic Analysis'!$Q$3,'[1]2.Diagnostic Analysis'!D305)</f>
        <v>54</v>
      </c>
      <c r="G305">
        <v>800</v>
      </c>
      <c r="H305">
        <v>1</v>
      </c>
      <c r="I305">
        <v>800</v>
      </c>
      <c r="J305">
        <v>7.77</v>
      </c>
      <c r="K305" s="2">
        <v>45130</v>
      </c>
      <c r="L305" t="str">
        <f>IF(ISBLANK('[1]2.Diagnostic Analysis'!K305),"Unknown",'[1]2.Diagnostic Analysis'!K305)</f>
        <v>Returned</v>
      </c>
    </row>
    <row r="306" spans="1:12" x14ac:dyDescent="0.25">
      <c r="A306" t="s">
        <v>153</v>
      </c>
      <c r="B306" t="s">
        <v>13</v>
      </c>
      <c r="C306" t="str">
        <f>IF(ISBLANK('[1]2.Diagnostic Analysis'!C306),"Unknown",'[1]2.Diagnostic Analysis'!C306)</f>
        <v>West</v>
      </c>
      <c r="D306" t="s">
        <v>25</v>
      </c>
      <c r="E306" t="s">
        <v>26</v>
      </c>
      <c r="F306">
        <f>IF(ISBLANK('[1]2.Diagnostic Analysis'!D306),'[1]2.Diagnostic Analysis'!$Q$3,'[1]2.Diagnostic Analysis'!D306)</f>
        <v>43</v>
      </c>
      <c r="G306">
        <v>200</v>
      </c>
      <c r="H306">
        <v>2</v>
      </c>
      <c r="I306">
        <v>400</v>
      </c>
      <c r="J306">
        <v>13.02</v>
      </c>
      <c r="K306" s="2">
        <v>45207</v>
      </c>
      <c r="L306" t="str">
        <f>IF(ISBLANK('[1]2.Diagnostic Analysis'!K306),"Unknown",'[1]2.Diagnostic Analysis'!K306)</f>
        <v>Delivered</v>
      </c>
    </row>
    <row r="307" spans="1:12" x14ac:dyDescent="0.25">
      <c r="A307" t="s">
        <v>155</v>
      </c>
      <c r="B307" t="s">
        <v>13</v>
      </c>
      <c r="C307" t="str">
        <f>IF(ISBLANK('[1]2.Diagnostic Analysis'!C307),"Unknown",'[1]2.Diagnostic Analysis'!C307)</f>
        <v>South</v>
      </c>
      <c r="D307" t="s">
        <v>29</v>
      </c>
      <c r="E307" t="s">
        <v>18</v>
      </c>
      <c r="F307">
        <f>IF(ISBLANK('[1]2.Diagnostic Analysis'!D307),'[1]2.Diagnostic Analysis'!$Q$3,'[1]2.Diagnostic Analysis'!D307)</f>
        <v>60</v>
      </c>
      <c r="G307">
        <v>50</v>
      </c>
      <c r="H307">
        <v>1</v>
      </c>
      <c r="I307">
        <v>50</v>
      </c>
      <c r="J307">
        <v>6.25</v>
      </c>
      <c r="K307" s="2">
        <v>44963</v>
      </c>
      <c r="L307" t="str">
        <f>IF(ISBLANK('[1]2.Diagnostic Analysis'!K307),"Unknown",'[1]2.Diagnostic Analysis'!K307)</f>
        <v>In Transit</v>
      </c>
    </row>
    <row r="308" spans="1:12" x14ac:dyDescent="0.25">
      <c r="A308" t="s">
        <v>216</v>
      </c>
      <c r="B308" t="s">
        <v>13</v>
      </c>
      <c r="C308" t="str">
        <f>IF(ISBLANK('[1]2.Diagnostic Analysis'!C308),"Unknown",'[1]2.Diagnostic Analysis'!C308)</f>
        <v>West</v>
      </c>
      <c r="D308" t="s">
        <v>14</v>
      </c>
      <c r="E308" t="s">
        <v>15</v>
      </c>
      <c r="F308">
        <f>IF(ISBLANK('[1]2.Diagnostic Analysis'!D308),'[1]2.Diagnostic Analysis'!$Q$3,'[1]2.Diagnostic Analysis'!D308)</f>
        <v>25</v>
      </c>
      <c r="G308">
        <v>300</v>
      </c>
      <c r="H308">
        <v>3</v>
      </c>
      <c r="I308">
        <v>900</v>
      </c>
      <c r="J308">
        <v>9.94</v>
      </c>
      <c r="K308" s="2">
        <v>45220</v>
      </c>
      <c r="L308" t="str">
        <f>IF(ISBLANK('[1]2.Diagnostic Analysis'!K308),"Unknown",'[1]2.Diagnostic Analysis'!K308)</f>
        <v>Delivered</v>
      </c>
    </row>
    <row r="309" spans="1:12" x14ac:dyDescent="0.25">
      <c r="A309" t="s">
        <v>143</v>
      </c>
      <c r="B309" t="s">
        <v>13</v>
      </c>
      <c r="C309" t="str">
        <f>IF(ISBLANK('[1]2.Diagnostic Analysis'!C309),"Unknown",'[1]2.Diagnostic Analysis'!C309)</f>
        <v>East</v>
      </c>
      <c r="D309" t="s">
        <v>40</v>
      </c>
      <c r="E309" t="s">
        <v>15</v>
      </c>
      <c r="F309">
        <f>IF(ISBLANK('[1]2.Diagnostic Analysis'!D309),'[1]2.Diagnostic Analysis'!$Q$3,'[1]2.Diagnostic Analysis'!D309)</f>
        <v>50</v>
      </c>
      <c r="G309">
        <v>800</v>
      </c>
      <c r="H309">
        <v>1</v>
      </c>
      <c r="I309">
        <v>800</v>
      </c>
      <c r="J309">
        <v>10.36</v>
      </c>
      <c r="K309" s="2">
        <v>45071</v>
      </c>
      <c r="L309" t="str">
        <f>IF(ISBLANK('[1]2.Diagnostic Analysis'!K309),"Unknown",'[1]2.Diagnostic Analysis'!K309)</f>
        <v>Returned</v>
      </c>
    </row>
    <row r="310" spans="1:12" x14ac:dyDescent="0.25">
      <c r="A310" t="s">
        <v>158</v>
      </c>
      <c r="B310" t="s">
        <v>20</v>
      </c>
      <c r="C310" t="str">
        <f>IF(ISBLANK('[1]2.Diagnostic Analysis'!C310),"Unknown",'[1]2.Diagnostic Analysis'!C310)</f>
        <v>South</v>
      </c>
      <c r="D310" t="s">
        <v>40</v>
      </c>
      <c r="E310" t="s">
        <v>15</v>
      </c>
      <c r="F310">
        <f>IF(ISBLANK('[1]2.Diagnostic Analysis'!D310),'[1]2.Diagnostic Analysis'!$Q$3,'[1]2.Diagnostic Analysis'!D310)</f>
        <v>32</v>
      </c>
      <c r="G310">
        <v>800</v>
      </c>
      <c r="H310">
        <v>1</v>
      </c>
      <c r="I310">
        <v>800</v>
      </c>
      <c r="J310">
        <v>8.4499999999999993</v>
      </c>
      <c r="K310" s="2">
        <v>45044</v>
      </c>
      <c r="L310" t="str">
        <f>IF(ISBLANK('[1]2.Diagnostic Analysis'!K310),"Unknown",'[1]2.Diagnostic Analysis'!K310)</f>
        <v>Returned</v>
      </c>
    </row>
    <row r="311" spans="1:12" x14ac:dyDescent="0.25">
      <c r="A311" t="s">
        <v>203</v>
      </c>
      <c r="B311" t="s">
        <v>13</v>
      </c>
      <c r="C311" t="str">
        <f>IF(ISBLANK('[1]2.Diagnostic Analysis'!C311),"Unknown",'[1]2.Diagnostic Analysis'!C311)</f>
        <v>East</v>
      </c>
      <c r="D311" t="s">
        <v>40</v>
      </c>
      <c r="E311" t="s">
        <v>15</v>
      </c>
      <c r="F311">
        <f>IF(ISBLANK('[1]2.Diagnostic Analysis'!D311),'[1]2.Diagnostic Analysis'!$Q$3,'[1]2.Diagnostic Analysis'!D311)</f>
        <v>61</v>
      </c>
      <c r="G311">
        <v>800</v>
      </c>
      <c r="H311">
        <v>2</v>
      </c>
      <c r="I311">
        <v>1600</v>
      </c>
      <c r="J311">
        <v>19.07</v>
      </c>
      <c r="K311" s="2">
        <v>45202</v>
      </c>
      <c r="L311" t="str">
        <f>IF(ISBLANK('[1]2.Diagnostic Analysis'!K311),"Unknown",'[1]2.Diagnostic Analysis'!K311)</f>
        <v>Delivered</v>
      </c>
    </row>
    <row r="312" spans="1:12" x14ac:dyDescent="0.25">
      <c r="A312" t="s">
        <v>31</v>
      </c>
      <c r="B312" t="s">
        <v>13</v>
      </c>
      <c r="C312" t="str">
        <f>IF(ISBLANK('[1]2.Diagnostic Analysis'!C312),"Unknown",'[1]2.Diagnostic Analysis'!C312)</f>
        <v>South</v>
      </c>
      <c r="D312" t="s">
        <v>29</v>
      </c>
      <c r="E312" t="s">
        <v>18</v>
      </c>
      <c r="F312">
        <f>IF(ISBLANK('[1]2.Diagnostic Analysis'!D312),'[1]2.Diagnostic Analysis'!$Q$3,'[1]2.Diagnostic Analysis'!D312)</f>
        <v>49</v>
      </c>
      <c r="G312">
        <v>50</v>
      </c>
      <c r="H312">
        <v>5</v>
      </c>
      <c r="I312">
        <v>250</v>
      </c>
      <c r="J312">
        <v>10.029999999999999</v>
      </c>
      <c r="K312" s="2">
        <v>45231</v>
      </c>
      <c r="L312" t="str">
        <f>IF(ISBLANK('[1]2.Diagnostic Analysis'!K312),"Unknown",'[1]2.Diagnostic Analysis'!K312)</f>
        <v>Returned</v>
      </c>
    </row>
    <row r="313" spans="1:12" x14ac:dyDescent="0.25">
      <c r="A313" t="s">
        <v>119</v>
      </c>
      <c r="B313" t="s">
        <v>20</v>
      </c>
      <c r="C313" t="str">
        <f>IF(ISBLANK('[1]2.Diagnostic Analysis'!C313),"Unknown",'[1]2.Diagnostic Analysis'!C313)</f>
        <v>West</v>
      </c>
      <c r="D313" t="s">
        <v>30</v>
      </c>
      <c r="E313" t="s">
        <v>18</v>
      </c>
      <c r="F313">
        <f>IF(ISBLANK('[1]2.Diagnostic Analysis'!D313),'[1]2.Diagnostic Analysis'!$Q$3,'[1]2.Diagnostic Analysis'!D313)</f>
        <v>18</v>
      </c>
      <c r="G313">
        <v>30</v>
      </c>
      <c r="H313">
        <v>4</v>
      </c>
      <c r="I313">
        <v>120</v>
      </c>
      <c r="J313">
        <v>8.76</v>
      </c>
      <c r="K313" s="2">
        <v>45107</v>
      </c>
      <c r="L313" t="str">
        <f>IF(ISBLANK('[1]2.Diagnostic Analysis'!K313),"Unknown",'[1]2.Diagnostic Analysis'!K313)</f>
        <v>In Transit</v>
      </c>
    </row>
    <row r="314" spans="1:12" x14ac:dyDescent="0.25">
      <c r="A314" t="s">
        <v>12</v>
      </c>
      <c r="B314" t="s">
        <v>13</v>
      </c>
      <c r="C314" t="str">
        <f>IF(ISBLANK('[1]2.Diagnostic Analysis'!C314),"Unknown",'[1]2.Diagnostic Analysis'!C314)</f>
        <v>North</v>
      </c>
      <c r="D314" t="s">
        <v>14</v>
      </c>
      <c r="E314" t="s">
        <v>15</v>
      </c>
      <c r="F314">
        <f>IF(ISBLANK('[1]2.Diagnostic Analysis'!D314),'[1]2.Diagnostic Analysis'!$Q$3,'[1]2.Diagnostic Analysis'!D314)</f>
        <v>21</v>
      </c>
      <c r="G314">
        <v>300</v>
      </c>
      <c r="H314">
        <v>2</v>
      </c>
      <c r="I314">
        <v>600</v>
      </c>
      <c r="J314">
        <v>5.69</v>
      </c>
      <c r="K314" s="2">
        <v>45141</v>
      </c>
      <c r="L314" t="str">
        <f>IF(ISBLANK('[1]2.Diagnostic Analysis'!K314),"Unknown",'[1]2.Diagnostic Analysis'!K314)</f>
        <v>Returned</v>
      </c>
    </row>
    <row r="315" spans="1:12" x14ac:dyDescent="0.25">
      <c r="A315" t="s">
        <v>217</v>
      </c>
      <c r="B315" t="s">
        <v>13</v>
      </c>
      <c r="C315" t="str">
        <f>IF(ISBLANK('[1]2.Diagnostic Analysis'!C315),"Unknown",'[1]2.Diagnostic Analysis'!C315)</f>
        <v>East</v>
      </c>
      <c r="D315" t="s">
        <v>17</v>
      </c>
      <c r="E315" t="s">
        <v>18</v>
      </c>
      <c r="F315">
        <f>IF(ISBLANK('[1]2.Diagnostic Analysis'!D315),'[1]2.Diagnostic Analysis'!$Q$3,'[1]2.Diagnostic Analysis'!D315)</f>
        <v>69</v>
      </c>
      <c r="G315">
        <v>100</v>
      </c>
      <c r="H315">
        <v>1</v>
      </c>
      <c r="I315">
        <v>100</v>
      </c>
      <c r="J315">
        <v>6.43</v>
      </c>
      <c r="K315" s="2">
        <v>45072</v>
      </c>
      <c r="L315" t="str">
        <f>IF(ISBLANK('[1]2.Diagnostic Analysis'!K315),"Unknown",'[1]2.Diagnostic Analysis'!K315)</f>
        <v>Returned</v>
      </c>
    </row>
    <row r="316" spans="1:12" x14ac:dyDescent="0.25">
      <c r="A316" t="s">
        <v>218</v>
      </c>
      <c r="B316" t="s">
        <v>20</v>
      </c>
      <c r="C316" t="str">
        <f>IF(ISBLANK('[1]2.Diagnostic Analysis'!C316),"Unknown",'[1]2.Diagnostic Analysis'!C316)</f>
        <v>West</v>
      </c>
      <c r="D316" t="s">
        <v>25</v>
      </c>
      <c r="E316" t="s">
        <v>26</v>
      </c>
      <c r="F316">
        <f>IF(ISBLANK('[1]2.Diagnostic Analysis'!D316),'[1]2.Diagnostic Analysis'!$Q$3,'[1]2.Diagnostic Analysis'!D316)</f>
        <v>66</v>
      </c>
      <c r="G316">
        <v>200</v>
      </c>
      <c r="H316">
        <v>5</v>
      </c>
      <c r="I316">
        <v>1000</v>
      </c>
      <c r="J316">
        <v>19.190000000000001</v>
      </c>
      <c r="K316" s="2">
        <v>45188</v>
      </c>
      <c r="L316" t="str">
        <f>IF(ISBLANK('[1]2.Diagnostic Analysis'!K316),"Unknown",'[1]2.Diagnostic Analysis'!K316)</f>
        <v>Returned</v>
      </c>
    </row>
    <row r="317" spans="1:12" x14ac:dyDescent="0.25">
      <c r="A317" t="s">
        <v>219</v>
      </c>
      <c r="B317" t="s">
        <v>20</v>
      </c>
      <c r="C317" t="str">
        <f>IF(ISBLANK('[1]2.Diagnostic Analysis'!C317),"Unknown",'[1]2.Diagnostic Analysis'!C317)</f>
        <v>West</v>
      </c>
      <c r="D317" t="s">
        <v>25</v>
      </c>
      <c r="E317" t="s">
        <v>26</v>
      </c>
      <c r="F317">
        <f>IF(ISBLANK('[1]2.Diagnostic Analysis'!D317),'[1]2.Diagnostic Analysis'!$Q$3,'[1]2.Diagnostic Analysis'!D317)</f>
        <v>41</v>
      </c>
      <c r="G317">
        <v>200</v>
      </c>
      <c r="H317">
        <v>3</v>
      </c>
      <c r="I317">
        <v>600</v>
      </c>
      <c r="J317">
        <v>10.92</v>
      </c>
      <c r="K317" s="2">
        <v>45095</v>
      </c>
      <c r="L317" t="str">
        <f>IF(ISBLANK('[1]2.Diagnostic Analysis'!K317),"Unknown",'[1]2.Diagnostic Analysis'!K317)</f>
        <v>Returned</v>
      </c>
    </row>
    <row r="318" spans="1:12" x14ac:dyDescent="0.25">
      <c r="A318" t="s">
        <v>212</v>
      </c>
      <c r="B318" t="s">
        <v>13</v>
      </c>
      <c r="C318" t="str">
        <f>IF(ISBLANK('[1]2.Diagnostic Analysis'!C318),"Unknown",'[1]2.Diagnostic Analysis'!C318)</f>
        <v>East</v>
      </c>
      <c r="D318" t="s">
        <v>29</v>
      </c>
      <c r="E318" t="s">
        <v>18</v>
      </c>
      <c r="F318">
        <f>IF(ISBLANK('[1]2.Diagnostic Analysis'!D318),'[1]2.Diagnostic Analysis'!$Q$3,'[1]2.Diagnostic Analysis'!D318)</f>
        <v>67</v>
      </c>
      <c r="G318">
        <v>50</v>
      </c>
      <c r="H318">
        <v>5</v>
      </c>
      <c r="I318">
        <v>250</v>
      </c>
      <c r="J318">
        <v>11.17</v>
      </c>
      <c r="K318" s="2">
        <v>44988</v>
      </c>
      <c r="L318" t="str">
        <f>IF(ISBLANK('[1]2.Diagnostic Analysis'!K318),"Unknown",'[1]2.Diagnostic Analysis'!K318)</f>
        <v>In Transit</v>
      </c>
    </row>
    <row r="319" spans="1:12" x14ac:dyDescent="0.25">
      <c r="A319" t="s">
        <v>106</v>
      </c>
      <c r="B319" t="s">
        <v>20</v>
      </c>
      <c r="C319" t="str">
        <f>IF(ISBLANK('[1]2.Diagnostic Analysis'!C319),"Unknown",'[1]2.Diagnostic Analysis'!C319)</f>
        <v>East</v>
      </c>
      <c r="D319" t="s">
        <v>40</v>
      </c>
      <c r="E319" t="s">
        <v>15</v>
      </c>
      <c r="F319">
        <f>IF(ISBLANK('[1]2.Diagnostic Analysis'!D319),'[1]2.Diagnostic Analysis'!$Q$3,'[1]2.Diagnostic Analysis'!D319)</f>
        <v>42</v>
      </c>
      <c r="G319">
        <v>800</v>
      </c>
      <c r="H319">
        <v>3</v>
      </c>
      <c r="I319">
        <v>2400</v>
      </c>
      <c r="J319">
        <v>10.65</v>
      </c>
      <c r="K319" s="2">
        <v>45248</v>
      </c>
      <c r="L319" t="str">
        <f>IF(ISBLANK('[1]2.Diagnostic Analysis'!K319),"Unknown",'[1]2.Diagnostic Analysis'!K319)</f>
        <v>In Transit</v>
      </c>
    </row>
    <row r="320" spans="1:12" x14ac:dyDescent="0.25">
      <c r="A320" t="s">
        <v>126</v>
      </c>
      <c r="B320" t="s">
        <v>20</v>
      </c>
      <c r="C320" t="str">
        <f>IF(ISBLANK('[1]2.Diagnostic Analysis'!C320),"Unknown",'[1]2.Diagnostic Analysis'!C320)</f>
        <v>West</v>
      </c>
      <c r="D320" t="s">
        <v>14</v>
      </c>
      <c r="E320" t="s">
        <v>15</v>
      </c>
      <c r="F320">
        <f>IF(ISBLANK('[1]2.Diagnostic Analysis'!D320),'[1]2.Diagnostic Analysis'!$Q$3,'[1]2.Diagnostic Analysis'!D320)</f>
        <v>50</v>
      </c>
      <c r="G320">
        <v>300</v>
      </c>
      <c r="H320">
        <v>1</v>
      </c>
      <c r="I320">
        <v>300</v>
      </c>
      <c r="J320">
        <v>14.36</v>
      </c>
      <c r="K320" s="2">
        <v>45143</v>
      </c>
      <c r="L320" t="str">
        <f>IF(ISBLANK('[1]2.Diagnostic Analysis'!K320),"Unknown",'[1]2.Diagnostic Analysis'!K320)</f>
        <v>Delivered</v>
      </c>
    </row>
    <row r="321" spans="1:12" x14ac:dyDescent="0.25">
      <c r="A321" t="s">
        <v>146</v>
      </c>
      <c r="B321" t="s">
        <v>20</v>
      </c>
      <c r="C321" t="str">
        <f>IF(ISBLANK('[1]2.Diagnostic Analysis'!C321),"Unknown",'[1]2.Diagnostic Analysis'!C321)</f>
        <v>East</v>
      </c>
      <c r="D321" t="s">
        <v>17</v>
      </c>
      <c r="E321" t="s">
        <v>18</v>
      </c>
      <c r="F321">
        <f>IF(ISBLANK('[1]2.Diagnostic Analysis'!D321),'[1]2.Diagnostic Analysis'!$Q$3,'[1]2.Diagnostic Analysis'!D321)</f>
        <v>68</v>
      </c>
      <c r="G321">
        <v>100</v>
      </c>
      <c r="H321">
        <v>4</v>
      </c>
      <c r="I321">
        <v>400</v>
      </c>
      <c r="J321">
        <v>11.92</v>
      </c>
      <c r="K321" s="2">
        <v>45230</v>
      </c>
      <c r="L321" t="str">
        <f>IF(ISBLANK('[1]2.Diagnostic Analysis'!K321),"Unknown",'[1]2.Diagnostic Analysis'!K321)</f>
        <v>In Transit</v>
      </c>
    </row>
    <row r="322" spans="1:12" x14ac:dyDescent="0.25">
      <c r="A322" t="s">
        <v>88</v>
      </c>
      <c r="B322" t="s">
        <v>20</v>
      </c>
      <c r="C322" t="str">
        <f>IF(ISBLANK('[1]2.Diagnostic Analysis'!C322),"Unknown",'[1]2.Diagnostic Analysis'!C322)</f>
        <v>East</v>
      </c>
      <c r="D322" t="s">
        <v>40</v>
      </c>
      <c r="E322" t="s">
        <v>15</v>
      </c>
      <c r="F322">
        <f>IF(ISBLANK('[1]2.Diagnostic Analysis'!D322),'[1]2.Diagnostic Analysis'!$Q$3,'[1]2.Diagnostic Analysis'!D322)</f>
        <v>50</v>
      </c>
      <c r="G322">
        <v>800</v>
      </c>
      <c r="H322">
        <v>5</v>
      </c>
      <c r="I322">
        <v>4000</v>
      </c>
      <c r="J322">
        <v>13.43</v>
      </c>
      <c r="K322" s="2">
        <v>45149</v>
      </c>
      <c r="L322" t="str">
        <f>IF(ISBLANK('[1]2.Diagnostic Analysis'!K322),"Unknown",'[1]2.Diagnostic Analysis'!K322)</f>
        <v>Returned</v>
      </c>
    </row>
    <row r="323" spans="1:12" x14ac:dyDescent="0.25">
      <c r="A323" t="s">
        <v>220</v>
      </c>
      <c r="B323" t="s">
        <v>13</v>
      </c>
      <c r="C323" t="str">
        <f>IF(ISBLANK('[1]2.Diagnostic Analysis'!C323),"Unknown",'[1]2.Diagnostic Analysis'!C323)</f>
        <v>Unknown</v>
      </c>
      <c r="D323" t="s">
        <v>40</v>
      </c>
      <c r="E323" t="s">
        <v>15</v>
      </c>
      <c r="F323">
        <f>IF(ISBLANK('[1]2.Diagnostic Analysis'!D323),'[1]2.Diagnostic Analysis'!$Q$3,'[1]2.Diagnostic Analysis'!D323)</f>
        <v>49</v>
      </c>
      <c r="G323">
        <v>800</v>
      </c>
      <c r="H323">
        <v>1</v>
      </c>
      <c r="I323">
        <v>800</v>
      </c>
      <c r="J323">
        <v>16.2</v>
      </c>
      <c r="K323" s="2">
        <v>45255</v>
      </c>
      <c r="L323" t="str">
        <f>IF(ISBLANK('[1]2.Diagnostic Analysis'!K323),"Unknown",'[1]2.Diagnostic Analysis'!K323)</f>
        <v>Returned</v>
      </c>
    </row>
    <row r="324" spans="1:12" x14ac:dyDescent="0.25">
      <c r="A324" t="s">
        <v>138</v>
      </c>
      <c r="B324" t="s">
        <v>13</v>
      </c>
      <c r="C324" t="str">
        <f>IF(ISBLANK('[1]2.Diagnostic Analysis'!C324),"Unknown",'[1]2.Diagnostic Analysis'!C324)</f>
        <v>West</v>
      </c>
      <c r="D324" t="s">
        <v>23</v>
      </c>
      <c r="E324" t="s">
        <v>15</v>
      </c>
      <c r="F324">
        <f>IF(ISBLANK('[1]2.Diagnostic Analysis'!D324),'[1]2.Diagnostic Analysis'!$Q$3,'[1]2.Diagnostic Analysis'!D324)</f>
        <v>44</v>
      </c>
      <c r="G324">
        <v>1500</v>
      </c>
      <c r="H324">
        <v>5</v>
      </c>
      <c r="I324">
        <v>7500</v>
      </c>
      <c r="J324">
        <v>7.21</v>
      </c>
      <c r="K324" s="2">
        <v>45251</v>
      </c>
      <c r="L324" t="str">
        <f>IF(ISBLANK('[1]2.Diagnostic Analysis'!K324),"Unknown",'[1]2.Diagnostic Analysis'!K324)</f>
        <v>Delivered</v>
      </c>
    </row>
    <row r="325" spans="1:12" x14ac:dyDescent="0.25">
      <c r="A325" t="s">
        <v>221</v>
      </c>
      <c r="B325" t="s">
        <v>20</v>
      </c>
      <c r="C325" t="str">
        <f>IF(ISBLANK('[1]2.Diagnostic Analysis'!C325),"Unknown",'[1]2.Diagnostic Analysis'!C325)</f>
        <v>East</v>
      </c>
      <c r="D325" t="s">
        <v>17</v>
      </c>
      <c r="E325" t="s">
        <v>18</v>
      </c>
      <c r="F325">
        <f>IF(ISBLANK('[1]2.Diagnostic Analysis'!D325),'[1]2.Diagnostic Analysis'!$Q$3,'[1]2.Diagnostic Analysis'!D325)</f>
        <v>37</v>
      </c>
      <c r="G325">
        <v>100</v>
      </c>
      <c r="H325">
        <v>3</v>
      </c>
      <c r="I325">
        <v>300</v>
      </c>
      <c r="J325">
        <v>7.41</v>
      </c>
      <c r="K325" s="2">
        <v>45012</v>
      </c>
      <c r="L325" t="str">
        <f>IF(ISBLANK('[1]2.Diagnostic Analysis'!K325),"Unknown",'[1]2.Diagnostic Analysis'!K325)</f>
        <v>Delivered</v>
      </c>
    </row>
    <row r="326" spans="1:12" x14ac:dyDescent="0.25">
      <c r="A326" t="s">
        <v>171</v>
      </c>
      <c r="B326" t="s">
        <v>20</v>
      </c>
      <c r="C326" t="str">
        <f>IF(ISBLANK('[1]2.Diagnostic Analysis'!C326),"Unknown",'[1]2.Diagnostic Analysis'!C326)</f>
        <v>West</v>
      </c>
      <c r="D326" t="s">
        <v>23</v>
      </c>
      <c r="E326" t="s">
        <v>15</v>
      </c>
      <c r="F326">
        <f>IF(ISBLANK('[1]2.Diagnostic Analysis'!D326),'[1]2.Diagnostic Analysis'!$Q$3,'[1]2.Diagnostic Analysis'!D326)</f>
        <v>55</v>
      </c>
      <c r="G326">
        <v>1500</v>
      </c>
      <c r="H326">
        <v>1</v>
      </c>
      <c r="I326">
        <v>1500</v>
      </c>
      <c r="J326">
        <v>19.04</v>
      </c>
      <c r="K326" s="2">
        <v>45219</v>
      </c>
      <c r="L326" t="str">
        <f>IF(ISBLANK('[1]2.Diagnostic Analysis'!K326),"Unknown",'[1]2.Diagnostic Analysis'!K326)</f>
        <v>In Transit</v>
      </c>
    </row>
    <row r="327" spans="1:12" x14ac:dyDescent="0.25">
      <c r="A327" t="s">
        <v>138</v>
      </c>
      <c r="B327" t="s">
        <v>20</v>
      </c>
      <c r="C327" t="str">
        <f>IF(ISBLANK('[1]2.Diagnostic Analysis'!C327),"Unknown",'[1]2.Diagnostic Analysis'!C327)</f>
        <v>North</v>
      </c>
      <c r="D327" t="s">
        <v>23</v>
      </c>
      <c r="E327" t="s">
        <v>15</v>
      </c>
      <c r="F327">
        <f>IF(ISBLANK('[1]2.Diagnostic Analysis'!D327),'[1]2.Diagnostic Analysis'!$Q$3,'[1]2.Diagnostic Analysis'!D327)</f>
        <v>44</v>
      </c>
      <c r="G327">
        <v>1500</v>
      </c>
      <c r="H327">
        <v>2</v>
      </c>
      <c r="I327">
        <v>3000</v>
      </c>
      <c r="J327">
        <v>9.8699999999999992</v>
      </c>
      <c r="K327" s="2">
        <v>45257</v>
      </c>
      <c r="L327" t="str">
        <f>IF(ISBLANK('[1]2.Diagnostic Analysis'!K327),"Unknown",'[1]2.Diagnostic Analysis'!K327)</f>
        <v>Delivered</v>
      </c>
    </row>
    <row r="328" spans="1:12" x14ac:dyDescent="0.25">
      <c r="A328" t="s">
        <v>222</v>
      </c>
      <c r="B328" t="s">
        <v>20</v>
      </c>
      <c r="C328" t="str">
        <f>IF(ISBLANK('[1]2.Diagnostic Analysis'!C328),"Unknown",'[1]2.Diagnostic Analysis'!C328)</f>
        <v>East</v>
      </c>
      <c r="D328" t="s">
        <v>40</v>
      </c>
      <c r="E328" t="s">
        <v>15</v>
      </c>
      <c r="F328">
        <f>IF(ISBLANK('[1]2.Diagnostic Analysis'!D328),'[1]2.Diagnostic Analysis'!$Q$3,'[1]2.Diagnostic Analysis'!D328)</f>
        <v>67</v>
      </c>
      <c r="G328">
        <v>800</v>
      </c>
      <c r="H328">
        <v>5</v>
      </c>
      <c r="I328">
        <v>4000</v>
      </c>
      <c r="J328">
        <v>9.6</v>
      </c>
      <c r="K328" s="2">
        <v>45221</v>
      </c>
      <c r="L328" t="str">
        <f>IF(ISBLANK('[1]2.Diagnostic Analysis'!K328),"Unknown",'[1]2.Diagnostic Analysis'!K328)</f>
        <v>In Transit</v>
      </c>
    </row>
    <row r="329" spans="1:12" x14ac:dyDescent="0.25">
      <c r="A329" t="s">
        <v>167</v>
      </c>
      <c r="B329" t="s">
        <v>20</v>
      </c>
      <c r="C329" t="str">
        <f>IF(ISBLANK('[1]2.Diagnostic Analysis'!C329),"Unknown",'[1]2.Diagnostic Analysis'!C329)</f>
        <v>East</v>
      </c>
      <c r="D329" t="s">
        <v>17</v>
      </c>
      <c r="E329" t="s">
        <v>18</v>
      </c>
      <c r="F329">
        <f>IF(ISBLANK('[1]2.Diagnostic Analysis'!D329),'[1]2.Diagnostic Analysis'!$Q$3,'[1]2.Diagnostic Analysis'!D329)</f>
        <v>49</v>
      </c>
      <c r="G329">
        <v>100</v>
      </c>
      <c r="H329">
        <v>3</v>
      </c>
      <c r="I329">
        <v>300</v>
      </c>
      <c r="J329">
        <v>13.33</v>
      </c>
      <c r="K329" s="2">
        <v>44967</v>
      </c>
      <c r="L329" t="str">
        <f>IF(ISBLANK('[1]2.Diagnostic Analysis'!K329),"Unknown",'[1]2.Diagnostic Analysis'!K329)</f>
        <v>Delivered</v>
      </c>
    </row>
    <row r="330" spans="1:12" x14ac:dyDescent="0.25">
      <c r="A330" t="s">
        <v>35</v>
      </c>
      <c r="B330" t="s">
        <v>20</v>
      </c>
      <c r="C330" t="str">
        <f>IF(ISBLANK('[1]2.Diagnostic Analysis'!C330),"Unknown",'[1]2.Diagnostic Analysis'!C330)</f>
        <v>North</v>
      </c>
      <c r="D330" t="s">
        <v>40</v>
      </c>
      <c r="E330" t="s">
        <v>15</v>
      </c>
      <c r="F330">
        <f>IF(ISBLANK('[1]2.Diagnostic Analysis'!D330),'[1]2.Diagnostic Analysis'!$Q$3,'[1]2.Diagnostic Analysis'!D330)</f>
        <v>60</v>
      </c>
      <c r="G330">
        <v>800</v>
      </c>
      <c r="H330">
        <v>2</v>
      </c>
      <c r="I330">
        <v>1600</v>
      </c>
      <c r="J330">
        <v>19.2</v>
      </c>
      <c r="K330" s="2">
        <v>45149</v>
      </c>
      <c r="L330" t="str">
        <f>IF(ISBLANK('[1]2.Diagnostic Analysis'!K330),"Unknown",'[1]2.Diagnostic Analysis'!K330)</f>
        <v>In Transit</v>
      </c>
    </row>
    <row r="331" spans="1:12" x14ac:dyDescent="0.25">
      <c r="A331" t="s">
        <v>223</v>
      </c>
      <c r="B331" t="s">
        <v>13</v>
      </c>
      <c r="C331" t="str">
        <f>IF(ISBLANK('[1]2.Diagnostic Analysis'!C331),"Unknown",'[1]2.Diagnostic Analysis'!C331)</f>
        <v>South</v>
      </c>
      <c r="D331" t="s">
        <v>29</v>
      </c>
      <c r="E331" t="s">
        <v>18</v>
      </c>
      <c r="F331">
        <f>IF(ISBLANK('[1]2.Diagnostic Analysis'!D331),'[1]2.Diagnostic Analysis'!$Q$3,'[1]2.Diagnostic Analysis'!D331)</f>
        <v>20</v>
      </c>
      <c r="G331">
        <v>50</v>
      </c>
      <c r="H331">
        <v>1</v>
      </c>
      <c r="I331">
        <v>50</v>
      </c>
      <c r="J331">
        <v>17.61</v>
      </c>
      <c r="K331" s="2">
        <v>45151</v>
      </c>
      <c r="L331" t="str">
        <f>IF(ISBLANK('[1]2.Diagnostic Analysis'!K331),"Unknown",'[1]2.Diagnostic Analysis'!K331)</f>
        <v>Returned</v>
      </c>
    </row>
    <row r="332" spans="1:12" x14ac:dyDescent="0.25">
      <c r="A332" t="s">
        <v>224</v>
      </c>
      <c r="B332" t="s">
        <v>20</v>
      </c>
      <c r="C332" t="str">
        <f>IF(ISBLANK('[1]2.Diagnostic Analysis'!C332),"Unknown",'[1]2.Diagnostic Analysis'!C332)</f>
        <v>East</v>
      </c>
      <c r="D332" t="s">
        <v>25</v>
      </c>
      <c r="E332" t="s">
        <v>26</v>
      </c>
      <c r="F332">
        <f>IF(ISBLANK('[1]2.Diagnostic Analysis'!D332),'[1]2.Diagnostic Analysis'!$Q$3,'[1]2.Diagnostic Analysis'!D332)</f>
        <v>34</v>
      </c>
      <c r="G332">
        <v>200</v>
      </c>
      <c r="H332">
        <v>1</v>
      </c>
      <c r="I332">
        <v>200</v>
      </c>
      <c r="J332">
        <v>17.66</v>
      </c>
      <c r="K332" s="2">
        <v>45067</v>
      </c>
      <c r="L332" t="str">
        <f>IF(ISBLANK('[1]2.Diagnostic Analysis'!K332),"Unknown",'[1]2.Diagnostic Analysis'!K332)</f>
        <v>Returned</v>
      </c>
    </row>
    <row r="333" spans="1:12" x14ac:dyDescent="0.25">
      <c r="A333" t="s">
        <v>225</v>
      </c>
      <c r="B333" t="s">
        <v>20</v>
      </c>
      <c r="C333" t="str">
        <f>IF(ISBLANK('[1]2.Diagnostic Analysis'!C333),"Unknown",'[1]2.Diagnostic Analysis'!C333)</f>
        <v>North</v>
      </c>
      <c r="D333" t="s">
        <v>23</v>
      </c>
      <c r="E333" t="s">
        <v>15</v>
      </c>
      <c r="F333">
        <f>IF(ISBLANK('[1]2.Diagnostic Analysis'!D333),'[1]2.Diagnostic Analysis'!$Q$3,'[1]2.Diagnostic Analysis'!D333)</f>
        <v>19</v>
      </c>
      <c r="G333">
        <v>1500</v>
      </c>
      <c r="H333">
        <v>4</v>
      </c>
      <c r="I333">
        <v>6000</v>
      </c>
      <c r="J333">
        <v>14.45</v>
      </c>
      <c r="K333" s="2">
        <v>45238</v>
      </c>
      <c r="L333" t="str">
        <f>IF(ISBLANK('[1]2.Diagnostic Analysis'!K333),"Unknown",'[1]2.Diagnostic Analysis'!K333)</f>
        <v>Delivered</v>
      </c>
    </row>
    <row r="334" spans="1:12" x14ac:dyDescent="0.25">
      <c r="A334" t="s">
        <v>54</v>
      </c>
      <c r="B334" t="s">
        <v>20</v>
      </c>
      <c r="C334" t="str">
        <f>IF(ISBLANK('[1]2.Diagnostic Analysis'!C334),"Unknown",'[1]2.Diagnostic Analysis'!C334)</f>
        <v>East</v>
      </c>
      <c r="D334" t="s">
        <v>40</v>
      </c>
      <c r="E334" t="s">
        <v>15</v>
      </c>
      <c r="F334">
        <f>IF(ISBLANK('[1]2.Diagnostic Analysis'!D334),'[1]2.Diagnostic Analysis'!$Q$3,'[1]2.Diagnostic Analysis'!D334)</f>
        <v>49</v>
      </c>
      <c r="G334">
        <v>800</v>
      </c>
      <c r="H334">
        <v>4</v>
      </c>
      <c r="I334">
        <v>3200</v>
      </c>
      <c r="J334">
        <v>19.170000000000002</v>
      </c>
      <c r="K334" s="2">
        <v>45094</v>
      </c>
      <c r="L334" t="str">
        <f>IF(ISBLANK('[1]2.Diagnostic Analysis'!K334),"Unknown",'[1]2.Diagnostic Analysis'!K334)</f>
        <v>In Transit</v>
      </c>
    </row>
    <row r="335" spans="1:12" x14ac:dyDescent="0.25">
      <c r="A335" t="s">
        <v>58</v>
      </c>
      <c r="B335" t="s">
        <v>20</v>
      </c>
      <c r="C335" t="str">
        <f>IF(ISBLANK('[1]2.Diagnostic Analysis'!C335),"Unknown",'[1]2.Diagnostic Analysis'!C335)</f>
        <v>South</v>
      </c>
      <c r="D335" t="s">
        <v>14</v>
      </c>
      <c r="E335" t="s">
        <v>15</v>
      </c>
      <c r="F335">
        <f>IF(ISBLANK('[1]2.Diagnostic Analysis'!D335),'[1]2.Diagnostic Analysis'!$Q$3,'[1]2.Diagnostic Analysis'!D335)</f>
        <v>64</v>
      </c>
      <c r="G335">
        <v>300</v>
      </c>
      <c r="H335">
        <v>3</v>
      </c>
      <c r="I335">
        <v>900</v>
      </c>
      <c r="J335">
        <v>19.12</v>
      </c>
      <c r="K335" s="2">
        <v>45094</v>
      </c>
      <c r="L335" t="str">
        <f>IF(ISBLANK('[1]2.Diagnostic Analysis'!K335),"Unknown",'[1]2.Diagnostic Analysis'!K335)</f>
        <v>In Transit</v>
      </c>
    </row>
    <row r="336" spans="1:12" x14ac:dyDescent="0.25">
      <c r="A336" t="s">
        <v>221</v>
      </c>
      <c r="B336" t="s">
        <v>13</v>
      </c>
      <c r="C336" t="str">
        <f>IF(ISBLANK('[1]2.Diagnostic Analysis'!C336),"Unknown",'[1]2.Diagnostic Analysis'!C336)</f>
        <v>West</v>
      </c>
      <c r="D336" t="s">
        <v>14</v>
      </c>
      <c r="E336" t="s">
        <v>15</v>
      </c>
      <c r="F336">
        <f>IF(ISBLANK('[1]2.Diagnostic Analysis'!D336),'[1]2.Diagnostic Analysis'!$Q$3,'[1]2.Diagnostic Analysis'!D336)</f>
        <v>37</v>
      </c>
      <c r="G336">
        <v>300</v>
      </c>
      <c r="H336">
        <v>1</v>
      </c>
      <c r="I336">
        <v>300</v>
      </c>
      <c r="J336">
        <v>9.7200000000000006</v>
      </c>
      <c r="K336" s="2">
        <v>45015</v>
      </c>
      <c r="L336" t="str">
        <f>IF(ISBLANK('[1]2.Diagnostic Analysis'!K336),"Unknown",'[1]2.Diagnostic Analysis'!K336)</f>
        <v>Returned</v>
      </c>
    </row>
    <row r="337" spans="1:12" x14ac:dyDescent="0.25">
      <c r="A337" t="s">
        <v>36</v>
      </c>
      <c r="B337" t="s">
        <v>20</v>
      </c>
      <c r="C337" t="str">
        <f>IF(ISBLANK('[1]2.Diagnostic Analysis'!C337),"Unknown",'[1]2.Diagnostic Analysis'!C337)</f>
        <v>West</v>
      </c>
      <c r="D337" t="s">
        <v>14</v>
      </c>
      <c r="E337" t="s">
        <v>15</v>
      </c>
      <c r="F337">
        <f>IF(ISBLANK('[1]2.Diagnostic Analysis'!D337),'[1]2.Diagnostic Analysis'!$Q$3,'[1]2.Diagnostic Analysis'!D337)</f>
        <v>66</v>
      </c>
      <c r="G337">
        <v>300</v>
      </c>
      <c r="H337">
        <v>1</v>
      </c>
      <c r="I337">
        <v>300</v>
      </c>
      <c r="J337">
        <v>18.63</v>
      </c>
      <c r="K337" s="2">
        <v>45231</v>
      </c>
      <c r="L337" t="str">
        <f>IF(ISBLANK('[1]2.Diagnostic Analysis'!K337),"Unknown",'[1]2.Diagnostic Analysis'!K337)</f>
        <v>Delivered</v>
      </c>
    </row>
    <row r="338" spans="1:12" x14ac:dyDescent="0.25">
      <c r="A338" t="s">
        <v>189</v>
      </c>
      <c r="B338" t="s">
        <v>13</v>
      </c>
      <c r="C338" t="str">
        <f>IF(ISBLANK('[1]2.Diagnostic Analysis'!C338),"Unknown",'[1]2.Diagnostic Analysis'!C338)</f>
        <v>South</v>
      </c>
      <c r="D338" t="s">
        <v>40</v>
      </c>
      <c r="E338" t="s">
        <v>15</v>
      </c>
      <c r="F338">
        <f>IF(ISBLANK('[1]2.Diagnostic Analysis'!D338),'[1]2.Diagnostic Analysis'!$Q$3,'[1]2.Diagnostic Analysis'!D338)</f>
        <v>69</v>
      </c>
      <c r="G338">
        <v>800</v>
      </c>
      <c r="H338">
        <v>3</v>
      </c>
      <c r="I338">
        <v>2400</v>
      </c>
      <c r="J338">
        <v>5.26</v>
      </c>
      <c r="K338" s="2">
        <v>45206</v>
      </c>
      <c r="L338" t="str">
        <f>IF(ISBLANK('[1]2.Diagnostic Analysis'!K338),"Unknown",'[1]2.Diagnostic Analysis'!K338)</f>
        <v>Unknown</v>
      </c>
    </row>
    <row r="339" spans="1:12" x14ac:dyDescent="0.25">
      <c r="A339" t="s">
        <v>226</v>
      </c>
      <c r="B339" t="s">
        <v>20</v>
      </c>
      <c r="C339" t="str">
        <f>IF(ISBLANK('[1]2.Diagnostic Analysis'!C339),"Unknown",'[1]2.Diagnostic Analysis'!C339)</f>
        <v>South</v>
      </c>
      <c r="D339" t="s">
        <v>30</v>
      </c>
      <c r="E339" t="s">
        <v>18</v>
      </c>
      <c r="F339">
        <f>IF(ISBLANK('[1]2.Diagnostic Analysis'!D339),'[1]2.Diagnostic Analysis'!$Q$3,'[1]2.Diagnostic Analysis'!D339)</f>
        <v>33</v>
      </c>
      <c r="G339">
        <v>30</v>
      </c>
      <c r="H339">
        <v>2</v>
      </c>
      <c r="I339">
        <v>60</v>
      </c>
      <c r="J339">
        <v>15.69</v>
      </c>
      <c r="K339" s="2">
        <v>45220</v>
      </c>
      <c r="L339" t="str">
        <f>IF(ISBLANK('[1]2.Diagnostic Analysis'!K339),"Unknown",'[1]2.Diagnostic Analysis'!K339)</f>
        <v>Delivered</v>
      </c>
    </row>
    <row r="340" spans="1:12" x14ac:dyDescent="0.25">
      <c r="A340" t="s">
        <v>153</v>
      </c>
      <c r="B340" t="s">
        <v>20</v>
      </c>
      <c r="C340" t="str">
        <f>IF(ISBLANK('[1]2.Diagnostic Analysis'!C340),"Unknown",'[1]2.Diagnostic Analysis'!C340)</f>
        <v>West</v>
      </c>
      <c r="D340" t="s">
        <v>14</v>
      </c>
      <c r="E340" t="s">
        <v>15</v>
      </c>
      <c r="F340">
        <f>IF(ISBLANK('[1]2.Diagnostic Analysis'!D340),'[1]2.Diagnostic Analysis'!$Q$3,'[1]2.Diagnostic Analysis'!D340)</f>
        <v>43</v>
      </c>
      <c r="G340">
        <v>300</v>
      </c>
      <c r="H340">
        <v>3</v>
      </c>
      <c r="I340">
        <v>900</v>
      </c>
      <c r="J340">
        <v>8.58</v>
      </c>
      <c r="K340" s="2">
        <v>45232</v>
      </c>
      <c r="L340" t="str">
        <f>IF(ISBLANK('[1]2.Diagnostic Analysis'!K340),"Unknown",'[1]2.Diagnostic Analysis'!K340)</f>
        <v>Returned</v>
      </c>
    </row>
    <row r="341" spans="1:12" x14ac:dyDescent="0.25">
      <c r="A341" t="s">
        <v>100</v>
      </c>
      <c r="B341" t="s">
        <v>20</v>
      </c>
      <c r="C341" t="str">
        <f>IF(ISBLANK('[1]2.Diagnostic Analysis'!C341),"Unknown",'[1]2.Diagnostic Analysis'!C341)</f>
        <v>South</v>
      </c>
      <c r="D341" t="s">
        <v>17</v>
      </c>
      <c r="E341" t="s">
        <v>18</v>
      </c>
      <c r="F341">
        <f>IF(ISBLANK('[1]2.Diagnostic Analysis'!D341),'[1]2.Diagnostic Analysis'!$Q$3,'[1]2.Diagnostic Analysis'!D341)</f>
        <v>48</v>
      </c>
      <c r="G341">
        <v>207.30404083244301</v>
      </c>
      <c r="H341">
        <v>1</v>
      </c>
      <c r="I341">
        <v>100</v>
      </c>
      <c r="J341">
        <v>9.5500000000000007</v>
      </c>
      <c r="K341" s="2">
        <v>44949</v>
      </c>
      <c r="L341" t="str">
        <f>IF(ISBLANK('[1]2.Diagnostic Analysis'!K341),"Unknown",'[1]2.Diagnostic Analysis'!K341)</f>
        <v>Delivered</v>
      </c>
    </row>
    <row r="342" spans="1:12" x14ac:dyDescent="0.25">
      <c r="A342" t="s">
        <v>49</v>
      </c>
      <c r="B342" t="s">
        <v>13</v>
      </c>
      <c r="C342" t="str">
        <f>IF(ISBLANK('[1]2.Diagnostic Analysis'!C342),"Unknown",'[1]2.Diagnostic Analysis'!C342)</f>
        <v>Unknown</v>
      </c>
      <c r="D342" t="s">
        <v>29</v>
      </c>
      <c r="E342" t="s">
        <v>18</v>
      </c>
      <c r="F342">
        <f>IF(ISBLANK('[1]2.Diagnostic Analysis'!D342),'[1]2.Diagnostic Analysis'!$Q$3,'[1]2.Diagnostic Analysis'!D342)</f>
        <v>25</v>
      </c>
      <c r="G342">
        <v>50</v>
      </c>
      <c r="H342">
        <v>3</v>
      </c>
      <c r="I342">
        <v>150</v>
      </c>
      <c r="J342">
        <v>11.95</v>
      </c>
      <c r="K342" s="2">
        <v>45217</v>
      </c>
      <c r="L342" t="str">
        <f>IF(ISBLANK('[1]2.Diagnostic Analysis'!K342),"Unknown",'[1]2.Diagnostic Analysis'!K342)</f>
        <v>Returned</v>
      </c>
    </row>
    <row r="343" spans="1:12" x14ac:dyDescent="0.25">
      <c r="A343" t="s">
        <v>210</v>
      </c>
      <c r="B343" t="s">
        <v>20</v>
      </c>
      <c r="C343" t="str">
        <f>IF(ISBLANK('[1]2.Diagnostic Analysis'!C343),"Unknown",'[1]2.Diagnostic Analysis'!C343)</f>
        <v>South</v>
      </c>
      <c r="D343" t="s">
        <v>40</v>
      </c>
      <c r="E343" t="s">
        <v>15</v>
      </c>
      <c r="F343">
        <f>IF(ISBLANK('[1]2.Diagnostic Analysis'!D343),'[1]2.Diagnostic Analysis'!$Q$3,'[1]2.Diagnostic Analysis'!D343)</f>
        <v>54</v>
      </c>
      <c r="G343">
        <v>800</v>
      </c>
      <c r="H343">
        <v>4</v>
      </c>
      <c r="I343">
        <v>3200</v>
      </c>
      <c r="J343">
        <v>7.86</v>
      </c>
      <c r="K343" s="2">
        <v>45145</v>
      </c>
      <c r="L343" t="str">
        <f>IF(ISBLANK('[1]2.Diagnostic Analysis'!K343),"Unknown",'[1]2.Diagnostic Analysis'!K343)</f>
        <v>Returned</v>
      </c>
    </row>
    <row r="344" spans="1:12" x14ac:dyDescent="0.25">
      <c r="A344" t="s">
        <v>65</v>
      </c>
      <c r="B344" t="s">
        <v>13</v>
      </c>
      <c r="C344" t="str">
        <f>IF(ISBLANK('[1]2.Diagnostic Analysis'!C344),"Unknown",'[1]2.Diagnostic Analysis'!C344)</f>
        <v>South</v>
      </c>
      <c r="D344" t="s">
        <v>14</v>
      </c>
      <c r="E344" t="s">
        <v>15</v>
      </c>
      <c r="F344">
        <f>IF(ISBLANK('[1]2.Diagnostic Analysis'!D344),'[1]2.Diagnostic Analysis'!$Q$3,'[1]2.Diagnostic Analysis'!D344)</f>
        <v>38</v>
      </c>
      <c r="G344">
        <v>300</v>
      </c>
      <c r="H344">
        <v>5</v>
      </c>
      <c r="I344">
        <v>1500</v>
      </c>
      <c r="J344">
        <v>12.67</v>
      </c>
      <c r="K344" s="2">
        <v>44931</v>
      </c>
      <c r="L344" t="str">
        <f>IF(ISBLANK('[1]2.Diagnostic Analysis'!K344),"Unknown",'[1]2.Diagnostic Analysis'!K344)</f>
        <v>In Transit</v>
      </c>
    </row>
    <row r="345" spans="1:12" x14ac:dyDescent="0.25">
      <c r="A345" t="s">
        <v>145</v>
      </c>
      <c r="B345" t="s">
        <v>20</v>
      </c>
      <c r="C345" t="str">
        <f>IF(ISBLANK('[1]2.Diagnostic Analysis'!C345),"Unknown",'[1]2.Diagnostic Analysis'!C345)</f>
        <v>South</v>
      </c>
      <c r="D345" t="s">
        <v>14</v>
      </c>
      <c r="E345" t="s">
        <v>15</v>
      </c>
      <c r="F345">
        <f>IF(ISBLANK('[1]2.Diagnostic Analysis'!D345),'[1]2.Diagnostic Analysis'!$Q$3,'[1]2.Diagnostic Analysis'!D345)</f>
        <v>30</v>
      </c>
      <c r="G345">
        <v>300</v>
      </c>
      <c r="H345">
        <v>2</v>
      </c>
      <c r="I345">
        <v>600</v>
      </c>
      <c r="J345">
        <v>16.309999999999999</v>
      </c>
      <c r="K345" s="2">
        <v>45132</v>
      </c>
      <c r="L345" t="str">
        <f>IF(ISBLANK('[1]2.Diagnostic Analysis'!K345),"Unknown",'[1]2.Diagnostic Analysis'!K345)</f>
        <v>Delivered</v>
      </c>
    </row>
    <row r="346" spans="1:12" x14ac:dyDescent="0.25">
      <c r="A346" t="s">
        <v>197</v>
      </c>
      <c r="B346" t="s">
        <v>20</v>
      </c>
      <c r="C346" t="str">
        <f>IF(ISBLANK('[1]2.Diagnostic Analysis'!C346),"Unknown",'[1]2.Diagnostic Analysis'!C346)</f>
        <v>South</v>
      </c>
      <c r="D346" t="s">
        <v>25</v>
      </c>
      <c r="E346" t="s">
        <v>26</v>
      </c>
      <c r="F346">
        <f>IF(ISBLANK('[1]2.Diagnostic Analysis'!D346),'[1]2.Diagnostic Analysis'!$Q$3,'[1]2.Diagnostic Analysis'!D346)</f>
        <v>45</v>
      </c>
      <c r="G346">
        <v>200</v>
      </c>
      <c r="H346">
        <v>3</v>
      </c>
      <c r="I346">
        <v>600</v>
      </c>
      <c r="J346">
        <v>18.239999999999998</v>
      </c>
      <c r="K346" s="2">
        <v>45255</v>
      </c>
      <c r="L346" t="str">
        <f>IF(ISBLANK('[1]2.Diagnostic Analysis'!K346),"Unknown",'[1]2.Diagnostic Analysis'!K346)</f>
        <v>Returned</v>
      </c>
    </row>
    <row r="347" spans="1:12" x14ac:dyDescent="0.25">
      <c r="A347" t="s">
        <v>188</v>
      </c>
      <c r="B347" t="s">
        <v>13</v>
      </c>
      <c r="C347" t="str">
        <f>IF(ISBLANK('[1]2.Diagnostic Analysis'!C347),"Unknown",'[1]2.Diagnostic Analysis'!C347)</f>
        <v>North</v>
      </c>
      <c r="D347" t="s">
        <v>30</v>
      </c>
      <c r="E347" t="s">
        <v>18</v>
      </c>
      <c r="F347">
        <f>IF(ISBLANK('[1]2.Diagnostic Analysis'!D347),'[1]2.Diagnostic Analysis'!$Q$3,'[1]2.Diagnostic Analysis'!D347)</f>
        <v>52</v>
      </c>
      <c r="G347">
        <v>30</v>
      </c>
      <c r="H347">
        <v>3</v>
      </c>
      <c r="I347">
        <v>90</v>
      </c>
      <c r="J347">
        <v>11.88</v>
      </c>
      <c r="K347" s="2">
        <v>45064</v>
      </c>
      <c r="L347" t="str">
        <f>IF(ISBLANK('[1]2.Diagnostic Analysis'!K347),"Unknown",'[1]2.Diagnostic Analysis'!K347)</f>
        <v>Returned</v>
      </c>
    </row>
    <row r="348" spans="1:12" x14ac:dyDescent="0.25">
      <c r="A348" t="s">
        <v>227</v>
      </c>
      <c r="B348" t="s">
        <v>20</v>
      </c>
      <c r="C348" t="str">
        <f>IF(ISBLANK('[1]2.Diagnostic Analysis'!C348),"Unknown",'[1]2.Diagnostic Analysis'!C348)</f>
        <v>South</v>
      </c>
      <c r="D348" t="s">
        <v>30</v>
      </c>
      <c r="E348" t="s">
        <v>18</v>
      </c>
      <c r="F348">
        <f>IF(ISBLANK('[1]2.Diagnostic Analysis'!D348),'[1]2.Diagnostic Analysis'!$Q$3,'[1]2.Diagnostic Analysis'!D348)</f>
        <v>66</v>
      </c>
      <c r="G348">
        <v>30</v>
      </c>
      <c r="H348">
        <v>2</v>
      </c>
      <c r="I348">
        <v>60</v>
      </c>
      <c r="J348">
        <v>5.53</v>
      </c>
      <c r="K348" s="2">
        <v>45215</v>
      </c>
      <c r="L348" t="str">
        <f>IF(ISBLANK('[1]2.Diagnostic Analysis'!K348),"Unknown",'[1]2.Diagnostic Analysis'!K348)</f>
        <v>In Transit</v>
      </c>
    </row>
    <row r="349" spans="1:12" x14ac:dyDescent="0.25">
      <c r="A349" t="s">
        <v>78</v>
      </c>
      <c r="B349" t="s">
        <v>13</v>
      </c>
      <c r="C349" t="str">
        <f>IF(ISBLANK('[1]2.Diagnostic Analysis'!C349),"Unknown",'[1]2.Diagnostic Analysis'!C349)</f>
        <v>South</v>
      </c>
      <c r="D349" t="s">
        <v>25</v>
      </c>
      <c r="E349" t="s">
        <v>26</v>
      </c>
      <c r="F349">
        <f>IF(ISBLANK('[1]2.Diagnostic Analysis'!D349),'[1]2.Diagnostic Analysis'!$Q$3,'[1]2.Diagnostic Analysis'!D349)</f>
        <v>67</v>
      </c>
      <c r="G349">
        <v>200</v>
      </c>
      <c r="H349">
        <v>3</v>
      </c>
      <c r="I349">
        <v>600</v>
      </c>
      <c r="J349">
        <v>8.01</v>
      </c>
      <c r="K349" s="2">
        <v>45012</v>
      </c>
      <c r="L349" t="str">
        <f>IF(ISBLANK('[1]2.Diagnostic Analysis'!K349),"Unknown",'[1]2.Diagnostic Analysis'!K349)</f>
        <v>Delivered</v>
      </c>
    </row>
    <row r="350" spans="1:12" x14ac:dyDescent="0.25">
      <c r="A350" t="s">
        <v>228</v>
      </c>
      <c r="B350" t="s">
        <v>20</v>
      </c>
      <c r="C350" t="str">
        <f>IF(ISBLANK('[1]2.Diagnostic Analysis'!C350),"Unknown",'[1]2.Diagnostic Analysis'!C350)</f>
        <v>South</v>
      </c>
      <c r="D350" t="s">
        <v>30</v>
      </c>
      <c r="E350" t="s">
        <v>18</v>
      </c>
      <c r="F350">
        <f>IF(ISBLANK('[1]2.Diagnostic Analysis'!D350),'[1]2.Diagnostic Analysis'!$Q$3,'[1]2.Diagnostic Analysis'!D350)</f>
        <v>22</v>
      </c>
      <c r="G350">
        <v>30</v>
      </c>
      <c r="H350">
        <v>4</v>
      </c>
      <c r="I350">
        <v>120</v>
      </c>
      <c r="J350">
        <v>19.239999999999998</v>
      </c>
      <c r="K350" s="2">
        <v>45224</v>
      </c>
      <c r="L350" t="str">
        <f>IF(ISBLANK('[1]2.Diagnostic Analysis'!K350),"Unknown",'[1]2.Diagnostic Analysis'!K350)</f>
        <v>In Transit</v>
      </c>
    </row>
    <row r="351" spans="1:12" x14ac:dyDescent="0.25">
      <c r="A351" t="s">
        <v>32</v>
      </c>
      <c r="B351" t="s">
        <v>13</v>
      </c>
      <c r="C351" t="str">
        <f>IF(ISBLANK('[1]2.Diagnostic Analysis'!C351),"Unknown",'[1]2.Diagnostic Analysis'!C351)</f>
        <v>West</v>
      </c>
      <c r="D351" t="s">
        <v>14</v>
      </c>
      <c r="E351" t="s">
        <v>15</v>
      </c>
      <c r="F351">
        <f>IF(ISBLANK('[1]2.Diagnostic Analysis'!D351),'[1]2.Diagnostic Analysis'!$Q$3,'[1]2.Diagnostic Analysis'!D351)</f>
        <v>49</v>
      </c>
      <c r="G351">
        <v>300</v>
      </c>
      <c r="H351">
        <v>2</v>
      </c>
      <c r="I351">
        <v>600</v>
      </c>
      <c r="J351">
        <v>7</v>
      </c>
      <c r="K351" s="2">
        <v>45190</v>
      </c>
      <c r="L351" t="str">
        <f>IF(ISBLANK('[1]2.Diagnostic Analysis'!K351),"Unknown",'[1]2.Diagnostic Analysis'!K351)</f>
        <v>In Transit</v>
      </c>
    </row>
    <row r="352" spans="1:12" x14ac:dyDescent="0.25">
      <c r="A352" t="s">
        <v>229</v>
      </c>
      <c r="B352" t="s">
        <v>13</v>
      </c>
      <c r="C352" t="str">
        <f>IF(ISBLANK('[1]2.Diagnostic Analysis'!C352),"Unknown",'[1]2.Diagnostic Analysis'!C352)</f>
        <v>South</v>
      </c>
      <c r="D352" t="s">
        <v>25</v>
      </c>
      <c r="E352" t="s">
        <v>26</v>
      </c>
      <c r="F352">
        <f>IF(ISBLANK('[1]2.Diagnostic Analysis'!D352),'[1]2.Diagnostic Analysis'!$Q$3,'[1]2.Diagnostic Analysis'!D352)</f>
        <v>65</v>
      </c>
      <c r="G352">
        <v>200</v>
      </c>
      <c r="H352">
        <v>3</v>
      </c>
      <c r="I352">
        <v>600</v>
      </c>
      <c r="J352">
        <v>6.94</v>
      </c>
      <c r="K352" s="2">
        <v>45294</v>
      </c>
      <c r="L352" t="str">
        <f>IF(ISBLANK('[1]2.Diagnostic Analysis'!K352),"Unknown",'[1]2.Diagnostic Analysis'!K352)</f>
        <v>In Transit</v>
      </c>
    </row>
    <row r="353" spans="1:12" x14ac:dyDescent="0.25">
      <c r="A353" t="s">
        <v>126</v>
      </c>
      <c r="B353" t="s">
        <v>20</v>
      </c>
      <c r="C353" t="str">
        <f>IF(ISBLANK('[1]2.Diagnostic Analysis'!C353),"Unknown",'[1]2.Diagnostic Analysis'!C353)</f>
        <v>East</v>
      </c>
      <c r="D353" t="s">
        <v>23</v>
      </c>
      <c r="E353" t="s">
        <v>15</v>
      </c>
      <c r="F353">
        <f>IF(ISBLANK('[1]2.Diagnostic Analysis'!D353),'[1]2.Diagnostic Analysis'!$Q$3,'[1]2.Diagnostic Analysis'!D353)</f>
        <v>49</v>
      </c>
      <c r="G353">
        <v>1500</v>
      </c>
      <c r="H353">
        <v>1</v>
      </c>
      <c r="I353">
        <v>1500</v>
      </c>
      <c r="J353">
        <v>6.62</v>
      </c>
      <c r="K353" s="2">
        <v>44979</v>
      </c>
      <c r="L353" t="str">
        <f>IF(ISBLANK('[1]2.Diagnostic Analysis'!K353),"Unknown",'[1]2.Diagnostic Analysis'!K353)</f>
        <v>Delivered</v>
      </c>
    </row>
    <row r="354" spans="1:12" x14ac:dyDescent="0.25">
      <c r="A354" t="s">
        <v>113</v>
      </c>
      <c r="B354" t="s">
        <v>20</v>
      </c>
      <c r="C354" t="str">
        <f>IF(ISBLANK('[1]2.Diagnostic Analysis'!C354),"Unknown",'[1]2.Diagnostic Analysis'!C354)</f>
        <v>North</v>
      </c>
      <c r="D354" t="s">
        <v>14</v>
      </c>
      <c r="E354" t="s">
        <v>15</v>
      </c>
      <c r="F354">
        <f>IF(ISBLANK('[1]2.Diagnostic Analysis'!D354),'[1]2.Diagnostic Analysis'!$Q$3,'[1]2.Diagnostic Analysis'!D354)</f>
        <v>63</v>
      </c>
      <c r="G354">
        <v>300</v>
      </c>
      <c r="H354">
        <v>3</v>
      </c>
      <c r="I354">
        <v>900</v>
      </c>
      <c r="J354">
        <v>19.87</v>
      </c>
      <c r="K354" s="2">
        <v>45161</v>
      </c>
      <c r="L354" t="str">
        <f>IF(ISBLANK('[1]2.Diagnostic Analysis'!K354),"Unknown",'[1]2.Diagnostic Analysis'!K354)</f>
        <v>Delivered</v>
      </c>
    </row>
    <row r="355" spans="1:12" x14ac:dyDescent="0.25">
      <c r="A355" t="s">
        <v>66</v>
      </c>
      <c r="B355" t="s">
        <v>13</v>
      </c>
      <c r="C355" t="str">
        <f>IF(ISBLANK('[1]2.Diagnostic Analysis'!C355),"Unknown",'[1]2.Diagnostic Analysis'!C355)</f>
        <v>South</v>
      </c>
      <c r="D355" t="s">
        <v>29</v>
      </c>
      <c r="E355" t="s">
        <v>18</v>
      </c>
      <c r="F355">
        <f>IF(ISBLANK('[1]2.Diagnostic Analysis'!D355),'[1]2.Diagnostic Analysis'!$Q$3,'[1]2.Diagnostic Analysis'!D355)</f>
        <v>44</v>
      </c>
      <c r="G355">
        <v>50</v>
      </c>
      <c r="H355">
        <v>2</v>
      </c>
      <c r="I355">
        <v>100</v>
      </c>
      <c r="J355">
        <v>10.09</v>
      </c>
      <c r="K355" s="2">
        <v>45139</v>
      </c>
      <c r="L355" t="str">
        <f>IF(ISBLANK('[1]2.Diagnostic Analysis'!K355),"Unknown",'[1]2.Diagnostic Analysis'!K355)</f>
        <v>Delivered</v>
      </c>
    </row>
    <row r="356" spans="1:12" x14ac:dyDescent="0.25">
      <c r="A356" t="s">
        <v>230</v>
      </c>
      <c r="B356" t="s">
        <v>20</v>
      </c>
      <c r="C356" t="str">
        <f>IF(ISBLANK('[1]2.Diagnostic Analysis'!C356),"Unknown",'[1]2.Diagnostic Analysis'!C356)</f>
        <v>East</v>
      </c>
      <c r="D356" t="s">
        <v>14</v>
      </c>
      <c r="E356" t="s">
        <v>15</v>
      </c>
      <c r="F356">
        <f>IF(ISBLANK('[1]2.Diagnostic Analysis'!D356),'[1]2.Diagnostic Analysis'!$Q$3,'[1]2.Diagnostic Analysis'!D356)</f>
        <v>42</v>
      </c>
      <c r="G356">
        <v>300</v>
      </c>
      <c r="H356">
        <v>2</v>
      </c>
      <c r="I356">
        <v>600</v>
      </c>
      <c r="J356">
        <v>6.22</v>
      </c>
      <c r="K356" s="2">
        <v>45144</v>
      </c>
      <c r="L356" t="str">
        <f>IF(ISBLANK('[1]2.Diagnostic Analysis'!K356),"Unknown",'[1]2.Diagnostic Analysis'!K356)</f>
        <v>In Transit</v>
      </c>
    </row>
    <row r="357" spans="1:12" x14ac:dyDescent="0.25">
      <c r="A357" t="s">
        <v>138</v>
      </c>
      <c r="B357" t="s">
        <v>13</v>
      </c>
      <c r="C357" t="str">
        <f>IF(ISBLANK('[1]2.Diagnostic Analysis'!C357),"Unknown",'[1]2.Diagnostic Analysis'!C357)</f>
        <v>West</v>
      </c>
      <c r="D357" t="s">
        <v>23</v>
      </c>
      <c r="E357" t="s">
        <v>15</v>
      </c>
      <c r="F357">
        <f>IF(ISBLANK('[1]2.Diagnostic Analysis'!D357),'[1]2.Diagnostic Analysis'!$Q$3,'[1]2.Diagnostic Analysis'!D357)</f>
        <v>49</v>
      </c>
      <c r="G357">
        <v>1500</v>
      </c>
      <c r="H357">
        <v>4</v>
      </c>
      <c r="I357">
        <v>6000</v>
      </c>
      <c r="J357">
        <v>7.66</v>
      </c>
      <c r="K357" s="2">
        <v>44927</v>
      </c>
      <c r="L357" t="str">
        <f>IF(ISBLANK('[1]2.Diagnostic Analysis'!K357),"Unknown",'[1]2.Diagnostic Analysis'!K357)</f>
        <v>Returned</v>
      </c>
    </row>
    <row r="358" spans="1:12" x14ac:dyDescent="0.25">
      <c r="A358" t="s">
        <v>80</v>
      </c>
      <c r="B358" t="s">
        <v>13</v>
      </c>
      <c r="C358" t="str">
        <f>IF(ISBLANK('[1]2.Diagnostic Analysis'!C358),"Unknown",'[1]2.Diagnostic Analysis'!C358)</f>
        <v>East</v>
      </c>
      <c r="D358" t="s">
        <v>40</v>
      </c>
      <c r="E358" t="s">
        <v>15</v>
      </c>
      <c r="F358">
        <f>IF(ISBLANK('[1]2.Diagnostic Analysis'!D358),'[1]2.Diagnostic Analysis'!$Q$3,'[1]2.Diagnostic Analysis'!D358)</f>
        <v>64</v>
      </c>
      <c r="G358">
        <v>800</v>
      </c>
      <c r="H358">
        <v>4</v>
      </c>
      <c r="I358">
        <v>3200</v>
      </c>
      <c r="J358">
        <v>5.82</v>
      </c>
      <c r="K358" s="2">
        <v>45201</v>
      </c>
      <c r="L358" t="str">
        <f>IF(ISBLANK('[1]2.Diagnostic Analysis'!K358),"Unknown",'[1]2.Diagnostic Analysis'!K358)</f>
        <v>Returned</v>
      </c>
    </row>
    <row r="359" spans="1:12" x14ac:dyDescent="0.25">
      <c r="A359" t="s">
        <v>174</v>
      </c>
      <c r="B359" t="s">
        <v>13</v>
      </c>
      <c r="C359" t="str">
        <f>IF(ISBLANK('[1]2.Diagnostic Analysis'!C359),"Unknown",'[1]2.Diagnostic Analysis'!C359)</f>
        <v>East</v>
      </c>
      <c r="D359" t="s">
        <v>14</v>
      </c>
      <c r="E359" t="s">
        <v>15</v>
      </c>
      <c r="F359">
        <f>IF(ISBLANK('[1]2.Diagnostic Analysis'!D359),'[1]2.Diagnostic Analysis'!$Q$3,'[1]2.Diagnostic Analysis'!D359)</f>
        <v>54</v>
      </c>
      <c r="G359">
        <v>300</v>
      </c>
      <c r="H359">
        <v>4</v>
      </c>
      <c r="I359">
        <v>1200</v>
      </c>
      <c r="J359">
        <v>18.399999999999999</v>
      </c>
      <c r="K359" s="2">
        <v>45045</v>
      </c>
      <c r="L359" t="str">
        <f>IF(ISBLANK('[1]2.Diagnostic Analysis'!K359),"Unknown",'[1]2.Diagnostic Analysis'!K359)</f>
        <v>Delivered</v>
      </c>
    </row>
    <row r="360" spans="1:12" x14ac:dyDescent="0.25">
      <c r="A360" t="s">
        <v>173</v>
      </c>
      <c r="B360" t="s">
        <v>20</v>
      </c>
      <c r="C360" t="str">
        <f>IF(ISBLANK('[1]2.Diagnostic Analysis'!C360),"Unknown",'[1]2.Diagnostic Analysis'!C360)</f>
        <v>North</v>
      </c>
      <c r="D360" t="s">
        <v>25</v>
      </c>
      <c r="E360" t="s">
        <v>26</v>
      </c>
      <c r="F360">
        <f>IF(ISBLANK('[1]2.Diagnostic Analysis'!D360),'[1]2.Diagnostic Analysis'!$Q$3,'[1]2.Diagnostic Analysis'!D360)</f>
        <v>60</v>
      </c>
      <c r="G360">
        <v>200</v>
      </c>
      <c r="H360">
        <v>2</v>
      </c>
      <c r="I360">
        <v>400</v>
      </c>
      <c r="J360">
        <v>18.88</v>
      </c>
      <c r="K360" s="2">
        <v>45131</v>
      </c>
      <c r="L360" t="str">
        <f>IF(ISBLANK('[1]2.Diagnostic Analysis'!K360),"Unknown",'[1]2.Diagnostic Analysis'!K360)</f>
        <v>Delivered</v>
      </c>
    </row>
    <row r="361" spans="1:12" x14ac:dyDescent="0.25">
      <c r="A361" t="s">
        <v>188</v>
      </c>
      <c r="B361" t="s">
        <v>20</v>
      </c>
      <c r="C361" t="str">
        <f>IF(ISBLANK('[1]2.Diagnostic Analysis'!C361),"Unknown",'[1]2.Diagnostic Analysis'!C361)</f>
        <v>North</v>
      </c>
      <c r="D361" t="s">
        <v>25</v>
      </c>
      <c r="E361" t="s">
        <v>26</v>
      </c>
      <c r="F361">
        <f>IF(ISBLANK('[1]2.Diagnostic Analysis'!D361),'[1]2.Diagnostic Analysis'!$Q$3,'[1]2.Diagnostic Analysis'!D361)</f>
        <v>52</v>
      </c>
      <c r="G361">
        <v>200</v>
      </c>
      <c r="H361">
        <v>3</v>
      </c>
      <c r="I361">
        <v>600</v>
      </c>
      <c r="J361">
        <v>15.36</v>
      </c>
      <c r="K361" s="2">
        <v>45186</v>
      </c>
      <c r="L361" t="str">
        <f>IF(ISBLANK('[1]2.Diagnostic Analysis'!K361),"Unknown",'[1]2.Diagnostic Analysis'!K361)</f>
        <v>In Transit</v>
      </c>
    </row>
    <row r="362" spans="1:12" x14ac:dyDescent="0.25">
      <c r="A362" t="s">
        <v>140</v>
      </c>
      <c r="B362" t="s">
        <v>13</v>
      </c>
      <c r="C362" t="str">
        <f>IF(ISBLANK('[1]2.Diagnostic Analysis'!C362),"Unknown",'[1]2.Diagnostic Analysis'!C362)</f>
        <v>East</v>
      </c>
      <c r="D362" t="s">
        <v>14</v>
      </c>
      <c r="E362" t="s">
        <v>15</v>
      </c>
      <c r="F362">
        <f>IF(ISBLANK('[1]2.Diagnostic Analysis'!D362),'[1]2.Diagnostic Analysis'!$Q$3,'[1]2.Diagnostic Analysis'!D362)</f>
        <v>49</v>
      </c>
      <c r="G362">
        <v>300</v>
      </c>
      <c r="H362">
        <v>4</v>
      </c>
      <c r="I362">
        <v>1200</v>
      </c>
      <c r="J362">
        <v>16.88</v>
      </c>
      <c r="K362" s="2">
        <v>45195</v>
      </c>
      <c r="L362" t="str">
        <f>IF(ISBLANK('[1]2.Diagnostic Analysis'!K362),"Unknown",'[1]2.Diagnostic Analysis'!K362)</f>
        <v>In Transit</v>
      </c>
    </row>
    <row r="363" spans="1:12" x14ac:dyDescent="0.25">
      <c r="A363" t="s">
        <v>148</v>
      </c>
      <c r="B363" t="s">
        <v>13</v>
      </c>
      <c r="C363" t="str">
        <f>IF(ISBLANK('[1]2.Diagnostic Analysis'!C363),"Unknown",'[1]2.Diagnostic Analysis'!C363)</f>
        <v>South</v>
      </c>
      <c r="D363" t="s">
        <v>17</v>
      </c>
      <c r="E363" t="s">
        <v>18</v>
      </c>
      <c r="F363">
        <f>IF(ISBLANK('[1]2.Diagnostic Analysis'!D363),'[1]2.Diagnostic Analysis'!$Q$3,'[1]2.Diagnostic Analysis'!D363)</f>
        <v>56</v>
      </c>
      <c r="G363">
        <v>100</v>
      </c>
      <c r="H363">
        <v>4</v>
      </c>
      <c r="I363">
        <v>400</v>
      </c>
      <c r="J363">
        <v>19.940000000000001</v>
      </c>
      <c r="K363" s="2">
        <v>45084</v>
      </c>
      <c r="L363" t="str">
        <f>IF(ISBLANK('[1]2.Diagnostic Analysis'!K363),"Unknown",'[1]2.Diagnostic Analysis'!K363)</f>
        <v>In Transit</v>
      </c>
    </row>
    <row r="364" spans="1:12" x14ac:dyDescent="0.25">
      <c r="A364" t="s">
        <v>231</v>
      </c>
      <c r="B364" t="s">
        <v>20</v>
      </c>
      <c r="C364" t="str">
        <f>IF(ISBLANK('[1]2.Diagnostic Analysis'!C364),"Unknown",'[1]2.Diagnostic Analysis'!C364)</f>
        <v>North</v>
      </c>
      <c r="D364" t="s">
        <v>17</v>
      </c>
      <c r="E364" t="s">
        <v>18</v>
      </c>
      <c r="F364">
        <f>IF(ISBLANK('[1]2.Diagnostic Analysis'!D364),'[1]2.Diagnostic Analysis'!$Q$3,'[1]2.Diagnostic Analysis'!D364)</f>
        <v>64</v>
      </c>
      <c r="G364">
        <v>100</v>
      </c>
      <c r="H364">
        <v>1</v>
      </c>
      <c r="I364">
        <v>100</v>
      </c>
      <c r="J364">
        <v>10.32</v>
      </c>
      <c r="K364" s="2">
        <v>44997</v>
      </c>
      <c r="L364" t="str">
        <f>IF(ISBLANK('[1]2.Diagnostic Analysis'!K364),"Unknown",'[1]2.Diagnostic Analysis'!K364)</f>
        <v>Delivered</v>
      </c>
    </row>
    <row r="365" spans="1:12" x14ac:dyDescent="0.25">
      <c r="A365" t="s">
        <v>232</v>
      </c>
      <c r="B365" t="s">
        <v>20</v>
      </c>
      <c r="C365" t="str">
        <f>IF(ISBLANK('[1]2.Diagnostic Analysis'!C365),"Unknown",'[1]2.Diagnostic Analysis'!C365)</f>
        <v>East</v>
      </c>
      <c r="D365" t="s">
        <v>29</v>
      </c>
      <c r="E365" t="s">
        <v>18</v>
      </c>
      <c r="F365">
        <f>IF(ISBLANK('[1]2.Diagnostic Analysis'!D365),'[1]2.Diagnostic Analysis'!$Q$3,'[1]2.Diagnostic Analysis'!D365)</f>
        <v>25</v>
      </c>
      <c r="G365">
        <v>50</v>
      </c>
      <c r="H365">
        <v>4</v>
      </c>
      <c r="I365">
        <v>200</v>
      </c>
      <c r="J365">
        <v>7.33</v>
      </c>
      <c r="K365" s="2">
        <v>45223</v>
      </c>
      <c r="L365" t="str">
        <f>IF(ISBLANK('[1]2.Diagnostic Analysis'!K365),"Unknown",'[1]2.Diagnostic Analysis'!K365)</f>
        <v>Delivered</v>
      </c>
    </row>
    <row r="366" spans="1:12" x14ac:dyDescent="0.25">
      <c r="A366" t="s">
        <v>85</v>
      </c>
      <c r="B366" t="s">
        <v>13</v>
      </c>
      <c r="C366" t="str">
        <f>IF(ISBLANK('[1]2.Diagnostic Analysis'!C366),"Unknown",'[1]2.Diagnostic Analysis'!C366)</f>
        <v>South</v>
      </c>
      <c r="D366" t="s">
        <v>40</v>
      </c>
      <c r="E366" t="s">
        <v>15</v>
      </c>
      <c r="F366">
        <f>IF(ISBLANK('[1]2.Diagnostic Analysis'!D366),'[1]2.Diagnostic Analysis'!$Q$3,'[1]2.Diagnostic Analysis'!D366)</f>
        <v>41</v>
      </c>
      <c r="G366">
        <v>800</v>
      </c>
      <c r="H366">
        <v>5</v>
      </c>
      <c r="I366">
        <v>4000</v>
      </c>
      <c r="J366">
        <v>6.41</v>
      </c>
      <c r="K366" s="2">
        <v>45261</v>
      </c>
      <c r="L366" t="str">
        <f>IF(ISBLANK('[1]2.Diagnostic Analysis'!K366),"Unknown",'[1]2.Diagnostic Analysis'!K366)</f>
        <v>In Transit</v>
      </c>
    </row>
    <row r="367" spans="1:12" x14ac:dyDescent="0.25">
      <c r="A367" t="s">
        <v>104</v>
      </c>
      <c r="B367" t="s">
        <v>13</v>
      </c>
      <c r="C367" t="str">
        <f>IF(ISBLANK('[1]2.Diagnostic Analysis'!C367),"Unknown",'[1]2.Diagnostic Analysis'!C367)</f>
        <v>West</v>
      </c>
      <c r="D367" t="s">
        <v>25</v>
      </c>
      <c r="E367" t="s">
        <v>26</v>
      </c>
      <c r="F367">
        <f>IF(ISBLANK('[1]2.Diagnostic Analysis'!D367),'[1]2.Diagnostic Analysis'!$Q$3,'[1]2.Diagnostic Analysis'!D367)</f>
        <v>69</v>
      </c>
      <c r="G367">
        <v>200</v>
      </c>
      <c r="H367">
        <v>1</v>
      </c>
      <c r="I367">
        <v>200</v>
      </c>
      <c r="J367">
        <v>12.86</v>
      </c>
      <c r="K367" s="2">
        <v>45154</v>
      </c>
      <c r="L367" t="str">
        <f>IF(ISBLANK('[1]2.Diagnostic Analysis'!K367),"Unknown",'[1]2.Diagnostic Analysis'!K367)</f>
        <v>In Transit</v>
      </c>
    </row>
    <row r="368" spans="1:12" x14ac:dyDescent="0.25">
      <c r="A368" t="s">
        <v>231</v>
      </c>
      <c r="B368" t="s">
        <v>20</v>
      </c>
      <c r="C368" t="str">
        <f>IF(ISBLANK('[1]2.Diagnostic Analysis'!C368),"Unknown",'[1]2.Diagnostic Analysis'!C368)</f>
        <v>North</v>
      </c>
      <c r="D368" t="s">
        <v>29</v>
      </c>
      <c r="E368" t="s">
        <v>18</v>
      </c>
      <c r="F368">
        <f>IF(ISBLANK('[1]2.Diagnostic Analysis'!D368),'[1]2.Diagnostic Analysis'!$Q$3,'[1]2.Diagnostic Analysis'!D368)</f>
        <v>64</v>
      </c>
      <c r="G368">
        <v>50</v>
      </c>
      <c r="H368">
        <v>1</v>
      </c>
      <c r="I368">
        <v>50</v>
      </c>
      <c r="J368">
        <v>13.13</v>
      </c>
      <c r="K368" s="2">
        <v>44970</v>
      </c>
      <c r="L368" t="str">
        <f>IF(ISBLANK('[1]2.Diagnostic Analysis'!K368),"Unknown",'[1]2.Diagnostic Analysis'!K368)</f>
        <v>In Transit</v>
      </c>
    </row>
    <row r="369" spans="1:12" x14ac:dyDescent="0.25">
      <c r="A369" t="s">
        <v>233</v>
      </c>
      <c r="B369" t="s">
        <v>20</v>
      </c>
      <c r="C369" t="str">
        <f>IF(ISBLANK('[1]2.Diagnostic Analysis'!C369),"Unknown",'[1]2.Diagnostic Analysis'!C369)</f>
        <v>Unknown</v>
      </c>
      <c r="D369" t="s">
        <v>30</v>
      </c>
      <c r="E369" t="s">
        <v>18</v>
      </c>
      <c r="F369">
        <f>IF(ISBLANK('[1]2.Diagnostic Analysis'!D369),'[1]2.Diagnostic Analysis'!$Q$3,'[1]2.Diagnostic Analysis'!D369)</f>
        <v>38</v>
      </c>
      <c r="G369">
        <v>30</v>
      </c>
      <c r="H369">
        <v>2</v>
      </c>
      <c r="I369">
        <v>60</v>
      </c>
      <c r="J369">
        <v>17.21</v>
      </c>
      <c r="K369" s="2">
        <v>45258</v>
      </c>
      <c r="L369" t="str">
        <f>IF(ISBLANK('[1]2.Diagnostic Analysis'!K369),"Unknown",'[1]2.Diagnostic Analysis'!K369)</f>
        <v>In Transit</v>
      </c>
    </row>
    <row r="370" spans="1:12" x14ac:dyDescent="0.25">
      <c r="A370" t="s">
        <v>234</v>
      </c>
      <c r="B370" t="s">
        <v>13</v>
      </c>
      <c r="C370" t="str">
        <f>IF(ISBLANK('[1]2.Diagnostic Analysis'!C370),"Unknown",'[1]2.Diagnostic Analysis'!C370)</f>
        <v>North</v>
      </c>
      <c r="D370" t="s">
        <v>23</v>
      </c>
      <c r="E370" t="s">
        <v>15</v>
      </c>
      <c r="F370">
        <f>IF(ISBLANK('[1]2.Diagnostic Analysis'!D370),'[1]2.Diagnostic Analysis'!$Q$3,'[1]2.Diagnostic Analysis'!D370)</f>
        <v>18</v>
      </c>
      <c r="G370">
        <v>1500</v>
      </c>
      <c r="H370">
        <v>2</v>
      </c>
      <c r="I370">
        <v>3000</v>
      </c>
      <c r="J370">
        <v>7.81</v>
      </c>
      <c r="K370" s="2">
        <v>45099</v>
      </c>
      <c r="L370" t="str">
        <f>IF(ISBLANK('[1]2.Diagnostic Analysis'!K370),"Unknown",'[1]2.Diagnostic Analysis'!K370)</f>
        <v>Returned</v>
      </c>
    </row>
    <row r="371" spans="1:12" x14ac:dyDescent="0.25">
      <c r="A371" t="s">
        <v>157</v>
      </c>
      <c r="B371" t="s">
        <v>20</v>
      </c>
      <c r="C371" t="str">
        <f>IF(ISBLANK('[1]2.Diagnostic Analysis'!C371),"Unknown",'[1]2.Diagnostic Analysis'!C371)</f>
        <v>South</v>
      </c>
      <c r="D371" t="s">
        <v>30</v>
      </c>
      <c r="E371" t="s">
        <v>18</v>
      </c>
      <c r="F371">
        <f>IF(ISBLANK('[1]2.Diagnostic Analysis'!D371),'[1]2.Diagnostic Analysis'!$Q$3,'[1]2.Diagnostic Analysis'!D371)</f>
        <v>56</v>
      </c>
      <c r="G371">
        <v>30</v>
      </c>
      <c r="H371">
        <v>5</v>
      </c>
      <c r="I371">
        <v>150</v>
      </c>
      <c r="J371">
        <v>5.44</v>
      </c>
      <c r="K371" s="2">
        <v>45100</v>
      </c>
      <c r="L371" t="str">
        <f>IF(ISBLANK('[1]2.Diagnostic Analysis'!K371),"Unknown",'[1]2.Diagnostic Analysis'!K371)</f>
        <v>In Transit</v>
      </c>
    </row>
    <row r="372" spans="1:12" x14ac:dyDescent="0.25">
      <c r="A372" t="s">
        <v>211</v>
      </c>
      <c r="B372" t="s">
        <v>20</v>
      </c>
      <c r="C372" t="str">
        <f>IF(ISBLANK('[1]2.Diagnostic Analysis'!C372),"Unknown",'[1]2.Diagnostic Analysis'!C372)</f>
        <v>East</v>
      </c>
      <c r="D372" t="s">
        <v>40</v>
      </c>
      <c r="E372" t="s">
        <v>15</v>
      </c>
      <c r="F372">
        <f>IF(ISBLANK('[1]2.Diagnostic Analysis'!D372),'[1]2.Diagnostic Analysis'!$Q$3,'[1]2.Diagnostic Analysis'!D372)</f>
        <v>66</v>
      </c>
      <c r="G372">
        <v>800</v>
      </c>
      <c r="H372">
        <v>3</v>
      </c>
      <c r="I372">
        <v>2400</v>
      </c>
      <c r="J372">
        <v>19.63</v>
      </c>
      <c r="K372" s="2">
        <v>45135</v>
      </c>
      <c r="L372" t="str">
        <f>IF(ISBLANK('[1]2.Diagnostic Analysis'!K372),"Unknown",'[1]2.Diagnostic Analysis'!K372)</f>
        <v>Delivered</v>
      </c>
    </row>
    <row r="373" spans="1:12" x14ac:dyDescent="0.25">
      <c r="A373" t="s">
        <v>235</v>
      </c>
      <c r="B373" t="s">
        <v>13</v>
      </c>
      <c r="C373" t="str">
        <f>IF(ISBLANK('[1]2.Diagnostic Analysis'!C373),"Unknown",'[1]2.Diagnostic Analysis'!C373)</f>
        <v>North</v>
      </c>
      <c r="D373" t="s">
        <v>40</v>
      </c>
      <c r="E373" t="s">
        <v>15</v>
      </c>
      <c r="F373">
        <f>IF(ISBLANK('[1]2.Diagnostic Analysis'!D373),'[1]2.Diagnostic Analysis'!$Q$3,'[1]2.Diagnostic Analysis'!D373)</f>
        <v>49</v>
      </c>
      <c r="G373">
        <v>800</v>
      </c>
      <c r="H373">
        <v>1</v>
      </c>
      <c r="I373">
        <v>800</v>
      </c>
      <c r="J373">
        <v>15.79</v>
      </c>
      <c r="K373" s="2">
        <v>45229</v>
      </c>
      <c r="L373" t="str">
        <f>IF(ISBLANK('[1]2.Diagnostic Analysis'!K373),"Unknown",'[1]2.Diagnostic Analysis'!K373)</f>
        <v>In Transit</v>
      </c>
    </row>
    <row r="374" spans="1:12" x14ac:dyDescent="0.25">
      <c r="A374" t="s">
        <v>73</v>
      </c>
      <c r="B374" t="s">
        <v>20</v>
      </c>
      <c r="C374" t="str">
        <f>IF(ISBLANK('[1]2.Diagnostic Analysis'!C374),"Unknown",'[1]2.Diagnostic Analysis'!C374)</f>
        <v>South</v>
      </c>
      <c r="D374" t="s">
        <v>23</v>
      </c>
      <c r="E374" t="s">
        <v>15</v>
      </c>
      <c r="F374">
        <f>IF(ISBLANK('[1]2.Diagnostic Analysis'!D374),'[1]2.Diagnostic Analysis'!$Q$3,'[1]2.Diagnostic Analysis'!D374)</f>
        <v>51</v>
      </c>
      <c r="G374">
        <v>1500</v>
      </c>
      <c r="H374">
        <v>3</v>
      </c>
      <c r="I374">
        <v>4500</v>
      </c>
      <c r="J374">
        <v>5.72</v>
      </c>
      <c r="K374" s="2">
        <v>45240</v>
      </c>
      <c r="L374" t="str">
        <f>IF(ISBLANK('[1]2.Diagnostic Analysis'!K374),"Unknown",'[1]2.Diagnostic Analysis'!K374)</f>
        <v>In Transit</v>
      </c>
    </row>
    <row r="375" spans="1:12" x14ac:dyDescent="0.25">
      <c r="A375" t="s">
        <v>62</v>
      </c>
      <c r="B375" t="s">
        <v>20</v>
      </c>
      <c r="C375" t="str">
        <f>IF(ISBLANK('[1]2.Diagnostic Analysis'!C375),"Unknown",'[1]2.Diagnostic Analysis'!C375)</f>
        <v>West</v>
      </c>
      <c r="D375" t="s">
        <v>25</v>
      </c>
      <c r="E375" t="s">
        <v>26</v>
      </c>
      <c r="F375">
        <f>IF(ISBLANK('[1]2.Diagnostic Analysis'!D375),'[1]2.Diagnostic Analysis'!$Q$3,'[1]2.Diagnostic Analysis'!D375)</f>
        <v>58</v>
      </c>
      <c r="G375">
        <v>200</v>
      </c>
      <c r="H375">
        <v>3</v>
      </c>
      <c r="I375">
        <v>600</v>
      </c>
      <c r="J375">
        <v>9.69</v>
      </c>
      <c r="K375" s="2">
        <v>45294</v>
      </c>
      <c r="L375" t="str">
        <f>IF(ISBLANK('[1]2.Diagnostic Analysis'!K375),"Unknown",'[1]2.Diagnostic Analysis'!K375)</f>
        <v>Returned</v>
      </c>
    </row>
    <row r="376" spans="1:12" x14ac:dyDescent="0.25">
      <c r="A376" t="s">
        <v>68</v>
      </c>
      <c r="B376" t="s">
        <v>20</v>
      </c>
      <c r="C376" t="str">
        <f>IF(ISBLANK('[1]2.Diagnostic Analysis'!C376),"Unknown",'[1]2.Diagnostic Analysis'!C376)</f>
        <v>South</v>
      </c>
      <c r="D376" t="s">
        <v>40</v>
      </c>
      <c r="E376" t="s">
        <v>15</v>
      </c>
      <c r="F376">
        <f>IF(ISBLANK('[1]2.Diagnostic Analysis'!D376),'[1]2.Diagnostic Analysis'!$Q$3,'[1]2.Diagnostic Analysis'!D376)</f>
        <v>44</v>
      </c>
      <c r="G376">
        <v>1658.43232665954</v>
      </c>
      <c r="H376">
        <v>3</v>
      </c>
      <c r="I376">
        <v>2400</v>
      </c>
      <c r="J376">
        <v>19.309999999999999</v>
      </c>
      <c r="K376" s="2">
        <v>45080</v>
      </c>
      <c r="L376" t="str">
        <f>IF(ISBLANK('[1]2.Diagnostic Analysis'!K376),"Unknown",'[1]2.Diagnostic Analysis'!K376)</f>
        <v>Delivered</v>
      </c>
    </row>
    <row r="377" spans="1:12" x14ac:dyDescent="0.25">
      <c r="A377" t="s">
        <v>134</v>
      </c>
      <c r="B377" t="s">
        <v>20</v>
      </c>
      <c r="C377" t="str">
        <f>IF(ISBLANK('[1]2.Diagnostic Analysis'!C377),"Unknown",'[1]2.Diagnostic Analysis'!C377)</f>
        <v>East</v>
      </c>
      <c r="D377" t="s">
        <v>23</v>
      </c>
      <c r="E377" t="s">
        <v>15</v>
      </c>
      <c r="F377">
        <f>IF(ISBLANK('[1]2.Diagnostic Analysis'!D377),'[1]2.Diagnostic Analysis'!$Q$3,'[1]2.Diagnostic Analysis'!D377)</f>
        <v>46</v>
      </c>
      <c r="G377">
        <v>1500</v>
      </c>
      <c r="H377">
        <v>4</v>
      </c>
      <c r="I377">
        <v>6000</v>
      </c>
      <c r="J377">
        <v>16.309999999999999</v>
      </c>
      <c r="K377" s="2">
        <v>45106</v>
      </c>
      <c r="L377" t="str">
        <f>IF(ISBLANK('[1]2.Diagnostic Analysis'!K377),"Unknown",'[1]2.Diagnostic Analysis'!K377)</f>
        <v>In Transit</v>
      </c>
    </row>
    <row r="378" spans="1:12" x14ac:dyDescent="0.25">
      <c r="A378" t="s">
        <v>204</v>
      </c>
      <c r="B378" t="s">
        <v>13</v>
      </c>
      <c r="C378" t="str">
        <f>IF(ISBLANK('[1]2.Diagnostic Analysis'!C378),"Unknown",'[1]2.Diagnostic Analysis'!C378)</f>
        <v>East</v>
      </c>
      <c r="D378" t="s">
        <v>30</v>
      </c>
      <c r="E378" t="s">
        <v>18</v>
      </c>
      <c r="F378">
        <f>IF(ISBLANK('[1]2.Diagnostic Analysis'!D378),'[1]2.Diagnostic Analysis'!$Q$3,'[1]2.Diagnostic Analysis'!D378)</f>
        <v>69</v>
      </c>
      <c r="G378">
        <v>30</v>
      </c>
      <c r="H378">
        <v>1</v>
      </c>
      <c r="I378">
        <v>30</v>
      </c>
      <c r="J378">
        <v>10.99</v>
      </c>
      <c r="K378" s="2">
        <v>45205</v>
      </c>
      <c r="L378" t="str">
        <f>IF(ISBLANK('[1]2.Diagnostic Analysis'!K378),"Unknown",'[1]2.Diagnostic Analysis'!K378)</f>
        <v>In Transit</v>
      </c>
    </row>
    <row r="379" spans="1:12" x14ac:dyDescent="0.25">
      <c r="A379" t="s">
        <v>129</v>
      </c>
      <c r="B379" t="s">
        <v>20</v>
      </c>
      <c r="C379" t="str">
        <f>IF(ISBLANK('[1]2.Diagnostic Analysis'!C379),"Unknown",'[1]2.Diagnostic Analysis'!C379)</f>
        <v>West</v>
      </c>
      <c r="D379" t="s">
        <v>40</v>
      </c>
      <c r="E379" t="s">
        <v>15</v>
      </c>
      <c r="F379">
        <f>IF(ISBLANK('[1]2.Diagnostic Analysis'!D379),'[1]2.Diagnostic Analysis'!$Q$3,'[1]2.Diagnostic Analysis'!D379)</f>
        <v>62</v>
      </c>
      <c r="G379">
        <v>800</v>
      </c>
      <c r="H379">
        <v>3</v>
      </c>
      <c r="I379">
        <v>2400</v>
      </c>
      <c r="J379">
        <v>16.12</v>
      </c>
      <c r="K379" s="2">
        <v>45139</v>
      </c>
      <c r="L379" t="str">
        <f>IF(ISBLANK('[1]2.Diagnostic Analysis'!K379),"Unknown",'[1]2.Diagnostic Analysis'!K379)</f>
        <v>In Transit</v>
      </c>
    </row>
    <row r="380" spans="1:12" x14ac:dyDescent="0.25">
      <c r="A380" t="s">
        <v>170</v>
      </c>
      <c r="B380" t="s">
        <v>20</v>
      </c>
      <c r="C380" t="str">
        <f>IF(ISBLANK('[1]2.Diagnostic Analysis'!C380),"Unknown",'[1]2.Diagnostic Analysis'!C380)</f>
        <v>South</v>
      </c>
      <c r="D380" t="s">
        <v>25</v>
      </c>
      <c r="E380" t="s">
        <v>26</v>
      </c>
      <c r="F380">
        <f>IF(ISBLANK('[1]2.Diagnostic Analysis'!D380),'[1]2.Diagnostic Analysis'!$Q$3,'[1]2.Diagnostic Analysis'!D380)</f>
        <v>57</v>
      </c>
      <c r="G380">
        <v>200</v>
      </c>
      <c r="H380">
        <v>2</v>
      </c>
      <c r="I380">
        <v>400</v>
      </c>
      <c r="J380">
        <v>8.7100000000000009</v>
      </c>
      <c r="K380" s="2">
        <v>45064</v>
      </c>
      <c r="L380" t="str">
        <f>IF(ISBLANK('[1]2.Diagnostic Analysis'!K380),"Unknown",'[1]2.Diagnostic Analysis'!K380)</f>
        <v>Unknown</v>
      </c>
    </row>
    <row r="381" spans="1:12" x14ac:dyDescent="0.25">
      <c r="A381" t="s">
        <v>137</v>
      </c>
      <c r="B381" t="s">
        <v>13</v>
      </c>
      <c r="C381" t="str">
        <f>IF(ISBLANK('[1]2.Diagnostic Analysis'!C381),"Unknown",'[1]2.Diagnostic Analysis'!C381)</f>
        <v>East</v>
      </c>
      <c r="D381" t="s">
        <v>40</v>
      </c>
      <c r="E381" t="s">
        <v>15</v>
      </c>
      <c r="F381">
        <f>IF(ISBLANK('[1]2.Diagnostic Analysis'!D381),'[1]2.Diagnostic Analysis'!$Q$3,'[1]2.Diagnostic Analysis'!D381)</f>
        <v>27</v>
      </c>
      <c r="G381">
        <v>800</v>
      </c>
      <c r="H381">
        <v>5</v>
      </c>
      <c r="I381">
        <v>4000</v>
      </c>
      <c r="J381">
        <v>12.26</v>
      </c>
      <c r="K381" s="2">
        <v>45048</v>
      </c>
      <c r="L381" t="str">
        <f>IF(ISBLANK('[1]2.Diagnostic Analysis'!K381),"Unknown",'[1]2.Diagnostic Analysis'!K381)</f>
        <v>Returned</v>
      </c>
    </row>
    <row r="382" spans="1:12" x14ac:dyDescent="0.25">
      <c r="A382" t="s">
        <v>236</v>
      </c>
      <c r="B382" t="s">
        <v>20</v>
      </c>
      <c r="C382" t="str">
        <f>IF(ISBLANK('[1]2.Diagnostic Analysis'!C382),"Unknown",'[1]2.Diagnostic Analysis'!C382)</f>
        <v>East</v>
      </c>
      <c r="D382" t="s">
        <v>40</v>
      </c>
      <c r="E382" t="s">
        <v>15</v>
      </c>
      <c r="F382">
        <f>IF(ISBLANK('[1]2.Diagnostic Analysis'!D382),'[1]2.Diagnostic Analysis'!$Q$3,'[1]2.Diagnostic Analysis'!D382)</f>
        <v>57</v>
      </c>
      <c r="G382">
        <v>800</v>
      </c>
      <c r="H382">
        <v>1</v>
      </c>
      <c r="I382">
        <v>800</v>
      </c>
      <c r="J382">
        <v>19.34</v>
      </c>
      <c r="K382" s="2">
        <v>45250</v>
      </c>
      <c r="L382" t="str">
        <f>IF(ISBLANK('[1]2.Diagnostic Analysis'!K382),"Unknown",'[1]2.Diagnostic Analysis'!K382)</f>
        <v>Delivered</v>
      </c>
    </row>
    <row r="383" spans="1:12" x14ac:dyDescent="0.25">
      <c r="A383" t="s">
        <v>69</v>
      </c>
      <c r="B383" t="s">
        <v>20</v>
      </c>
      <c r="C383" t="str">
        <f>IF(ISBLANK('[1]2.Diagnostic Analysis'!C383),"Unknown",'[1]2.Diagnostic Analysis'!C383)</f>
        <v>West</v>
      </c>
      <c r="D383" t="s">
        <v>23</v>
      </c>
      <c r="E383" t="s">
        <v>15</v>
      </c>
      <c r="F383">
        <f>IF(ISBLANK('[1]2.Diagnostic Analysis'!D383),'[1]2.Diagnostic Analysis'!$Q$3,'[1]2.Diagnostic Analysis'!D383)</f>
        <v>67</v>
      </c>
      <c r="G383">
        <v>1500</v>
      </c>
      <c r="H383">
        <v>2</v>
      </c>
      <c r="I383">
        <v>3000</v>
      </c>
      <c r="J383">
        <v>18.809999999999999</v>
      </c>
      <c r="K383" s="2">
        <v>45148</v>
      </c>
      <c r="L383" t="str">
        <f>IF(ISBLANK('[1]2.Diagnostic Analysis'!K383),"Unknown",'[1]2.Diagnostic Analysis'!K383)</f>
        <v>In Transit</v>
      </c>
    </row>
    <row r="384" spans="1:12" x14ac:dyDescent="0.25">
      <c r="A384" t="s">
        <v>104</v>
      </c>
      <c r="B384" t="s">
        <v>13</v>
      </c>
      <c r="C384" t="str">
        <f>IF(ISBLANK('[1]2.Diagnostic Analysis'!C384),"Unknown",'[1]2.Diagnostic Analysis'!C384)</f>
        <v>North</v>
      </c>
      <c r="D384" t="s">
        <v>14</v>
      </c>
      <c r="E384" t="s">
        <v>15</v>
      </c>
      <c r="F384">
        <f>IF(ISBLANK('[1]2.Diagnostic Analysis'!D384),'[1]2.Diagnostic Analysis'!$Q$3,'[1]2.Diagnostic Analysis'!D384)</f>
        <v>69</v>
      </c>
      <c r="G384">
        <v>300</v>
      </c>
      <c r="H384">
        <v>1</v>
      </c>
      <c r="I384">
        <v>300</v>
      </c>
      <c r="J384">
        <v>14.91</v>
      </c>
      <c r="K384" s="2">
        <v>45021</v>
      </c>
      <c r="L384" t="str">
        <f>IF(ISBLANK('[1]2.Diagnostic Analysis'!K384),"Unknown",'[1]2.Diagnostic Analysis'!K384)</f>
        <v>Delivered</v>
      </c>
    </row>
    <row r="385" spans="1:12" x14ac:dyDescent="0.25">
      <c r="A385" t="s">
        <v>213</v>
      </c>
      <c r="B385" t="s">
        <v>20</v>
      </c>
      <c r="C385" t="str">
        <f>IF(ISBLANK('[1]2.Diagnostic Analysis'!C385),"Unknown",'[1]2.Diagnostic Analysis'!C385)</f>
        <v>North</v>
      </c>
      <c r="D385" t="s">
        <v>30</v>
      </c>
      <c r="E385" t="s">
        <v>18</v>
      </c>
      <c r="F385">
        <f>IF(ISBLANK('[1]2.Diagnostic Analysis'!D385),'[1]2.Diagnostic Analysis'!$Q$3,'[1]2.Diagnostic Analysis'!D385)</f>
        <v>49</v>
      </c>
      <c r="G385">
        <v>30</v>
      </c>
      <c r="H385">
        <v>1</v>
      </c>
      <c r="I385">
        <v>30</v>
      </c>
      <c r="J385">
        <v>5.6</v>
      </c>
      <c r="K385" s="2">
        <v>45035</v>
      </c>
      <c r="L385" t="str">
        <f>IF(ISBLANK('[1]2.Diagnostic Analysis'!K385),"Unknown",'[1]2.Diagnostic Analysis'!K385)</f>
        <v>Delivered</v>
      </c>
    </row>
    <row r="386" spans="1:12" x14ac:dyDescent="0.25">
      <c r="A386" t="s">
        <v>207</v>
      </c>
      <c r="B386" t="s">
        <v>13</v>
      </c>
      <c r="C386" t="str">
        <f>IF(ISBLANK('[1]2.Diagnostic Analysis'!C386),"Unknown",'[1]2.Diagnostic Analysis'!C386)</f>
        <v>West</v>
      </c>
      <c r="D386" t="s">
        <v>23</v>
      </c>
      <c r="E386" t="s">
        <v>15</v>
      </c>
      <c r="F386">
        <f>IF(ISBLANK('[1]2.Diagnostic Analysis'!D386),'[1]2.Diagnostic Analysis'!$Q$3,'[1]2.Diagnostic Analysis'!D386)</f>
        <v>63</v>
      </c>
      <c r="G386">
        <v>1500</v>
      </c>
      <c r="H386">
        <v>3</v>
      </c>
      <c r="I386">
        <v>4500</v>
      </c>
      <c r="J386">
        <v>19.690000000000001</v>
      </c>
      <c r="K386" s="2">
        <v>45290</v>
      </c>
      <c r="L386" t="str">
        <f>IF(ISBLANK('[1]2.Diagnostic Analysis'!K386),"Unknown",'[1]2.Diagnostic Analysis'!K386)</f>
        <v>In Transit</v>
      </c>
    </row>
    <row r="387" spans="1:12" x14ac:dyDescent="0.25">
      <c r="A387" t="s">
        <v>237</v>
      </c>
      <c r="B387" t="s">
        <v>13</v>
      </c>
      <c r="C387" t="str">
        <f>IF(ISBLANK('[1]2.Diagnostic Analysis'!C387),"Unknown",'[1]2.Diagnostic Analysis'!C387)</f>
        <v>South</v>
      </c>
      <c r="D387" t="s">
        <v>23</v>
      </c>
      <c r="E387" t="s">
        <v>15</v>
      </c>
      <c r="F387">
        <f>IF(ISBLANK('[1]2.Diagnostic Analysis'!D387),'[1]2.Diagnostic Analysis'!$Q$3,'[1]2.Diagnostic Analysis'!D387)</f>
        <v>49</v>
      </c>
      <c r="G387">
        <v>1500</v>
      </c>
      <c r="H387">
        <v>4</v>
      </c>
      <c r="I387">
        <v>6000</v>
      </c>
      <c r="J387">
        <v>15.12</v>
      </c>
      <c r="K387" s="2">
        <v>45240</v>
      </c>
      <c r="L387" t="str">
        <f>IF(ISBLANK('[1]2.Diagnostic Analysis'!K387),"Unknown",'[1]2.Diagnostic Analysis'!K387)</f>
        <v>In Transit</v>
      </c>
    </row>
    <row r="388" spans="1:12" x14ac:dyDescent="0.25">
      <c r="A388" t="s">
        <v>238</v>
      </c>
      <c r="B388" t="s">
        <v>20</v>
      </c>
      <c r="C388" t="str">
        <f>IF(ISBLANK('[1]2.Diagnostic Analysis'!C388),"Unknown",'[1]2.Diagnostic Analysis'!C388)</f>
        <v>North</v>
      </c>
      <c r="D388" t="s">
        <v>17</v>
      </c>
      <c r="E388" t="s">
        <v>18</v>
      </c>
      <c r="F388">
        <f>IF(ISBLANK('[1]2.Diagnostic Analysis'!D388),'[1]2.Diagnostic Analysis'!$Q$3,'[1]2.Diagnostic Analysis'!D388)</f>
        <v>58</v>
      </c>
      <c r="G388">
        <v>100</v>
      </c>
      <c r="H388">
        <v>1</v>
      </c>
      <c r="I388">
        <v>100</v>
      </c>
      <c r="J388">
        <v>5.25</v>
      </c>
      <c r="K388" s="2">
        <v>44940</v>
      </c>
      <c r="L388" t="str">
        <f>IF(ISBLANK('[1]2.Diagnostic Analysis'!K388),"Unknown",'[1]2.Diagnostic Analysis'!K388)</f>
        <v>Delivered</v>
      </c>
    </row>
    <row r="389" spans="1:12" x14ac:dyDescent="0.25">
      <c r="A389" t="s">
        <v>34</v>
      </c>
      <c r="B389" t="s">
        <v>13</v>
      </c>
      <c r="C389" t="str">
        <f>IF(ISBLANK('[1]2.Diagnostic Analysis'!C389),"Unknown",'[1]2.Diagnostic Analysis'!C389)</f>
        <v>North</v>
      </c>
      <c r="D389" t="s">
        <v>17</v>
      </c>
      <c r="E389" t="s">
        <v>18</v>
      </c>
      <c r="F389">
        <f>IF(ISBLANK('[1]2.Diagnostic Analysis'!D389),'[1]2.Diagnostic Analysis'!$Q$3,'[1]2.Diagnostic Analysis'!D389)</f>
        <v>41</v>
      </c>
      <c r="G389">
        <v>100</v>
      </c>
      <c r="H389">
        <v>1</v>
      </c>
      <c r="I389">
        <v>100</v>
      </c>
      <c r="J389">
        <v>18.38</v>
      </c>
      <c r="K389" s="2">
        <v>45112</v>
      </c>
      <c r="L389" t="str">
        <f>IF(ISBLANK('[1]2.Diagnostic Analysis'!K389),"Unknown",'[1]2.Diagnostic Analysis'!K389)</f>
        <v>Returned</v>
      </c>
    </row>
    <row r="390" spans="1:12" x14ac:dyDescent="0.25">
      <c r="A390" t="s">
        <v>87</v>
      </c>
      <c r="B390" t="s">
        <v>20</v>
      </c>
      <c r="C390" t="str">
        <f>IF(ISBLANK('[1]2.Diagnostic Analysis'!C390),"Unknown",'[1]2.Diagnostic Analysis'!C390)</f>
        <v>East</v>
      </c>
      <c r="D390" t="s">
        <v>14</v>
      </c>
      <c r="E390" t="s">
        <v>15</v>
      </c>
      <c r="F390">
        <f>IF(ISBLANK('[1]2.Diagnostic Analysis'!D390),'[1]2.Diagnostic Analysis'!$Q$3,'[1]2.Diagnostic Analysis'!D390)</f>
        <v>21</v>
      </c>
      <c r="G390">
        <v>300</v>
      </c>
      <c r="H390">
        <v>3</v>
      </c>
      <c r="I390">
        <v>900</v>
      </c>
      <c r="J390">
        <v>15.22</v>
      </c>
      <c r="K390" s="2">
        <v>45294</v>
      </c>
      <c r="L390" t="str">
        <f>IF(ISBLANK('[1]2.Diagnostic Analysis'!K390),"Unknown",'[1]2.Diagnostic Analysis'!K390)</f>
        <v>In Transit</v>
      </c>
    </row>
    <row r="391" spans="1:12" x14ac:dyDescent="0.25">
      <c r="A391" t="s">
        <v>223</v>
      </c>
      <c r="B391" t="s">
        <v>13</v>
      </c>
      <c r="C391" t="str">
        <f>IF(ISBLANK('[1]2.Diagnostic Analysis'!C391),"Unknown",'[1]2.Diagnostic Analysis'!C391)</f>
        <v>North</v>
      </c>
      <c r="D391" t="s">
        <v>14</v>
      </c>
      <c r="E391" t="s">
        <v>15</v>
      </c>
      <c r="F391">
        <f>IF(ISBLANK('[1]2.Diagnostic Analysis'!D391),'[1]2.Diagnostic Analysis'!$Q$3,'[1]2.Diagnostic Analysis'!D391)</f>
        <v>20</v>
      </c>
      <c r="G391">
        <v>300</v>
      </c>
      <c r="H391">
        <v>4</v>
      </c>
      <c r="I391">
        <v>1200</v>
      </c>
      <c r="J391">
        <v>15.57</v>
      </c>
      <c r="K391" s="2">
        <v>45236</v>
      </c>
      <c r="L391" t="str">
        <f>IF(ISBLANK('[1]2.Diagnostic Analysis'!K391),"Unknown",'[1]2.Diagnostic Analysis'!K391)</f>
        <v>Delivered</v>
      </c>
    </row>
    <row r="392" spans="1:12" x14ac:dyDescent="0.25">
      <c r="A392" t="s">
        <v>68</v>
      </c>
      <c r="B392" t="s">
        <v>13</v>
      </c>
      <c r="C392" t="str">
        <f>IF(ISBLANK('[1]2.Diagnostic Analysis'!C392),"Unknown",'[1]2.Diagnostic Analysis'!C392)</f>
        <v>East</v>
      </c>
      <c r="D392" t="s">
        <v>23</v>
      </c>
      <c r="E392" t="s">
        <v>15</v>
      </c>
      <c r="F392">
        <f>IF(ISBLANK('[1]2.Diagnostic Analysis'!D392),'[1]2.Diagnostic Analysis'!$Q$3,'[1]2.Diagnostic Analysis'!D392)</f>
        <v>44</v>
      </c>
      <c r="G392">
        <v>1500</v>
      </c>
      <c r="H392">
        <v>5</v>
      </c>
      <c r="I392">
        <v>7500</v>
      </c>
      <c r="J392">
        <v>8.0299999999999994</v>
      </c>
      <c r="K392" s="2">
        <v>44946</v>
      </c>
      <c r="L392" t="str">
        <f>IF(ISBLANK('[1]2.Diagnostic Analysis'!K392),"Unknown",'[1]2.Diagnostic Analysis'!K392)</f>
        <v>In Transit</v>
      </c>
    </row>
    <row r="393" spans="1:12" x14ac:dyDescent="0.25">
      <c r="A393" t="s">
        <v>39</v>
      </c>
      <c r="B393" t="s">
        <v>20</v>
      </c>
      <c r="C393" t="str">
        <f>IF(ISBLANK('[1]2.Diagnostic Analysis'!C393),"Unknown",'[1]2.Diagnostic Analysis'!C393)</f>
        <v>North</v>
      </c>
      <c r="D393" t="s">
        <v>14</v>
      </c>
      <c r="E393" t="s">
        <v>15</v>
      </c>
      <c r="F393">
        <f>IF(ISBLANK('[1]2.Diagnostic Analysis'!D393),'[1]2.Diagnostic Analysis'!$Q$3,'[1]2.Diagnostic Analysis'!D393)</f>
        <v>30</v>
      </c>
      <c r="G393">
        <v>300</v>
      </c>
      <c r="H393">
        <v>5</v>
      </c>
      <c r="I393">
        <v>1500</v>
      </c>
      <c r="J393">
        <v>16.68</v>
      </c>
      <c r="K393" s="2">
        <v>45052</v>
      </c>
      <c r="L393" t="str">
        <f>IF(ISBLANK('[1]2.Diagnostic Analysis'!K393),"Unknown",'[1]2.Diagnostic Analysis'!K393)</f>
        <v>Returned</v>
      </c>
    </row>
    <row r="394" spans="1:12" x14ac:dyDescent="0.25">
      <c r="A394" t="s">
        <v>160</v>
      </c>
      <c r="B394" t="s">
        <v>20</v>
      </c>
      <c r="C394" t="str">
        <f>IF(ISBLANK('[1]2.Diagnostic Analysis'!C394),"Unknown",'[1]2.Diagnostic Analysis'!C394)</f>
        <v>North</v>
      </c>
      <c r="D394" t="s">
        <v>17</v>
      </c>
      <c r="E394" t="s">
        <v>18</v>
      </c>
      <c r="F394">
        <f>IF(ISBLANK('[1]2.Diagnostic Analysis'!D394),'[1]2.Diagnostic Analysis'!$Q$3,'[1]2.Diagnostic Analysis'!D394)</f>
        <v>27</v>
      </c>
      <c r="G394">
        <v>100</v>
      </c>
      <c r="H394">
        <v>2</v>
      </c>
      <c r="I394">
        <v>200</v>
      </c>
      <c r="J394">
        <v>12.44</v>
      </c>
      <c r="K394" s="2">
        <v>45220</v>
      </c>
      <c r="L394" t="str">
        <f>IF(ISBLANK('[1]2.Diagnostic Analysis'!K394),"Unknown",'[1]2.Diagnostic Analysis'!K394)</f>
        <v>In Transit</v>
      </c>
    </row>
    <row r="395" spans="1:12" x14ac:dyDescent="0.25">
      <c r="A395" t="s">
        <v>239</v>
      </c>
      <c r="B395" t="s">
        <v>13</v>
      </c>
      <c r="C395" t="str">
        <f>IF(ISBLANK('[1]2.Diagnostic Analysis'!C395),"Unknown",'[1]2.Diagnostic Analysis'!C395)</f>
        <v>South</v>
      </c>
      <c r="D395" t="s">
        <v>14</v>
      </c>
      <c r="E395" t="s">
        <v>15</v>
      </c>
      <c r="F395">
        <f>IF(ISBLANK('[1]2.Diagnostic Analysis'!D395),'[1]2.Diagnostic Analysis'!$Q$3,'[1]2.Diagnostic Analysis'!D395)</f>
        <v>49</v>
      </c>
      <c r="G395">
        <v>300</v>
      </c>
      <c r="H395">
        <v>3</v>
      </c>
      <c r="I395">
        <v>900</v>
      </c>
      <c r="J395">
        <v>6.39</v>
      </c>
      <c r="K395" s="2">
        <v>45290</v>
      </c>
      <c r="L395" t="str">
        <f>IF(ISBLANK('[1]2.Diagnostic Analysis'!K395),"Unknown",'[1]2.Diagnostic Analysis'!K395)</f>
        <v>Returned</v>
      </c>
    </row>
    <row r="396" spans="1:12" x14ac:dyDescent="0.25">
      <c r="A396" t="s">
        <v>240</v>
      </c>
      <c r="B396" t="s">
        <v>20</v>
      </c>
      <c r="C396" t="str">
        <f>IF(ISBLANK('[1]2.Diagnostic Analysis'!C396),"Unknown",'[1]2.Diagnostic Analysis'!C396)</f>
        <v>East</v>
      </c>
      <c r="D396" t="s">
        <v>29</v>
      </c>
      <c r="E396" t="s">
        <v>18</v>
      </c>
      <c r="F396">
        <f>IF(ISBLANK('[1]2.Diagnostic Analysis'!D396),'[1]2.Diagnostic Analysis'!$Q$3,'[1]2.Diagnostic Analysis'!D396)</f>
        <v>27</v>
      </c>
      <c r="G396">
        <v>50</v>
      </c>
      <c r="H396">
        <v>1</v>
      </c>
      <c r="I396">
        <v>50</v>
      </c>
      <c r="J396">
        <v>11.72</v>
      </c>
      <c r="K396" s="2">
        <v>45117</v>
      </c>
      <c r="L396" t="str">
        <f>IF(ISBLANK('[1]2.Diagnostic Analysis'!K396),"Unknown",'[1]2.Diagnostic Analysis'!K396)</f>
        <v>In Transit</v>
      </c>
    </row>
    <row r="397" spans="1:12" x14ac:dyDescent="0.25">
      <c r="A397" t="s">
        <v>32</v>
      </c>
      <c r="B397" t="s">
        <v>20</v>
      </c>
      <c r="C397" t="str">
        <f>IF(ISBLANK('[1]2.Diagnostic Analysis'!C397),"Unknown",'[1]2.Diagnostic Analysis'!C397)</f>
        <v>West</v>
      </c>
      <c r="D397" t="s">
        <v>40</v>
      </c>
      <c r="E397" t="s">
        <v>15</v>
      </c>
      <c r="F397">
        <f>IF(ISBLANK('[1]2.Diagnostic Analysis'!D397),'[1]2.Diagnostic Analysis'!$Q$3,'[1]2.Diagnostic Analysis'!D397)</f>
        <v>49</v>
      </c>
      <c r="G397">
        <v>800</v>
      </c>
      <c r="H397">
        <v>2</v>
      </c>
      <c r="I397">
        <v>1600</v>
      </c>
      <c r="J397">
        <v>6.85</v>
      </c>
      <c r="K397" s="2">
        <v>45294</v>
      </c>
      <c r="L397" t="str">
        <f>IF(ISBLANK('[1]2.Diagnostic Analysis'!K397),"Unknown",'[1]2.Diagnostic Analysis'!K397)</f>
        <v>Delivered</v>
      </c>
    </row>
    <row r="398" spans="1:12" x14ac:dyDescent="0.25">
      <c r="A398" t="s">
        <v>165</v>
      </c>
      <c r="B398" t="s">
        <v>13</v>
      </c>
      <c r="C398" t="str">
        <f>IF(ISBLANK('[1]2.Diagnostic Analysis'!C398),"Unknown",'[1]2.Diagnostic Analysis'!C398)</f>
        <v>South</v>
      </c>
      <c r="D398" t="s">
        <v>30</v>
      </c>
      <c r="E398" t="s">
        <v>18</v>
      </c>
      <c r="F398">
        <f>IF(ISBLANK('[1]2.Diagnostic Analysis'!D398),'[1]2.Diagnostic Analysis'!$Q$3,'[1]2.Diagnostic Analysis'!D398)</f>
        <v>66</v>
      </c>
      <c r="G398">
        <v>30</v>
      </c>
      <c r="H398">
        <v>4</v>
      </c>
      <c r="I398">
        <v>120</v>
      </c>
      <c r="J398">
        <v>14.27</v>
      </c>
      <c r="K398" s="2">
        <v>44962</v>
      </c>
      <c r="L398" t="str">
        <f>IF(ISBLANK('[1]2.Diagnostic Analysis'!K398),"Unknown",'[1]2.Diagnostic Analysis'!K398)</f>
        <v>In Transit</v>
      </c>
    </row>
    <row r="399" spans="1:12" x14ac:dyDescent="0.25">
      <c r="A399" t="s">
        <v>141</v>
      </c>
      <c r="B399" t="s">
        <v>20</v>
      </c>
      <c r="C399" t="str">
        <f>IF(ISBLANK('[1]2.Diagnostic Analysis'!C399),"Unknown",'[1]2.Diagnostic Analysis'!C399)</f>
        <v>North</v>
      </c>
      <c r="D399" t="s">
        <v>23</v>
      </c>
      <c r="E399" t="s">
        <v>15</v>
      </c>
      <c r="F399">
        <f>IF(ISBLANK('[1]2.Diagnostic Analysis'!D399),'[1]2.Diagnostic Analysis'!$Q$3,'[1]2.Diagnostic Analysis'!D399)</f>
        <v>39</v>
      </c>
      <c r="G399">
        <v>1500</v>
      </c>
      <c r="H399">
        <v>3</v>
      </c>
      <c r="I399">
        <v>4500</v>
      </c>
      <c r="J399">
        <v>15.91</v>
      </c>
      <c r="K399" s="2">
        <v>44960</v>
      </c>
      <c r="L399" t="str">
        <f>IF(ISBLANK('[1]2.Diagnostic Analysis'!K399),"Unknown",'[1]2.Diagnostic Analysis'!K399)</f>
        <v>Returned</v>
      </c>
    </row>
    <row r="400" spans="1:12" x14ac:dyDescent="0.25">
      <c r="A400" t="s">
        <v>241</v>
      </c>
      <c r="B400" t="s">
        <v>13</v>
      </c>
      <c r="C400" t="str">
        <f>IF(ISBLANK('[1]2.Diagnostic Analysis'!C400),"Unknown",'[1]2.Diagnostic Analysis'!C400)</f>
        <v>South</v>
      </c>
      <c r="D400" t="s">
        <v>23</v>
      </c>
      <c r="E400" t="s">
        <v>15</v>
      </c>
      <c r="F400">
        <f>IF(ISBLANK('[1]2.Diagnostic Analysis'!D400),'[1]2.Diagnostic Analysis'!$Q$3,'[1]2.Diagnostic Analysis'!D400)</f>
        <v>52</v>
      </c>
      <c r="G400">
        <v>1500</v>
      </c>
      <c r="H400">
        <v>5</v>
      </c>
      <c r="I400">
        <v>7500</v>
      </c>
      <c r="J400">
        <v>16.010000000000002</v>
      </c>
      <c r="K400" s="2">
        <v>45252</v>
      </c>
      <c r="L400" t="str">
        <f>IF(ISBLANK('[1]2.Diagnostic Analysis'!K400),"Unknown",'[1]2.Diagnostic Analysis'!K400)</f>
        <v>In Transit</v>
      </c>
    </row>
    <row r="401" spans="1:12" x14ac:dyDescent="0.25">
      <c r="A401" t="s">
        <v>238</v>
      </c>
      <c r="B401" t="s">
        <v>13</v>
      </c>
      <c r="C401" t="str">
        <f>IF(ISBLANK('[1]2.Diagnostic Analysis'!C401),"Unknown",'[1]2.Diagnostic Analysis'!C401)</f>
        <v>South</v>
      </c>
      <c r="D401" t="s">
        <v>40</v>
      </c>
      <c r="E401" t="s">
        <v>15</v>
      </c>
      <c r="F401">
        <f>IF(ISBLANK('[1]2.Diagnostic Analysis'!D401),'[1]2.Diagnostic Analysis'!$Q$3,'[1]2.Diagnostic Analysis'!D401)</f>
        <v>49</v>
      </c>
      <c r="G401">
        <v>800</v>
      </c>
      <c r="H401">
        <v>3</v>
      </c>
      <c r="I401">
        <v>2400</v>
      </c>
      <c r="J401">
        <v>19.440000000000001</v>
      </c>
      <c r="K401" s="2">
        <v>45080</v>
      </c>
      <c r="L401" t="str">
        <f>IF(ISBLANK('[1]2.Diagnostic Analysis'!K401),"Unknown",'[1]2.Diagnostic Analysis'!K401)</f>
        <v>In Transit</v>
      </c>
    </row>
    <row r="402" spans="1:12" x14ac:dyDescent="0.25">
      <c r="A402" t="s">
        <v>190</v>
      </c>
      <c r="B402" t="s">
        <v>20</v>
      </c>
      <c r="C402" t="str">
        <f>IF(ISBLANK('[1]2.Diagnostic Analysis'!C402),"Unknown",'[1]2.Diagnostic Analysis'!C402)</f>
        <v>West</v>
      </c>
      <c r="D402" t="s">
        <v>30</v>
      </c>
      <c r="E402" t="s">
        <v>18</v>
      </c>
      <c r="F402">
        <f>IF(ISBLANK('[1]2.Diagnostic Analysis'!D402),'[1]2.Diagnostic Analysis'!$Q$3,'[1]2.Diagnostic Analysis'!D402)</f>
        <v>59</v>
      </c>
      <c r="G402">
        <v>30</v>
      </c>
      <c r="H402">
        <v>3</v>
      </c>
      <c r="I402">
        <v>90</v>
      </c>
      <c r="J402">
        <v>7.34</v>
      </c>
      <c r="K402" s="2">
        <v>45042</v>
      </c>
      <c r="L402" t="str">
        <f>IF(ISBLANK('[1]2.Diagnostic Analysis'!K402),"Unknown",'[1]2.Diagnostic Analysis'!K402)</f>
        <v>Returned</v>
      </c>
    </row>
    <row r="403" spans="1:12" x14ac:dyDescent="0.25">
      <c r="A403" t="s">
        <v>165</v>
      </c>
      <c r="B403" t="s">
        <v>20</v>
      </c>
      <c r="C403" t="str">
        <f>IF(ISBLANK('[1]2.Diagnostic Analysis'!C403),"Unknown",'[1]2.Diagnostic Analysis'!C403)</f>
        <v>East</v>
      </c>
      <c r="D403" t="s">
        <v>17</v>
      </c>
      <c r="E403" t="s">
        <v>18</v>
      </c>
      <c r="F403">
        <f>IF(ISBLANK('[1]2.Diagnostic Analysis'!D403),'[1]2.Diagnostic Analysis'!$Q$3,'[1]2.Diagnostic Analysis'!D403)</f>
        <v>66</v>
      </c>
      <c r="G403">
        <v>100</v>
      </c>
      <c r="H403">
        <v>3</v>
      </c>
      <c r="I403">
        <v>300</v>
      </c>
      <c r="J403">
        <v>13.21</v>
      </c>
      <c r="K403" s="2">
        <v>44998</v>
      </c>
      <c r="L403" t="str">
        <f>IF(ISBLANK('[1]2.Diagnostic Analysis'!K403),"Unknown",'[1]2.Diagnostic Analysis'!K403)</f>
        <v>In Transit</v>
      </c>
    </row>
    <row r="404" spans="1:12" x14ac:dyDescent="0.25">
      <c r="A404" t="s">
        <v>242</v>
      </c>
      <c r="B404" t="s">
        <v>20</v>
      </c>
      <c r="C404" t="str">
        <f>IF(ISBLANK('[1]2.Diagnostic Analysis'!C404),"Unknown",'[1]2.Diagnostic Analysis'!C404)</f>
        <v>West</v>
      </c>
      <c r="D404" t="s">
        <v>23</v>
      </c>
      <c r="E404" t="s">
        <v>15</v>
      </c>
      <c r="F404">
        <f>IF(ISBLANK('[1]2.Diagnostic Analysis'!D404),'[1]2.Diagnostic Analysis'!$Q$3,'[1]2.Diagnostic Analysis'!D404)</f>
        <v>49</v>
      </c>
      <c r="G404">
        <v>1500</v>
      </c>
      <c r="H404">
        <v>5</v>
      </c>
      <c r="I404">
        <v>7500</v>
      </c>
      <c r="J404">
        <v>11.03</v>
      </c>
      <c r="K404" s="2">
        <v>44937</v>
      </c>
      <c r="L404" t="str">
        <f>IF(ISBLANK('[1]2.Diagnostic Analysis'!K404),"Unknown",'[1]2.Diagnostic Analysis'!K404)</f>
        <v>Returned</v>
      </c>
    </row>
    <row r="405" spans="1:12" x14ac:dyDescent="0.25">
      <c r="A405" t="s">
        <v>235</v>
      </c>
      <c r="B405" t="s">
        <v>20</v>
      </c>
      <c r="C405" t="str">
        <f>IF(ISBLANK('[1]2.Diagnostic Analysis'!C405),"Unknown",'[1]2.Diagnostic Analysis'!C405)</f>
        <v>South</v>
      </c>
      <c r="D405" t="s">
        <v>29</v>
      </c>
      <c r="E405" t="s">
        <v>18</v>
      </c>
      <c r="F405">
        <f>IF(ISBLANK('[1]2.Diagnostic Analysis'!D405),'[1]2.Diagnostic Analysis'!$Q$3,'[1]2.Diagnostic Analysis'!D405)</f>
        <v>23</v>
      </c>
      <c r="G405">
        <v>50</v>
      </c>
      <c r="H405">
        <v>5</v>
      </c>
      <c r="I405">
        <v>250</v>
      </c>
      <c r="J405">
        <v>14.12</v>
      </c>
      <c r="K405" s="2">
        <v>45026</v>
      </c>
      <c r="L405" t="str">
        <f>IF(ISBLANK('[1]2.Diagnostic Analysis'!K405),"Unknown",'[1]2.Diagnostic Analysis'!K405)</f>
        <v>In Transit</v>
      </c>
    </row>
    <row r="406" spans="1:12" x14ac:dyDescent="0.25">
      <c r="A406" t="s">
        <v>211</v>
      </c>
      <c r="B406" t="s">
        <v>20</v>
      </c>
      <c r="C406" t="str">
        <f>IF(ISBLANK('[1]2.Diagnostic Analysis'!C406),"Unknown",'[1]2.Diagnostic Analysis'!C406)</f>
        <v>North</v>
      </c>
      <c r="D406" t="s">
        <v>25</v>
      </c>
      <c r="E406" t="s">
        <v>26</v>
      </c>
      <c r="F406">
        <f>IF(ISBLANK('[1]2.Diagnostic Analysis'!D406),'[1]2.Diagnostic Analysis'!$Q$3,'[1]2.Diagnostic Analysis'!D406)</f>
        <v>66</v>
      </c>
      <c r="G406">
        <v>200</v>
      </c>
      <c r="H406">
        <v>5</v>
      </c>
      <c r="I406">
        <v>1000</v>
      </c>
      <c r="J406">
        <v>10.43</v>
      </c>
      <c r="K406" s="2">
        <v>44992</v>
      </c>
      <c r="L406" t="str">
        <f>IF(ISBLANK('[1]2.Diagnostic Analysis'!K406),"Unknown",'[1]2.Diagnostic Analysis'!K406)</f>
        <v>Delivered</v>
      </c>
    </row>
    <row r="407" spans="1:12" x14ac:dyDescent="0.25">
      <c r="A407" t="s">
        <v>192</v>
      </c>
      <c r="B407" t="s">
        <v>20</v>
      </c>
      <c r="C407" t="str">
        <f>IF(ISBLANK('[1]2.Diagnostic Analysis'!C407),"Unknown",'[1]2.Diagnostic Analysis'!C407)</f>
        <v>North</v>
      </c>
      <c r="D407" t="s">
        <v>23</v>
      </c>
      <c r="E407" t="s">
        <v>15</v>
      </c>
      <c r="F407">
        <f>IF(ISBLANK('[1]2.Diagnostic Analysis'!D407),'[1]2.Diagnostic Analysis'!$Q$3,'[1]2.Diagnostic Analysis'!D407)</f>
        <v>28</v>
      </c>
      <c r="G407">
        <v>1500</v>
      </c>
      <c r="H407">
        <v>1</v>
      </c>
      <c r="I407">
        <v>1500</v>
      </c>
      <c r="J407">
        <v>12.71</v>
      </c>
      <c r="K407" s="2">
        <v>45169</v>
      </c>
      <c r="L407" t="str">
        <f>IF(ISBLANK('[1]2.Diagnostic Analysis'!K407),"Unknown",'[1]2.Diagnostic Analysis'!K407)</f>
        <v>Returned</v>
      </c>
    </row>
    <row r="408" spans="1:12" x14ac:dyDescent="0.25">
      <c r="A408" t="s">
        <v>38</v>
      </c>
      <c r="B408" t="s">
        <v>13</v>
      </c>
      <c r="C408" t="str">
        <f>IF(ISBLANK('[1]2.Diagnostic Analysis'!C408),"Unknown",'[1]2.Diagnostic Analysis'!C408)</f>
        <v>East</v>
      </c>
      <c r="D408" t="s">
        <v>40</v>
      </c>
      <c r="E408" t="s">
        <v>15</v>
      </c>
      <c r="F408">
        <f>IF(ISBLANK('[1]2.Diagnostic Analysis'!D408),'[1]2.Diagnostic Analysis'!$Q$3,'[1]2.Diagnostic Analysis'!D408)</f>
        <v>57</v>
      </c>
      <c r="G408">
        <v>800</v>
      </c>
      <c r="H408">
        <v>2</v>
      </c>
      <c r="I408">
        <v>1600</v>
      </c>
      <c r="J408">
        <v>12.55</v>
      </c>
      <c r="K408" s="2">
        <v>44928</v>
      </c>
      <c r="L408" t="str">
        <f>IF(ISBLANK('[1]2.Diagnostic Analysis'!K408),"Unknown",'[1]2.Diagnostic Analysis'!K408)</f>
        <v>Unknown</v>
      </c>
    </row>
    <row r="409" spans="1:12" x14ac:dyDescent="0.25">
      <c r="A409" t="s">
        <v>243</v>
      </c>
      <c r="B409" t="s">
        <v>13</v>
      </c>
      <c r="C409" t="str">
        <f>IF(ISBLANK('[1]2.Diagnostic Analysis'!C409),"Unknown",'[1]2.Diagnostic Analysis'!C409)</f>
        <v>South</v>
      </c>
      <c r="D409" t="s">
        <v>29</v>
      </c>
      <c r="E409" t="s">
        <v>18</v>
      </c>
      <c r="F409">
        <f>IF(ISBLANK('[1]2.Diagnostic Analysis'!D409),'[1]2.Diagnostic Analysis'!$Q$3,'[1]2.Diagnostic Analysis'!D409)</f>
        <v>49</v>
      </c>
      <c r="G409">
        <v>50</v>
      </c>
      <c r="H409">
        <v>2</v>
      </c>
      <c r="I409">
        <v>100</v>
      </c>
      <c r="J409">
        <v>6.85</v>
      </c>
      <c r="K409" s="2">
        <v>45218</v>
      </c>
      <c r="L409" t="str">
        <f>IF(ISBLANK('[1]2.Diagnostic Analysis'!K409),"Unknown",'[1]2.Diagnostic Analysis'!K409)</f>
        <v>Returned</v>
      </c>
    </row>
    <row r="410" spans="1:12" x14ac:dyDescent="0.25">
      <c r="A410" t="s">
        <v>43</v>
      </c>
      <c r="B410" t="s">
        <v>13</v>
      </c>
      <c r="C410" t="str">
        <f>IF(ISBLANK('[1]2.Diagnostic Analysis'!C410),"Unknown",'[1]2.Diagnostic Analysis'!C410)</f>
        <v>West</v>
      </c>
      <c r="D410" t="s">
        <v>23</v>
      </c>
      <c r="E410" t="s">
        <v>15</v>
      </c>
      <c r="F410">
        <f>IF(ISBLANK('[1]2.Diagnostic Analysis'!D410),'[1]2.Diagnostic Analysis'!$Q$3,'[1]2.Diagnostic Analysis'!D410)</f>
        <v>37</v>
      </c>
      <c r="G410">
        <v>1500</v>
      </c>
      <c r="H410">
        <v>2</v>
      </c>
      <c r="I410">
        <v>3000</v>
      </c>
      <c r="J410">
        <v>17.23</v>
      </c>
      <c r="K410" s="2">
        <v>44936</v>
      </c>
      <c r="L410" t="str">
        <f>IF(ISBLANK('[1]2.Diagnostic Analysis'!K410),"Unknown",'[1]2.Diagnostic Analysis'!K410)</f>
        <v>Returned</v>
      </c>
    </row>
    <row r="411" spans="1:12" x14ac:dyDescent="0.25">
      <c r="A411" t="s">
        <v>45</v>
      </c>
      <c r="B411" t="s">
        <v>13</v>
      </c>
      <c r="C411" t="str">
        <f>IF(ISBLANK('[1]2.Diagnostic Analysis'!C411),"Unknown",'[1]2.Diagnostic Analysis'!C411)</f>
        <v>East</v>
      </c>
      <c r="D411" t="s">
        <v>17</v>
      </c>
      <c r="E411" t="s">
        <v>18</v>
      </c>
      <c r="F411">
        <f>IF(ISBLANK('[1]2.Diagnostic Analysis'!D411),'[1]2.Diagnostic Analysis'!$Q$3,'[1]2.Diagnostic Analysis'!D411)</f>
        <v>52</v>
      </c>
      <c r="G411">
        <v>100</v>
      </c>
      <c r="H411">
        <v>3</v>
      </c>
      <c r="I411">
        <v>300</v>
      </c>
      <c r="J411">
        <v>19.53</v>
      </c>
      <c r="K411" s="2">
        <v>44942</v>
      </c>
      <c r="L411" t="str">
        <f>IF(ISBLANK('[1]2.Diagnostic Analysis'!K411),"Unknown",'[1]2.Diagnostic Analysis'!K411)</f>
        <v>In Transit</v>
      </c>
    </row>
    <row r="412" spans="1:12" x14ac:dyDescent="0.25">
      <c r="A412" t="s">
        <v>244</v>
      </c>
      <c r="B412" t="s">
        <v>13</v>
      </c>
      <c r="C412" t="str">
        <f>IF(ISBLANK('[1]2.Diagnostic Analysis'!C412),"Unknown",'[1]2.Diagnostic Analysis'!C412)</f>
        <v>West</v>
      </c>
      <c r="D412" t="s">
        <v>25</v>
      </c>
      <c r="E412" t="s">
        <v>26</v>
      </c>
      <c r="F412">
        <f>IF(ISBLANK('[1]2.Diagnostic Analysis'!D412),'[1]2.Diagnostic Analysis'!$Q$3,'[1]2.Diagnostic Analysis'!D412)</f>
        <v>49</v>
      </c>
      <c r="G412">
        <v>200</v>
      </c>
      <c r="H412">
        <v>3</v>
      </c>
      <c r="I412">
        <v>600</v>
      </c>
      <c r="J412">
        <v>18.62</v>
      </c>
      <c r="K412" s="2">
        <v>45130</v>
      </c>
      <c r="L412" t="str">
        <f>IF(ISBLANK('[1]2.Diagnostic Analysis'!K412),"Unknown",'[1]2.Diagnostic Analysis'!K412)</f>
        <v>Delivered</v>
      </c>
    </row>
    <row r="413" spans="1:12" x14ac:dyDescent="0.25">
      <c r="A413" t="s">
        <v>91</v>
      </c>
      <c r="B413" t="s">
        <v>20</v>
      </c>
      <c r="C413" t="str">
        <f>IF(ISBLANK('[1]2.Diagnostic Analysis'!C413),"Unknown",'[1]2.Diagnostic Analysis'!C413)</f>
        <v>East</v>
      </c>
      <c r="D413" t="s">
        <v>30</v>
      </c>
      <c r="E413" t="s">
        <v>18</v>
      </c>
      <c r="F413">
        <f>IF(ISBLANK('[1]2.Diagnostic Analysis'!D413),'[1]2.Diagnostic Analysis'!$Q$3,'[1]2.Diagnostic Analysis'!D413)</f>
        <v>54</v>
      </c>
      <c r="G413">
        <v>30</v>
      </c>
      <c r="H413">
        <v>5</v>
      </c>
      <c r="I413">
        <v>150</v>
      </c>
      <c r="J413">
        <v>14.71</v>
      </c>
      <c r="K413" s="2">
        <v>45264</v>
      </c>
      <c r="L413" t="str">
        <f>IF(ISBLANK('[1]2.Diagnostic Analysis'!K413),"Unknown",'[1]2.Diagnostic Analysis'!K413)</f>
        <v>In Transit</v>
      </c>
    </row>
    <row r="414" spans="1:12" x14ac:dyDescent="0.25">
      <c r="A414" t="s">
        <v>100</v>
      </c>
      <c r="B414" t="s">
        <v>20</v>
      </c>
      <c r="C414" t="str">
        <f>IF(ISBLANK('[1]2.Diagnostic Analysis'!C414),"Unknown",'[1]2.Diagnostic Analysis'!C414)</f>
        <v>South</v>
      </c>
      <c r="D414" t="s">
        <v>29</v>
      </c>
      <c r="E414" t="s">
        <v>18</v>
      </c>
      <c r="F414">
        <f>IF(ISBLANK('[1]2.Diagnostic Analysis'!D414),'[1]2.Diagnostic Analysis'!$Q$3,'[1]2.Diagnostic Analysis'!D414)</f>
        <v>48</v>
      </c>
      <c r="G414">
        <v>50</v>
      </c>
      <c r="H414">
        <v>2</v>
      </c>
      <c r="I414">
        <v>100</v>
      </c>
      <c r="J414">
        <v>12.46</v>
      </c>
      <c r="K414" s="2">
        <v>45025</v>
      </c>
      <c r="L414" t="str">
        <f>IF(ISBLANK('[1]2.Diagnostic Analysis'!K414),"Unknown",'[1]2.Diagnostic Analysis'!K414)</f>
        <v>In Transit</v>
      </c>
    </row>
    <row r="415" spans="1:12" x14ac:dyDescent="0.25">
      <c r="A415" t="s">
        <v>124</v>
      </c>
      <c r="B415" t="s">
        <v>13</v>
      </c>
      <c r="C415" t="str">
        <f>IF(ISBLANK('[1]2.Diagnostic Analysis'!C415),"Unknown",'[1]2.Diagnostic Analysis'!C415)</f>
        <v>East</v>
      </c>
      <c r="D415" t="s">
        <v>14</v>
      </c>
      <c r="E415" t="s">
        <v>15</v>
      </c>
      <c r="F415">
        <f>IF(ISBLANK('[1]2.Diagnostic Analysis'!D415),'[1]2.Diagnostic Analysis'!$Q$3,'[1]2.Diagnostic Analysis'!D415)</f>
        <v>61</v>
      </c>
      <c r="G415">
        <v>300</v>
      </c>
      <c r="H415">
        <v>2</v>
      </c>
      <c r="I415">
        <v>600</v>
      </c>
      <c r="J415">
        <v>12.26</v>
      </c>
      <c r="K415" s="2">
        <v>45041</v>
      </c>
      <c r="L415" t="str">
        <f>IF(ISBLANK('[1]2.Diagnostic Analysis'!K415),"Unknown",'[1]2.Diagnostic Analysis'!K415)</f>
        <v>Returned</v>
      </c>
    </row>
    <row r="416" spans="1:12" x14ac:dyDescent="0.25">
      <c r="A416" t="s">
        <v>245</v>
      </c>
      <c r="B416" t="s">
        <v>20</v>
      </c>
      <c r="C416" t="str">
        <f>IF(ISBLANK('[1]2.Diagnostic Analysis'!C416),"Unknown",'[1]2.Diagnostic Analysis'!C416)</f>
        <v>East</v>
      </c>
      <c r="D416" t="s">
        <v>17</v>
      </c>
      <c r="E416" t="s">
        <v>18</v>
      </c>
      <c r="F416">
        <f>IF(ISBLANK('[1]2.Diagnostic Analysis'!D416),'[1]2.Diagnostic Analysis'!$Q$3,'[1]2.Diagnostic Analysis'!D416)</f>
        <v>57</v>
      </c>
      <c r="G416">
        <v>100</v>
      </c>
      <c r="H416">
        <v>4</v>
      </c>
      <c r="I416">
        <v>400</v>
      </c>
      <c r="J416">
        <v>8.84</v>
      </c>
      <c r="K416" s="2">
        <v>44985</v>
      </c>
      <c r="L416" t="str">
        <f>IF(ISBLANK('[1]2.Diagnostic Analysis'!K416),"Unknown",'[1]2.Diagnostic Analysis'!K416)</f>
        <v>In Transit</v>
      </c>
    </row>
    <row r="417" spans="1:12" x14ac:dyDescent="0.25">
      <c r="A417" t="s">
        <v>58</v>
      </c>
      <c r="B417" t="s">
        <v>20</v>
      </c>
      <c r="C417" t="str">
        <f>IF(ISBLANK('[1]2.Diagnostic Analysis'!C417),"Unknown",'[1]2.Diagnostic Analysis'!C417)</f>
        <v>South</v>
      </c>
      <c r="D417" t="s">
        <v>25</v>
      </c>
      <c r="E417" t="s">
        <v>26</v>
      </c>
      <c r="F417">
        <f>IF(ISBLANK('[1]2.Diagnostic Analysis'!D417),'[1]2.Diagnostic Analysis'!$Q$3,'[1]2.Diagnostic Analysis'!D417)</f>
        <v>64</v>
      </c>
      <c r="G417">
        <v>200</v>
      </c>
      <c r="H417">
        <v>5</v>
      </c>
      <c r="I417">
        <v>1000</v>
      </c>
      <c r="J417">
        <v>13.46</v>
      </c>
      <c r="K417" s="2">
        <v>45055</v>
      </c>
      <c r="L417" t="str">
        <f>IF(ISBLANK('[1]2.Diagnostic Analysis'!K417),"Unknown",'[1]2.Diagnostic Analysis'!K417)</f>
        <v>In Transit</v>
      </c>
    </row>
    <row r="418" spans="1:12" x14ac:dyDescent="0.25">
      <c r="A418" t="s">
        <v>122</v>
      </c>
      <c r="B418" t="s">
        <v>20</v>
      </c>
      <c r="C418" t="str">
        <f>IF(ISBLANK('[1]2.Diagnostic Analysis'!C418),"Unknown",'[1]2.Diagnostic Analysis'!C418)</f>
        <v>West</v>
      </c>
      <c r="D418" t="s">
        <v>14</v>
      </c>
      <c r="E418" t="s">
        <v>15</v>
      </c>
      <c r="F418">
        <f>IF(ISBLANK('[1]2.Diagnostic Analysis'!D418),'[1]2.Diagnostic Analysis'!$Q$3,'[1]2.Diagnostic Analysis'!D418)</f>
        <v>19</v>
      </c>
      <c r="G418">
        <v>300</v>
      </c>
      <c r="H418">
        <v>5</v>
      </c>
      <c r="I418">
        <v>1500</v>
      </c>
      <c r="J418">
        <v>19.39</v>
      </c>
      <c r="K418" s="2">
        <v>45268</v>
      </c>
      <c r="L418" t="str">
        <f>IF(ISBLANK('[1]2.Diagnostic Analysis'!K418),"Unknown",'[1]2.Diagnostic Analysis'!K418)</f>
        <v>Returned</v>
      </c>
    </row>
    <row r="419" spans="1:12" x14ac:dyDescent="0.25">
      <c r="A419" t="s">
        <v>162</v>
      </c>
      <c r="B419" t="s">
        <v>13</v>
      </c>
      <c r="C419" t="str">
        <f>IF(ISBLANK('[1]2.Diagnostic Analysis'!C419),"Unknown",'[1]2.Diagnostic Analysis'!C419)</f>
        <v>North</v>
      </c>
      <c r="D419" t="s">
        <v>17</v>
      </c>
      <c r="E419" t="s">
        <v>18</v>
      </c>
      <c r="F419">
        <f>IF(ISBLANK('[1]2.Diagnostic Analysis'!D419),'[1]2.Diagnostic Analysis'!$Q$3,'[1]2.Diagnostic Analysis'!D419)</f>
        <v>62</v>
      </c>
      <c r="G419">
        <v>100</v>
      </c>
      <c r="H419">
        <v>2</v>
      </c>
      <c r="I419">
        <v>200</v>
      </c>
      <c r="J419">
        <v>5.13</v>
      </c>
      <c r="K419" s="2">
        <v>45231</v>
      </c>
      <c r="L419" t="str">
        <f>IF(ISBLANK('[1]2.Diagnostic Analysis'!K419),"Unknown",'[1]2.Diagnostic Analysis'!K419)</f>
        <v>Delivered</v>
      </c>
    </row>
    <row r="420" spans="1:12" x14ac:dyDescent="0.25">
      <c r="A420" t="s">
        <v>165</v>
      </c>
      <c r="B420" t="s">
        <v>13</v>
      </c>
      <c r="C420" t="str">
        <f>IF(ISBLANK('[1]2.Diagnostic Analysis'!C420),"Unknown",'[1]2.Diagnostic Analysis'!C420)</f>
        <v>East</v>
      </c>
      <c r="D420" t="s">
        <v>30</v>
      </c>
      <c r="E420" t="s">
        <v>18</v>
      </c>
      <c r="F420">
        <f>IF(ISBLANK('[1]2.Diagnostic Analysis'!D420),'[1]2.Diagnostic Analysis'!$Q$3,'[1]2.Diagnostic Analysis'!D420)</f>
        <v>66</v>
      </c>
      <c r="G420">
        <v>30</v>
      </c>
      <c r="H420">
        <v>2</v>
      </c>
      <c r="I420">
        <v>60</v>
      </c>
      <c r="J420">
        <v>6.23</v>
      </c>
      <c r="K420" s="2">
        <v>45088</v>
      </c>
      <c r="L420" t="str">
        <f>IF(ISBLANK('[1]2.Diagnostic Analysis'!K420),"Unknown",'[1]2.Diagnostic Analysis'!K420)</f>
        <v>In Transit</v>
      </c>
    </row>
    <row r="421" spans="1:12" x14ac:dyDescent="0.25">
      <c r="A421" t="s">
        <v>217</v>
      </c>
      <c r="B421" t="s">
        <v>20</v>
      </c>
      <c r="C421" t="str">
        <f>IF(ISBLANK('[1]2.Diagnostic Analysis'!C421),"Unknown",'[1]2.Diagnostic Analysis'!C421)</f>
        <v>South</v>
      </c>
      <c r="D421" t="s">
        <v>25</v>
      </c>
      <c r="E421" t="s">
        <v>26</v>
      </c>
      <c r="F421">
        <f>IF(ISBLANK('[1]2.Diagnostic Analysis'!D421),'[1]2.Diagnostic Analysis'!$Q$3,'[1]2.Diagnostic Analysis'!D421)</f>
        <v>69</v>
      </c>
      <c r="G421">
        <v>200</v>
      </c>
      <c r="H421">
        <v>4</v>
      </c>
      <c r="I421">
        <v>800</v>
      </c>
      <c r="J421">
        <v>12.26</v>
      </c>
      <c r="K421" s="2">
        <v>45208</v>
      </c>
      <c r="L421" t="str">
        <f>IF(ISBLANK('[1]2.Diagnostic Analysis'!K421),"Unknown",'[1]2.Diagnostic Analysis'!K421)</f>
        <v>In Transit</v>
      </c>
    </row>
    <row r="422" spans="1:12" x14ac:dyDescent="0.25">
      <c r="A422" t="s">
        <v>140</v>
      </c>
      <c r="B422" t="s">
        <v>20</v>
      </c>
      <c r="C422" t="str">
        <f>IF(ISBLANK('[1]2.Diagnostic Analysis'!C422),"Unknown",'[1]2.Diagnostic Analysis'!C422)</f>
        <v>East</v>
      </c>
      <c r="D422" t="s">
        <v>23</v>
      </c>
      <c r="E422" t="s">
        <v>15</v>
      </c>
      <c r="F422">
        <f>IF(ISBLANK('[1]2.Diagnostic Analysis'!D422),'[1]2.Diagnostic Analysis'!$Q$3,'[1]2.Diagnostic Analysis'!D422)</f>
        <v>66</v>
      </c>
      <c r="G422">
        <v>1500</v>
      </c>
      <c r="H422">
        <v>4</v>
      </c>
      <c r="I422">
        <v>6000</v>
      </c>
      <c r="J422">
        <v>16.920000000000002</v>
      </c>
      <c r="K422" s="2">
        <v>45192</v>
      </c>
      <c r="L422" t="str">
        <f>IF(ISBLANK('[1]2.Diagnostic Analysis'!K422),"Unknown",'[1]2.Diagnostic Analysis'!K422)</f>
        <v>In Transit</v>
      </c>
    </row>
    <row r="423" spans="1:12" x14ac:dyDescent="0.25">
      <c r="A423" t="s">
        <v>246</v>
      </c>
      <c r="B423" t="s">
        <v>20</v>
      </c>
      <c r="C423" t="str">
        <f>IF(ISBLANK('[1]2.Diagnostic Analysis'!C423),"Unknown",'[1]2.Diagnostic Analysis'!C423)</f>
        <v>West</v>
      </c>
      <c r="D423" t="s">
        <v>40</v>
      </c>
      <c r="E423" t="s">
        <v>15</v>
      </c>
      <c r="F423">
        <f>IF(ISBLANK('[1]2.Diagnostic Analysis'!D423),'[1]2.Diagnostic Analysis'!$Q$3,'[1]2.Diagnostic Analysis'!D423)</f>
        <v>54</v>
      </c>
      <c r="G423">
        <v>1658.43232665954</v>
      </c>
      <c r="H423">
        <v>2</v>
      </c>
      <c r="I423">
        <v>1600</v>
      </c>
      <c r="J423">
        <v>15.8</v>
      </c>
      <c r="K423" s="2">
        <v>45022</v>
      </c>
      <c r="L423" t="str">
        <f>IF(ISBLANK('[1]2.Diagnostic Analysis'!K423),"Unknown",'[1]2.Diagnostic Analysis'!K423)</f>
        <v>In Transit</v>
      </c>
    </row>
    <row r="424" spans="1:12" x14ac:dyDescent="0.25">
      <c r="A424" t="s">
        <v>41</v>
      </c>
      <c r="B424" t="s">
        <v>13</v>
      </c>
      <c r="C424" t="str">
        <f>IF(ISBLANK('[1]2.Diagnostic Analysis'!C424),"Unknown",'[1]2.Diagnostic Analysis'!C424)</f>
        <v>South</v>
      </c>
      <c r="D424" t="s">
        <v>23</v>
      </c>
      <c r="E424" t="s">
        <v>15</v>
      </c>
      <c r="F424">
        <f>IF(ISBLANK('[1]2.Diagnostic Analysis'!D424),'[1]2.Diagnostic Analysis'!$Q$3,'[1]2.Diagnostic Analysis'!D424)</f>
        <v>32</v>
      </c>
      <c r="G424">
        <v>1500</v>
      </c>
      <c r="H424">
        <v>3</v>
      </c>
      <c r="I424">
        <v>4500</v>
      </c>
      <c r="J424">
        <v>8.5299999999999994</v>
      </c>
      <c r="K424" s="2">
        <v>45247</v>
      </c>
      <c r="L424" t="str">
        <f>IF(ISBLANK('[1]2.Diagnostic Analysis'!K424),"Unknown",'[1]2.Diagnostic Analysis'!K424)</f>
        <v>Returned</v>
      </c>
    </row>
    <row r="425" spans="1:12" x14ac:dyDescent="0.25">
      <c r="A425" t="s">
        <v>127</v>
      </c>
      <c r="B425" t="s">
        <v>20</v>
      </c>
      <c r="C425" t="str">
        <f>IF(ISBLANK('[1]2.Diagnostic Analysis'!C425),"Unknown",'[1]2.Diagnostic Analysis'!C425)</f>
        <v>East</v>
      </c>
      <c r="D425" t="s">
        <v>14</v>
      </c>
      <c r="E425" t="s">
        <v>15</v>
      </c>
      <c r="F425">
        <f>IF(ISBLANK('[1]2.Diagnostic Analysis'!D425),'[1]2.Diagnostic Analysis'!$Q$3,'[1]2.Diagnostic Analysis'!D425)</f>
        <v>38</v>
      </c>
      <c r="G425">
        <v>300</v>
      </c>
      <c r="H425">
        <v>1</v>
      </c>
      <c r="I425">
        <v>300</v>
      </c>
      <c r="J425">
        <v>7.57</v>
      </c>
      <c r="K425" s="2">
        <v>44964</v>
      </c>
      <c r="L425" t="str">
        <f>IF(ISBLANK('[1]2.Diagnostic Analysis'!K425),"Unknown",'[1]2.Diagnostic Analysis'!K425)</f>
        <v>Delivered</v>
      </c>
    </row>
    <row r="426" spans="1:12" x14ac:dyDescent="0.25">
      <c r="A426" t="s">
        <v>247</v>
      </c>
      <c r="B426" t="s">
        <v>20</v>
      </c>
      <c r="C426" t="str">
        <f>IF(ISBLANK('[1]2.Diagnostic Analysis'!C426),"Unknown",'[1]2.Diagnostic Analysis'!C426)</f>
        <v>Unknown</v>
      </c>
      <c r="D426" t="s">
        <v>17</v>
      </c>
      <c r="E426" t="s">
        <v>18</v>
      </c>
      <c r="F426">
        <f>IF(ISBLANK('[1]2.Diagnostic Analysis'!D426),'[1]2.Diagnostic Analysis'!$Q$3,'[1]2.Diagnostic Analysis'!D426)</f>
        <v>37</v>
      </c>
      <c r="G426">
        <v>100</v>
      </c>
      <c r="H426">
        <v>3</v>
      </c>
      <c r="I426">
        <v>300</v>
      </c>
      <c r="J426">
        <v>5.29</v>
      </c>
      <c r="K426" s="2">
        <v>45199</v>
      </c>
      <c r="L426" t="str">
        <f>IF(ISBLANK('[1]2.Diagnostic Analysis'!K426),"Unknown",'[1]2.Diagnostic Analysis'!K426)</f>
        <v>Returned</v>
      </c>
    </row>
    <row r="427" spans="1:12" x14ac:dyDescent="0.25">
      <c r="A427" t="s">
        <v>67</v>
      </c>
      <c r="B427" t="s">
        <v>20</v>
      </c>
      <c r="C427" t="str">
        <f>IF(ISBLANK('[1]2.Diagnostic Analysis'!C427),"Unknown",'[1]2.Diagnostic Analysis'!C427)</f>
        <v>West</v>
      </c>
      <c r="D427" t="s">
        <v>25</v>
      </c>
      <c r="E427" t="s">
        <v>26</v>
      </c>
      <c r="F427">
        <f>IF(ISBLANK('[1]2.Diagnostic Analysis'!D427),'[1]2.Diagnostic Analysis'!$Q$3,'[1]2.Diagnostic Analysis'!D427)</f>
        <v>68</v>
      </c>
      <c r="G427">
        <v>200</v>
      </c>
      <c r="H427">
        <v>3</v>
      </c>
      <c r="I427">
        <v>600</v>
      </c>
      <c r="J427">
        <v>5.65</v>
      </c>
      <c r="K427" s="2">
        <v>45156</v>
      </c>
      <c r="L427" t="str">
        <f>IF(ISBLANK('[1]2.Diagnostic Analysis'!K427),"Unknown",'[1]2.Diagnostic Analysis'!K427)</f>
        <v>In Transit</v>
      </c>
    </row>
    <row r="428" spans="1:12" x14ac:dyDescent="0.25">
      <c r="A428" t="s">
        <v>171</v>
      </c>
      <c r="B428" t="s">
        <v>20</v>
      </c>
      <c r="C428" t="str">
        <f>IF(ISBLANK('[1]2.Diagnostic Analysis'!C428),"Unknown",'[1]2.Diagnostic Analysis'!C428)</f>
        <v>East</v>
      </c>
      <c r="D428" t="s">
        <v>25</v>
      </c>
      <c r="E428" t="s">
        <v>26</v>
      </c>
      <c r="F428">
        <f>IF(ISBLANK('[1]2.Diagnostic Analysis'!D428),'[1]2.Diagnostic Analysis'!$Q$3,'[1]2.Diagnostic Analysis'!D428)</f>
        <v>55</v>
      </c>
      <c r="G428">
        <v>200</v>
      </c>
      <c r="H428">
        <v>5</v>
      </c>
      <c r="I428">
        <v>1000</v>
      </c>
      <c r="J428">
        <v>18.29</v>
      </c>
      <c r="K428" s="2">
        <v>44936</v>
      </c>
      <c r="L428" t="str">
        <f>IF(ISBLANK('[1]2.Diagnostic Analysis'!K428),"Unknown",'[1]2.Diagnostic Analysis'!K428)</f>
        <v>Delivered</v>
      </c>
    </row>
    <row r="429" spans="1:12" x14ac:dyDescent="0.25">
      <c r="A429" t="s">
        <v>248</v>
      </c>
      <c r="B429" t="s">
        <v>13</v>
      </c>
      <c r="C429" t="str">
        <f>IF(ISBLANK('[1]2.Diagnostic Analysis'!C429),"Unknown",'[1]2.Diagnostic Analysis'!C429)</f>
        <v>South</v>
      </c>
      <c r="D429" t="s">
        <v>14</v>
      </c>
      <c r="E429" t="s">
        <v>15</v>
      </c>
      <c r="F429">
        <f>IF(ISBLANK('[1]2.Diagnostic Analysis'!D429),'[1]2.Diagnostic Analysis'!$Q$3,'[1]2.Diagnostic Analysis'!D429)</f>
        <v>50</v>
      </c>
      <c r="G429">
        <v>300</v>
      </c>
      <c r="H429">
        <v>3</v>
      </c>
      <c r="I429">
        <v>900</v>
      </c>
      <c r="J429">
        <v>11.22</v>
      </c>
      <c r="K429" s="2">
        <v>45001</v>
      </c>
      <c r="L429" t="str">
        <f>IF(ISBLANK('[1]2.Diagnostic Analysis'!K429),"Unknown",'[1]2.Diagnostic Analysis'!K429)</f>
        <v>In Transit</v>
      </c>
    </row>
    <row r="430" spans="1:12" x14ac:dyDescent="0.25">
      <c r="A430" t="s">
        <v>109</v>
      </c>
      <c r="B430" t="s">
        <v>20</v>
      </c>
      <c r="C430" t="str">
        <f>IF(ISBLANK('[1]2.Diagnostic Analysis'!C430),"Unknown",'[1]2.Diagnostic Analysis'!C430)</f>
        <v>Unknown</v>
      </c>
      <c r="D430" t="s">
        <v>14</v>
      </c>
      <c r="E430" t="s">
        <v>15</v>
      </c>
      <c r="F430">
        <f>IF(ISBLANK('[1]2.Diagnostic Analysis'!D430),'[1]2.Diagnostic Analysis'!$Q$3,'[1]2.Diagnostic Analysis'!D430)</f>
        <v>57</v>
      </c>
      <c r="G430">
        <v>300</v>
      </c>
      <c r="H430">
        <v>2</v>
      </c>
      <c r="I430">
        <v>600</v>
      </c>
      <c r="J430">
        <v>15.59</v>
      </c>
      <c r="K430" s="2">
        <v>45171</v>
      </c>
      <c r="L430" t="str">
        <f>IF(ISBLANK('[1]2.Diagnostic Analysis'!K430),"Unknown",'[1]2.Diagnostic Analysis'!K430)</f>
        <v>Returned</v>
      </c>
    </row>
    <row r="431" spans="1:12" x14ac:dyDescent="0.25">
      <c r="A431" t="s">
        <v>79</v>
      </c>
      <c r="B431" t="s">
        <v>20</v>
      </c>
      <c r="C431" t="str">
        <f>IF(ISBLANK('[1]2.Diagnostic Analysis'!C431),"Unknown",'[1]2.Diagnostic Analysis'!C431)</f>
        <v>East</v>
      </c>
      <c r="D431" t="s">
        <v>25</v>
      </c>
      <c r="E431" t="s">
        <v>26</v>
      </c>
      <c r="F431">
        <f>IF(ISBLANK('[1]2.Diagnostic Analysis'!D431),'[1]2.Diagnostic Analysis'!$Q$3,'[1]2.Diagnostic Analysis'!D431)</f>
        <v>49</v>
      </c>
      <c r="G431">
        <v>200</v>
      </c>
      <c r="H431">
        <v>3</v>
      </c>
      <c r="I431">
        <v>600</v>
      </c>
      <c r="J431">
        <v>13.94</v>
      </c>
      <c r="K431" s="2">
        <v>45023</v>
      </c>
      <c r="L431" t="str">
        <f>IF(ISBLANK('[1]2.Diagnostic Analysis'!K431),"Unknown",'[1]2.Diagnostic Analysis'!K431)</f>
        <v>Delivered</v>
      </c>
    </row>
    <row r="432" spans="1:12" x14ac:dyDescent="0.25">
      <c r="A432" t="s">
        <v>54</v>
      </c>
      <c r="B432" t="s">
        <v>20</v>
      </c>
      <c r="C432" t="str">
        <f>IF(ISBLANK('[1]2.Diagnostic Analysis'!C432),"Unknown",'[1]2.Diagnostic Analysis'!C432)</f>
        <v>North</v>
      </c>
      <c r="D432" t="s">
        <v>14</v>
      </c>
      <c r="E432" t="s">
        <v>15</v>
      </c>
      <c r="F432">
        <f>IF(ISBLANK('[1]2.Diagnostic Analysis'!D432),'[1]2.Diagnostic Analysis'!$Q$3,'[1]2.Diagnostic Analysis'!D432)</f>
        <v>53</v>
      </c>
      <c r="G432">
        <v>300</v>
      </c>
      <c r="H432">
        <v>1</v>
      </c>
      <c r="I432">
        <v>300</v>
      </c>
      <c r="J432">
        <v>16.32</v>
      </c>
      <c r="K432" s="2">
        <v>45154</v>
      </c>
      <c r="L432" t="str">
        <f>IF(ISBLANK('[1]2.Diagnostic Analysis'!K432),"Unknown",'[1]2.Diagnostic Analysis'!K432)</f>
        <v>Delivered</v>
      </c>
    </row>
    <row r="433" spans="1:12" x14ac:dyDescent="0.25">
      <c r="A433" t="s">
        <v>57</v>
      </c>
      <c r="B433" t="s">
        <v>20</v>
      </c>
      <c r="C433" t="str">
        <f>IF(ISBLANK('[1]2.Diagnostic Analysis'!C433),"Unknown",'[1]2.Diagnostic Analysis'!C433)</f>
        <v>West</v>
      </c>
      <c r="D433" t="s">
        <v>17</v>
      </c>
      <c r="E433" t="s">
        <v>18</v>
      </c>
      <c r="F433">
        <f>IF(ISBLANK('[1]2.Diagnostic Analysis'!D433),'[1]2.Diagnostic Analysis'!$Q$3,'[1]2.Diagnostic Analysis'!D433)</f>
        <v>41</v>
      </c>
      <c r="G433">
        <v>100</v>
      </c>
      <c r="H433">
        <v>5</v>
      </c>
      <c r="I433">
        <v>500</v>
      </c>
      <c r="J433">
        <v>18.059999999999999</v>
      </c>
      <c r="K433" s="2">
        <v>45000</v>
      </c>
      <c r="L433" t="str">
        <f>IF(ISBLANK('[1]2.Diagnostic Analysis'!K433),"Unknown",'[1]2.Diagnostic Analysis'!K433)</f>
        <v>Delivered</v>
      </c>
    </row>
    <row r="434" spans="1:12" x14ac:dyDescent="0.25">
      <c r="A434" t="s">
        <v>16</v>
      </c>
      <c r="B434" t="s">
        <v>20</v>
      </c>
      <c r="C434" t="str">
        <f>IF(ISBLANK('[1]2.Diagnostic Analysis'!C434),"Unknown",'[1]2.Diagnostic Analysis'!C434)</f>
        <v>North</v>
      </c>
      <c r="D434" t="s">
        <v>30</v>
      </c>
      <c r="E434" t="s">
        <v>18</v>
      </c>
      <c r="F434">
        <f>IF(ISBLANK('[1]2.Diagnostic Analysis'!D434),'[1]2.Diagnostic Analysis'!$Q$3,'[1]2.Diagnostic Analysis'!D434)</f>
        <v>22</v>
      </c>
      <c r="G434">
        <v>30</v>
      </c>
      <c r="H434">
        <v>1</v>
      </c>
      <c r="I434">
        <v>30</v>
      </c>
      <c r="J434">
        <v>8.9600000000000009</v>
      </c>
      <c r="K434" s="2">
        <v>44988</v>
      </c>
      <c r="L434" t="str">
        <f>IF(ISBLANK('[1]2.Diagnostic Analysis'!K434),"Unknown",'[1]2.Diagnostic Analysis'!K434)</f>
        <v>Returned</v>
      </c>
    </row>
    <row r="435" spans="1:12" x14ac:dyDescent="0.25">
      <c r="A435" t="s">
        <v>200</v>
      </c>
      <c r="B435" t="s">
        <v>13</v>
      </c>
      <c r="C435" t="str">
        <f>IF(ISBLANK('[1]2.Diagnostic Analysis'!C435),"Unknown",'[1]2.Diagnostic Analysis'!C435)</f>
        <v>South</v>
      </c>
      <c r="D435" t="s">
        <v>25</v>
      </c>
      <c r="E435" t="s">
        <v>26</v>
      </c>
      <c r="F435">
        <f>IF(ISBLANK('[1]2.Diagnostic Analysis'!D435),'[1]2.Diagnostic Analysis'!$Q$3,'[1]2.Diagnostic Analysis'!D435)</f>
        <v>44</v>
      </c>
      <c r="G435">
        <v>200</v>
      </c>
      <c r="H435">
        <v>4</v>
      </c>
      <c r="I435">
        <v>800</v>
      </c>
      <c r="J435">
        <v>6.43</v>
      </c>
      <c r="K435" s="2">
        <v>44988</v>
      </c>
      <c r="L435" t="str">
        <f>IF(ISBLANK('[1]2.Diagnostic Analysis'!K435),"Unknown",'[1]2.Diagnostic Analysis'!K435)</f>
        <v>Unknown</v>
      </c>
    </row>
    <row r="436" spans="1:12" x14ac:dyDescent="0.25">
      <c r="A436" t="s">
        <v>192</v>
      </c>
      <c r="B436" t="s">
        <v>13</v>
      </c>
      <c r="C436" t="str">
        <f>IF(ISBLANK('[1]2.Diagnostic Analysis'!C436),"Unknown",'[1]2.Diagnostic Analysis'!C436)</f>
        <v>South</v>
      </c>
      <c r="D436" t="s">
        <v>17</v>
      </c>
      <c r="E436" t="s">
        <v>18</v>
      </c>
      <c r="F436">
        <f>IF(ISBLANK('[1]2.Diagnostic Analysis'!D436),'[1]2.Diagnostic Analysis'!$Q$3,'[1]2.Diagnostic Analysis'!D436)</f>
        <v>28</v>
      </c>
      <c r="G436">
        <v>100</v>
      </c>
      <c r="H436">
        <v>3</v>
      </c>
      <c r="I436">
        <v>300</v>
      </c>
      <c r="J436">
        <v>17.16</v>
      </c>
      <c r="K436" s="2">
        <v>45148</v>
      </c>
      <c r="L436" t="str">
        <f>IF(ISBLANK('[1]2.Diagnostic Analysis'!K436),"Unknown",'[1]2.Diagnostic Analysis'!K436)</f>
        <v>Returned</v>
      </c>
    </row>
    <row r="437" spans="1:12" x14ac:dyDescent="0.25">
      <c r="A437" t="s">
        <v>173</v>
      </c>
      <c r="B437" t="s">
        <v>13</v>
      </c>
      <c r="C437" t="str">
        <f>IF(ISBLANK('[1]2.Diagnostic Analysis'!C437),"Unknown",'[1]2.Diagnostic Analysis'!C437)</f>
        <v>East</v>
      </c>
      <c r="D437" t="s">
        <v>30</v>
      </c>
      <c r="E437" t="s">
        <v>18</v>
      </c>
      <c r="F437">
        <f>IF(ISBLANK('[1]2.Diagnostic Analysis'!D437),'[1]2.Diagnostic Analysis'!$Q$3,'[1]2.Diagnostic Analysis'!D437)</f>
        <v>60</v>
      </c>
      <c r="G437">
        <v>30</v>
      </c>
      <c r="H437">
        <v>3</v>
      </c>
      <c r="I437">
        <v>90</v>
      </c>
      <c r="J437">
        <v>18.420000000000002</v>
      </c>
      <c r="K437" s="2">
        <v>44951</v>
      </c>
      <c r="L437" t="str">
        <f>IF(ISBLANK('[1]2.Diagnostic Analysis'!K437),"Unknown",'[1]2.Diagnostic Analysis'!K437)</f>
        <v>Delivered</v>
      </c>
    </row>
    <row r="438" spans="1:12" x14ac:dyDescent="0.25">
      <c r="A438" t="s">
        <v>190</v>
      </c>
      <c r="B438" t="s">
        <v>20</v>
      </c>
      <c r="C438" t="str">
        <f>IF(ISBLANK('[1]2.Diagnostic Analysis'!C438),"Unknown",'[1]2.Diagnostic Analysis'!C438)</f>
        <v>Unknown</v>
      </c>
      <c r="D438" t="s">
        <v>30</v>
      </c>
      <c r="E438" t="s">
        <v>18</v>
      </c>
      <c r="F438">
        <f>IF(ISBLANK('[1]2.Diagnostic Analysis'!D438),'[1]2.Diagnostic Analysis'!$Q$3,'[1]2.Diagnostic Analysis'!D438)</f>
        <v>49</v>
      </c>
      <c r="G438">
        <v>30</v>
      </c>
      <c r="H438">
        <v>2</v>
      </c>
      <c r="I438">
        <v>60</v>
      </c>
      <c r="J438">
        <v>11.28</v>
      </c>
      <c r="K438" s="2">
        <v>45188</v>
      </c>
      <c r="L438" t="str">
        <f>IF(ISBLANK('[1]2.Diagnostic Analysis'!K438),"Unknown",'[1]2.Diagnostic Analysis'!K438)</f>
        <v>Returned</v>
      </c>
    </row>
    <row r="439" spans="1:12" x14ac:dyDescent="0.25">
      <c r="A439" t="s">
        <v>195</v>
      </c>
      <c r="B439" t="s">
        <v>20</v>
      </c>
      <c r="C439" t="str">
        <f>IF(ISBLANK('[1]2.Diagnostic Analysis'!C439),"Unknown",'[1]2.Diagnostic Analysis'!C439)</f>
        <v>Unknown</v>
      </c>
      <c r="D439" t="s">
        <v>14</v>
      </c>
      <c r="E439" t="s">
        <v>15</v>
      </c>
      <c r="F439">
        <f>IF(ISBLANK('[1]2.Diagnostic Analysis'!D439),'[1]2.Diagnostic Analysis'!$Q$3,'[1]2.Diagnostic Analysis'!D439)</f>
        <v>51</v>
      </c>
      <c r="G439">
        <v>300</v>
      </c>
      <c r="H439">
        <v>4</v>
      </c>
      <c r="I439">
        <v>1200</v>
      </c>
      <c r="J439">
        <v>6.91</v>
      </c>
      <c r="K439" s="2">
        <v>45182</v>
      </c>
      <c r="L439" t="str">
        <f>IF(ISBLANK('[1]2.Diagnostic Analysis'!K439),"Unknown",'[1]2.Diagnostic Analysis'!K439)</f>
        <v>In Transit</v>
      </c>
    </row>
    <row r="440" spans="1:12" x14ac:dyDescent="0.25">
      <c r="A440" t="s">
        <v>249</v>
      </c>
      <c r="B440" t="s">
        <v>13</v>
      </c>
      <c r="C440" t="str">
        <f>IF(ISBLANK('[1]2.Diagnostic Analysis'!C440),"Unknown",'[1]2.Diagnostic Analysis'!C440)</f>
        <v>South</v>
      </c>
      <c r="D440" t="s">
        <v>29</v>
      </c>
      <c r="E440" t="s">
        <v>18</v>
      </c>
      <c r="F440">
        <f>IF(ISBLANK('[1]2.Diagnostic Analysis'!D440),'[1]2.Diagnostic Analysis'!$Q$3,'[1]2.Diagnostic Analysis'!D440)</f>
        <v>64</v>
      </c>
      <c r="G440">
        <v>50</v>
      </c>
      <c r="H440">
        <v>4</v>
      </c>
      <c r="I440">
        <v>200</v>
      </c>
      <c r="J440">
        <v>17.18</v>
      </c>
      <c r="K440" s="2">
        <v>45236</v>
      </c>
      <c r="L440" t="str">
        <f>IF(ISBLANK('[1]2.Diagnostic Analysis'!K440),"Unknown",'[1]2.Diagnostic Analysis'!K440)</f>
        <v>In Transit</v>
      </c>
    </row>
    <row r="441" spans="1:12" x14ac:dyDescent="0.25">
      <c r="A441" t="s">
        <v>167</v>
      </c>
      <c r="B441" t="s">
        <v>13</v>
      </c>
      <c r="C441" t="str">
        <f>IF(ISBLANK('[1]2.Diagnostic Analysis'!C441),"Unknown",'[1]2.Diagnostic Analysis'!C441)</f>
        <v>East</v>
      </c>
      <c r="D441" t="s">
        <v>29</v>
      </c>
      <c r="E441" t="s">
        <v>18</v>
      </c>
      <c r="F441">
        <f>IF(ISBLANK('[1]2.Diagnostic Analysis'!D441),'[1]2.Diagnostic Analysis'!$Q$3,'[1]2.Diagnostic Analysis'!D441)</f>
        <v>64</v>
      </c>
      <c r="G441">
        <v>50</v>
      </c>
      <c r="H441">
        <v>1</v>
      </c>
      <c r="I441">
        <v>50</v>
      </c>
      <c r="J441">
        <v>18.23</v>
      </c>
      <c r="K441" s="2">
        <v>45070</v>
      </c>
      <c r="L441" t="str">
        <f>IF(ISBLANK('[1]2.Diagnostic Analysis'!K441),"Unknown",'[1]2.Diagnostic Analysis'!K441)</f>
        <v>Delivered</v>
      </c>
    </row>
    <row r="442" spans="1:12" x14ac:dyDescent="0.25">
      <c r="A442" t="s">
        <v>250</v>
      </c>
      <c r="B442" t="s">
        <v>20</v>
      </c>
      <c r="C442" t="str">
        <f>IF(ISBLANK('[1]2.Diagnostic Analysis'!C442),"Unknown",'[1]2.Diagnostic Analysis'!C442)</f>
        <v>East</v>
      </c>
      <c r="D442" t="s">
        <v>30</v>
      </c>
      <c r="E442" t="s">
        <v>18</v>
      </c>
      <c r="F442">
        <f>IF(ISBLANK('[1]2.Diagnostic Analysis'!D442),'[1]2.Diagnostic Analysis'!$Q$3,'[1]2.Diagnostic Analysis'!D442)</f>
        <v>56</v>
      </c>
      <c r="G442">
        <v>30</v>
      </c>
      <c r="H442">
        <v>2</v>
      </c>
      <c r="I442">
        <v>60</v>
      </c>
      <c r="J442">
        <v>7.58</v>
      </c>
      <c r="K442" s="2">
        <v>44972</v>
      </c>
      <c r="L442" t="str">
        <f>IF(ISBLANK('[1]2.Diagnostic Analysis'!K442),"Unknown",'[1]2.Diagnostic Analysis'!K442)</f>
        <v>In Transit</v>
      </c>
    </row>
    <row r="443" spans="1:12" x14ac:dyDescent="0.25">
      <c r="A443" t="s">
        <v>244</v>
      </c>
      <c r="B443" t="s">
        <v>20</v>
      </c>
      <c r="C443" t="str">
        <f>IF(ISBLANK('[1]2.Diagnostic Analysis'!C443),"Unknown",'[1]2.Diagnostic Analysis'!C443)</f>
        <v>West</v>
      </c>
      <c r="D443" t="s">
        <v>40</v>
      </c>
      <c r="E443" t="s">
        <v>15</v>
      </c>
      <c r="F443">
        <f>IF(ISBLANK('[1]2.Diagnostic Analysis'!D443),'[1]2.Diagnostic Analysis'!$Q$3,'[1]2.Diagnostic Analysis'!D443)</f>
        <v>23</v>
      </c>
      <c r="G443">
        <v>800</v>
      </c>
      <c r="H443">
        <v>2</v>
      </c>
      <c r="I443">
        <v>1600</v>
      </c>
      <c r="J443">
        <v>9.07</v>
      </c>
      <c r="K443" s="2">
        <v>45218</v>
      </c>
      <c r="L443" t="str">
        <f>IF(ISBLANK('[1]2.Diagnostic Analysis'!K443),"Unknown",'[1]2.Diagnostic Analysis'!K443)</f>
        <v>In Transit</v>
      </c>
    </row>
    <row r="444" spans="1:12" x14ac:dyDescent="0.25">
      <c r="A444" t="s">
        <v>203</v>
      </c>
      <c r="B444" t="s">
        <v>20</v>
      </c>
      <c r="C444" t="str">
        <f>IF(ISBLANK('[1]2.Diagnostic Analysis'!C444),"Unknown",'[1]2.Diagnostic Analysis'!C444)</f>
        <v>North</v>
      </c>
      <c r="D444" t="s">
        <v>29</v>
      </c>
      <c r="E444" t="s">
        <v>18</v>
      </c>
      <c r="F444">
        <f>IF(ISBLANK('[1]2.Diagnostic Analysis'!D444),'[1]2.Diagnostic Analysis'!$Q$3,'[1]2.Diagnostic Analysis'!D444)</f>
        <v>61</v>
      </c>
      <c r="G444">
        <v>50</v>
      </c>
      <c r="H444">
        <v>1</v>
      </c>
      <c r="I444">
        <v>50</v>
      </c>
      <c r="J444">
        <v>19.39</v>
      </c>
      <c r="K444" s="2">
        <v>45135</v>
      </c>
      <c r="L444" t="str">
        <f>IF(ISBLANK('[1]2.Diagnostic Analysis'!K444),"Unknown",'[1]2.Diagnostic Analysis'!K444)</f>
        <v>Delivered</v>
      </c>
    </row>
    <row r="445" spans="1:12" x14ac:dyDescent="0.25">
      <c r="A445" t="s">
        <v>72</v>
      </c>
      <c r="B445" t="s">
        <v>20</v>
      </c>
      <c r="C445" t="str">
        <f>IF(ISBLANK('[1]2.Diagnostic Analysis'!C445),"Unknown",'[1]2.Diagnostic Analysis'!C445)</f>
        <v>South</v>
      </c>
      <c r="D445" t="s">
        <v>29</v>
      </c>
      <c r="E445" t="s">
        <v>18</v>
      </c>
      <c r="F445">
        <f>IF(ISBLANK('[1]2.Diagnostic Analysis'!D445),'[1]2.Diagnostic Analysis'!$Q$3,'[1]2.Diagnostic Analysis'!D445)</f>
        <v>42</v>
      </c>
      <c r="G445">
        <v>50</v>
      </c>
      <c r="H445">
        <v>2</v>
      </c>
      <c r="I445">
        <v>100</v>
      </c>
      <c r="J445">
        <v>12.44</v>
      </c>
      <c r="K445" s="2">
        <v>44978</v>
      </c>
      <c r="L445" t="str">
        <f>IF(ISBLANK('[1]2.Diagnostic Analysis'!K445),"Unknown",'[1]2.Diagnostic Analysis'!K445)</f>
        <v>In Transit</v>
      </c>
    </row>
    <row r="446" spans="1:12" x14ac:dyDescent="0.25">
      <c r="A446" t="s">
        <v>102</v>
      </c>
      <c r="B446" t="s">
        <v>13</v>
      </c>
      <c r="C446" t="str">
        <f>IF(ISBLANK('[1]2.Diagnostic Analysis'!C446),"Unknown",'[1]2.Diagnostic Analysis'!C446)</f>
        <v>North</v>
      </c>
      <c r="D446" t="s">
        <v>29</v>
      </c>
      <c r="E446" t="s">
        <v>18</v>
      </c>
      <c r="F446">
        <f>IF(ISBLANK('[1]2.Diagnostic Analysis'!D446),'[1]2.Diagnostic Analysis'!$Q$3,'[1]2.Diagnostic Analysis'!D446)</f>
        <v>30</v>
      </c>
      <c r="G446">
        <v>50</v>
      </c>
      <c r="H446">
        <v>1</v>
      </c>
      <c r="I446">
        <v>50</v>
      </c>
      <c r="J446">
        <v>19.02</v>
      </c>
      <c r="K446" s="2">
        <v>45274</v>
      </c>
      <c r="L446" t="str">
        <f>IF(ISBLANK('[1]2.Diagnostic Analysis'!K446),"Unknown",'[1]2.Diagnostic Analysis'!K446)</f>
        <v>Delivered</v>
      </c>
    </row>
    <row r="447" spans="1:12" x14ac:dyDescent="0.25">
      <c r="A447" t="s">
        <v>136</v>
      </c>
      <c r="B447" t="s">
        <v>20</v>
      </c>
      <c r="C447" t="str">
        <f>IF(ISBLANK('[1]2.Diagnostic Analysis'!C447),"Unknown",'[1]2.Diagnostic Analysis'!C447)</f>
        <v>West</v>
      </c>
      <c r="D447" t="s">
        <v>17</v>
      </c>
      <c r="E447" t="s">
        <v>18</v>
      </c>
      <c r="F447">
        <f>IF(ISBLANK('[1]2.Diagnostic Analysis'!D447),'[1]2.Diagnostic Analysis'!$Q$3,'[1]2.Diagnostic Analysis'!D447)</f>
        <v>37</v>
      </c>
      <c r="G447">
        <v>100</v>
      </c>
      <c r="H447">
        <v>3</v>
      </c>
      <c r="I447">
        <v>300</v>
      </c>
      <c r="J447">
        <v>16.670000000000002</v>
      </c>
      <c r="K447" s="2">
        <v>44992</v>
      </c>
      <c r="L447" t="str">
        <f>IF(ISBLANK('[1]2.Diagnostic Analysis'!K447),"Unknown",'[1]2.Diagnostic Analysis'!K447)</f>
        <v>Returned</v>
      </c>
    </row>
    <row r="448" spans="1:12" x14ac:dyDescent="0.25">
      <c r="A448" t="s">
        <v>171</v>
      </c>
      <c r="B448" t="s">
        <v>20</v>
      </c>
      <c r="C448" t="str">
        <f>IF(ISBLANK('[1]2.Diagnostic Analysis'!C448),"Unknown",'[1]2.Diagnostic Analysis'!C448)</f>
        <v>East</v>
      </c>
      <c r="D448" t="s">
        <v>30</v>
      </c>
      <c r="E448" t="s">
        <v>18</v>
      </c>
      <c r="F448">
        <f>IF(ISBLANK('[1]2.Diagnostic Analysis'!D448),'[1]2.Diagnostic Analysis'!$Q$3,'[1]2.Diagnostic Analysis'!D448)</f>
        <v>55</v>
      </c>
      <c r="G448">
        <v>30</v>
      </c>
      <c r="H448">
        <v>1</v>
      </c>
      <c r="I448">
        <v>30</v>
      </c>
      <c r="J448">
        <v>5.24</v>
      </c>
      <c r="K448" s="2">
        <v>45071</v>
      </c>
      <c r="L448" t="str">
        <f>IF(ISBLANK('[1]2.Diagnostic Analysis'!K448),"Unknown",'[1]2.Diagnostic Analysis'!K448)</f>
        <v>Returned</v>
      </c>
    </row>
    <row r="449" spans="1:12" x14ac:dyDescent="0.25">
      <c r="A449" t="s">
        <v>67</v>
      </c>
      <c r="B449" t="s">
        <v>20</v>
      </c>
      <c r="C449" t="str">
        <f>IF(ISBLANK('[1]2.Diagnostic Analysis'!C449),"Unknown",'[1]2.Diagnostic Analysis'!C449)</f>
        <v>North</v>
      </c>
      <c r="D449" t="s">
        <v>14</v>
      </c>
      <c r="E449" t="s">
        <v>15</v>
      </c>
      <c r="F449">
        <f>IF(ISBLANK('[1]2.Diagnostic Analysis'!D449),'[1]2.Diagnostic Analysis'!$Q$3,'[1]2.Diagnostic Analysis'!D449)</f>
        <v>68</v>
      </c>
      <c r="G449">
        <v>300</v>
      </c>
      <c r="H449">
        <v>3</v>
      </c>
      <c r="I449">
        <v>900</v>
      </c>
      <c r="J449">
        <v>10.39</v>
      </c>
      <c r="K449" s="2">
        <v>44966</v>
      </c>
      <c r="L449" t="str">
        <f>IF(ISBLANK('[1]2.Diagnostic Analysis'!K449),"Unknown",'[1]2.Diagnostic Analysis'!K449)</f>
        <v>Returned</v>
      </c>
    </row>
    <row r="450" spans="1:12" x14ac:dyDescent="0.25">
      <c r="A450" t="s">
        <v>251</v>
      </c>
      <c r="B450" t="s">
        <v>20</v>
      </c>
      <c r="C450" t="str">
        <f>IF(ISBLANK('[1]2.Diagnostic Analysis'!C450),"Unknown",'[1]2.Diagnostic Analysis'!C450)</f>
        <v>West</v>
      </c>
      <c r="D450" t="s">
        <v>29</v>
      </c>
      <c r="E450" t="s">
        <v>18</v>
      </c>
      <c r="F450">
        <f>IF(ISBLANK('[1]2.Diagnostic Analysis'!D450),'[1]2.Diagnostic Analysis'!$Q$3,'[1]2.Diagnostic Analysis'!D450)</f>
        <v>51</v>
      </c>
      <c r="G450">
        <v>50</v>
      </c>
      <c r="H450">
        <v>3</v>
      </c>
      <c r="I450">
        <v>150</v>
      </c>
      <c r="J450">
        <v>19.79</v>
      </c>
      <c r="K450" s="2">
        <v>45294</v>
      </c>
      <c r="L450" t="str">
        <f>IF(ISBLANK('[1]2.Diagnostic Analysis'!K450),"Unknown",'[1]2.Diagnostic Analysis'!K450)</f>
        <v>Delivered</v>
      </c>
    </row>
    <row r="451" spans="1:12" x14ac:dyDescent="0.25">
      <c r="A451" t="s">
        <v>173</v>
      </c>
      <c r="B451" t="s">
        <v>20</v>
      </c>
      <c r="C451" t="str">
        <f>IF(ISBLANK('[1]2.Diagnostic Analysis'!C451),"Unknown",'[1]2.Diagnostic Analysis'!C451)</f>
        <v>East</v>
      </c>
      <c r="D451" t="s">
        <v>14</v>
      </c>
      <c r="E451" t="s">
        <v>15</v>
      </c>
      <c r="F451">
        <f>IF(ISBLANK('[1]2.Diagnostic Analysis'!D451),'[1]2.Diagnostic Analysis'!$Q$3,'[1]2.Diagnostic Analysis'!D451)</f>
        <v>60</v>
      </c>
      <c r="G451">
        <v>300</v>
      </c>
      <c r="H451">
        <v>4</v>
      </c>
      <c r="I451">
        <v>1200</v>
      </c>
      <c r="J451">
        <v>7.26</v>
      </c>
      <c r="K451" s="2">
        <v>45158</v>
      </c>
      <c r="L451" t="str">
        <f>IF(ISBLANK('[1]2.Diagnostic Analysis'!K451),"Unknown",'[1]2.Diagnostic Analysis'!K451)</f>
        <v>In Transit</v>
      </c>
    </row>
    <row r="452" spans="1:12" x14ac:dyDescent="0.25">
      <c r="A452" t="s">
        <v>193</v>
      </c>
      <c r="B452" t="s">
        <v>20</v>
      </c>
      <c r="C452" t="str">
        <f>IF(ISBLANK('[1]2.Diagnostic Analysis'!C452),"Unknown",'[1]2.Diagnostic Analysis'!C452)</f>
        <v>East</v>
      </c>
      <c r="D452" t="s">
        <v>25</v>
      </c>
      <c r="E452" t="s">
        <v>26</v>
      </c>
      <c r="F452">
        <f>IF(ISBLANK('[1]2.Diagnostic Analysis'!D452),'[1]2.Diagnostic Analysis'!$Q$3,'[1]2.Diagnostic Analysis'!D452)</f>
        <v>52</v>
      </c>
      <c r="G452">
        <v>200</v>
      </c>
      <c r="H452">
        <v>5</v>
      </c>
      <c r="I452">
        <v>1000</v>
      </c>
      <c r="J452">
        <v>18.72</v>
      </c>
      <c r="K452" s="2">
        <v>44987</v>
      </c>
      <c r="L452" t="str">
        <f>IF(ISBLANK('[1]2.Diagnostic Analysis'!K452),"Unknown",'[1]2.Diagnostic Analysis'!K452)</f>
        <v>Delivered</v>
      </c>
    </row>
    <row r="453" spans="1:12" x14ac:dyDescent="0.25">
      <c r="A453" t="s">
        <v>132</v>
      </c>
      <c r="B453" t="s">
        <v>13</v>
      </c>
      <c r="C453" t="str">
        <f>IF(ISBLANK('[1]2.Diagnostic Analysis'!C453),"Unknown",'[1]2.Diagnostic Analysis'!C453)</f>
        <v>South</v>
      </c>
      <c r="D453" t="s">
        <v>29</v>
      </c>
      <c r="E453" t="s">
        <v>18</v>
      </c>
      <c r="F453">
        <f>IF(ISBLANK('[1]2.Diagnostic Analysis'!D453),'[1]2.Diagnostic Analysis'!$Q$3,'[1]2.Diagnostic Analysis'!D453)</f>
        <v>49</v>
      </c>
      <c r="G453">
        <v>50</v>
      </c>
      <c r="H453">
        <v>3</v>
      </c>
      <c r="I453">
        <v>150</v>
      </c>
      <c r="J453">
        <v>9.99</v>
      </c>
      <c r="K453" s="2">
        <v>45053</v>
      </c>
      <c r="L453" t="str">
        <f>IF(ISBLANK('[1]2.Diagnostic Analysis'!K453),"Unknown",'[1]2.Diagnostic Analysis'!K453)</f>
        <v>Unknown</v>
      </c>
    </row>
    <row r="454" spans="1:12" x14ac:dyDescent="0.25">
      <c r="A454" t="s">
        <v>203</v>
      </c>
      <c r="B454" t="s">
        <v>20</v>
      </c>
      <c r="C454" t="str">
        <f>IF(ISBLANK('[1]2.Diagnostic Analysis'!C454),"Unknown",'[1]2.Diagnostic Analysis'!C454)</f>
        <v>East</v>
      </c>
      <c r="D454" t="s">
        <v>14</v>
      </c>
      <c r="E454" t="s">
        <v>15</v>
      </c>
      <c r="F454">
        <f>IF(ISBLANK('[1]2.Diagnostic Analysis'!D454),'[1]2.Diagnostic Analysis'!$Q$3,'[1]2.Diagnostic Analysis'!D454)</f>
        <v>61</v>
      </c>
      <c r="G454">
        <v>300</v>
      </c>
      <c r="H454">
        <v>1</v>
      </c>
      <c r="I454">
        <v>300</v>
      </c>
      <c r="J454">
        <v>6.63</v>
      </c>
      <c r="K454" s="2">
        <v>44940</v>
      </c>
      <c r="L454" t="str">
        <f>IF(ISBLANK('[1]2.Diagnostic Analysis'!K454),"Unknown",'[1]2.Diagnostic Analysis'!K454)</f>
        <v>In Transit</v>
      </c>
    </row>
    <row r="455" spans="1:12" x14ac:dyDescent="0.25">
      <c r="A455" t="s">
        <v>111</v>
      </c>
      <c r="B455" t="s">
        <v>13</v>
      </c>
      <c r="C455" t="str">
        <f>IF(ISBLANK('[1]2.Diagnostic Analysis'!C455),"Unknown",'[1]2.Diagnostic Analysis'!C455)</f>
        <v>South</v>
      </c>
      <c r="D455" t="s">
        <v>30</v>
      </c>
      <c r="E455" t="s">
        <v>18</v>
      </c>
      <c r="F455">
        <f>IF(ISBLANK('[1]2.Diagnostic Analysis'!D455),'[1]2.Diagnostic Analysis'!$Q$3,'[1]2.Diagnostic Analysis'!D455)</f>
        <v>58</v>
      </c>
      <c r="G455">
        <v>30</v>
      </c>
      <c r="H455">
        <v>1</v>
      </c>
      <c r="I455">
        <v>30</v>
      </c>
      <c r="J455">
        <v>11.39</v>
      </c>
      <c r="K455" s="2">
        <v>45061</v>
      </c>
      <c r="L455" t="str">
        <f>IF(ISBLANK('[1]2.Diagnostic Analysis'!K455),"Unknown",'[1]2.Diagnostic Analysis'!K455)</f>
        <v>In Transit</v>
      </c>
    </row>
    <row r="456" spans="1:12" x14ac:dyDescent="0.25">
      <c r="A456" t="s">
        <v>252</v>
      </c>
      <c r="B456" t="s">
        <v>20</v>
      </c>
      <c r="C456" t="str">
        <f>IF(ISBLANK('[1]2.Diagnostic Analysis'!C456),"Unknown",'[1]2.Diagnostic Analysis'!C456)</f>
        <v>East</v>
      </c>
      <c r="D456" t="s">
        <v>29</v>
      </c>
      <c r="E456" t="s">
        <v>18</v>
      </c>
      <c r="F456">
        <f>IF(ISBLANK('[1]2.Diagnostic Analysis'!D456),'[1]2.Diagnostic Analysis'!$Q$3,'[1]2.Diagnostic Analysis'!D456)</f>
        <v>55</v>
      </c>
      <c r="G456">
        <v>50</v>
      </c>
      <c r="H456">
        <v>4</v>
      </c>
      <c r="I456">
        <v>200</v>
      </c>
      <c r="J456">
        <v>6.66</v>
      </c>
      <c r="K456" s="2">
        <v>45151</v>
      </c>
      <c r="L456" t="str">
        <f>IF(ISBLANK('[1]2.Diagnostic Analysis'!K456),"Unknown",'[1]2.Diagnostic Analysis'!K456)</f>
        <v>Unknown</v>
      </c>
    </row>
    <row r="457" spans="1:12" x14ac:dyDescent="0.25">
      <c r="A457" t="s">
        <v>234</v>
      </c>
      <c r="B457" t="s">
        <v>20</v>
      </c>
      <c r="C457" t="str">
        <f>IF(ISBLANK('[1]2.Diagnostic Analysis'!C457),"Unknown",'[1]2.Diagnostic Analysis'!C457)</f>
        <v>East</v>
      </c>
      <c r="D457" t="s">
        <v>29</v>
      </c>
      <c r="E457" t="s">
        <v>18</v>
      </c>
      <c r="F457">
        <f>IF(ISBLANK('[1]2.Diagnostic Analysis'!D457),'[1]2.Diagnostic Analysis'!$Q$3,'[1]2.Diagnostic Analysis'!D457)</f>
        <v>18</v>
      </c>
      <c r="G457">
        <v>50</v>
      </c>
      <c r="H457">
        <v>4</v>
      </c>
      <c r="I457">
        <v>200</v>
      </c>
      <c r="J457">
        <v>7.76</v>
      </c>
      <c r="K457" s="2">
        <v>45158</v>
      </c>
      <c r="L457" t="str">
        <f>IF(ISBLANK('[1]2.Diagnostic Analysis'!K457),"Unknown",'[1]2.Diagnostic Analysis'!K457)</f>
        <v>In Transit</v>
      </c>
    </row>
    <row r="458" spans="1:12" x14ac:dyDescent="0.25">
      <c r="A458" t="s">
        <v>85</v>
      </c>
      <c r="B458" t="s">
        <v>20</v>
      </c>
      <c r="C458" t="str">
        <f>IF(ISBLANK('[1]2.Diagnostic Analysis'!C458),"Unknown",'[1]2.Diagnostic Analysis'!C458)</f>
        <v>South</v>
      </c>
      <c r="D458" t="s">
        <v>40</v>
      </c>
      <c r="E458" t="s">
        <v>15</v>
      </c>
      <c r="F458">
        <f>IF(ISBLANK('[1]2.Diagnostic Analysis'!D458),'[1]2.Diagnostic Analysis'!$Q$3,'[1]2.Diagnostic Analysis'!D458)</f>
        <v>41</v>
      </c>
      <c r="G458">
        <v>800</v>
      </c>
      <c r="H458">
        <v>1</v>
      </c>
      <c r="I458">
        <v>800</v>
      </c>
      <c r="J458">
        <v>6.24</v>
      </c>
      <c r="K458" s="2">
        <v>45141</v>
      </c>
      <c r="L458" t="str">
        <f>IF(ISBLANK('[1]2.Diagnostic Analysis'!K458),"Unknown",'[1]2.Diagnostic Analysis'!K458)</f>
        <v>Delivered</v>
      </c>
    </row>
    <row r="459" spans="1:12" x14ac:dyDescent="0.25">
      <c r="A459" t="s">
        <v>253</v>
      </c>
      <c r="B459" t="s">
        <v>20</v>
      </c>
      <c r="C459" t="str">
        <f>IF(ISBLANK('[1]2.Diagnostic Analysis'!C459),"Unknown",'[1]2.Diagnostic Analysis'!C459)</f>
        <v>South</v>
      </c>
      <c r="D459" t="s">
        <v>17</v>
      </c>
      <c r="E459" t="s">
        <v>18</v>
      </c>
      <c r="F459">
        <f>IF(ISBLANK('[1]2.Diagnostic Analysis'!D459),'[1]2.Diagnostic Analysis'!$Q$3,'[1]2.Diagnostic Analysis'!D459)</f>
        <v>56</v>
      </c>
      <c r="G459">
        <v>100</v>
      </c>
      <c r="H459">
        <v>3</v>
      </c>
      <c r="I459">
        <v>300</v>
      </c>
      <c r="J459">
        <v>5.86</v>
      </c>
      <c r="K459" s="2">
        <v>45255</v>
      </c>
      <c r="L459" t="str">
        <f>IF(ISBLANK('[1]2.Diagnostic Analysis'!K459),"Unknown",'[1]2.Diagnostic Analysis'!K459)</f>
        <v>In Transit</v>
      </c>
    </row>
    <row r="460" spans="1:12" x14ac:dyDescent="0.25">
      <c r="A460" t="s">
        <v>254</v>
      </c>
      <c r="B460" t="s">
        <v>20</v>
      </c>
      <c r="C460" t="str">
        <f>IF(ISBLANK('[1]2.Diagnostic Analysis'!C460),"Unknown",'[1]2.Diagnostic Analysis'!C460)</f>
        <v>South</v>
      </c>
      <c r="D460" t="s">
        <v>23</v>
      </c>
      <c r="E460" t="s">
        <v>15</v>
      </c>
      <c r="F460">
        <f>IF(ISBLANK('[1]2.Diagnostic Analysis'!D460),'[1]2.Diagnostic Analysis'!$Q$3,'[1]2.Diagnostic Analysis'!D460)</f>
        <v>69</v>
      </c>
      <c r="G460">
        <v>1500</v>
      </c>
      <c r="H460">
        <v>2</v>
      </c>
      <c r="I460">
        <v>3000</v>
      </c>
      <c r="J460">
        <v>5.35</v>
      </c>
      <c r="K460" s="2">
        <v>45229</v>
      </c>
      <c r="L460" t="str">
        <f>IF(ISBLANK('[1]2.Diagnostic Analysis'!K460),"Unknown",'[1]2.Diagnostic Analysis'!K460)</f>
        <v>Returned</v>
      </c>
    </row>
    <row r="461" spans="1:12" x14ac:dyDescent="0.25">
      <c r="A461" t="s">
        <v>86</v>
      </c>
      <c r="B461" t="s">
        <v>20</v>
      </c>
      <c r="C461" t="str">
        <f>IF(ISBLANK('[1]2.Diagnostic Analysis'!C461),"Unknown",'[1]2.Diagnostic Analysis'!C461)</f>
        <v>North</v>
      </c>
      <c r="D461" t="s">
        <v>40</v>
      </c>
      <c r="E461" t="s">
        <v>15</v>
      </c>
      <c r="F461">
        <f>IF(ISBLANK('[1]2.Diagnostic Analysis'!D461),'[1]2.Diagnostic Analysis'!$Q$3,'[1]2.Diagnostic Analysis'!D461)</f>
        <v>61</v>
      </c>
      <c r="G461">
        <v>800</v>
      </c>
      <c r="H461">
        <v>5</v>
      </c>
      <c r="I461">
        <v>4000</v>
      </c>
      <c r="J461">
        <v>13.72</v>
      </c>
      <c r="K461" s="2">
        <v>44994</v>
      </c>
      <c r="L461" t="str">
        <f>IF(ISBLANK('[1]2.Diagnostic Analysis'!K461),"Unknown",'[1]2.Diagnostic Analysis'!K461)</f>
        <v>Unknown</v>
      </c>
    </row>
    <row r="462" spans="1:12" x14ac:dyDescent="0.25">
      <c r="A462" t="s">
        <v>198</v>
      </c>
      <c r="B462" t="s">
        <v>13</v>
      </c>
      <c r="C462" t="str">
        <f>IF(ISBLANK('[1]2.Diagnostic Analysis'!C462),"Unknown",'[1]2.Diagnostic Analysis'!C462)</f>
        <v>East</v>
      </c>
      <c r="D462" t="s">
        <v>40</v>
      </c>
      <c r="E462" t="s">
        <v>15</v>
      </c>
      <c r="F462">
        <f>IF(ISBLANK('[1]2.Diagnostic Analysis'!D462),'[1]2.Diagnostic Analysis'!$Q$3,'[1]2.Diagnostic Analysis'!D462)</f>
        <v>46</v>
      </c>
      <c r="G462">
        <v>800</v>
      </c>
      <c r="H462">
        <v>2</v>
      </c>
      <c r="I462">
        <v>1600</v>
      </c>
      <c r="J462">
        <v>13.1</v>
      </c>
      <c r="K462" s="2">
        <v>44933</v>
      </c>
      <c r="L462" t="str">
        <f>IF(ISBLANK('[1]2.Diagnostic Analysis'!K462),"Unknown",'[1]2.Diagnostic Analysis'!K462)</f>
        <v>In Transit</v>
      </c>
    </row>
    <row r="463" spans="1:12" x14ac:dyDescent="0.25">
      <c r="A463" t="s">
        <v>145</v>
      </c>
      <c r="B463" t="s">
        <v>13</v>
      </c>
      <c r="C463" t="str">
        <f>IF(ISBLANK('[1]2.Diagnostic Analysis'!C463),"Unknown",'[1]2.Diagnostic Analysis'!C463)</f>
        <v>East</v>
      </c>
      <c r="D463" t="s">
        <v>25</v>
      </c>
      <c r="E463" t="s">
        <v>26</v>
      </c>
      <c r="F463">
        <f>IF(ISBLANK('[1]2.Diagnostic Analysis'!D463),'[1]2.Diagnostic Analysis'!$Q$3,'[1]2.Diagnostic Analysis'!D463)</f>
        <v>30</v>
      </c>
      <c r="G463">
        <v>200</v>
      </c>
      <c r="H463">
        <v>2</v>
      </c>
      <c r="I463">
        <v>400</v>
      </c>
      <c r="J463">
        <v>13.54</v>
      </c>
      <c r="K463" s="2">
        <v>45146</v>
      </c>
      <c r="L463" t="str">
        <f>IF(ISBLANK('[1]2.Diagnostic Analysis'!K463),"Unknown",'[1]2.Diagnostic Analysis'!K463)</f>
        <v>In Transit</v>
      </c>
    </row>
    <row r="464" spans="1:12" x14ac:dyDescent="0.25">
      <c r="A464" t="s">
        <v>62</v>
      </c>
      <c r="B464" t="s">
        <v>20</v>
      </c>
      <c r="C464" t="str">
        <f>IF(ISBLANK('[1]2.Diagnostic Analysis'!C464),"Unknown",'[1]2.Diagnostic Analysis'!C464)</f>
        <v>East</v>
      </c>
      <c r="D464" t="s">
        <v>40</v>
      </c>
      <c r="E464" t="s">
        <v>15</v>
      </c>
      <c r="F464">
        <f>IF(ISBLANK('[1]2.Diagnostic Analysis'!D464),'[1]2.Diagnostic Analysis'!$Q$3,'[1]2.Diagnostic Analysis'!D464)</f>
        <v>58</v>
      </c>
      <c r="G464">
        <v>800</v>
      </c>
      <c r="H464">
        <v>5</v>
      </c>
      <c r="I464">
        <v>4000</v>
      </c>
      <c r="J464">
        <v>5.65</v>
      </c>
      <c r="K464" s="2">
        <v>45276</v>
      </c>
      <c r="L464" t="str">
        <f>IF(ISBLANK('[1]2.Diagnostic Analysis'!K464),"Unknown",'[1]2.Diagnostic Analysis'!K464)</f>
        <v>Delivered</v>
      </c>
    </row>
    <row r="465" spans="1:12" x14ac:dyDescent="0.25">
      <c r="A465" t="s">
        <v>213</v>
      </c>
      <c r="B465" t="s">
        <v>20</v>
      </c>
      <c r="C465" t="str">
        <f>IF(ISBLANK('[1]2.Diagnostic Analysis'!C465),"Unknown",'[1]2.Diagnostic Analysis'!C465)</f>
        <v>South</v>
      </c>
      <c r="D465" t="s">
        <v>14</v>
      </c>
      <c r="E465" t="s">
        <v>15</v>
      </c>
      <c r="F465">
        <f>IF(ISBLANK('[1]2.Diagnostic Analysis'!D465),'[1]2.Diagnostic Analysis'!$Q$3,'[1]2.Diagnostic Analysis'!D465)</f>
        <v>49</v>
      </c>
      <c r="G465">
        <v>300</v>
      </c>
      <c r="H465">
        <v>3</v>
      </c>
      <c r="I465">
        <v>900</v>
      </c>
      <c r="J465">
        <v>17.93</v>
      </c>
      <c r="K465" s="2">
        <v>45075</v>
      </c>
      <c r="L465" t="str">
        <f>IF(ISBLANK('[1]2.Diagnostic Analysis'!K465),"Unknown",'[1]2.Diagnostic Analysis'!K465)</f>
        <v>Delivered</v>
      </c>
    </row>
    <row r="466" spans="1:12" x14ac:dyDescent="0.25">
      <c r="A466" t="s">
        <v>117</v>
      </c>
      <c r="B466" t="s">
        <v>20</v>
      </c>
      <c r="C466" t="str">
        <f>IF(ISBLANK('[1]2.Diagnostic Analysis'!C466),"Unknown",'[1]2.Diagnostic Analysis'!C466)</f>
        <v>North</v>
      </c>
      <c r="D466" t="s">
        <v>14</v>
      </c>
      <c r="E466" t="s">
        <v>15</v>
      </c>
      <c r="F466">
        <f>IF(ISBLANK('[1]2.Diagnostic Analysis'!D466),'[1]2.Diagnostic Analysis'!$Q$3,'[1]2.Diagnostic Analysis'!D466)</f>
        <v>29</v>
      </c>
      <c r="G466">
        <v>300</v>
      </c>
      <c r="H466">
        <v>4</v>
      </c>
      <c r="I466">
        <v>1200</v>
      </c>
      <c r="J466">
        <v>5.79</v>
      </c>
      <c r="K466" s="2">
        <v>45173</v>
      </c>
      <c r="L466" t="str">
        <f>IF(ISBLANK('[1]2.Diagnostic Analysis'!K466),"Unknown",'[1]2.Diagnostic Analysis'!K466)</f>
        <v>In Transit</v>
      </c>
    </row>
    <row r="467" spans="1:12" x14ac:dyDescent="0.25">
      <c r="A467" t="s">
        <v>156</v>
      </c>
      <c r="B467" t="s">
        <v>20</v>
      </c>
      <c r="C467" t="str">
        <f>IF(ISBLANK('[1]2.Diagnostic Analysis'!C467),"Unknown",'[1]2.Diagnostic Analysis'!C467)</f>
        <v>North</v>
      </c>
      <c r="D467" t="s">
        <v>40</v>
      </c>
      <c r="E467" t="s">
        <v>15</v>
      </c>
      <c r="F467">
        <f>IF(ISBLANK('[1]2.Diagnostic Analysis'!D467),'[1]2.Diagnostic Analysis'!$Q$3,'[1]2.Diagnostic Analysis'!D467)</f>
        <v>54</v>
      </c>
      <c r="G467">
        <v>800</v>
      </c>
      <c r="H467">
        <v>1</v>
      </c>
      <c r="I467">
        <v>800</v>
      </c>
      <c r="J467">
        <v>13.72</v>
      </c>
      <c r="K467" s="2">
        <v>45168</v>
      </c>
      <c r="L467" t="str">
        <f>IF(ISBLANK('[1]2.Diagnostic Analysis'!K467),"Unknown",'[1]2.Diagnostic Analysis'!K467)</f>
        <v>In Transit</v>
      </c>
    </row>
    <row r="468" spans="1:12" x14ac:dyDescent="0.25">
      <c r="A468" t="s">
        <v>67</v>
      </c>
      <c r="B468" t="s">
        <v>13</v>
      </c>
      <c r="C468" t="str">
        <f>IF(ISBLANK('[1]2.Diagnostic Analysis'!C468),"Unknown",'[1]2.Diagnostic Analysis'!C468)</f>
        <v>West</v>
      </c>
      <c r="D468" t="s">
        <v>29</v>
      </c>
      <c r="E468" t="s">
        <v>18</v>
      </c>
      <c r="F468">
        <f>IF(ISBLANK('[1]2.Diagnostic Analysis'!D468),'[1]2.Diagnostic Analysis'!$Q$3,'[1]2.Diagnostic Analysis'!D468)</f>
        <v>68</v>
      </c>
      <c r="G468">
        <v>50</v>
      </c>
      <c r="H468">
        <v>3</v>
      </c>
      <c r="I468">
        <v>150</v>
      </c>
      <c r="J468">
        <v>8.99</v>
      </c>
      <c r="K468" s="2">
        <v>44959</v>
      </c>
      <c r="L468" t="str">
        <f>IF(ISBLANK('[1]2.Diagnostic Analysis'!K468),"Unknown",'[1]2.Diagnostic Analysis'!K468)</f>
        <v>Delivered</v>
      </c>
    </row>
    <row r="469" spans="1:12" x14ac:dyDescent="0.25">
      <c r="A469" t="s">
        <v>165</v>
      </c>
      <c r="B469" t="s">
        <v>13</v>
      </c>
      <c r="C469" t="str">
        <f>IF(ISBLANK('[1]2.Diagnostic Analysis'!C469),"Unknown",'[1]2.Diagnostic Analysis'!C469)</f>
        <v>South</v>
      </c>
      <c r="D469" t="s">
        <v>14</v>
      </c>
      <c r="E469" t="s">
        <v>15</v>
      </c>
      <c r="F469">
        <f>IF(ISBLANK('[1]2.Diagnostic Analysis'!D469),'[1]2.Diagnostic Analysis'!$Q$3,'[1]2.Diagnostic Analysis'!D469)</f>
        <v>66</v>
      </c>
      <c r="G469">
        <v>300</v>
      </c>
      <c r="H469">
        <v>4</v>
      </c>
      <c r="I469">
        <v>1200</v>
      </c>
      <c r="J469">
        <v>17.59</v>
      </c>
      <c r="K469" s="2">
        <v>45181</v>
      </c>
      <c r="L469" t="str">
        <f>IF(ISBLANK('[1]2.Diagnostic Analysis'!K469),"Unknown",'[1]2.Diagnostic Analysis'!K469)</f>
        <v>Returned</v>
      </c>
    </row>
    <row r="470" spans="1:12" x14ac:dyDescent="0.25">
      <c r="A470" t="s">
        <v>255</v>
      </c>
      <c r="B470" t="s">
        <v>13</v>
      </c>
      <c r="C470" t="str">
        <f>IF(ISBLANK('[1]2.Diagnostic Analysis'!C470),"Unknown",'[1]2.Diagnostic Analysis'!C470)</f>
        <v>East</v>
      </c>
      <c r="D470" t="s">
        <v>29</v>
      </c>
      <c r="E470" t="s">
        <v>18</v>
      </c>
      <c r="F470">
        <f>IF(ISBLANK('[1]2.Diagnostic Analysis'!D470),'[1]2.Diagnostic Analysis'!$Q$3,'[1]2.Diagnostic Analysis'!D470)</f>
        <v>39</v>
      </c>
      <c r="G470">
        <v>50</v>
      </c>
      <c r="H470">
        <v>4</v>
      </c>
      <c r="I470">
        <v>200</v>
      </c>
      <c r="J470">
        <v>13.51</v>
      </c>
      <c r="K470" s="2">
        <v>45281</v>
      </c>
      <c r="L470" t="str">
        <f>IF(ISBLANK('[1]2.Diagnostic Analysis'!K470),"Unknown",'[1]2.Diagnostic Analysis'!K470)</f>
        <v>Delivered</v>
      </c>
    </row>
    <row r="471" spans="1:12" x14ac:dyDescent="0.25">
      <c r="A471" t="s">
        <v>231</v>
      </c>
      <c r="B471" t="s">
        <v>13</v>
      </c>
      <c r="C471" t="str">
        <f>IF(ISBLANK('[1]2.Diagnostic Analysis'!C471),"Unknown",'[1]2.Diagnostic Analysis'!C471)</f>
        <v>South</v>
      </c>
      <c r="D471" t="s">
        <v>40</v>
      </c>
      <c r="E471" t="s">
        <v>15</v>
      </c>
      <c r="F471">
        <f>IF(ISBLANK('[1]2.Diagnostic Analysis'!D471),'[1]2.Diagnostic Analysis'!$Q$3,'[1]2.Diagnostic Analysis'!D471)</f>
        <v>64</v>
      </c>
      <c r="G471">
        <v>800</v>
      </c>
      <c r="H471">
        <v>1</v>
      </c>
      <c r="I471">
        <v>800</v>
      </c>
      <c r="J471">
        <v>19.149999999999999</v>
      </c>
      <c r="K471" s="2">
        <v>45206</v>
      </c>
      <c r="L471" t="str">
        <f>IF(ISBLANK('[1]2.Diagnostic Analysis'!K471),"Unknown",'[1]2.Diagnostic Analysis'!K471)</f>
        <v>Delivered</v>
      </c>
    </row>
    <row r="472" spans="1:12" x14ac:dyDescent="0.25">
      <c r="A472" t="s">
        <v>52</v>
      </c>
      <c r="B472" t="s">
        <v>20</v>
      </c>
      <c r="C472" t="str">
        <f>IF(ISBLANK('[1]2.Diagnostic Analysis'!C472),"Unknown",'[1]2.Diagnostic Analysis'!C472)</f>
        <v>North</v>
      </c>
      <c r="D472" t="s">
        <v>29</v>
      </c>
      <c r="E472" t="s">
        <v>18</v>
      </c>
      <c r="F472">
        <f>IF(ISBLANK('[1]2.Diagnostic Analysis'!D472),'[1]2.Diagnostic Analysis'!$Q$3,'[1]2.Diagnostic Analysis'!D472)</f>
        <v>57</v>
      </c>
      <c r="G472">
        <v>50</v>
      </c>
      <c r="H472">
        <v>2</v>
      </c>
      <c r="I472">
        <v>100</v>
      </c>
      <c r="J472">
        <v>16.78</v>
      </c>
      <c r="K472" s="2">
        <v>45246</v>
      </c>
      <c r="L472" t="str">
        <f>IF(ISBLANK('[1]2.Diagnostic Analysis'!K472),"Unknown",'[1]2.Diagnostic Analysis'!K472)</f>
        <v>Unknown</v>
      </c>
    </row>
    <row r="473" spans="1:12" x14ac:dyDescent="0.25">
      <c r="A473" t="s">
        <v>31</v>
      </c>
      <c r="B473" t="s">
        <v>13</v>
      </c>
      <c r="C473" t="str">
        <f>IF(ISBLANK('[1]2.Diagnostic Analysis'!C473),"Unknown",'[1]2.Diagnostic Analysis'!C473)</f>
        <v>East</v>
      </c>
      <c r="D473" t="s">
        <v>14</v>
      </c>
      <c r="E473" t="s">
        <v>15</v>
      </c>
      <c r="F473">
        <f>IF(ISBLANK('[1]2.Diagnostic Analysis'!D473),'[1]2.Diagnostic Analysis'!$Q$3,'[1]2.Diagnostic Analysis'!D473)</f>
        <v>49</v>
      </c>
      <c r="G473">
        <v>300</v>
      </c>
      <c r="H473">
        <v>5</v>
      </c>
      <c r="I473">
        <v>1500</v>
      </c>
      <c r="J473">
        <v>8.56</v>
      </c>
      <c r="K473" s="2">
        <v>45229</v>
      </c>
      <c r="L473" t="str">
        <f>IF(ISBLANK('[1]2.Diagnostic Analysis'!K473),"Unknown",'[1]2.Diagnostic Analysis'!K473)</f>
        <v>In Transit</v>
      </c>
    </row>
    <row r="474" spans="1:12" x14ac:dyDescent="0.25">
      <c r="A474" t="s">
        <v>168</v>
      </c>
      <c r="B474" t="s">
        <v>13</v>
      </c>
      <c r="C474" t="str">
        <f>IF(ISBLANK('[1]2.Diagnostic Analysis'!C474),"Unknown",'[1]2.Diagnostic Analysis'!C474)</f>
        <v>North</v>
      </c>
      <c r="D474" t="s">
        <v>30</v>
      </c>
      <c r="E474" t="s">
        <v>18</v>
      </c>
      <c r="F474">
        <f>IF(ISBLANK('[1]2.Diagnostic Analysis'!D474),'[1]2.Diagnostic Analysis'!$Q$3,'[1]2.Diagnostic Analysis'!D474)</f>
        <v>42</v>
      </c>
      <c r="G474">
        <v>30</v>
      </c>
      <c r="H474">
        <v>5</v>
      </c>
      <c r="I474">
        <v>150</v>
      </c>
      <c r="J474">
        <v>9.26</v>
      </c>
      <c r="K474" s="2">
        <v>44978</v>
      </c>
      <c r="L474" t="str">
        <f>IF(ISBLANK('[1]2.Diagnostic Analysis'!K474),"Unknown",'[1]2.Diagnostic Analysis'!K474)</f>
        <v>Delivered</v>
      </c>
    </row>
    <row r="475" spans="1:12" x14ac:dyDescent="0.25">
      <c r="A475" t="s">
        <v>192</v>
      </c>
      <c r="B475" t="s">
        <v>13</v>
      </c>
      <c r="C475" t="str">
        <f>IF(ISBLANK('[1]2.Diagnostic Analysis'!C475),"Unknown",'[1]2.Diagnostic Analysis'!C475)</f>
        <v>Unknown</v>
      </c>
      <c r="D475" t="s">
        <v>14</v>
      </c>
      <c r="E475" t="s">
        <v>15</v>
      </c>
      <c r="F475">
        <f>IF(ISBLANK('[1]2.Diagnostic Analysis'!D475),'[1]2.Diagnostic Analysis'!$Q$3,'[1]2.Diagnostic Analysis'!D475)</f>
        <v>28</v>
      </c>
      <c r="G475">
        <v>300</v>
      </c>
      <c r="H475">
        <v>5</v>
      </c>
      <c r="I475">
        <v>1500</v>
      </c>
      <c r="J475">
        <v>13.09</v>
      </c>
      <c r="K475" s="2">
        <v>44997</v>
      </c>
      <c r="L475" t="str">
        <f>IF(ISBLANK('[1]2.Diagnostic Analysis'!K475),"Unknown",'[1]2.Diagnostic Analysis'!K475)</f>
        <v>Delivered</v>
      </c>
    </row>
    <row r="476" spans="1:12" x14ac:dyDescent="0.25">
      <c r="A476" t="s">
        <v>256</v>
      </c>
      <c r="B476" t="s">
        <v>20</v>
      </c>
      <c r="C476" t="str">
        <f>IF(ISBLANK('[1]2.Diagnostic Analysis'!C476),"Unknown",'[1]2.Diagnostic Analysis'!C476)</f>
        <v>South</v>
      </c>
      <c r="D476" t="s">
        <v>30</v>
      </c>
      <c r="E476" t="s">
        <v>18</v>
      </c>
      <c r="F476">
        <f>IF(ISBLANK('[1]2.Diagnostic Analysis'!D476),'[1]2.Diagnostic Analysis'!$Q$3,'[1]2.Diagnostic Analysis'!D476)</f>
        <v>36</v>
      </c>
      <c r="G476">
        <v>30</v>
      </c>
      <c r="H476">
        <v>5</v>
      </c>
      <c r="I476">
        <v>150</v>
      </c>
      <c r="J476">
        <v>6.58</v>
      </c>
      <c r="K476" s="2">
        <v>45216</v>
      </c>
      <c r="L476" t="str">
        <f>IF(ISBLANK('[1]2.Diagnostic Analysis'!K476),"Unknown",'[1]2.Diagnostic Analysis'!K476)</f>
        <v>In Transit</v>
      </c>
    </row>
    <row r="477" spans="1:12" x14ac:dyDescent="0.25">
      <c r="A477" t="s">
        <v>165</v>
      </c>
      <c r="B477" t="s">
        <v>20</v>
      </c>
      <c r="C477" t="str">
        <f>IF(ISBLANK('[1]2.Diagnostic Analysis'!C477),"Unknown",'[1]2.Diagnostic Analysis'!C477)</f>
        <v>South</v>
      </c>
      <c r="D477" t="s">
        <v>30</v>
      </c>
      <c r="E477" t="s">
        <v>18</v>
      </c>
      <c r="F477">
        <f>IF(ISBLANK('[1]2.Diagnostic Analysis'!D477),'[1]2.Diagnostic Analysis'!$Q$3,'[1]2.Diagnostic Analysis'!D477)</f>
        <v>66</v>
      </c>
      <c r="G477">
        <v>30</v>
      </c>
      <c r="H477">
        <v>2</v>
      </c>
      <c r="I477">
        <v>60</v>
      </c>
      <c r="J477">
        <v>12.21</v>
      </c>
      <c r="K477" s="2">
        <v>45082</v>
      </c>
      <c r="L477" t="str">
        <f>IF(ISBLANK('[1]2.Diagnostic Analysis'!K477),"Unknown",'[1]2.Diagnostic Analysis'!K477)</f>
        <v>Delivered</v>
      </c>
    </row>
    <row r="478" spans="1:12" x14ac:dyDescent="0.25">
      <c r="A478" t="s">
        <v>147</v>
      </c>
      <c r="B478" t="s">
        <v>13</v>
      </c>
      <c r="C478" t="str">
        <f>IF(ISBLANK('[1]2.Diagnostic Analysis'!C478),"Unknown",'[1]2.Diagnostic Analysis'!C478)</f>
        <v>West</v>
      </c>
      <c r="D478" t="s">
        <v>14</v>
      </c>
      <c r="E478" t="s">
        <v>15</v>
      </c>
      <c r="F478">
        <f>IF(ISBLANK('[1]2.Diagnostic Analysis'!D478),'[1]2.Diagnostic Analysis'!$Q$3,'[1]2.Diagnostic Analysis'!D478)</f>
        <v>58</v>
      </c>
      <c r="G478">
        <v>300</v>
      </c>
      <c r="H478">
        <v>4</v>
      </c>
      <c r="I478">
        <v>1200</v>
      </c>
      <c r="J478">
        <v>6.4</v>
      </c>
      <c r="K478" s="2">
        <v>44988</v>
      </c>
      <c r="L478" t="str">
        <f>IF(ISBLANK('[1]2.Diagnostic Analysis'!K478),"Unknown",'[1]2.Diagnostic Analysis'!K478)</f>
        <v>Delivered</v>
      </c>
    </row>
    <row r="479" spans="1:12" x14ac:dyDescent="0.25">
      <c r="A479" t="s">
        <v>210</v>
      </c>
      <c r="B479" t="s">
        <v>13</v>
      </c>
      <c r="C479" t="str">
        <f>IF(ISBLANK('[1]2.Diagnostic Analysis'!C479),"Unknown",'[1]2.Diagnostic Analysis'!C479)</f>
        <v>South</v>
      </c>
      <c r="D479" t="s">
        <v>40</v>
      </c>
      <c r="E479" t="s">
        <v>15</v>
      </c>
      <c r="F479">
        <f>IF(ISBLANK('[1]2.Diagnostic Analysis'!D479),'[1]2.Diagnostic Analysis'!$Q$3,'[1]2.Diagnostic Analysis'!D479)</f>
        <v>54</v>
      </c>
      <c r="G479">
        <v>800</v>
      </c>
      <c r="H479">
        <v>5</v>
      </c>
      <c r="I479">
        <v>4000</v>
      </c>
      <c r="J479">
        <v>19.43</v>
      </c>
      <c r="K479" s="2">
        <v>45119</v>
      </c>
      <c r="L479" t="str">
        <f>IF(ISBLANK('[1]2.Diagnostic Analysis'!K479),"Unknown",'[1]2.Diagnostic Analysis'!K479)</f>
        <v>In Transit</v>
      </c>
    </row>
    <row r="480" spans="1:12" x14ac:dyDescent="0.25">
      <c r="A480" t="s">
        <v>164</v>
      </c>
      <c r="B480" t="s">
        <v>20</v>
      </c>
      <c r="C480" t="str">
        <f>IF(ISBLANK('[1]2.Diagnostic Analysis'!C480),"Unknown",'[1]2.Diagnostic Analysis'!C480)</f>
        <v>North</v>
      </c>
      <c r="D480" t="s">
        <v>14</v>
      </c>
      <c r="E480" t="s">
        <v>15</v>
      </c>
      <c r="F480">
        <f>IF(ISBLANK('[1]2.Diagnostic Analysis'!D480),'[1]2.Diagnostic Analysis'!$Q$3,'[1]2.Diagnostic Analysis'!D480)</f>
        <v>57</v>
      </c>
      <c r="G480">
        <v>300</v>
      </c>
      <c r="H480">
        <v>1</v>
      </c>
      <c r="I480">
        <v>300</v>
      </c>
      <c r="J480">
        <v>15.49</v>
      </c>
      <c r="K480" s="2">
        <v>44962</v>
      </c>
      <c r="L480" t="str">
        <f>IF(ISBLANK('[1]2.Diagnostic Analysis'!K480),"Unknown",'[1]2.Diagnostic Analysis'!K480)</f>
        <v>In Transit</v>
      </c>
    </row>
    <row r="481" spans="1:12" x14ac:dyDescent="0.25">
      <c r="A481" t="s">
        <v>34</v>
      </c>
      <c r="B481" t="s">
        <v>13</v>
      </c>
      <c r="C481" t="str">
        <f>IF(ISBLANK('[1]2.Diagnostic Analysis'!C481),"Unknown",'[1]2.Diagnostic Analysis'!C481)</f>
        <v>West</v>
      </c>
      <c r="D481" t="s">
        <v>40</v>
      </c>
      <c r="E481" t="s">
        <v>15</v>
      </c>
      <c r="F481">
        <f>IF(ISBLANK('[1]2.Diagnostic Analysis'!D481),'[1]2.Diagnostic Analysis'!$Q$3,'[1]2.Diagnostic Analysis'!D481)</f>
        <v>49</v>
      </c>
      <c r="G481">
        <v>800</v>
      </c>
      <c r="H481">
        <v>3</v>
      </c>
      <c r="I481">
        <v>2400</v>
      </c>
      <c r="J481">
        <v>6.95</v>
      </c>
      <c r="K481" s="2">
        <v>45191</v>
      </c>
      <c r="L481" t="str">
        <f>IF(ISBLANK('[1]2.Diagnostic Analysis'!K481),"Unknown",'[1]2.Diagnostic Analysis'!K481)</f>
        <v>Returned</v>
      </c>
    </row>
    <row r="482" spans="1:12" x14ac:dyDescent="0.25">
      <c r="A482" t="s">
        <v>135</v>
      </c>
      <c r="B482" t="s">
        <v>13</v>
      </c>
      <c r="C482" t="str">
        <f>IF(ISBLANK('[1]2.Diagnostic Analysis'!C482),"Unknown",'[1]2.Diagnostic Analysis'!C482)</f>
        <v>North</v>
      </c>
      <c r="D482" t="s">
        <v>23</v>
      </c>
      <c r="E482" t="s">
        <v>15</v>
      </c>
      <c r="F482">
        <f>IF(ISBLANK('[1]2.Diagnostic Analysis'!D482),'[1]2.Diagnostic Analysis'!$Q$3,'[1]2.Diagnostic Analysis'!D482)</f>
        <v>54</v>
      </c>
      <c r="G482">
        <v>1500</v>
      </c>
      <c r="H482">
        <v>4</v>
      </c>
      <c r="I482">
        <v>6000</v>
      </c>
      <c r="J482">
        <v>5.05</v>
      </c>
      <c r="K482" s="2">
        <v>45119</v>
      </c>
      <c r="L482" t="str">
        <f>IF(ISBLANK('[1]2.Diagnostic Analysis'!K482),"Unknown",'[1]2.Diagnostic Analysis'!K482)</f>
        <v>Delivered</v>
      </c>
    </row>
    <row r="483" spans="1:12" x14ac:dyDescent="0.25">
      <c r="A483" t="s">
        <v>43</v>
      </c>
      <c r="B483" t="s">
        <v>20</v>
      </c>
      <c r="C483" t="str">
        <f>IF(ISBLANK('[1]2.Diagnostic Analysis'!C483),"Unknown",'[1]2.Diagnostic Analysis'!C483)</f>
        <v>West</v>
      </c>
      <c r="D483" t="s">
        <v>23</v>
      </c>
      <c r="E483" t="s">
        <v>15</v>
      </c>
      <c r="F483">
        <f>IF(ISBLANK('[1]2.Diagnostic Analysis'!D483),'[1]2.Diagnostic Analysis'!$Q$3,'[1]2.Diagnostic Analysis'!D483)</f>
        <v>37</v>
      </c>
      <c r="G483">
        <v>1500</v>
      </c>
      <c r="H483">
        <v>1</v>
      </c>
      <c r="I483">
        <v>1500</v>
      </c>
      <c r="J483">
        <v>12.95</v>
      </c>
      <c r="K483" s="2">
        <v>45236</v>
      </c>
      <c r="L483" t="str">
        <f>IF(ISBLANK('[1]2.Diagnostic Analysis'!K483),"Unknown",'[1]2.Diagnostic Analysis'!K483)</f>
        <v>Returned</v>
      </c>
    </row>
    <row r="484" spans="1:12" x14ac:dyDescent="0.25">
      <c r="A484" t="s">
        <v>257</v>
      </c>
      <c r="B484" t="s">
        <v>20</v>
      </c>
      <c r="C484" t="str">
        <f>IF(ISBLANK('[1]2.Diagnostic Analysis'!C484),"Unknown",'[1]2.Diagnostic Analysis'!C484)</f>
        <v>West</v>
      </c>
      <c r="D484" t="s">
        <v>17</v>
      </c>
      <c r="E484" t="s">
        <v>18</v>
      </c>
      <c r="F484">
        <f>IF(ISBLANK('[1]2.Diagnostic Analysis'!D484),'[1]2.Diagnostic Analysis'!$Q$3,'[1]2.Diagnostic Analysis'!D484)</f>
        <v>58</v>
      </c>
      <c r="G484">
        <v>100</v>
      </c>
      <c r="H484">
        <v>5</v>
      </c>
      <c r="I484">
        <v>500</v>
      </c>
      <c r="J484">
        <v>19.98</v>
      </c>
      <c r="K484" s="2">
        <v>45151</v>
      </c>
      <c r="L484" t="str">
        <f>IF(ISBLANK('[1]2.Diagnostic Analysis'!K484),"Unknown",'[1]2.Diagnostic Analysis'!K484)</f>
        <v>Returned</v>
      </c>
    </row>
    <row r="485" spans="1:12" x14ac:dyDescent="0.25">
      <c r="A485" t="s">
        <v>99</v>
      </c>
      <c r="B485" t="s">
        <v>13</v>
      </c>
      <c r="C485" t="str">
        <f>IF(ISBLANK('[1]2.Diagnostic Analysis'!C485),"Unknown",'[1]2.Diagnostic Analysis'!C485)</f>
        <v>South</v>
      </c>
      <c r="D485" t="s">
        <v>40</v>
      </c>
      <c r="E485" t="s">
        <v>15</v>
      </c>
      <c r="F485">
        <f>IF(ISBLANK('[1]2.Diagnostic Analysis'!D485),'[1]2.Diagnostic Analysis'!$Q$3,'[1]2.Diagnostic Analysis'!D485)</f>
        <v>19</v>
      </c>
      <c r="G485">
        <v>800</v>
      </c>
      <c r="H485">
        <v>4</v>
      </c>
      <c r="I485">
        <v>3200</v>
      </c>
      <c r="J485">
        <v>12.3</v>
      </c>
      <c r="K485" s="2">
        <v>44949</v>
      </c>
      <c r="L485" t="str">
        <f>IF(ISBLANK('[1]2.Diagnostic Analysis'!K485),"Unknown",'[1]2.Diagnostic Analysis'!K485)</f>
        <v>Delivered</v>
      </c>
    </row>
    <row r="486" spans="1:12" x14ac:dyDescent="0.25">
      <c r="A486" t="s">
        <v>88</v>
      </c>
      <c r="B486" t="s">
        <v>20</v>
      </c>
      <c r="C486" t="str">
        <f>IF(ISBLANK('[1]2.Diagnostic Analysis'!C486),"Unknown",'[1]2.Diagnostic Analysis'!C486)</f>
        <v>South</v>
      </c>
      <c r="D486" t="s">
        <v>14</v>
      </c>
      <c r="E486" t="s">
        <v>15</v>
      </c>
      <c r="F486">
        <f>IF(ISBLANK('[1]2.Diagnostic Analysis'!D486),'[1]2.Diagnostic Analysis'!$Q$3,'[1]2.Diagnostic Analysis'!D486)</f>
        <v>50</v>
      </c>
      <c r="G486">
        <v>300</v>
      </c>
      <c r="H486">
        <v>4</v>
      </c>
      <c r="I486">
        <v>1200</v>
      </c>
      <c r="J486">
        <v>7.42</v>
      </c>
      <c r="K486" s="2">
        <v>45206</v>
      </c>
      <c r="L486" t="str">
        <f>IF(ISBLANK('[1]2.Diagnostic Analysis'!K486),"Unknown",'[1]2.Diagnostic Analysis'!K486)</f>
        <v>Delivered</v>
      </c>
    </row>
    <row r="487" spans="1:12" x14ac:dyDescent="0.25">
      <c r="A487" t="s">
        <v>88</v>
      </c>
      <c r="B487" t="s">
        <v>20</v>
      </c>
      <c r="C487" t="str">
        <f>IF(ISBLANK('[1]2.Diagnostic Analysis'!C487),"Unknown",'[1]2.Diagnostic Analysis'!C487)</f>
        <v>West</v>
      </c>
      <c r="D487" t="s">
        <v>30</v>
      </c>
      <c r="E487" t="s">
        <v>18</v>
      </c>
      <c r="F487">
        <f>IF(ISBLANK('[1]2.Diagnostic Analysis'!D487),'[1]2.Diagnostic Analysis'!$Q$3,'[1]2.Diagnostic Analysis'!D487)</f>
        <v>50</v>
      </c>
      <c r="G487">
        <v>30</v>
      </c>
      <c r="H487">
        <v>1</v>
      </c>
      <c r="I487">
        <v>30</v>
      </c>
      <c r="J487">
        <v>15.21</v>
      </c>
      <c r="K487" s="2">
        <v>45245</v>
      </c>
      <c r="L487" t="str">
        <f>IF(ISBLANK('[1]2.Diagnostic Analysis'!K487),"Unknown",'[1]2.Diagnostic Analysis'!K487)</f>
        <v>In Transit</v>
      </c>
    </row>
    <row r="488" spans="1:12" x14ac:dyDescent="0.25">
      <c r="A488" t="s">
        <v>48</v>
      </c>
      <c r="B488" t="s">
        <v>20</v>
      </c>
      <c r="C488" t="str">
        <f>IF(ISBLANK('[1]2.Diagnostic Analysis'!C488),"Unknown",'[1]2.Diagnostic Analysis'!C488)</f>
        <v>West</v>
      </c>
      <c r="D488" t="s">
        <v>14</v>
      </c>
      <c r="E488" t="s">
        <v>15</v>
      </c>
      <c r="F488">
        <f>IF(ISBLANK('[1]2.Diagnostic Analysis'!D488),'[1]2.Diagnostic Analysis'!$Q$3,'[1]2.Diagnostic Analysis'!D488)</f>
        <v>59</v>
      </c>
      <c r="G488">
        <v>300</v>
      </c>
      <c r="H488">
        <v>3</v>
      </c>
      <c r="I488">
        <v>900</v>
      </c>
      <c r="J488">
        <v>19.8</v>
      </c>
      <c r="K488" s="2">
        <v>45286</v>
      </c>
      <c r="L488" t="str">
        <f>IF(ISBLANK('[1]2.Diagnostic Analysis'!K488),"Unknown",'[1]2.Diagnostic Analysis'!K488)</f>
        <v>In Transit</v>
      </c>
    </row>
    <row r="489" spans="1:12" x14ac:dyDescent="0.25">
      <c r="A489" t="s">
        <v>256</v>
      </c>
      <c r="B489" t="s">
        <v>20</v>
      </c>
      <c r="C489" t="str">
        <f>IF(ISBLANK('[1]2.Diagnostic Analysis'!C489),"Unknown",'[1]2.Diagnostic Analysis'!C489)</f>
        <v>West</v>
      </c>
      <c r="D489" t="s">
        <v>30</v>
      </c>
      <c r="E489" t="s">
        <v>18</v>
      </c>
      <c r="F489">
        <f>IF(ISBLANK('[1]2.Diagnostic Analysis'!D489),'[1]2.Diagnostic Analysis'!$Q$3,'[1]2.Diagnostic Analysis'!D489)</f>
        <v>49</v>
      </c>
      <c r="G489">
        <v>30</v>
      </c>
      <c r="H489">
        <v>5</v>
      </c>
      <c r="I489">
        <v>150</v>
      </c>
      <c r="J489">
        <v>13.14</v>
      </c>
      <c r="K489" s="2">
        <v>45241</v>
      </c>
      <c r="L489" t="str">
        <f>IF(ISBLANK('[1]2.Diagnostic Analysis'!K489),"Unknown",'[1]2.Diagnostic Analysis'!K489)</f>
        <v>Returned</v>
      </c>
    </row>
    <row r="490" spans="1:12" x14ac:dyDescent="0.25">
      <c r="A490" t="s">
        <v>221</v>
      </c>
      <c r="B490" t="s">
        <v>13</v>
      </c>
      <c r="C490" t="str">
        <f>IF(ISBLANK('[1]2.Diagnostic Analysis'!C490),"Unknown",'[1]2.Diagnostic Analysis'!C490)</f>
        <v>West</v>
      </c>
      <c r="D490" t="s">
        <v>17</v>
      </c>
      <c r="E490" t="s">
        <v>18</v>
      </c>
      <c r="F490">
        <f>IF(ISBLANK('[1]2.Diagnostic Analysis'!D490),'[1]2.Diagnostic Analysis'!$Q$3,'[1]2.Diagnostic Analysis'!D490)</f>
        <v>49</v>
      </c>
      <c r="G490">
        <v>100</v>
      </c>
      <c r="H490">
        <v>5</v>
      </c>
      <c r="I490">
        <v>500</v>
      </c>
      <c r="J490">
        <v>15.78</v>
      </c>
      <c r="K490" s="2">
        <v>45037</v>
      </c>
      <c r="L490" t="str">
        <f>IF(ISBLANK('[1]2.Diagnostic Analysis'!K490),"Unknown",'[1]2.Diagnostic Analysis'!K490)</f>
        <v>Delivered</v>
      </c>
    </row>
    <row r="491" spans="1:12" x14ac:dyDescent="0.25">
      <c r="A491" t="s">
        <v>69</v>
      </c>
      <c r="B491" t="s">
        <v>13</v>
      </c>
      <c r="C491" t="str">
        <f>IF(ISBLANK('[1]2.Diagnostic Analysis'!C491),"Unknown",'[1]2.Diagnostic Analysis'!C491)</f>
        <v>West</v>
      </c>
      <c r="D491" t="s">
        <v>29</v>
      </c>
      <c r="E491" t="s">
        <v>18</v>
      </c>
      <c r="F491">
        <f>IF(ISBLANK('[1]2.Diagnostic Analysis'!D491),'[1]2.Diagnostic Analysis'!$Q$3,'[1]2.Diagnostic Analysis'!D491)</f>
        <v>67</v>
      </c>
      <c r="G491">
        <v>50</v>
      </c>
      <c r="H491">
        <v>5</v>
      </c>
      <c r="I491">
        <v>250</v>
      </c>
      <c r="J491">
        <v>5.81</v>
      </c>
      <c r="K491" s="2">
        <v>45064</v>
      </c>
      <c r="L491" t="str">
        <f>IF(ISBLANK('[1]2.Diagnostic Analysis'!K491),"Unknown",'[1]2.Diagnostic Analysis'!K491)</f>
        <v>Delivered</v>
      </c>
    </row>
    <row r="492" spans="1:12" x14ac:dyDescent="0.25">
      <c r="A492" t="s">
        <v>258</v>
      </c>
      <c r="B492" t="s">
        <v>13</v>
      </c>
      <c r="C492" t="str">
        <f>IF(ISBLANK('[1]2.Diagnostic Analysis'!C492),"Unknown",'[1]2.Diagnostic Analysis'!C492)</f>
        <v>West</v>
      </c>
      <c r="D492" t="s">
        <v>17</v>
      </c>
      <c r="E492" t="s">
        <v>18</v>
      </c>
      <c r="F492">
        <f>IF(ISBLANK('[1]2.Diagnostic Analysis'!D492),'[1]2.Diagnostic Analysis'!$Q$3,'[1]2.Diagnostic Analysis'!D492)</f>
        <v>55</v>
      </c>
      <c r="G492">
        <v>100</v>
      </c>
      <c r="H492">
        <v>5</v>
      </c>
      <c r="I492">
        <v>500</v>
      </c>
      <c r="J492">
        <v>7.98</v>
      </c>
      <c r="K492" s="2">
        <v>45062</v>
      </c>
      <c r="L492" t="str">
        <f>IF(ISBLANK('[1]2.Diagnostic Analysis'!K492),"Unknown",'[1]2.Diagnostic Analysis'!K492)</f>
        <v>Returned</v>
      </c>
    </row>
    <row r="493" spans="1:12" x14ac:dyDescent="0.25">
      <c r="A493" t="s">
        <v>259</v>
      </c>
      <c r="B493" t="s">
        <v>20</v>
      </c>
      <c r="C493" t="str">
        <f>IF(ISBLANK('[1]2.Diagnostic Analysis'!C493),"Unknown",'[1]2.Diagnostic Analysis'!C493)</f>
        <v>East</v>
      </c>
      <c r="D493" t="s">
        <v>30</v>
      </c>
      <c r="E493" t="s">
        <v>18</v>
      </c>
      <c r="F493">
        <f>IF(ISBLANK('[1]2.Diagnostic Analysis'!D493),'[1]2.Diagnostic Analysis'!$Q$3,'[1]2.Diagnostic Analysis'!D493)</f>
        <v>49</v>
      </c>
      <c r="G493">
        <v>30</v>
      </c>
      <c r="H493">
        <v>5</v>
      </c>
      <c r="I493">
        <v>150</v>
      </c>
      <c r="J493">
        <v>19.829999999999998</v>
      </c>
      <c r="K493" s="2">
        <v>45180</v>
      </c>
      <c r="L493" t="str">
        <f>IF(ISBLANK('[1]2.Diagnostic Analysis'!K493),"Unknown",'[1]2.Diagnostic Analysis'!K493)</f>
        <v>In Transit</v>
      </c>
    </row>
    <row r="494" spans="1:12" x14ac:dyDescent="0.25">
      <c r="A494" t="s">
        <v>184</v>
      </c>
      <c r="B494" t="s">
        <v>13</v>
      </c>
      <c r="C494" t="str">
        <f>IF(ISBLANK('[1]2.Diagnostic Analysis'!C494),"Unknown",'[1]2.Diagnostic Analysis'!C494)</f>
        <v>West</v>
      </c>
      <c r="D494" t="s">
        <v>40</v>
      </c>
      <c r="E494" t="s">
        <v>15</v>
      </c>
      <c r="F494">
        <f>IF(ISBLANK('[1]2.Diagnostic Analysis'!D494),'[1]2.Diagnostic Analysis'!$Q$3,'[1]2.Diagnostic Analysis'!D494)</f>
        <v>51</v>
      </c>
      <c r="G494">
        <v>800</v>
      </c>
      <c r="H494">
        <v>5</v>
      </c>
      <c r="I494">
        <v>4000</v>
      </c>
      <c r="J494">
        <v>16.14</v>
      </c>
      <c r="K494" s="2">
        <v>45089</v>
      </c>
      <c r="L494" t="str">
        <f>IF(ISBLANK('[1]2.Diagnostic Analysis'!K494),"Unknown",'[1]2.Diagnostic Analysis'!K494)</f>
        <v>Returned</v>
      </c>
    </row>
    <row r="495" spans="1:12" x14ac:dyDescent="0.25">
      <c r="A495" t="s">
        <v>118</v>
      </c>
      <c r="B495" t="s">
        <v>20</v>
      </c>
      <c r="C495" t="str">
        <f>IF(ISBLANK('[1]2.Diagnostic Analysis'!C495),"Unknown",'[1]2.Diagnostic Analysis'!C495)</f>
        <v>North</v>
      </c>
      <c r="D495" t="s">
        <v>30</v>
      </c>
      <c r="E495" t="s">
        <v>18</v>
      </c>
      <c r="F495">
        <f>IF(ISBLANK('[1]2.Diagnostic Analysis'!D495),'[1]2.Diagnostic Analysis'!$Q$3,'[1]2.Diagnostic Analysis'!D495)</f>
        <v>37</v>
      </c>
      <c r="G495">
        <v>30</v>
      </c>
      <c r="H495">
        <v>4</v>
      </c>
      <c r="I495">
        <v>120</v>
      </c>
      <c r="J495">
        <v>9</v>
      </c>
      <c r="K495" s="2">
        <v>45294</v>
      </c>
      <c r="L495" t="str">
        <f>IF(ISBLANK('[1]2.Diagnostic Analysis'!K495),"Unknown",'[1]2.Diagnostic Analysis'!K495)</f>
        <v>Returned</v>
      </c>
    </row>
    <row r="496" spans="1:12" x14ac:dyDescent="0.25">
      <c r="A496" t="s">
        <v>227</v>
      </c>
      <c r="B496" t="s">
        <v>20</v>
      </c>
      <c r="C496" t="str">
        <f>IF(ISBLANK('[1]2.Diagnostic Analysis'!C496),"Unknown",'[1]2.Diagnostic Analysis'!C496)</f>
        <v>North</v>
      </c>
      <c r="D496" t="s">
        <v>40</v>
      </c>
      <c r="E496" t="s">
        <v>15</v>
      </c>
      <c r="F496">
        <f>IF(ISBLANK('[1]2.Diagnostic Analysis'!D496),'[1]2.Diagnostic Analysis'!$Q$3,'[1]2.Diagnostic Analysis'!D496)</f>
        <v>66</v>
      </c>
      <c r="G496">
        <v>800</v>
      </c>
      <c r="H496">
        <v>1</v>
      </c>
      <c r="I496">
        <v>800</v>
      </c>
      <c r="J496">
        <v>16.420000000000002</v>
      </c>
      <c r="K496" s="2">
        <v>45195</v>
      </c>
      <c r="L496" t="str">
        <f>IF(ISBLANK('[1]2.Diagnostic Analysis'!K496),"Unknown",'[1]2.Diagnostic Analysis'!K496)</f>
        <v>In Transit</v>
      </c>
    </row>
    <row r="497" spans="1:12" x14ac:dyDescent="0.25">
      <c r="A497" t="s">
        <v>109</v>
      </c>
      <c r="B497" t="s">
        <v>20</v>
      </c>
      <c r="C497" t="str">
        <f>IF(ISBLANK('[1]2.Diagnostic Analysis'!C497),"Unknown",'[1]2.Diagnostic Analysis'!C497)</f>
        <v>South</v>
      </c>
      <c r="D497" t="s">
        <v>23</v>
      </c>
      <c r="E497" t="s">
        <v>15</v>
      </c>
      <c r="F497">
        <f>IF(ISBLANK('[1]2.Diagnostic Analysis'!D497),'[1]2.Diagnostic Analysis'!$Q$3,'[1]2.Diagnostic Analysis'!D497)</f>
        <v>57</v>
      </c>
      <c r="G497">
        <v>1500</v>
      </c>
      <c r="H497">
        <v>1</v>
      </c>
      <c r="I497">
        <v>1500</v>
      </c>
      <c r="J497">
        <v>9.69</v>
      </c>
      <c r="K497" s="2">
        <v>45252</v>
      </c>
      <c r="L497" t="str">
        <f>IF(ISBLANK('[1]2.Diagnostic Analysis'!K497),"Unknown",'[1]2.Diagnostic Analysis'!K497)</f>
        <v>Delivered</v>
      </c>
    </row>
    <row r="498" spans="1:12" x14ac:dyDescent="0.25">
      <c r="A498" t="s">
        <v>230</v>
      </c>
      <c r="B498" t="s">
        <v>13</v>
      </c>
      <c r="C498" t="str">
        <f>IF(ISBLANK('[1]2.Diagnostic Analysis'!C498),"Unknown",'[1]2.Diagnostic Analysis'!C498)</f>
        <v>East</v>
      </c>
      <c r="D498" t="s">
        <v>23</v>
      </c>
      <c r="E498" t="s">
        <v>15</v>
      </c>
      <c r="F498">
        <f>IF(ISBLANK('[1]2.Diagnostic Analysis'!D498),'[1]2.Diagnostic Analysis'!$Q$3,'[1]2.Diagnostic Analysis'!D498)</f>
        <v>49</v>
      </c>
      <c r="G498">
        <v>1500</v>
      </c>
      <c r="H498">
        <v>4</v>
      </c>
      <c r="I498">
        <v>6000</v>
      </c>
      <c r="J498">
        <v>16.489999999999998</v>
      </c>
      <c r="K498" s="2">
        <v>45117</v>
      </c>
      <c r="L498" t="str">
        <f>IF(ISBLANK('[1]2.Diagnostic Analysis'!K498),"Unknown",'[1]2.Diagnostic Analysis'!K498)</f>
        <v>Delivered</v>
      </c>
    </row>
    <row r="499" spans="1:12" x14ac:dyDescent="0.25">
      <c r="A499" t="s">
        <v>98</v>
      </c>
      <c r="B499" t="s">
        <v>13</v>
      </c>
      <c r="C499" t="str">
        <f>IF(ISBLANK('[1]2.Diagnostic Analysis'!C499),"Unknown",'[1]2.Diagnostic Analysis'!C499)</f>
        <v>West</v>
      </c>
      <c r="D499" t="s">
        <v>29</v>
      </c>
      <c r="E499" t="s">
        <v>18</v>
      </c>
      <c r="F499">
        <f>IF(ISBLANK('[1]2.Diagnostic Analysis'!D499),'[1]2.Diagnostic Analysis'!$Q$3,'[1]2.Diagnostic Analysis'!D499)</f>
        <v>40</v>
      </c>
      <c r="G499">
        <v>50</v>
      </c>
      <c r="H499">
        <v>2</v>
      </c>
      <c r="I499">
        <v>100</v>
      </c>
      <c r="J499">
        <v>14</v>
      </c>
      <c r="K499" s="2">
        <v>45253</v>
      </c>
      <c r="L499" t="str">
        <f>IF(ISBLANK('[1]2.Diagnostic Analysis'!K499),"Unknown",'[1]2.Diagnostic Analysis'!K499)</f>
        <v>Delivered</v>
      </c>
    </row>
    <row r="500" spans="1:12" x14ac:dyDescent="0.25">
      <c r="A500" t="s">
        <v>63</v>
      </c>
      <c r="B500" t="s">
        <v>20</v>
      </c>
      <c r="C500" t="str">
        <f>IF(ISBLANK('[1]2.Diagnostic Analysis'!C500),"Unknown",'[1]2.Diagnostic Analysis'!C500)</f>
        <v>East</v>
      </c>
      <c r="D500" t="s">
        <v>23</v>
      </c>
      <c r="E500" t="s">
        <v>15</v>
      </c>
      <c r="F500">
        <f>IF(ISBLANK('[1]2.Diagnostic Analysis'!D500),'[1]2.Diagnostic Analysis'!$Q$3,'[1]2.Diagnostic Analysis'!D500)</f>
        <v>61</v>
      </c>
      <c r="G500">
        <v>1500</v>
      </c>
      <c r="H500">
        <v>3</v>
      </c>
      <c r="I500">
        <v>4500</v>
      </c>
      <c r="J500">
        <v>12.21</v>
      </c>
      <c r="K500" s="2">
        <v>45227</v>
      </c>
      <c r="L500" t="str">
        <f>IF(ISBLANK('[1]2.Diagnostic Analysis'!K500),"Unknown",'[1]2.Diagnostic Analysis'!K500)</f>
        <v>Returned</v>
      </c>
    </row>
    <row r="501" spans="1:12" x14ac:dyDescent="0.25">
      <c r="A501" t="s">
        <v>228</v>
      </c>
      <c r="B501" t="s">
        <v>13</v>
      </c>
      <c r="C501" t="str">
        <f>IF(ISBLANK('[1]2.Diagnostic Analysis'!C501),"Unknown",'[1]2.Diagnostic Analysis'!C501)</f>
        <v>North</v>
      </c>
      <c r="D501" t="s">
        <v>29</v>
      </c>
      <c r="E501" t="s">
        <v>18</v>
      </c>
      <c r="F501">
        <f>IF(ISBLANK('[1]2.Diagnostic Analysis'!D501),'[1]2.Diagnostic Analysis'!$Q$3,'[1]2.Diagnostic Analysis'!D501)</f>
        <v>22</v>
      </c>
      <c r="G501">
        <v>50</v>
      </c>
      <c r="H501">
        <v>4</v>
      </c>
      <c r="I501">
        <v>200</v>
      </c>
      <c r="J501">
        <v>9.82</v>
      </c>
      <c r="K501" s="2">
        <v>44931</v>
      </c>
      <c r="L501" t="str">
        <f>IF(ISBLANK('[1]2.Diagnostic Analysis'!K501),"Unknown",'[1]2.Diagnostic Analysis'!K501)</f>
        <v>Delivered</v>
      </c>
    </row>
    <row r="502" spans="1:12" x14ac:dyDescent="0.25">
      <c r="A502" t="s">
        <v>235</v>
      </c>
      <c r="B502" t="s">
        <v>13</v>
      </c>
      <c r="C502" t="str">
        <f>IF(ISBLANK('[1]2.Diagnostic Analysis'!C502),"Unknown",'[1]2.Diagnostic Analysis'!C502)</f>
        <v>North</v>
      </c>
      <c r="D502" t="s">
        <v>25</v>
      </c>
      <c r="E502" t="s">
        <v>26</v>
      </c>
      <c r="F502">
        <f>IF(ISBLANK('[1]2.Diagnostic Analysis'!D502),'[1]2.Diagnostic Analysis'!$Q$3,'[1]2.Diagnostic Analysis'!D502)</f>
        <v>23</v>
      </c>
      <c r="G502">
        <v>200</v>
      </c>
      <c r="H502">
        <v>5</v>
      </c>
      <c r="I502">
        <v>1000</v>
      </c>
      <c r="J502">
        <v>14.5</v>
      </c>
      <c r="K502" s="2">
        <v>45245</v>
      </c>
      <c r="L502" t="str">
        <f>IF(ISBLANK('[1]2.Diagnostic Analysis'!K502),"Unknown",'[1]2.Diagnostic Analysis'!K502)</f>
        <v>Delivered</v>
      </c>
    </row>
    <row r="503" spans="1:12" x14ac:dyDescent="0.25">
      <c r="A503" t="s">
        <v>207</v>
      </c>
      <c r="B503" t="s">
        <v>13</v>
      </c>
      <c r="C503" t="str">
        <f>IF(ISBLANK('[1]2.Diagnostic Analysis'!C503),"Unknown",'[1]2.Diagnostic Analysis'!C503)</f>
        <v>North</v>
      </c>
      <c r="D503" t="s">
        <v>30</v>
      </c>
      <c r="E503" t="s">
        <v>18</v>
      </c>
      <c r="F503">
        <f>IF(ISBLANK('[1]2.Diagnostic Analysis'!D503),'[1]2.Diagnostic Analysis'!$Q$3,'[1]2.Diagnostic Analysis'!D503)</f>
        <v>63</v>
      </c>
      <c r="G503">
        <v>30</v>
      </c>
      <c r="H503">
        <v>4</v>
      </c>
      <c r="I503">
        <v>120</v>
      </c>
      <c r="J503">
        <v>14.68</v>
      </c>
      <c r="K503" s="2">
        <v>44996</v>
      </c>
      <c r="L503" t="str">
        <f>IF(ISBLANK('[1]2.Diagnostic Analysis'!K503),"Unknown",'[1]2.Diagnostic Analysis'!K503)</f>
        <v>Returned</v>
      </c>
    </row>
    <row r="504" spans="1:12" x14ac:dyDescent="0.25">
      <c r="A504" t="s">
        <v>99</v>
      </c>
      <c r="B504" t="s">
        <v>13</v>
      </c>
      <c r="C504" t="str">
        <f>IF(ISBLANK('[1]2.Diagnostic Analysis'!C504),"Unknown",'[1]2.Diagnostic Analysis'!C504)</f>
        <v>West</v>
      </c>
      <c r="D504" t="s">
        <v>30</v>
      </c>
      <c r="E504" t="s">
        <v>18</v>
      </c>
      <c r="F504">
        <f>IF(ISBLANK('[1]2.Diagnostic Analysis'!D504),'[1]2.Diagnostic Analysis'!$Q$3,'[1]2.Diagnostic Analysis'!D504)</f>
        <v>19</v>
      </c>
      <c r="G504">
        <v>30</v>
      </c>
      <c r="H504">
        <v>1</v>
      </c>
      <c r="I504">
        <v>30</v>
      </c>
      <c r="J504">
        <v>17.329999999999998</v>
      </c>
      <c r="K504" s="2">
        <v>45169</v>
      </c>
      <c r="L504" t="str">
        <f>IF(ISBLANK('[1]2.Diagnostic Analysis'!K504),"Unknown",'[1]2.Diagnostic Analysis'!K504)</f>
        <v>Delivered</v>
      </c>
    </row>
    <row r="505" spans="1:12" x14ac:dyDescent="0.25">
      <c r="A505" t="s">
        <v>159</v>
      </c>
      <c r="B505" t="s">
        <v>13</v>
      </c>
      <c r="C505" t="str">
        <f>IF(ISBLANK('[1]2.Diagnostic Analysis'!C505),"Unknown",'[1]2.Diagnostic Analysis'!C505)</f>
        <v>North</v>
      </c>
      <c r="D505" t="s">
        <v>17</v>
      </c>
      <c r="E505" t="s">
        <v>18</v>
      </c>
      <c r="F505">
        <f>IF(ISBLANK('[1]2.Diagnostic Analysis'!D505),'[1]2.Diagnostic Analysis'!$Q$3,'[1]2.Diagnostic Analysis'!D505)</f>
        <v>26</v>
      </c>
      <c r="G505">
        <v>100</v>
      </c>
      <c r="H505">
        <v>2</v>
      </c>
      <c r="I505">
        <v>200</v>
      </c>
      <c r="J505">
        <v>17.84</v>
      </c>
      <c r="K505" s="2">
        <v>45272</v>
      </c>
      <c r="L505" t="str">
        <f>IF(ISBLANK('[1]2.Diagnostic Analysis'!K505),"Unknown",'[1]2.Diagnostic Analysis'!K505)</f>
        <v>Delivered</v>
      </c>
    </row>
    <row r="506" spans="1:12" x14ac:dyDescent="0.25">
      <c r="A506" t="s">
        <v>260</v>
      </c>
      <c r="B506" t="s">
        <v>20</v>
      </c>
      <c r="C506" t="str">
        <f>IF(ISBLANK('[1]2.Diagnostic Analysis'!C506),"Unknown",'[1]2.Diagnostic Analysis'!C506)</f>
        <v>North</v>
      </c>
      <c r="D506" t="s">
        <v>14</v>
      </c>
      <c r="E506" t="s">
        <v>15</v>
      </c>
      <c r="F506">
        <f>IF(ISBLANK('[1]2.Diagnostic Analysis'!D506),'[1]2.Diagnostic Analysis'!$Q$3,'[1]2.Diagnostic Analysis'!D506)</f>
        <v>35</v>
      </c>
      <c r="G506">
        <v>300</v>
      </c>
      <c r="H506">
        <v>5</v>
      </c>
      <c r="I506">
        <v>1500</v>
      </c>
      <c r="J506">
        <v>19.579999999999998</v>
      </c>
      <c r="K506" s="2">
        <v>44948</v>
      </c>
      <c r="L506" t="str">
        <f>IF(ISBLANK('[1]2.Diagnostic Analysis'!K506),"Unknown",'[1]2.Diagnostic Analysis'!K506)</f>
        <v>Delivered</v>
      </c>
    </row>
    <row r="507" spans="1:12" x14ac:dyDescent="0.25">
      <c r="A507" t="s">
        <v>160</v>
      </c>
      <c r="B507" t="s">
        <v>13</v>
      </c>
      <c r="C507" t="str">
        <f>IF(ISBLANK('[1]2.Diagnostic Analysis'!C507),"Unknown",'[1]2.Diagnostic Analysis'!C507)</f>
        <v>South</v>
      </c>
      <c r="D507" t="s">
        <v>29</v>
      </c>
      <c r="E507" t="s">
        <v>18</v>
      </c>
      <c r="F507">
        <f>IF(ISBLANK('[1]2.Diagnostic Analysis'!D507),'[1]2.Diagnostic Analysis'!$Q$3,'[1]2.Diagnostic Analysis'!D507)</f>
        <v>27</v>
      </c>
      <c r="G507">
        <v>50</v>
      </c>
      <c r="H507">
        <v>5</v>
      </c>
      <c r="I507">
        <v>250</v>
      </c>
      <c r="J507">
        <v>17.690000000000001</v>
      </c>
      <c r="K507" s="2">
        <v>45291</v>
      </c>
      <c r="L507" t="str">
        <f>IF(ISBLANK('[1]2.Diagnostic Analysis'!K507),"Unknown",'[1]2.Diagnostic Analysis'!K507)</f>
        <v>In Transit</v>
      </c>
    </row>
    <row r="508" spans="1:12" x14ac:dyDescent="0.25">
      <c r="A508" t="s">
        <v>261</v>
      </c>
      <c r="B508" t="s">
        <v>20</v>
      </c>
      <c r="C508" t="str">
        <f>IF(ISBLANK('[1]2.Diagnostic Analysis'!C508),"Unknown",'[1]2.Diagnostic Analysis'!C508)</f>
        <v>East</v>
      </c>
      <c r="D508" t="s">
        <v>40</v>
      </c>
      <c r="E508" t="s">
        <v>15</v>
      </c>
      <c r="F508">
        <f>IF(ISBLANK('[1]2.Diagnostic Analysis'!D508),'[1]2.Diagnostic Analysis'!$Q$3,'[1]2.Diagnostic Analysis'!D508)</f>
        <v>26</v>
      </c>
      <c r="G508">
        <v>800</v>
      </c>
      <c r="H508">
        <v>5</v>
      </c>
      <c r="I508">
        <v>4000</v>
      </c>
      <c r="J508">
        <v>18.989999999999998</v>
      </c>
      <c r="K508" s="2">
        <v>45291</v>
      </c>
      <c r="L508" t="str">
        <f>IF(ISBLANK('[1]2.Diagnostic Analysis'!K508),"Unknown",'[1]2.Diagnostic Analysis'!K508)</f>
        <v>In Transit</v>
      </c>
    </row>
    <row r="509" spans="1:12" x14ac:dyDescent="0.25">
      <c r="A509" t="s">
        <v>21</v>
      </c>
      <c r="B509" t="s">
        <v>20</v>
      </c>
      <c r="C509" t="str">
        <f>IF(ISBLANK('[1]2.Diagnostic Analysis'!C509),"Unknown",'[1]2.Diagnostic Analysis'!C509)</f>
        <v>South</v>
      </c>
      <c r="D509" t="s">
        <v>29</v>
      </c>
      <c r="E509" t="s">
        <v>18</v>
      </c>
      <c r="F509">
        <f>IF(ISBLANK('[1]2.Diagnostic Analysis'!D509),'[1]2.Diagnostic Analysis'!$Q$3,'[1]2.Diagnostic Analysis'!D509)</f>
        <v>23</v>
      </c>
      <c r="G509">
        <v>50</v>
      </c>
      <c r="H509">
        <v>5</v>
      </c>
      <c r="I509">
        <v>250</v>
      </c>
      <c r="J509">
        <v>17.96</v>
      </c>
      <c r="K509" s="2">
        <v>45156</v>
      </c>
      <c r="L509" t="str">
        <f>IF(ISBLANK('[1]2.Diagnostic Analysis'!K509),"Unknown",'[1]2.Diagnostic Analysis'!K509)</f>
        <v>In Transit</v>
      </c>
    </row>
    <row r="510" spans="1:12" x14ac:dyDescent="0.25">
      <c r="A510" t="s">
        <v>33</v>
      </c>
      <c r="B510" t="s">
        <v>20</v>
      </c>
      <c r="C510" t="str">
        <f>IF(ISBLANK('[1]2.Diagnostic Analysis'!C510),"Unknown",'[1]2.Diagnostic Analysis'!C510)</f>
        <v>East</v>
      </c>
      <c r="D510" t="s">
        <v>23</v>
      </c>
      <c r="E510" t="s">
        <v>15</v>
      </c>
      <c r="F510">
        <f>IF(ISBLANK('[1]2.Diagnostic Analysis'!D510),'[1]2.Diagnostic Analysis'!$Q$3,'[1]2.Diagnostic Analysis'!D510)</f>
        <v>67</v>
      </c>
      <c r="G510">
        <v>1500</v>
      </c>
      <c r="H510">
        <v>1</v>
      </c>
      <c r="I510">
        <v>1500</v>
      </c>
      <c r="J510">
        <v>11.14</v>
      </c>
      <c r="K510" s="2">
        <v>45102</v>
      </c>
      <c r="L510" t="str">
        <f>IF(ISBLANK('[1]2.Diagnostic Analysis'!K510),"Unknown",'[1]2.Diagnostic Analysis'!K510)</f>
        <v>In Transit</v>
      </c>
    </row>
    <row r="511" spans="1:12" x14ac:dyDescent="0.25">
      <c r="A511" t="s">
        <v>219</v>
      </c>
      <c r="B511" t="s">
        <v>20</v>
      </c>
      <c r="C511" t="str">
        <f>IF(ISBLANK('[1]2.Diagnostic Analysis'!C511),"Unknown",'[1]2.Diagnostic Analysis'!C511)</f>
        <v>West</v>
      </c>
      <c r="D511" t="s">
        <v>23</v>
      </c>
      <c r="E511" t="s">
        <v>15</v>
      </c>
      <c r="F511">
        <f>IF(ISBLANK('[1]2.Diagnostic Analysis'!D511),'[1]2.Diagnostic Analysis'!$Q$3,'[1]2.Diagnostic Analysis'!D511)</f>
        <v>41</v>
      </c>
      <c r="G511">
        <v>1500</v>
      </c>
      <c r="H511">
        <v>1</v>
      </c>
      <c r="I511">
        <v>1500</v>
      </c>
      <c r="J511">
        <v>14.86</v>
      </c>
      <c r="K511" s="2">
        <v>45220</v>
      </c>
      <c r="L511" t="str">
        <f>IF(ISBLANK('[1]2.Diagnostic Analysis'!K511),"Unknown",'[1]2.Diagnostic Analysis'!K511)</f>
        <v>Returned</v>
      </c>
    </row>
    <row r="512" spans="1:12" x14ac:dyDescent="0.25">
      <c r="A512" t="s">
        <v>112</v>
      </c>
      <c r="B512" t="s">
        <v>13</v>
      </c>
      <c r="C512" t="str">
        <f>IF(ISBLANK('[1]2.Diagnostic Analysis'!C512),"Unknown",'[1]2.Diagnostic Analysis'!C512)</f>
        <v>West</v>
      </c>
      <c r="D512" t="s">
        <v>30</v>
      </c>
      <c r="E512" t="s">
        <v>18</v>
      </c>
      <c r="F512">
        <f>IF(ISBLANK('[1]2.Diagnostic Analysis'!D512),'[1]2.Diagnostic Analysis'!$Q$3,'[1]2.Diagnostic Analysis'!D512)</f>
        <v>49</v>
      </c>
      <c r="G512">
        <v>30</v>
      </c>
      <c r="H512">
        <v>2</v>
      </c>
      <c r="I512">
        <v>60</v>
      </c>
      <c r="J512">
        <v>6.54</v>
      </c>
      <c r="K512" s="2">
        <v>45251</v>
      </c>
      <c r="L512" t="str">
        <f>IF(ISBLANK('[1]2.Diagnostic Analysis'!K512),"Unknown",'[1]2.Diagnostic Analysis'!K512)</f>
        <v>Returned</v>
      </c>
    </row>
    <row r="513" spans="1:12" x14ac:dyDescent="0.25">
      <c r="A513" t="s">
        <v>219</v>
      </c>
      <c r="B513" t="s">
        <v>13</v>
      </c>
      <c r="C513" t="str">
        <f>IF(ISBLANK('[1]2.Diagnostic Analysis'!C513),"Unknown",'[1]2.Diagnostic Analysis'!C513)</f>
        <v>East</v>
      </c>
      <c r="D513" t="s">
        <v>17</v>
      </c>
      <c r="E513" t="s">
        <v>18</v>
      </c>
      <c r="F513">
        <f>IF(ISBLANK('[1]2.Diagnostic Analysis'!D513),'[1]2.Diagnostic Analysis'!$Q$3,'[1]2.Diagnostic Analysis'!D513)</f>
        <v>41</v>
      </c>
      <c r="G513">
        <v>207.30404083244301</v>
      </c>
      <c r="H513">
        <v>2</v>
      </c>
      <c r="I513">
        <v>200</v>
      </c>
      <c r="J513">
        <v>9.15</v>
      </c>
      <c r="K513" s="2">
        <v>45039</v>
      </c>
      <c r="L513" t="str">
        <f>IF(ISBLANK('[1]2.Diagnostic Analysis'!K513),"Unknown",'[1]2.Diagnostic Analysis'!K513)</f>
        <v>Returned</v>
      </c>
    </row>
    <row r="514" spans="1:12" x14ac:dyDescent="0.25">
      <c r="A514" t="s">
        <v>96</v>
      </c>
      <c r="B514" t="s">
        <v>13</v>
      </c>
      <c r="C514" t="str">
        <f>IF(ISBLANK('[1]2.Diagnostic Analysis'!C514),"Unknown",'[1]2.Diagnostic Analysis'!C514)</f>
        <v>East</v>
      </c>
      <c r="D514" t="s">
        <v>14</v>
      </c>
      <c r="E514" t="s">
        <v>15</v>
      </c>
      <c r="F514">
        <f>IF(ISBLANK('[1]2.Diagnostic Analysis'!D514),'[1]2.Diagnostic Analysis'!$Q$3,'[1]2.Diagnostic Analysis'!D514)</f>
        <v>64</v>
      </c>
      <c r="G514">
        <v>300</v>
      </c>
      <c r="H514">
        <v>4</v>
      </c>
      <c r="I514">
        <v>1200</v>
      </c>
      <c r="J514">
        <v>13.49</v>
      </c>
      <c r="K514" s="2">
        <v>45178</v>
      </c>
      <c r="L514" t="str">
        <f>IF(ISBLANK('[1]2.Diagnostic Analysis'!K514),"Unknown",'[1]2.Diagnostic Analysis'!K514)</f>
        <v>Returned</v>
      </c>
    </row>
    <row r="515" spans="1:12" x14ac:dyDescent="0.25">
      <c r="A515" t="s">
        <v>95</v>
      </c>
      <c r="B515" t="s">
        <v>13</v>
      </c>
      <c r="C515" t="str">
        <f>IF(ISBLANK('[1]2.Diagnostic Analysis'!C515),"Unknown",'[1]2.Diagnostic Analysis'!C515)</f>
        <v>North</v>
      </c>
      <c r="D515" t="s">
        <v>23</v>
      </c>
      <c r="E515" t="s">
        <v>15</v>
      </c>
      <c r="F515">
        <f>IF(ISBLANK('[1]2.Diagnostic Analysis'!D515),'[1]2.Diagnostic Analysis'!$Q$3,'[1]2.Diagnostic Analysis'!D515)</f>
        <v>49</v>
      </c>
      <c r="G515">
        <v>1500</v>
      </c>
      <c r="H515">
        <v>2</v>
      </c>
      <c r="I515">
        <v>3000</v>
      </c>
      <c r="J515">
        <v>8.24</v>
      </c>
      <c r="K515" s="2">
        <v>45031</v>
      </c>
      <c r="L515" t="str">
        <f>IF(ISBLANK('[1]2.Diagnostic Analysis'!K515),"Unknown",'[1]2.Diagnostic Analysis'!K515)</f>
        <v>Delivered</v>
      </c>
    </row>
    <row r="516" spans="1:12" x14ac:dyDescent="0.25">
      <c r="A516" t="s">
        <v>199</v>
      </c>
      <c r="B516" t="s">
        <v>20</v>
      </c>
      <c r="C516" t="str">
        <f>IF(ISBLANK('[1]2.Diagnostic Analysis'!C516),"Unknown",'[1]2.Diagnostic Analysis'!C516)</f>
        <v>East</v>
      </c>
      <c r="D516" t="s">
        <v>40</v>
      </c>
      <c r="E516" t="s">
        <v>15</v>
      </c>
      <c r="F516">
        <f>IF(ISBLANK('[1]2.Diagnostic Analysis'!D516),'[1]2.Diagnostic Analysis'!$Q$3,'[1]2.Diagnostic Analysis'!D516)</f>
        <v>50</v>
      </c>
      <c r="G516">
        <v>800</v>
      </c>
      <c r="H516">
        <v>3</v>
      </c>
      <c r="I516">
        <v>2400</v>
      </c>
      <c r="J516">
        <v>10.130000000000001</v>
      </c>
      <c r="K516" s="2">
        <v>45103</v>
      </c>
      <c r="L516" t="str">
        <f>IF(ISBLANK('[1]2.Diagnostic Analysis'!K516),"Unknown",'[1]2.Diagnostic Analysis'!K516)</f>
        <v>Returned</v>
      </c>
    </row>
    <row r="517" spans="1:12" x14ac:dyDescent="0.25">
      <c r="A517" t="s">
        <v>58</v>
      </c>
      <c r="B517" t="s">
        <v>13</v>
      </c>
      <c r="C517" t="str">
        <f>IF(ISBLANK('[1]2.Diagnostic Analysis'!C517),"Unknown",'[1]2.Diagnostic Analysis'!C517)</f>
        <v>South</v>
      </c>
      <c r="D517" t="s">
        <v>17</v>
      </c>
      <c r="E517" t="s">
        <v>18</v>
      </c>
      <c r="F517">
        <f>IF(ISBLANK('[1]2.Diagnostic Analysis'!D517),'[1]2.Diagnostic Analysis'!$Q$3,'[1]2.Diagnostic Analysis'!D517)</f>
        <v>64</v>
      </c>
      <c r="G517">
        <v>100</v>
      </c>
      <c r="H517">
        <v>2</v>
      </c>
      <c r="I517">
        <v>200</v>
      </c>
      <c r="J517">
        <v>10.57</v>
      </c>
      <c r="K517" s="2">
        <v>45080</v>
      </c>
      <c r="L517" t="str">
        <f>IF(ISBLANK('[1]2.Diagnostic Analysis'!K517),"Unknown",'[1]2.Diagnostic Analysis'!K517)</f>
        <v>In Transit</v>
      </c>
    </row>
    <row r="518" spans="1:12" x14ac:dyDescent="0.25">
      <c r="A518" t="s">
        <v>262</v>
      </c>
      <c r="B518" t="s">
        <v>13</v>
      </c>
      <c r="C518" t="str">
        <f>IF(ISBLANK('[1]2.Diagnostic Analysis'!C518),"Unknown",'[1]2.Diagnostic Analysis'!C518)</f>
        <v>South</v>
      </c>
      <c r="D518" t="s">
        <v>23</v>
      </c>
      <c r="E518" t="s">
        <v>15</v>
      </c>
      <c r="F518">
        <f>IF(ISBLANK('[1]2.Diagnostic Analysis'!D518),'[1]2.Diagnostic Analysis'!$Q$3,'[1]2.Diagnostic Analysis'!D518)</f>
        <v>40</v>
      </c>
      <c r="G518">
        <v>1500</v>
      </c>
      <c r="H518">
        <v>1</v>
      </c>
      <c r="I518">
        <v>1500</v>
      </c>
      <c r="J518">
        <v>14.19</v>
      </c>
      <c r="K518" s="2">
        <v>45066</v>
      </c>
      <c r="L518" t="str">
        <f>IF(ISBLANK('[1]2.Diagnostic Analysis'!K518),"Unknown",'[1]2.Diagnostic Analysis'!K518)</f>
        <v>In Transit</v>
      </c>
    </row>
    <row r="519" spans="1:12" x14ac:dyDescent="0.25">
      <c r="A519" t="s">
        <v>263</v>
      </c>
      <c r="B519" t="s">
        <v>13</v>
      </c>
      <c r="C519" t="str">
        <f>IF(ISBLANK('[1]2.Diagnostic Analysis'!C519),"Unknown",'[1]2.Diagnostic Analysis'!C519)</f>
        <v>East</v>
      </c>
      <c r="D519" t="s">
        <v>25</v>
      </c>
      <c r="E519" t="s">
        <v>26</v>
      </c>
      <c r="F519">
        <f>IF(ISBLANK('[1]2.Diagnostic Analysis'!D519),'[1]2.Diagnostic Analysis'!$Q$3,'[1]2.Diagnostic Analysis'!D519)</f>
        <v>64</v>
      </c>
      <c r="G519">
        <v>200</v>
      </c>
      <c r="H519">
        <v>3</v>
      </c>
      <c r="I519">
        <v>600</v>
      </c>
      <c r="J519">
        <v>5.7</v>
      </c>
      <c r="K519" s="2">
        <v>45023</v>
      </c>
      <c r="L519" t="str">
        <f>IF(ISBLANK('[1]2.Diagnostic Analysis'!K519),"Unknown",'[1]2.Diagnostic Analysis'!K519)</f>
        <v>In Transit</v>
      </c>
    </row>
    <row r="520" spans="1:12" x14ac:dyDescent="0.25">
      <c r="A520" t="s">
        <v>118</v>
      </c>
      <c r="B520" t="s">
        <v>20</v>
      </c>
      <c r="C520" t="str">
        <f>IF(ISBLANK('[1]2.Diagnostic Analysis'!C520),"Unknown",'[1]2.Diagnostic Analysis'!C520)</f>
        <v>East</v>
      </c>
      <c r="D520" t="s">
        <v>25</v>
      </c>
      <c r="E520" t="s">
        <v>26</v>
      </c>
      <c r="F520">
        <f>IF(ISBLANK('[1]2.Diagnostic Analysis'!D520),'[1]2.Diagnostic Analysis'!$Q$3,'[1]2.Diagnostic Analysis'!D520)</f>
        <v>37</v>
      </c>
      <c r="G520">
        <v>200</v>
      </c>
      <c r="H520">
        <v>5</v>
      </c>
      <c r="I520">
        <v>1000</v>
      </c>
      <c r="J520">
        <v>5.6</v>
      </c>
      <c r="K520" s="2">
        <v>45248</v>
      </c>
      <c r="L520" t="str">
        <f>IF(ISBLANK('[1]2.Diagnostic Analysis'!K520),"Unknown",'[1]2.Diagnostic Analysis'!K520)</f>
        <v>Returned</v>
      </c>
    </row>
    <row r="521" spans="1:12" x14ac:dyDescent="0.25">
      <c r="A521" t="s">
        <v>66</v>
      </c>
      <c r="B521" t="s">
        <v>13</v>
      </c>
      <c r="C521" t="str">
        <f>IF(ISBLANK('[1]2.Diagnostic Analysis'!C521),"Unknown",'[1]2.Diagnostic Analysis'!C521)</f>
        <v>South</v>
      </c>
      <c r="D521" t="s">
        <v>23</v>
      </c>
      <c r="E521" t="s">
        <v>15</v>
      </c>
      <c r="F521">
        <f>IF(ISBLANK('[1]2.Diagnostic Analysis'!D521),'[1]2.Diagnostic Analysis'!$Q$3,'[1]2.Diagnostic Analysis'!D521)</f>
        <v>44</v>
      </c>
      <c r="G521">
        <v>1500</v>
      </c>
      <c r="H521">
        <v>3</v>
      </c>
      <c r="I521">
        <v>4500</v>
      </c>
      <c r="J521">
        <v>18.21</v>
      </c>
      <c r="K521" s="2">
        <v>45047</v>
      </c>
      <c r="L521" t="str">
        <f>IF(ISBLANK('[1]2.Diagnostic Analysis'!K521),"Unknown",'[1]2.Diagnostic Analysis'!K521)</f>
        <v>In Transit</v>
      </c>
    </row>
    <row r="522" spans="1:12" x14ac:dyDescent="0.25">
      <c r="A522" t="s">
        <v>261</v>
      </c>
      <c r="B522" t="s">
        <v>13</v>
      </c>
      <c r="C522" t="str">
        <f>IF(ISBLANK('[1]2.Diagnostic Analysis'!C522),"Unknown",'[1]2.Diagnostic Analysis'!C522)</f>
        <v>West</v>
      </c>
      <c r="D522" t="s">
        <v>23</v>
      </c>
      <c r="E522" t="s">
        <v>15</v>
      </c>
      <c r="F522">
        <f>IF(ISBLANK('[1]2.Diagnostic Analysis'!D522),'[1]2.Diagnostic Analysis'!$Q$3,'[1]2.Diagnostic Analysis'!D522)</f>
        <v>26</v>
      </c>
      <c r="G522">
        <v>1500</v>
      </c>
      <c r="H522">
        <v>3</v>
      </c>
      <c r="I522">
        <v>4500</v>
      </c>
      <c r="J522">
        <v>12.84</v>
      </c>
      <c r="K522" s="2">
        <v>45073</v>
      </c>
      <c r="L522" t="str">
        <f>IF(ISBLANK('[1]2.Diagnostic Analysis'!K522),"Unknown",'[1]2.Diagnostic Analysis'!K522)</f>
        <v>Unknown</v>
      </c>
    </row>
    <row r="523" spans="1:12" x14ac:dyDescent="0.25">
      <c r="A523" t="s">
        <v>105</v>
      </c>
      <c r="B523" t="s">
        <v>13</v>
      </c>
      <c r="C523" t="str">
        <f>IF(ISBLANK('[1]2.Diagnostic Analysis'!C523),"Unknown",'[1]2.Diagnostic Analysis'!C523)</f>
        <v>West</v>
      </c>
      <c r="D523" t="s">
        <v>23</v>
      </c>
      <c r="E523" t="s">
        <v>15</v>
      </c>
      <c r="F523">
        <f>IF(ISBLANK('[1]2.Diagnostic Analysis'!D523),'[1]2.Diagnostic Analysis'!$Q$3,'[1]2.Diagnostic Analysis'!D523)</f>
        <v>18</v>
      </c>
      <c r="G523">
        <v>1500</v>
      </c>
      <c r="H523">
        <v>2</v>
      </c>
      <c r="I523">
        <v>3000</v>
      </c>
      <c r="J523">
        <v>18.07</v>
      </c>
      <c r="K523" s="2">
        <v>44949</v>
      </c>
      <c r="L523" t="str">
        <f>IF(ISBLANK('[1]2.Diagnostic Analysis'!K523),"Unknown",'[1]2.Diagnostic Analysis'!K523)</f>
        <v>Returned</v>
      </c>
    </row>
    <row r="524" spans="1:12" x14ac:dyDescent="0.25">
      <c r="A524" t="s">
        <v>212</v>
      </c>
      <c r="B524" t="s">
        <v>13</v>
      </c>
      <c r="C524" t="str">
        <f>IF(ISBLANK('[1]2.Diagnostic Analysis'!C524),"Unknown",'[1]2.Diagnostic Analysis'!C524)</f>
        <v>West</v>
      </c>
      <c r="D524" t="s">
        <v>29</v>
      </c>
      <c r="E524" t="s">
        <v>18</v>
      </c>
      <c r="F524">
        <f>IF(ISBLANK('[1]2.Diagnostic Analysis'!D524),'[1]2.Diagnostic Analysis'!$Q$3,'[1]2.Diagnostic Analysis'!D524)</f>
        <v>49</v>
      </c>
      <c r="G524">
        <v>50</v>
      </c>
      <c r="H524">
        <v>4</v>
      </c>
      <c r="I524">
        <v>200</v>
      </c>
      <c r="J524">
        <v>14.29</v>
      </c>
      <c r="K524" s="2">
        <v>45207</v>
      </c>
      <c r="L524" t="str">
        <f>IF(ISBLANK('[1]2.Diagnostic Analysis'!K524),"Unknown",'[1]2.Diagnostic Analysis'!K524)</f>
        <v>Delivered</v>
      </c>
    </row>
    <row r="525" spans="1:12" x14ac:dyDescent="0.25">
      <c r="A525" t="s">
        <v>71</v>
      </c>
      <c r="B525" t="s">
        <v>13</v>
      </c>
      <c r="C525" t="str">
        <f>IF(ISBLANK('[1]2.Diagnostic Analysis'!C525),"Unknown",'[1]2.Diagnostic Analysis'!C525)</f>
        <v>North</v>
      </c>
      <c r="D525" t="s">
        <v>17</v>
      </c>
      <c r="E525" t="s">
        <v>18</v>
      </c>
      <c r="F525">
        <f>IF(ISBLANK('[1]2.Diagnostic Analysis'!D525),'[1]2.Diagnostic Analysis'!$Q$3,'[1]2.Diagnostic Analysis'!D525)</f>
        <v>68</v>
      </c>
      <c r="G525">
        <v>100</v>
      </c>
      <c r="H525">
        <v>4</v>
      </c>
      <c r="I525">
        <v>400</v>
      </c>
      <c r="J525">
        <v>11.52</v>
      </c>
      <c r="K525" s="2">
        <v>45259</v>
      </c>
      <c r="L525" t="str">
        <f>IF(ISBLANK('[1]2.Diagnostic Analysis'!K525),"Unknown",'[1]2.Diagnostic Analysis'!K525)</f>
        <v>Returned</v>
      </c>
    </row>
    <row r="526" spans="1:12" x14ac:dyDescent="0.25">
      <c r="A526" t="s">
        <v>264</v>
      </c>
      <c r="B526" t="s">
        <v>20</v>
      </c>
      <c r="C526" t="str">
        <f>IF(ISBLANK('[1]2.Diagnostic Analysis'!C526),"Unknown",'[1]2.Diagnostic Analysis'!C526)</f>
        <v>South</v>
      </c>
      <c r="D526" t="s">
        <v>14</v>
      </c>
      <c r="E526" t="s">
        <v>15</v>
      </c>
      <c r="F526">
        <f>IF(ISBLANK('[1]2.Diagnostic Analysis'!D526),'[1]2.Diagnostic Analysis'!$Q$3,'[1]2.Diagnostic Analysis'!D526)</f>
        <v>64</v>
      </c>
      <c r="G526">
        <v>300</v>
      </c>
      <c r="H526">
        <v>3</v>
      </c>
      <c r="I526">
        <v>900</v>
      </c>
      <c r="J526">
        <v>15.77</v>
      </c>
      <c r="K526" s="2">
        <v>45198</v>
      </c>
      <c r="L526" t="str">
        <f>IF(ISBLANK('[1]2.Diagnostic Analysis'!K526),"Unknown",'[1]2.Diagnostic Analysis'!K526)</f>
        <v>Delivered</v>
      </c>
    </row>
    <row r="527" spans="1:12" x14ac:dyDescent="0.25">
      <c r="A527" t="s">
        <v>59</v>
      </c>
      <c r="B527" t="s">
        <v>13</v>
      </c>
      <c r="C527" t="str">
        <f>IF(ISBLANK('[1]2.Diagnostic Analysis'!C527),"Unknown",'[1]2.Diagnostic Analysis'!C527)</f>
        <v>North</v>
      </c>
      <c r="D527" t="s">
        <v>23</v>
      </c>
      <c r="E527" t="s">
        <v>15</v>
      </c>
      <c r="F527">
        <f>IF(ISBLANK('[1]2.Diagnostic Analysis'!D527),'[1]2.Diagnostic Analysis'!$Q$3,'[1]2.Diagnostic Analysis'!D527)</f>
        <v>68</v>
      </c>
      <c r="G527">
        <v>1500</v>
      </c>
      <c r="H527">
        <v>4</v>
      </c>
      <c r="I527">
        <v>6000</v>
      </c>
      <c r="J527">
        <v>5.24</v>
      </c>
      <c r="K527" s="2">
        <v>45237</v>
      </c>
      <c r="L527" t="str">
        <f>IF(ISBLANK('[1]2.Diagnostic Analysis'!K527),"Unknown",'[1]2.Diagnostic Analysis'!K527)</f>
        <v>Delivered</v>
      </c>
    </row>
    <row r="528" spans="1:12" x14ac:dyDescent="0.25">
      <c r="A528" t="s">
        <v>174</v>
      </c>
      <c r="B528" t="s">
        <v>13</v>
      </c>
      <c r="C528" t="str">
        <f>IF(ISBLANK('[1]2.Diagnostic Analysis'!C528),"Unknown",'[1]2.Diagnostic Analysis'!C528)</f>
        <v>West</v>
      </c>
      <c r="D528" t="s">
        <v>17</v>
      </c>
      <c r="E528" t="s">
        <v>18</v>
      </c>
      <c r="F528">
        <f>IF(ISBLANK('[1]2.Diagnostic Analysis'!D528),'[1]2.Diagnostic Analysis'!$Q$3,'[1]2.Diagnostic Analysis'!D528)</f>
        <v>54</v>
      </c>
      <c r="G528">
        <v>100</v>
      </c>
      <c r="H528">
        <v>5</v>
      </c>
      <c r="I528">
        <v>500</v>
      </c>
      <c r="J528">
        <v>8.64</v>
      </c>
      <c r="K528" s="2">
        <v>45219</v>
      </c>
      <c r="L528" t="str">
        <f>IF(ISBLANK('[1]2.Diagnostic Analysis'!K528),"Unknown",'[1]2.Diagnostic Analysis'!K528)</f>
        <v>Delivered</v>
      </c>
    </row>
    <row r="529" spans="1:12" x14ac:dyDescent="0.25">
      <c r="A529" t="s">
        <v>49</v>
      </c>
      <c r="B529" t="s">
        <v>13</v>
      </c>
      <c r="C529" t="str">
        <f>IF(ISBLANK('[1]2.Diagnostic Analysis'!C529),"Unknown",'[1]2.Diagnostic Analysis'!C529)</f>
        <v>North</v>
      </c>
      <c r="D529" t="s">
        <v>23</v>
      </c>
      <c r="E529" t="s">
        <v>15</v>
      </c>
      <c r="F529">
        <f>IF(ISBLANK('[1]2.Diagnostic Analysis'!D529),'[1]2.Diagnostic Analysis'!$Q$3,'[1]2.Diagnostic Analysis'!D529)</f>
        <v>25</v>
      </c>
      <c r="G529">
        <v>1500</v>
      </c>
      <c r="H529">
        <v>4</v>
      </c>
      <c r="I529">
        <v>6000</v>
      </c>
      <c r="J529">
        <v>13.08</v>
      </c>
      <c r="K529" s="2">
        <v>45187</v>
      </c>
      <c r="L529" t="str">
        <f>IF(ISBLANK('[1]2.Diagnostic Analysis'!K529),"Unknown",'[1]2.Diagnostic Analysis'!K529)</f>
        <v>In Transit</v>
      </c>
    </row>
    <row r="530" spans="1:12" x14ac:dyDescent="0.25">
      <c r="A530" t="s">
        <v>132</v>
      </c>
      <c r="B530" t="s">
        <v>13</v>
      </c>
      <c r="C530" t="str">
        <f>IF(ISBLANK('[1]2.Diagnostic Analysis'!C530),"Unknown",'[1]2.Diagnostic Analysis'!C530)</f>
        <v>Unknown</v>
      </c>
      <c r="D530" t="s">
        <v>40</v>
      </c>
      <c r="E530" t="s">
        <v>15</v>
      </c>
      <c r="F530">
        <f>IF(ISBLANK('[1]2.Diagnostic Analysis'!D530),'[1]2.Diagnostic Analysis'!$Q$3,'[1]2.Diagnostic Analysis'!D530)</f>
        <v>33</v>
      </c>
      <c r="G530">
        <v>800</v>
      </c>
      <c r="H530">
        <v>4</v>
      </c>
      <c r="I530">
        <v>3200</v>
      </c>
      <c r="J530">
        <v>13.29</v>
      </c>
      <c r="K530" s="2">
        <v>45130</v>
      </c>
      <c r="L530" t="str">
        <f>IF(ISBLANK('[1]2.Diagnostic Analysis'!K530),"Unknown",'[1]2.Diagnostic Analysis'!K530)</f>
        <v>Returned</v>
      </c>
    </row>
    <row r="531" spans="1:12" x14ac:dyDescent="0.25">
      <c r="A531" t="s">
        <v>220</v>
      </c>
      <c r="B531" t="s">
        <v>13</v>
      </c>
      <c r="C531" t="str">
        <f>IF(ISBLANK('[1]2.Diagnostic Analysis'!C531),"Unknown",'[1]2.Diagnostic Analysis'!C531)</f>
        <v>West</v>
      </c>
      <c r="D531" t="s">
        <v>40</v>
      </c>
      <c r="E531" t="s">
        <v>15</v>
      </c>
      <c r="F531">
        <f>IF(ISBLANK('[1]2.Diagnostic Analysis'!D531),'[1]2.Diagnostic Analysis'!$Q$3,'[1]2.Diagnostic Analysis'!D531)</f>
        <v>18</v>
      </c>
      <c r="G531">
        <v>800</v>
      </c>
      <c r="H531">
        <v>5</v>
      </c>
      <c r="I531">
        <v>4000</v>
      </c>
      <c r="J531">
        <v>13.44</v>
      </c>
      <c r="K531" s="2">
        <v>45048</v>
      </c>
      <c r="L531" t="str">
        <f>IF(ISBLANK('[1]2.Diagnostic Analysis'!K531),"Unknown",'[1]2.Diagnostic Analysis'!K531)</f>
        <v>Delivered</v>
      </c>
    </row>
    <row r="532" spans="1:12" x14ac:dyDescent="0.25">
      <c r="A532" t="s">
        <v>198</v>
      </c>
      <c r="B532" t="s">
        <v>20</v>
      </c>
      <c r="C532" t="str">
        <f>IF(ISBLANK('[1]2.Diagnostic Analysis'!C532),"Unknown",'[1]2.Diagnostic Analysis'!C532)</f>
        <v>South</v>
      </c>
      <c r="D532" t="s">
        <v>17</v>
      </c>
      <c r="E532" t="s">
        <v>18</v>
      </c>
      <c r="F532">
        <f>IF(ISBLANK('[1]2.Diagnostic Analysis'!D532),'[1]2.Diagnostic Analysis'!$Q$3,'[1]2.Diagnostic Analysis'!D532)</f>
        <v>49</v>
      </c>
      <c r="G532">
        <v>100</v>
      </c>
      <c r="H532">
        <v>1</v>
      </c>
      <c r="I532">
        <v>100</v>
      </c>
      <c r="J532">
        <v>14.98</v>
      </c>
      <c r="K532" s="2">
        <v>45264</v>
      </c>
      <c r="L532" t="str">
        <f>IF(ISBLANK('[1]2.Diagnostic Analysis'!K532),"Unknown",'[1]2.Diagnostic Analysis'!K532)</f>
        <v>Delivered</v>
      </c>
    </row>
    <row r="533" spans="1:12" x14ac:dyDescent="0.25">
      <c r="A533" t="s">
        <v>265</v>
      </c>
      <c r="B533" t="s">
        <v>13</v>
      </c>
      <c r="C533" t="str">
        <f>IF(ISBLANK('[1]2.Diagnostic Analysis'!C533),"Unknown",'[1]2.Diagnostic Analysis'!C533)</f>
        <v>East</v>
      </c>
      <c r="D533" t="s">
        <v>14</v>
      </c>
      <c r="E533" t="s">
        <v>15</v>
      </c>
      <c r="F533">
        <f>IF(ISBLANK('[1]2.Diagnostic Analysis'!D533),'[1]2.Diagnostic Analysis'!$Q$3,'[1]2.Diagnostic Analysis'!D533)</f>
        <v>67</v>
      </c>
      <c r="G533">
        <v>300</v>
      </c>
      <c r="H533">
        <v>1</v>
      </c>
      <c r="I533">
        <v>300</v>
      </c>
      <c r="J533">
        <v>8.65</v>
      </c>
      <c r="K533" s="2">
        <v>45165</v>
      </c>
      <c r="L533" t="str">
        <f>IF(ISBLANK('[1]2.Diagnostic Analysis'!K533),"Unknown",'[1]2.Diagnostic Analysis'!K533)</f>
        <v>Returned</v>
      </c>
    </row>
    <row r="534" spans="1:12" x14ac:dyDescent="0.25">
      <c r="A534" t="s">
        <v>196</v>
      </c>
      <c r="B534" t="s">
        <v>20</v>
      </c>
      <c r="C534" t="str">
        <f>IF(ISBLANK('[1]2.Diagnostic Analysis'!C534),"Unknown",'[1]2.Diagnostic Analysis'!C534)</f>
        <v>West</v>
      </c>
      <c r="D534" t="s">
        <v>17</v>
      </c>
      <c r="E534" t="s">
        <v>18</v>
      </c>
      <c r="F534">
        <f>IF(ISBLANK('[1]2.Diagnostic Analysis'!D534),'[1]2.Diagnostic Analysis'!$Q$3,'[1]2.Diagnostic Analysis'!D534)</f>
        <v>66</v>
      </c>
      <c r="G534">
        <v>100</v>
      </c>
      <c r="H534">
        <v>5</v>
      </c>
      <c r="I534">
        <v>500</v>
      </c>
      <c r="J534">
        <v>14.84</v>
      </c>
      <c r="K534" s="2">
        <v>45085</v>
      </c>
      <c r="L534" t="str">
        <f>IF(ISBLANK('[1]2.Diagnostic Analysis'!K534),"Unknown",'[1]2.Diagnostic Analysis'!K534)</f>
        <v>Delivered</v>
      </c>
    </row>
    <row r="535" spans="1:12" x14ac:dyDescent="0.25">
      <c r="A535" t="s">
        <v>266</v>
      </c>
      <c r="B535" t="s">
        <v>20</v>
      </c>
      <c r="C535" t="str">
        <f>IF(ISBLANK('[1]2.Diagnostic Analysis'!C535),"Unknown",'[1]2.Diagnostic Analysis'!C535)</f>
        <v>North</v>
      </c>
      <c r="D535" t="s">
        <v>14</v>
      </c>
      <c r="E535" t="s">
        <v>15</v>
      </c>
      <c r="F535">
        <f>IF(ISBLANK('[1]2.Diagnostic Analysis'!D535),'[1]2.Diagnostic Analysis'!$Q$3,'[1]2.Diagnostic Analysis'!D535)</f>
        <v>55</v>
      </c>
      <c r="G535">
        <v>300</v>
      </c>
      <c r="H535">
        <v>1</v>
      </c>
      <c r="I535">
        <v>300</v>
      </c>
      <c r="J535">
        <v>7.38</v>
      </c>
      <c r="K535" s="2">
        <v>45225</v>
      </c>
      <c r="L535" t="str">
        <f>IF(ISBLANK('[1]2.Diagnostic Analysis'!K535),"Unknown",'[1]2.Diagnostic Analysis'!K535)</f>
        <v>Delivered</v>
      </c>
    </row>
    <row r="536" spans="1:12" x14ac:dyDescent="0.25">
      <c r="A536" t="s">
        <v>251</v>
      </c>
      <c r="B536" t="s">
        <v>20</v>
      </c>
      <c r="C536" t="str">
        <f>IF(ISBLANK('[1]2.Diagnostic Analysis'!C536),"Unknown",'[1]2.Diagnostic Analysis'!C536)</f>
        <v>East</v>
      </c>
      <c r="D536" t="s">
        <v>23</v>
      </c>
      <c r="E536" t="s">
        <v>15</v>
      </c>
      <c r="F536">
        <f>IF(ISBLANK('[1]2.Diagnostic Analysis'!D536),'[1]2.Diagnostic Analysis'!$Q$3,'[1]2.Diagnostic Analysis'!D536)</f>
        <v>51</v>
      </c>
      <c r="G536">
        <v>1500</v>
      </c>
      <c r="H536">
        <v>5</v>
      </c>
      <c r="I536">
        <v>7500</v>
      </c>
      <c r="J536">
        <v>12.33</v>
      </c>
      <c r="K536" s="2">
        <v>44933</v>
      </c>
      <c r="L536" t="str">
        <f>IF(ISBLANK('[1]2.Diagnostic Analysis'!K536),"Unknown",'[1]2.Diagnostic Analysis'!K536)</f>
        <v>In Transit</v>
      </c>
    </row>
    <row r="537" spans="1:12" x14ac:dyDescent="0.25">
      <c r="A537" t="s">
        <v>43</v>
      </c>
      <c r="B537" t="s">
        <v>13</v>
      </c>
      <c r="C537" t="str">
        <f>IF(ISBLANK('[1]2.Diagnostic Analysis'!C537),"Unknown",'[1]2.Diagnostic Analysis'!C537)</f>
        <v>East</v>
      </c>
      <c r="D537" t="s">
        <v>25</v>
      </c>
      <c r="E537" t="s">
        <v>26</v>
      </c>
      <c r="F537">
        <f>IF(ISBLANK('[1]2.Diagnostic Analysis'!D537),'[1]2.Diagnostic Analysis'!$Q$3,'[1]2.Diagnostic Analysis'!D537)</f>
        <v>37</v>
      </c>
      <c r="G537">
        <v>200</v>
      </c>
      <c r="H537">
        <v>5</v>
      </c>
      <c r="I537">
        <v>1000</v>
      </c>
      <c r="J537">
        <v>19.55</v>
      </c>
      <c r="K537" s="2">
        <v>45039</v>
      </c>
      <c r="L537" t="str">
        <f>IF(ISBLANK('[1]2.Diagnostic Analysis'!K537),"Unknown",'[1]2.Diagnostic Analysis'!K537)</f>
        <v>Delivered</v>
      </c>
    </row>
    <row r="538" spans="1:12" x14ac:dyDescent="0.25">
      <c r="A538" t="s">
        <v>95</v>
      </c>
      <c r="B538" t="s">
        <v>13</v>
      </c>
      <c r="C538" t="str">
        <f>IF(ISBLANK('[1]2.Diagnostic Analysis'!C538),"Unknown",'[1]2.Diagnostic Analysis'!C538)</f>
        <v>Unknown</v>
      </c>
      <c r="D538" t="s">
        <v>40</v>
      </c>
      <c r="E538" t="s">
        <v>15</v>
      </c>
      <c r="F538">
        <f>IF(ISBLANK('[1]2.Diagnostic Analysis'!D538),'[1]2.Diagnostic Analysis'!$Q$3,'[1]2.Diagnostic Analysis'!D538)</f>
        <v>33</v>
      </c>
      <c r="G538">
        <v>800</v>
      </c>
      <c r="H538">
        <v>3</v>
      </c>
      <c r="I538">
        <v>2400</v>
      </c>
      <c r="J538">
        <v>5.22</v>
      </c>
      <c r="K538" s="2">
        <v>45181</v>
      </c>
      <c r="L538" t="str">
        <f>IF(ISBLANK('[1]2.Diagnostic Analysis'!K538),"Unknown",'[1]2.Diagnostic Analysis'!K538)</f>
        <v>Returned</v>
      </c>
    </row>
    <row r="539" spans="1:12" x14ac:dyDescent="0.25">
      <c r="A539" t="s">
        <v>56</v>
      </c>
      <c r="B539" t="s">
        <v>13</v>
      </c>
      <c r="C539" t="str">
        <f>IF(ISBLANK('[1]2.Diagnostic Analysis'!C539),"Unknown",'[1]2.Diagnostic Analysis'!C539)</f>
        <v>West</v>
      </c>
      <c r="D539" t="s">
        <v>29</v>
      </c>
      <c r="E539" t="s">
        <v>18</v>
      </c>
      <c r="F539">
        <f>IF(ISBLANK('[1]2.Diagnostic Analysis'!D539),'[1]2.Diagnostic Analysis'!$Q$3,'[1]2.Diagnostic Analysis'!D539)</f>
        <v>49</v>
      </c>
      <c r="G539">
        <v>50</v>
      </c>
      <c r="H539">
        <v>1</v>
      </c>
      <c r="I539">
        <v>50</v>
      </c>
      <c r="J539">
        <v>14.62</v>
      </c>
      <c r="K539" s="2">
        <v>44954</v>
      </c>
      <c r="L539" t="str">
        <f>IF(ISBLANK('[1]2.Diagnostic Analysis'!K539),"Unknown",'[1]2.Diagnostic Analysis'!K539)</f>
        <v>Returned</v>
      </c>
    </row>
    <row r="540" spans="1:12" x14ac:dyDescent="0.25">
      <c r="A540" t="s">
        <v>204</v>
      </c>
      <c r="B540" t="s">
        <v>20</v>
      </c>
      <c r="C540" t="str">
        <f>IF(ISBLANK('[1]2.Diagnostic Analysis'!C540),"Unknown",'[1]2.Diagnostic Analysis'!C540)</f>
        <v>South</v>
      </c>
      <c r="D540" t="s">
        <v>25</v>
      </c>
      <c r="E540" t="s">
        <v>26</v>
      </c>
      <c r="F540">
        <f>IF(ISBLANK('[1]2.Diagnostic Analysis'!D540),'[1]2.Diagnostic Analysis'!$Q$3,'[1]2.Diagnostic Analysis'!D540)</f>
        <v>69</v>
      </c>
      <c r="G540">
        <v>200</v>
      </c>
      <c r="H540">
        <v>3</v>
      </c>
      <c r="I540">
        <v>600</v>
      </c>
      <c r="J540">
        <v>19.07</v>
      </c>
      <c r="K540" s="2">
        <v>45123</v>
      </c>
      <c r="L540" t="str">
        <f>IF(ISBLANK('[1]2.Diagnostic Analysis'!K540),"Unknown",'[1]2.Diagnostic Analysis'!K540)</f>
        <v>Delivered</v>
      </c>
    </row>
    <row r="541" spans="1:12" x14ac:dyDescent="0.25">
      <c r="A541" t="s">
        <v>47</v>
      </c>
      <c r="B541" t="s">
        <v>13</v>
      </c>
      <c r="C541" t="str">
        <f>IF(ISBLANK('[1]2.Diagnostic Analysis'!C541),"Unknown",'[1]2.Diagnostic Analysis'!C541)</f>
        <v>East</v>
      </c>
      <c r="D541" t="s">
        <v>25</v>
      </c>
      <c r="E541" t="s">
        <v>26</v>
      </c>
      <c r="F541">
        <f>IF(ISBLANK('[1]2.Diagnostic Analysis'!D541),'[1]2.Diagnostic Analysis'!$Q$3,'[1]2.Diagnostic Analysis'!D541)</f>
        <v>57</v>
      </c>
      <c r="G541">
        <v>200</v>
      </c>
      <c r="H541">
        <v>5</v>
      </c>
      <c r="I541">
        <v>1000</v>
      </c>
      <c r="J541">
        <v>15.99</v>
      </c>
      <c r="K541" s="2">
        <v>44930</v>
      </c>
      <c r="L541" t="str">
        <f>IF(ISBLANK('[1]2.Diagnostic Analysis'!K541),"Unknown",'[1]2.Diagnostic Analysis'!K541)</f>
        <v>Returned</v>
      </c>
    </row>
    <row r="542" spans="1:12" x14ac:dyDescent="0.25">
      <c r="A542" t="s">
        <v>267</v>
      </c>
      <c r="B542" t="s">
        <v>13</v>
      </c>
      <c r="C542" t="str">
        <f>IF(ISBLANK('[1]2.Diagnostic Analysis'!C542),"Unknown",'[1]2.Diagnostic Analysis'!C542)</f>
        <v>East</v>
      </c>
      <c r="D542" t="s">
        <v>17</v>
      </c>
      <c r="E542" t="s">
        <v>18</v>
      </c>
      <c r="F542">
        <f>IF(ISBLANK('[1]2.Diagnostic Analysis'!D542),'[1]2.Diagnostic Analysis'!$Q$3,'[1]2.Diagnostic Analysis'!D542)</f>
        <v>19</v>
      </c>
      <c r="G542">
        <v>100</v>
      </c>
      <c r="H542">
        <v>5</v>
      </c>
      <c r="I542">
        <v>500</v>
      </c>
      <c r="J542">
        <v>19.53</v>
      </c>
      <c r="K542" s="2">
        <v>45024</v>
      </c>
      <c r="L542" t="str">
        <f>IF(ISBLANK('[1]2.Diagnostic Analysis'!K542),"Unknown",'[1]2.Diagnostic Analysis'!K542)</f>
        <v>In Transit</v>
      </c>
    </row>
    <row r="543" spans="1:12" x14ac:dyDescent="0.25">
      <c r="A543" t="s">
        <v>268</v>
      </c>
      <c r="B543" t="s">
        <v>13</v>
      </c>
      <c r="C543" t="str">
        <f>IF(ISBLANK('[1]2.Diagnostic Analysis'!C543),"Unknown",'[1]2.Diagnostic Analysis'!C543)</f>
        <v>South</v>
      </c>
      <c r="D543" t="s">
        <v>23</v>
      </c>
      <c r="E543" t="s">
        <v>15</v>
      </c>
      <c r="F543">
        <f>IF(ISBLANK('[1]2.Diagnostic Analysis'!D543),'[1]2.Diagnostic Analysis'!$Q$3,'[1]2.Diagnostic Analysis'!D543)</f>
        <v>43</v>
      </c>
      <c r="G543">
        <v>1500</v>
      </c>
      <c r="H543">
        <v>5</v>
      </c>
      <c r="I543">
        <v>7500</v>
      </c>
      <c r="J543">
        <v>13.04</v>
      </c>
      <c r="K543" s="2">
        <v>45049</v>
      </c>
      <c r="L543" t="str">
        <f>IF(ISBLANK('[1]2.Diagnostic Analysis'!K543),"Unknown",'[1]2.Diagnostic Analysis'!K543)</f>
        <v>In Transit</v>
      </c>
    </row>
    <row r="544" spans="1:12" x14ac:dyDescent="0.25">
      <c r="A544" t="s">
        <v>235</v>
      </c>
      <c r="B544" t="s">
        <v>20</v>
      </c>
      <c r="C544" t="str">
        <f>IF(ISBLANK('[1]2.Diagnostic Analysis'!C544),"Unknown",'[1]2.Diagnostic Analysis'!C544)</f>
        <v>Unknown</v>
      </c>
      <c r="D544" t="s">
        <v>30</v>
      </c>
      <c r="E544" t="s">
        <v>18</v>
      </c>
      <c r="F544">
        <f>IF(ISBLANK('[1]2.Diagnostic Analysis'!D544),'[1]2.Diagnostic Analysis'!$Q$3,'[1]2.Diagnostic Analysis'!D544)</f>
        <v>23</v>
      </c>
      <c r="G544">
        <v>30</v>
      </c>
      <c r="H544">
        <v>2</v>
      </c>
      <c r="I544">
        <v>60</v>
      </c>
      <c r="J544">
        <v>18.45</v>
      </c>
      <c r="K544" s="2">
        <v>45122</v>
      </c>
      <c r="L544" t="str">
        <f>IF(ISBLANK('[1]2.Diagnostic Analysis'!K544),"Unknown",'[1]2.Diagnostic Analysis'!K544)</f>
        <v>Returned</v>
      </c>
    </row>
    <row r="545" spans="1:12" x14ac:dyDescent="0.25">
      <c r="A545" t="s">
        <v>94</v>
      </c>
      <c r="B545" t="s">
        <v>13</v>
      </c>
      <c r="C545" t="str">
        <f>IF(ISBLANK('[1]2.Diagnostic Analysis'!C545),"Unknown",'[1]2.Diagnostic Analysis'!C545)</f>
        <v>North</v>
      </c>
      <c r="D545" t="s">
        <v>40</v>
      </c>
      <c r="E545" t="s">
        <v>15</v>
      </c>
      <c r="F545">
        <f>IF(ISBLANK('[1]2.Diagnostic Analysis'!D545),'[1]2.Diagnostic Analysis'!$Q$3,'[1]2.Diagnostic Analysis'!D545)</f>
        <v>45</v>
      </c>
      <c r="G545">
        <v>800</v>
      </c>
      <c r="H545">
        <v>4</v>
      </c>
      <c r="I545">
        <v>3200</v>
      </c>
      <c r="J545">
        <v>15.02</v>
      </c>
      <c r="K545" s="2">
        <v>45197</v>
      </c>
      <c r="L545" t="str">
        <f>IF(ISBLANK('[1]2.Diagnostic Analysis'!K545),"Unknown",'[1]2.Diagnostic Analysis'!K545)</f>
        <v>Returned</v>
      </c>
    </row>
    <row r="546" spans="1:12" x14ac:dyDescent="0.25">
      <c r="A546" t="s">
        <v>269</v>
      </c>
      <c r="B546" t="s">
        <v>20</v>
      </c>
      <c r="C546" t="str">
        <f>IF(ISBLANK('[1]2.Diagnostic Analysis'!C546),"Unknown",'[1]2.Diagnostic Analysis'!C546)</f>
        <v>East</v>
      </c>
      <c r="D546" t="s">
        <v>29</v>
      </c>
      <c r="E546" t="s">
        <v>18</v>
      </c>
      <c r="F546">
        <f>IF(ISBLANK('[1]2.Diagnostic Analysis'!D546),'[1]2.Diagnostic Analysis'!$Q$3,'[1]2.Diagnostic Analysis'!D546)</f>
        <v>48</v>
      </c>
      <c r="G546">
        <v>50</v>
      </c>
      <c r="H546">
        <v>4</v>
      </c>
      <c r="I546">
        <v>200</v>
      </c>
      <c r="J546">
        <v>8.27</v>
      </c>
      <c r="K546" s="2">
        <v>45068</v>
      </c>
      <c r="L546" t="str">
        <f>IF(ISBLANK('[1]2.Diagnostic Analysis'!K546),"Unknown",'[1]2.Diagnostic Analysis'!K546)</f>
        <v>In Transit</v>
      </c>
    </row>
    <row r="547" spans="1:12" x14ac:dyDescent="0.25">
      <c r="A547" t="s">
        <v>188</v>
      </c>
      <c r="B547" t="s">
        <v>13</v>
      </c>
      <c r="C547" t="str">
        <f>IF(ISBLANK('[1]2.Diagnostic Analysis'!C547),"Unknown",'[1]2.Diagnostic Analysis'!C547)</f>
        <v>South</v>
      </c>
      <c r="D547" t="s">
        <v>30</v>
      </c>
      <c r="E547" t="s">
        <v>18</v>
      </c>
      <c r="F547">
        <f>IF(ISBLANK('[1]2.Diagnostic Analysis'!D547),'[1]2.Diagnostic Analysis'!$Q$3,'[1]2.Diagnostic Analysis'!D547)</f>
        <v>52</v>
      </c>
      <c r="G547">
        <v>30</v>
      </c>
      <c r="H547">
        <v>3</v>
      </c>
      <c r="I547">
        <v>90</v>
      </c>
      <c r="J547">
        <v>8.66</v>
      </c>
      <c r="K547" s="2">
        <v>45015</v>
      </c>
      <c r="L547" t="str">
        <f>IF(ISBLANK('[1]2.Diagnostic Analysis'!K547),"Unknown",'[1]2.Diagnostic Analysis'!K547)</f>
        <v>In Transit</v>
      </c>
    </row>
    <row r="548" spans="1:12" x14ac:dyDescent="0.25">
      <c r="A548" t="s">
        <v>198</v>
      </c>
      <c r="B548" t="s">
        <v>20</v>
      </c>
      <c r="C548" t="str">
        <f>IF(ISBLANK('[1]2.Diagnostic Analysis'!C548),"Unknown",'[1]2.Diagnostic Analysis'!C548)</f>
        <v>South</v>
      </c>
      <c r="D548" t="s">
        <v>17</v>
      </c>
      <c r="E548" t="s">
        <v>18</v>
      </c>
      <c r="F548">
        <f>IF(ISBLANK('[1]2.Diagnostic Analysis'!D548),'[1]2.Diagnostic Analysis'!$Q$3,'[1]2.Diagnostic Analysis'!D548)</f>
        <v>46</v>
      </c>
      <c r="G548">
        <v>100</v>
      </c>
      <c r="H548">
        <v>5</v>
      </c>
      <c r="I548">
        <v>500</v>
      </c>
      <c r="J548">
        <v>11.88</v>
      </c>
      <c r="K548" s="2">
        <v>45140</v>
      </c>
      <c r="L548" t="str">
        <f>IF(ISBLANK('[1]2.Diagnostic Analysis'!K548),"Unknown",'[1]2.Diagnostic Analysis'!K548)</f>
        <v>Returned</v>
      </c>
    </row>
    <row r="549" spans="1:12" x14ac:dyDescent="0.25">
      <c r="A549" t="s">
        <v>12</v>
      </c>
      <c r="B549" t="s">
        <v>13</v>
      </c>
      <c r="C549" t="str">
        <f>IF(ISBLANK('[1]2.Diagnostic Analysis'!C549),"Unknown",'[1]2.Diagnostic Analysis'!C549)</f>
        <v>North</v>
      </c>
      <c r="D549" t="s">
        <v>29</v>
      </c>
      <c r="E549" t="s">
        <v>18</v>
      </c>
      <c r="F549">
        <f>IF(ISBLANK('[1]2.Diagnostic Analysis'!D549),'[1]2.Diagnostic Analysis'!$Q$3,'[1]2.Diagnostic Analysis'!D549)</f>
        <v>21</v>
      </c>
      <c r="G549">
        <v>50</v>
      </c>
      <c r="H549">
        <v>3</v>
      </c>
      <c r="I549">
        <v>150</v>
      </c>
      <c r="J549">
        <v>15.03</v>
      </c>
      <c r="K549" s="2">
        <v>45066</v>
      </c>
      <c r="L549" t="str">
        <f>IF(ISBLANK('[1]2.Diagnostic Analysis'!K549),"Unknown",'[1]2.Diagnostic Analysis'!K549)</f>
        <v>In Transit</v>
      </c>
    </row>
    <row r="550" spans="1:12" x14ac:dyDescent="0.25">
      <c r="A550" t="s">
        <v>270</v>
      </c>
      <c r="B550" t="s">
        <v>20</v>
      </c>
      <c r="C550" t="str">
        <f>IF(ISBLANK('[1]2.Diagnostic Analysis'!C550),"Unknown",'[1]2.Diagnostic Analysis'!C550)</f>
        <v>West</v>
      </c>
      <c r="D550" t="s">
        <v>29</v>
      </c>
      <c r="E550" t="s">
        <v>18</v>
      </c>
      <c r="F550">
        <f>IF(ISBLANK('[1]2.Diagnostic Analysis'!D550),'[1]2.Diagnostic Analysis'!$Q$3,'[1]2.Diagnostic Analysis'!D550)</f>
        <v>36</v>
      </c>
      <c r="G550">
        <v>50</v>
      </c>
      <c r="H550">
        <v>5</v>
      </c>
      <c r="I550">
        <v>250</v>
      </c>
      <c r="J550">
        <v>12.63</v>
      </c>
      <c r="K550" s="2">
        <v>45277</v>
      </c>
      <c r="L550" t="str">
        <f>IF(ISBLANK('[1]2.Diagnostic Analysis'!K550),"Unknown",'[1]2.Diagnostic Analysis'!K550)</f>
        <v>Delivered</v>
      </c>
    </row>
    <row r="551" spans="1:12" x14ac:dyDescent="0.25">
      <c r="A551" t="s">
        <v>226</v>
      </c>
      <c r="B551" t="s">
        <v>13</v>
      </c>
      <c r="C551" t="str">
        <f>IF(ISBLANK('[1]2.Diagnostic Analysis'!C551),"Unknown",'[1]2.Diagnostic Analysis'!C551)</f>
        <v>West</v>
      </c>
      <c r="D551" t="s">
        <v>14</v>
      </c>
      <c r="E551" t="s">
        <v>15</v>
      </c>
      <c r="F551">
        <f>IF(ISBLANK('[1]2.Diagnostic Analysis'!D551),'[1]2.Diagnostic Analysis'!$Q$3,'[1]2.Diagnostic Analysis'!D551)</f>
        <v>33</v>
      </c>
      <c r="G551">
        <v>300</v>
      </c>
      <c r="H551">
        <v>3</v>
      </c>
      <c r="I551">
        <v>900</v>
      </c>
      <c r="J551">
        <v>7.25</v>
      </c>
      <c r="K551" s="2">
        <v>45231</v>
      </c>
      <c r="L551" t="str">
        <f>IF(ISBLANK('[1]2.Diagnostic Analysis'!K551),"Unknown",'[1]2.Diagnostic Analysis'!K551)</f>
        <v>Returned</v>
      </c>
    </row>
    <row r="552" spans="1:12" x14ac:dyDescent="0.25">
      <c r="A552" t="s">
        <v>77</v>
      </c>
      <c r="B552" t="s">
        <v>13</v>
      </c>
      <c r="C552" t="str">
        <f>IF(ISBLANK('[1]2.Diagnostic Analysis'!C552),"Unknown",'[1]2.Diagnostic Analysis'!C552)</f>
        <v>West</v>
      </c>
      <c r="D552" t="s">
        <v>17</v>
      </c>
      <c r="E552" t="s">
        <v>18</v>
      </c>
      <c r="F552">
        <f>IF(ISBLANK('[1]2.Diagnostic Analysis'!D552),'[1]2.Diagnostic Analysis'!$Q$3,'[1]2.Diagnostic Analysis'!D552)</f>
        <v>54</v>
      </c>
      <c r="G552">
        <v>100</v>
      </c>
      <c r="H552">
        <v>2</v>
      </c>
      <c r="I552">
        <v>200</v>
      </c>
      <c r="J552">
        <v>6.22</v>
      </c>
      <c r="K552" s="2">
        <v>45294</v>
      </c>
      <c r="L552" t="str">
        <f>IF(ISBLANK('[1]2.Diagnostic Analysis'!K552),"Unknown",'[1]2.Diagnostic Analysis'!K552)</f>
        <v>Returned</v>
      </c>
    </row>
    <row r="553" spans="1:12" x14ac:dyDescent="0.25">
      <c r="A553" t="s">
        <v>90</v>
      </c>
      <c r="B553" t="s">
        <v>13</v>
      </c>
      <c r="C553" t="str">
        <f>IF(ISBLANK('[1]2.Diagnostic Analysis'!C553),"Unknown",'[1]2.Diagnostic Analysis'!C553)</f>
        <v>East</v>
      </c>
      <c r="D553" t="s">
        <v>14</v>
      </c>
      <c r="E553" t="s">
        <v>15</v>
      </c>
      <c r="F553">
        <f>IF(ISBLANK('[1]2.Diagnostic Analysis'!D553),'[1]2.Diagnostic Analysis'!$Q$3,'[1]2.Diagnostic Analysis'!D553)</f>
        <v>50</v>
      </c>
      <c r="G553">
        <v>300</v>
      </c>
      <c r="H553">
        <v>3</v>
      </c>
      <c r="I553">
        <v>900</v>
      </c>
      <c r="J553">
        <v>14.75</v>
      </c>
      <c r="K553" s="2">
        <v>44934</v>
      </c>
      <c r="L553" t="str">
        <f>IF(ISBLANK('[1]2.Diagnostic Analysis'!K553),"Unknown",'[1]2.Diagnostic Analysis'!K553)</f>
        <v>Delivered</v>
      </c>
    </row>
    <row r="554" spans="1:12" x14ac:dyDescent="0.25">
      <c r="A554" t="s">
        <v>184</v>
      </c>
      <c r="B554" t="s">
        <v>20</v>
      </c>
      <c r="C554" t="str">
        <f>IF(ISBLANK('[1]2.Diagnostic Analysis'!C554),"Unknown",'[1]2.Diagnostic Analysis'!C554)</f>
        <v>East</v>
      </c>
      <c r="D554" t="s">
        <v>17</v>
      </c>
      <c r="E554" t="s">
        <v>18</v>
      </c>
      <c r="F554">
        <f>IF(ISBLANK('[1]2.Diagnostic Analysis'!D554),'[1]2.Diagnostic Analysis'!$Q$3,'[1]2.Diagnostic Analysis'!D554)</f>
        <v>51</v>
      </c>
      <c r="G554">
        <v>100</v>
      </c>
      <c r="H554">
        <v>4</v>
      </c>
      <c r="I554">
        <v>400</v>
      </c>
      <c r="J554">
        <v>17.18</v>
      </c>
      <c r="K554" s="2">
        <v>45194</v>
      </c>
      <c r="L554" t="str">
        <f>IF(ISBLANK('[1]2.Diagnostic Analysis'!K554),"Unknown",'[1]2.Diagnostic Analysis'!K554)</f>
        <v>In Transit</v>
      </c>
    </row>
    <row r="555" spans="1:12" x14ac:dyDescent="0.25">
      <c r="A555" t="s">
        <v>184</v>
      </c>
      <c r="B555" t="s">
        <v>20</v>
      </c>
      <c r="C555" t="str">
        <f>IF(ISBLANK('[1]2.Diagnostic Analysis'!C555),"Unknown",'[1]2.Diagnostic Analysis'!C555)</f>
        <v>East</v>
      </c>
      <c r="D555" t="s">
        <v>29</v>
      </c>
      <c r="E555" t="s">
        <v>18</v>
      </c>
      <c r="F555">
        <f>IF(ISBLANK('[1]2.Diagnostic Analysis'!D555),'[1]2.Diagnostic Analysis'!$Q$3,'[1]2.Diagnostic Analysis'!D555)</f>
        <v>51</v>
      </c>
      <c r="G555">
        <v>50</v>
      </c>
      <c r="H555">
        <v>3</v>
      </c>
      <c r="I555">
        <v>150</v>
      </c>
      <c r="J555">
        <v>14.99</v>
      </c>
      <c r="K555" s="2">
        <v>45034</v>
      </c>
      <c r="L555" t="str">
        <f>IF(ISBLANK('[1]2.Diagnostic Analysis'!K555),"Unknown",'[1]2.Diagnostic Analysis'!K555)</f>
        <v>In Transit</v>
      </c>
    </row>
    <row r="556" spans="1:12" x14ac:dyDescent="0.25">
      <c r="A556" t="s">
        <v>271</v>
      </c>
      <c r="B556" t="s">
        <v>20</v>
      </c>
      <c r="C556" t="str">
        <f>IF(ISBLANK('[1]2.Diagnostic Analysis'!C556),"Unknown",'[1]2.Diagnostic Analysis'!C556)</f>
        <v>North</v>
      </c>
      <c r="D556" t="s">
        <v>25</v>
      </c>
      <c r="E556" t="s">
        <v>26</v>
      </c>
      <c r="F556">
        <f>IF(ISBLANK('[1]2.Diagnostic Analysis'!D556),'[1]2.Diagnostic Analysis'!$Q$3,'[1]2.Diagnostic Analysis'!D556)</f>
        <v>49</v>
      </c>
      <c r="G556">
        <v>200</v>
      </c>
      <c r="H556">
        <v>1</v>
      </c>
      <c r="I556">
        <v>200</v>
      </c>
      <c r="J556">
        <v>17.3</v>
      </c>
      <c r="K556" s="2">
        <v>44976</v>
      </c>
      <c r="L556" t="str">
        <f>IF(ISBLANK('[1]2.Diagnostic Analysis'!K556),"Unknown",'[1]2.Diagnostic Analysis'!K556)</f>
        <v>Delivered</v>
      </c>
    </row>
    <row r="557" spans="1:12" x14ac:dyDescent="0.25">
      <c r="A557" t="s">
        <v>102</v>
      </c>
      <c r="B557" t="s">
        <v>20</v>
      </c>
      <c r="C557" t="str">
        <f>IF(ISBLANK('[1]2.Diagnostic Analysis'!C557),"Unknown",'[1]2.Diagnostic Analysis'!C557)</f>
        <v>West</v>
      </c>
      <c r="D557" t="s">
        <v>17</v>
      </c>
      <c r="E557" t="s">
        <v>18</v>
      </c>
      <c r="F557">
        <f>IF(ISBLANK('[1]2.Diagnostic Analysis'!D557),'[1]2.Diagnostic Analysis'!$Q$3,'[1]2.Diagnostic Analysis'!D557)</f>
        <v>30</v>
      </c>
      <c r="G557">
        <v>100</v>
      </c>
      <c r="H557">
        <v>1</v>
      </c>
      <c r="I557">
        <v>100</v>
      </c>
      <c r="J557">
        <v>6.47</v>
      </c>
      <c r="K557" s="2">
        <v>45078</v>
      </c>
      <c r="L557" t="str">
        <f>IF(ISBLANK('[1]2.Diagnostic Analysis'!K557),"Unknown",'[1]2.Diagnostic Analysis'!K557)</f>
        <v>Delivered</v>
      </c>
    </row>
    <row r="558" spans="1:12" x14ac:dyDescent="0.25">
      <c r="A558" t="s">
        <v>158</v>
      </c>
      <c r="B558" t="s">
        <v>20</v>
      </c>
      <c r="C558" t="str">
        <f>IF(ISBLANK('[1]2.Diagnostic Analysis'!C558),"Unknown",'[1]2.Diagnostic Analysis'!C558)</f>
        <v>South</v>
      </c>
      <c r="D558" t="s">
        <v>29</v>
      </c>
      <c r="E558" t="s">
        <v>18</v>
      </c>
      <c r="F558">
        <f>IF(ISBLANK('[1]2.Diagnostic Analysis'!D558),'[1]2.Diagnostic Analysis'!$Q$3,'[1]2.Diagnostic Analysis'!D558)</f>
        <v>32</v>
      </c>
      <c r="G558">
        <v>50</v>
      </c>
      <c r="H558">
        <v>5</v>
      </c>
      <c r="I558">
        <v>250</v>
      </c>
      <c r="J558">
        <v>10.39</v>
      </c>
      <c r="K558" s="2">
        <v>45105</v>
      </c>
      <c r="L558" t="str">
        <f>IF(ISBLANK('[1]2.Diagnostic Analysis'!K558),"Unknown",'[1]2.Diagnostic Analysis'!K558)</f>
        <v>In Transit</v>
      </c>
    </row>
    <row r="559" spans="1:12" x14ac:dyDescent="0.25">
      <c r="A559" t="s">
        <v>158</v>
      </c>
      <c r="B559" t="s">
        <v>20</v>
      </c>
      <c r="C559" t="str">
        <f>IF(ISBLANK('[1]2.Diagnostic Analysis'!C559),"Unknown",'[1]2.Diagnostic Analysis'!C559)</f>
        <v>South</v>
      </c>
      <c r="D559" t="s">
        <v>14</v>
      </c>
      <c r="E559" t="s">
        <v>15</v>
      </c>
      <c r="F559">
        <f>IF(ISBLANK('[1]2.Diagnostic Analysis'!D559),'[1]2.Diagnostic Analysis'!$Q$3,'[1]2.Diagnostic Analysis'!D559)</f>
        <v>32</v>
      </c>
      <c r="G559">
        <v>300</v>
      </c>
      <c r="H559">
        <v>1</v>
      </c>
      <c r="I559">
        <v>300</v>
      </c>
      <c r="J559">
        <v>9.57</v>
      </c>
      <c r="K559" s="2">
        <v>45040</v>
      </c>
      <c r="L559" t="str">
        <f>IF(ISBLANK('[1]2.Diagnostic Analysis'!K559),"Unknown",'[1]2.Diagnostic Analysis'!K559)</f>
        <v>In Transit</v>
      </c>
    </row>
    <row r="560" spans="1:12" x14ac:dyDescent="0.25">
      <c r="A560" t="s">
        <v>207</v>
      </c>
      <c r="B560" t="s">
        <v>13</v>
      </c>
      <c r="C560" t="str">
        <f>IF(ISBLANK('[1]2.Diagnostic Analysis'!C560),"Unknown",'[1]2.Diagnostic Analysis'!C560)</f>
        <v>North</v>
      </c>
      <c r="D560" t="s">
        <v>40</v>
      </c>
      <c r="E560" t="s">
        <v>15</v>
      </c>
      <c r="F560">
        <f>IF(ISBLANK('[1]2.Diagnostic Analysis'!D560),'[1]2.Diagnostic Analysis'!$Q$3,'[1]2.Diagnostic Analysis'!D560)</f>
        <v>63</v>
      </c>
      <c r="G560">
        <v>800</v>
      </c>
      <c r="H560">
        <v>2</v>
      </c>
      <c r="I560">
        <v>1600</v>
      </c>
      <c r="J560">
        <v>6.57</v>
      </c>
      <c r="K560" s="2">
        <v>45268</v>
      </c>
      <c r="L560" t="str">
        <f>IF(ISBLANK('[1]2.Diagnostic Analysis'!K560),"Unknown",'[1]2.Diagnostic Analysis'!K560)</f>
        <v>Delivered</v>
      </c>
    </row>
    <row r="561" spans="1:12" x14ac:dyDescent="0.25">
      <c r="A561" t="s">
        <v>246</v>
      </c>
      <c r="B561" t="s">
        <v>13</v>
      </c>
      <c r="C561" t="str">
        <f>IF(ISBLANK('[1]2.Diagnostic Analysis'!C561),"Unknown",'[1]2.Diagnostic Analysis'!C561)</f>
        <v>West</v>
      </c>
      <c r="D561" t="s">
        <v>29</v>
      </c>
      <c r="E561" t="s">
        <v>18</v>
      </c>
      <c r="F561">
        <f>IF(ISBLANK('[1]2.Diagnostic Analysis'!D561),'[1]2.Diagnostic Analysis'!$Q$3,'[1]2.Diagnostic Analysis'!D561)</f>
        <v>54</v>
      </c>
      <c r="G561">
        <v>50</v>
      </c>
      <c r="H561">
        <v>1</v>
      </c>
      <c r="I561">
        <v>50</v>
      </c>
      <c r="J561">
        <v>13.9</v>
      </c>
      <c r="K561" s="2">
        <v>45234</v>
      </c>
      <c r="L561" t="str">
        <f>IF(ISBLANK('[1]2.Diagnostic Analysis'!K561),"Unknown",'[1]2.Diagnostic Analysis'!K561)</f>
        <v>Delivered</v>
      </c>
    </row>
    <row r="562" spans="1:12" x14ac:dyDescent="0.25">
      <c r="A562" t="s">
        <v>174</v>
      </c>
      <c r="B562" t="s">
        <v>13</v>
      </c>
      <c r="C562" t="str">
        <f>IF(ISBLANK('[1]2.Diagnostic Analysis'!C562),"Unknown",'[1]2.Diagnostic Analysis'!C562)</f>
        <v>West</v>
      </c>
      <c r="D562" t="s">
        <v>23</v>
      </c>
      <c r="E562" t="s">
        <v>15</v>
      </c>
      <c r="F562">
        <f>IF(ISBLANK('[1]2.Diagnostic Analysis'!D562),'[1]2.Diagnostic Analysis'!$Q$3,'[1]2.Diagnostic Analysis'!D562)</f>
        <v>54</v>
      </c>
      <c r="G562">
        <v>3109.5606124866499</v>
      </c>
      <c r="H562">
        <v>5</v>
      </c>
      <c r="I562">
        <v>7500</v>
      </c>
      <c r="J562">
        <v>19.71</v>
      </c>
      <c r="K562" s="2">
        <v>45034</v>
      </c>
      <c r="L562" t="str">
        <f>IF(ISBLANK('[1]2.Diagnostic Analysis'!K562),"Unknown",'[1]2.Diagnostic Analysis'!K562)</f>
        <v>Returned</v>
      </c>
    </row>
    <row r="563" spans="1:12" x14ac:dyDescent="0.25">
      <c r="A563" t="s">
        <v>263</v>
      </c>
      <c r="B563" t="s">
        <v>13</v>
      </c>
      <c r="C563" t="str">
        <f>IF(ISBLANK('[1]2.Diagnostic Analysis'!C563),"Unknown",'[1]2.Diagnostic Analysis'!C563)</f>
        <v>East</v>
      </c>
      <c r="D563" t="s">
        <v>25</v>
      </c>
      <c r="E563" t="s">
        <v>26</v>
      </c>
      <c r="F563">
        <f>IF(ISBLANK('[1]2.Diagnostic Analysis'!D563),'[1]2.Diagnostic Analysis'!$Q$3,'[1]2.Diagnostic Analysis'!D563)</f>
        <v>64</v>
      </c>
      <c r="G563">
        <v>200</v>
      </c>
      <c r="H563">
        <v>2</v>
      </c>
      <c r="I563">
        <v>400</v>
      </c>
      <c r="J563">
        <v>11.49</v>
      </c>
      <c r="K563" s="2">
        <v>45193</v>
      </c>
      <c r="L563" t="str">
        <f>IF(ISBLANK('[1]2.Diagnostic Analysis'!K563),"Unknown",'[1]2.Diagnostic Analysis'!K563)</f>
        <v>Returned</v>
      </c>
    </row>
    <row r="564" spans="1:12" x14ac:dyDescent="0.25">
      <c r="A564" t="s">
        <v>61</v>
      </c>
      <c r="B564" t="s">
        <v>20</v>
      </c>
      <c r="C564" t="str">
        <f>IF(ISBLANK('[1]2.Diagnostic Analysis'!C564),"Unknown",'[1]2.Diagnostic Analysis'!C564)</f>
        <v>East</v>
      </c>
      <c r="D564" t="s">
        <v>30</v>
      </c>
      <c r="E564" t="s">
        <v>18</v>
      </c>
      <c r="F564">
        <f>IF(ISBLANK('[1]2.Diagnostic Analysis'!D564),'[1]2.Diagnostic Analysis'!$Q$3,'[1]2.Diagnostic Analysis'!D564)</f>
        <v>61</v>
      </c>
      <c r="G564">
        <v>30</v>
      </c>
      <c r="H564">
        <v>2</v>
      </c>
      <c r="I564">
        <v>60</v>
      </c>
      <c r="J564">
        <v>13.74</v>
      </c>
      <c r="K564" s="2">
        <v>45243</v>
      </c>
      <c r="L564" t="str">
        <f>IF(ISBLANK('[1]2.Diagnostic Analysis'!K564),"Unknown",'[1]2.Diagnostic Analysis'!K564)</f>
        <v>Delivered</v>
      </c>
    </row>
    <row r="565" spans="1:12" x14ac:dyDescent="0.25">
      <c r="A565" t="s">
        <v>272</v>
      </c>
      <c r="B565" t="s">
        <v>13</v>
      </c>
      <c r="C565" t="str">
        <f>IF(ISBLANK('[1]2.Diagnostic Analysis'!C565),"Unknown",'[1]2.Diagnostic Analysis'!C565)</f>
        <v>East</v>
      </c>
      <c r="D565" t="s">
        <v>23</v>
      </c>
      <c r="E565" t="s">
        <v>15</v>
      </c>
      <c r="F565">
        <f>IF(ISBLANK('[1]2.Diagnostic Analysis'!D565),'[1]2.Diagnostic Analysis'!$Q$3,'[1]2.Diagnostic Analysis'!D565)</f>
        <v>51</v>
      </c>
      <c r="G565">
        <v>1500</v>
      </c>
      <c r="H565">
        <v>1</v>
      </c>
      <c r="I565">
        <v>1500</v>
      </c>
      <c r="J565">
        <v>15.23</v>
      </c>
      <c r="K565" s="2">
        <v>45209</v>
      </c>
      <c r="L565" t="str">
        <f>IF(ISBLANK('[1]2.Diagnostic Analysis'!K565),"Unknown",'[1]2.Diagnostic Analysis'!K565)</f>
        <v>Returned</v>
      </c>
    </row>
    <row r="566" spans="1:12" x14ac:dyDescent="0.25">
      <c r="A566" t="s">
        <v>84</v>
      </c>
      <c r="B566" t="s">
        <v>20</v>
      </c>
      <c r="C566" t="str">
        <f>IF(ISBLANK('[1]2.Diagnostic Analysis'!C566),"Unknown",'[1]2.Diagnostic Analysis'!C566)</f>
        <v>South</v>
      </c>
      <c r="D566" t="s">
        <v>23</v>
      </c>
      <c r="E566" t="s">
        <v>15</v>
      </c>
      <c r="F566">
        <f>IF(ISBLANK('[1]2.Diagnostic Analysis'!D566),'[1]2.Diagnostic Analysis'!$Q$3,'[1]2.Diagnostic Analysis'!D566)</f>
        <v>28</v>
      </c>
      <c r="G566">
        <v>1500</v>
      </c>
      <c r="H566">
        <v>1</v>
      </c>
      <c r="I566">
        <v>1500</v>
      </c>
      <c r="J566">
        <v>19.84</v>
      </c>
      <c r="K566" s="2">
        <v>44974</v>
      </c>
      <c r="L566" t="str">
        <f>IF(ISBLANK('[1]2.Diagnostic Analysis'!K566),"Unknown",'[1]2.Diagnostic Analysis'!K566)</f>
        <v>Unknown</v>
      </c>
    </row>
    <row r="567" spans="1:12" x14ac:dyDescent="0.25">
      <c r="A567" t="s">
        <v>195</v>
      </c>
      <c r="B567" t="s">
        <v>20</v>
      </c>
      <c r="C567" t="str">
        <f>IF(ISBLANK('[1]2.Diagnostic Analysis'!C567),"Unknown",'[1]2.Diagnostic Analysis'!C567)</f>
        <v>North</v>
      </c>
      <c r="D567" t="s">
        <v>17</v>
      </c>
      <c r="E567" t="s">
        <v>18</v>
      </c>
      <c r="F567">
        <f>IF(ISBLANK('[1]2.Diagnostic Analysis'!D567),'[1]2.Diagnostic Analysis'!$Q$3,'[1]2.Diagnostic Analysis'!D567)</f>
        <v>51</v>
      </c>
      <c r="G567">
        <v>100</v>
      </c>
      <c r="H567">
        <v>3</v>
      </c>
      <c r="I567">
        <v>300</v>
      </c>
      <c r="J567">
        <v>18.63</v>
      </c>
      <c r="K567" s="2">
        <v>45005</v>
      </c>
      <c r="L567" t="str">
        <f>IF(ISBLANK('[1]2.Diagnostic Analysis'!K567),"Unknown",'[1]2.Diagnostic Analysis'!K567)</f>
        <v>Unknown</v>
      </c>
    </row>
    <row r="568" spans="1:12" x14ac:dyDescent="0.25">
      <c r="A568" t="s">
        <v>223</v>
      </c>
      <c r="B568" t="s">
        <v>20</v>
      </c>
      <c r="C568" t="str">
        <f>IF(ISBLANK('[1]2.Diagnostic Analysis'!C568),"Unknown",'[1]2.Diagnostic Analysis'!C568)</f>
        <v>North</v>
      </c>
      <c r="D568" t="s">
        <v>23</v>
      </c>
      <c r="E568" t="s">
        <v>15</v>
      </c>
      <c r="F568">
        <f>IF(ISBLANK('[1]2.Diagnostic Analysis'!D568),'[1]2.Diagnostic Analysis'!$Q$3,'[1]2.Diagnostic Analysis'!D568)</f>
        <v>20</v>
      </c>
      <c r="G568">
        <v>1500</v>
      </c>
      <c r="H568">
        <v>5</v>
      </c>
      <c r="I568">
        <v>7500</v>
      </c>
      <c r="J568">
        <v>15.07</v>
      </c>
      <c r="K568" s="2">
        <v>45227</v>
      </c>
      <c r="L568" t="str">
        <f>IF(ISBLANK('[1]2.Diagnostic Analysis'!K568),"Unknown",'[1]2.Diagnostic Analysis'!K568)</f>
        <v>In Transit</v>
      </c>
    </row>
    <row r="569" spans="1:12" x14ac:dyDescent="0.25">
      <c r="A569" t="s">
        <v>273</v>
      </c>
      <c r="B569" t="s">
        <v>13</v>
      </c>
      <c r="C569" t="str">
        <f>IF(ISBLANK('[1]2.Diagnostic Analysis'!C569),"Unknown",'[1]2.Diagnostic Analysis'!C569)</f>
        <v>South</v>
      </c>
      <c r="D569" t="s">
        <v>14</v>
      </c>
      <c r="E569" t="s">
        <v>15</v>
      </c>
      <c r="F569">
        <f>IF(ISBLANK('[1]2.Diagnostic Analysis'!D569),'[1]2.Diagnostic Analysis'!$Q$3,'[1]2.Diagnostic Analysis'!D569)</f>
        <v>33</v>
      </c>
      <c r="G569">
        <v>300</v>
      </c>
      <c r="H569">
        <v>5</v>
      </c>
      <c r="I569">
        <v>1500</v>
      </c>
      <c r="J569">
        <v>15.98</v>
      </c>
      <c r="K569" s="2">
        <v>44942</v>
      </c>
      <c r="L569" t="str">
        <f>IF(ISBLANK('[1]2.Diagnostic Analysis'!K569),"Unknown",'[1]2.Diagnostic Analysis'!K569)</f>
        <v>In Transit</v>
      </c>
    </row>
    <row r="570" spans="1:12" x14ac:dyDescent="0.25">
      <c r="A570" t="s">
        <v>192</v>
      </c>
      <c r="B570" t="s">
        <v>13</v>
      </c>
      <c r="C570" t="str">
        <f>IF(ISBLANK('[1]2.Diagnostic Analysis'!C570),"Unknown",'[1]2.Diagnostic Analysis'!C570)</f>
        <v>West</v>
      </c>
      <c r="D570" t="s">
        <v>14</v>
      </c>
      <c r="E570" t="s">
        <v>15</v>
      </c>
      <c r="F570">
        <f>IF(ISBLANK('[1]2.Diagnostic Analysis'!D570),'[1]2.Diagnostic Analysis'!$Q$3,'[1]2.Diagnostic Analysis'!D570)</f>
        <v>28</v>
      </c>
      <c r="G570">
        <v>300</v>
      </c>
      <c r="H570">
        <v>2</v>
      </c>
      <c r="I570">
        <v>600</v>
      </c>
      <c r="J570">
        <v>14.13</v>
      </c>
      <c r="K570" s="2">
        <v>44968</v>
      </c>
      <c r="L570" t="str">
        <f>IF(ISBLANK('[1]2.Diagnostic Analysis'!K570),"Unknown",'[1]2.Diagnostic Analysis'!K570)</f>
        <v>Delivered</v>
      </c>
    </row>
    <row r="571" spans="1:12" x14ac:dyDescent="0.25">
      <c r="A571" t="s">
        <v>52</v>
      </c>
      <c r="B571" t="s">
        <v>13</v>
      </c>
      <c r="C571" t="str">
        <f>IF(ISBLANK('[1]2.Diagnostic Analysis'!C571),"Unknown",'[1]2.Diagnostic Analysis'!C571)</f>
        <v>East</v>
      </c>
      <c r="D571" t="s">
        <v>14</v>
      </c>
      <c r="E571" t="s">
        <v>15</v>
      </c>
      <c r="F571">
        <f>IF(ISBLANK('[1]2.Diagnostic Analysis'!D571),'[1]2.Diagnostic Analysis'!$Q$3,'[1]2.Diagnostic Analysis'!D571)</f>
        <v>57</v>
      </c>
      <c r="G571">
        <v>300</v>
      </c>
      <c r="H571">
        <v>2</v>
      </c>
      <c r="I571">
        <v>600</v>
      </c>
      <c r="J571">
        <v>17.670000000000002</v>
      </c>
      <c r="K571" s="2">
        <v>45278</v>
      </c>
      <c r="L571" t="str">
        <f>IF(ISBLANK('[1]2.Diagnostic Analysis'!K571),"Unknown",'[1]2.Diagnostic Analysis'!K571)</f>
        <v>In Transit</v>
      </c>
    </row>
    <row r="572" spans="1:12" x14ac:dyDescent="0.25">
      <c r="A572" t="s">
        <v>152</v>
      </c>
      <c r="B572" t="s">
        <v>20</v>
      </c>
      <c r="C572" t="str">
        <f>IF(ISBLANK('[1]2.Diagnostic Analysis'!C572),"Unknown",'[1]2.Diagnostic Analysis'!C572)</f>
        <v>West</v>
      </c>
      <c r="D572" t="s">
        <v>29</v>
      </c>
      <c r="E572" t="s">
        <v>18</v>
      </c>
      <c r="F572">
        <f>IF(ISBLANK('[1]2.Diagnostic Analysis'!D572),'[1]2.Diagnostic Analysis'!$Q$3,'[1]2.Diagnostic Analysis'!D572)</f>
        <v>53</v>
      </c>
      <c r="G572">
        <v>50</v>
      </c>
      <c r="H572">
        <v>5</v>
      </c>
      <c r="I572">
        <v>250</v>
      </c>
      <c r="J572">
        <v>15.62</v>
      </c>
      <c r="K572" s="2">
        <v>45170</v>
      </c>
      <c r="L572" t="str">
        <f>IF(ISBLANK('[1]2.Diagnostic Analysis'!K572),"Unknown",'[1]2.Diagnostic Analysis'!K572)</f>
        <v>Returned</v>
      </c>
    </row>
    <row r="573" spans="1:12" x14ac:dyDescent="0.25">
      <c r="A573" t="s">
        <v>274</v>
      </c>
      <c r="B573" t="s">
        <v>20</v>
      </c>
      <c r="C573" t="str">
        <f>IF(ISBLANK('[1]2.Diagnostic Analysis'!C573),"Unknown",'[1]2.Diagnostic Analysis'!C573)</f>
        <v>South</v>
      </c>
      <c r="D573" t="s">
        <v>14</v>
      </c>
      <c r="E573" t="s">
        <v>15</v>
      </c>
      <c r="F573">
        <f>IF(ISBLANK('[1]2.Diagnostic Analysis'!D573),'[1]2.Diagnostic Analysis'!$Q$3,'[1]2.Diagnostic Analysis'!D573)</f>
        <v>56</v>
      </c>
      <c r="G573">
        <v>300</v>
      </c>
      <c r="H573">
        <v>5</v>
      </c>
      <c r="I573">
        <v>1500</v>
      </c>
      <c r="J573">
        <v>12.62</v>
      </c>
      <c r="K573" s="2">
        <v>45127</v>
      </c>
      <c r="L573" t="str">
        <f>IF(ISBLANK('[1]2.Diagnostic Analysis'!K573),"Unknown",'[1]2.Diagnostic Analysis'!K573)</f>
        <v>Returned</v>
      </c>
    </row>
    <row r="574" spans="1:12" x14ac:dyDescent="0.25">
      <c r="A574" t="s">
        <v>275</v>
      </c>
      <c r="B574" t="s">
        <v>13</v>
      </c>
      <c r="C574" t="str">
        <f>IF(ISBLANK('[1]2.Diagnostic Analysis'!C574),"Unknown",'[1]2.Diagnostic Analysis'!C574)</f>
        <v>North</v>
      </c>
      <c r="D574" t="s">
        <v>14</v>
      </c>
      <c r="E574" t="s">
        <v>15</v>
      </c>
      <c r="F574">
        <f>IF(ISBLANK('[1]2.Diagnostic Analysis'!D574),'[1]2.Diagnostic Analysis'!$Q$3,'[1]2.Diagnostic Analysis'!D574)</f>
        <v>34</v>
      </c>
      <c r="G574">
        <v>300</v>
      </c>
      <c r="H574">
        <v>2</v>
      </c>
      <c r="I574">
        <v>600</v>
      </c>
      <c r="J574">
        <v>11.88</v>
      </c>
      <c r="K574" s="2">
        <v>45192</v>
      </c>
      <c r="L574" t="str">
        <f>IF(ISBLANK('[1]2.Diagnostic Analysis'!K574),"Unknown",'[1]2.Diagnostic Analysis'!K574)</f>
        <v>Returned</v>
      </c>
    </row>
    <row r="575" spans="1:12" x14ac:dyDescent="0.25">
      <c r="A575" t="s">
        <v>276</v>
      </c>
      <c r="B575" t="s">
        <v>13</v>
      </c>
      <c r="C575" t="str">
        <f>IF(ISBLANK('[1]2.Diagnostic Analysis'!C575),"Unknown",'[1]2.Diagnostic Analysis'!C575)</f>
        <v>East</v>
      </c>
      <c r="D575" t="s">
        <v>14</v>
      </c>
      <c r="E575" t="s">
        <v>15</v>
      </c>
      <c r="F575">
        <f>IF(ISBLANK('[1]2.Diagnostic Analysis'!D575),'[1]2.Diagnostic Analysis'!$Q$3,'[1]2.Diagnostic Analysis'!D575)</f>
        <v>32</v>
      </c>
      <c r="G575">
        <v>300</v>
      </c>
      <c r="H575">
        <v>2</v>
      </c>
      <c r="I575">
        <v>600</v>
      </c>
      <c r="J575">
        <v>12.92</v>
      </c>
      <c r="K575" s="2">
        <v>45121</v>
      </c>
      <c r="L575" t="str">
        <f>IF(ISBLANK('[1]2.Diagnostic Analysis'!K575),"Unknown",'[1]2.Diagnostic Analysis'!K575)</f>
        <v>Returned</v>
      </c>
    </row>
    <row r="576" spans="1:12" x14ac:dyDescent="0.25">
      <c r="A576" t="s">
        <v>223</v>
      </c>
      <c r="B576" t="s">
        <v>13</v>
      </c>
      <c r="C576" t="str">
        <f>IF(ISBLANK('[1]2.Diagnostic Analysis'!C576),"Unknown",'[1]2.Diagnostic Analysis'!C576)</f>
        <v>North</v>
      </c>
      <c r="D576" t="s">
        <v>25</v>
      </c>
      <c r="E576" t="s">
        <v>26</v>
      </c>
      <c r="F576">
        <f>IF(ISBLANK('[1]2.Diagnostic Analysis'!D576),'[1]2.Diagnostic Analysis'!$Q$3,'[1]2.Diagnostic Analysis'!D576)</f>
        <v>20</v>
      </c>
      <c r="G576">
        <v>200</v>
      </c>
      <c r="H576">
        <v>4</v>
      </c>
      <c r="I576">
        <v>800</v>
      </c>
      <c r="J576">
        <v>15.78</v>
      </c>
      <c r="K576" s="2">
        <v>45091</v>
      </c>
      <c r="L576" t="str">
        <f>IF(ISBLANK('[1]2.Diagnostic Analysis'!K576),"Unknown",'[1]2.Diagnostic Analysis'!K576)</f>
        <v>Delivered</v>
      </c>
    </row>
    <row r="577" spans="1:12" x14ac:dyDescent="0.25">
      <c r="A577" t="s">
        <v>83</v>
      </c>
      <c r="B577" t="s">
        <v>13</v>
      </c>
      <c r="C577" t="str">
        <f>IF(ISBLANK('[1]2.Diagnostic Analysis'!C577),"Unknown",'[1]2.Diagnostic Analysis'!C577)</f>
        <v>Unknown</v>
      </c>
      <c r="D577" t="s">
        <v>23</v>
      </c>
      <c r="E577" t="s">
        <v>15</v>
      </c>
      <c r="F577">
        <f>IF(ISBLANK('[1]2.Diagnostic Analysis'!D577),'[1]2.Diagnostic Analysis'!$Q$3,'[1]2.Diagnostic Analysis'!D577)</f>
        <v>36</v>
      </c>
      <c r="G577">
        <v>1500</v>
      </c>
      <c r="H577">
        <v>4</v>
      </c>
      <c r="I577">
        <v>6000</v>
      </c>
      <c r="J577">
        <v>14</v>
      </c>
      <c r="K577" s="2">
        <v>45083</v>
      </c>
      <c r="L577" t="str">
        <f>IF(ISBLANK('[1]2.Diagnostic Analysis'!K577),"Unknown",'[1]2.Diagnostic Analysis'!K577)</f>
        <v>Returned</v>
      </c>
    </row>
    <row r="578" spans="1:12" x14ac:dyDescent="0.25">
      <c r="A578" t="s">
        <v>186</v>
      </c>
      <c r="B578" t="s">
        <v>13</v>
      </c>
      <c r="C578" t="str">
        <f>IF(ISBLANK('[1]2.Diagnostic Analysis'!C578),"Unknown",'[1]2.Diagnostic Analysis'!C578)</f>
        <v>North</v>
      </c>
      <c r="D578" t="s">
        <v>40</v>
      </c>
      <c r="E578" t="s">
        <v>15</v>
      </c>
      <c r="F578">
        <f>IF(ISBLANK('[1]2.Diagnostic Analysis'!D578),'[1]2.Diagnostic Analysis'!$Q$3,'[1]2.Diagnostic Analysis'!D578)</f>
        <v>49</v>
      </c>
      <c r="G578">
        <v>800</v>
      </c>
      <c r="H578">
        <v>2</v>
      </c>
      <c r="I578">
        <v>1600</v>
      </c>
      <c r="J578">
        <v>7.17</v>
      </c>
      <c r="K578" s="2">
        <v>44935</v>
      </c>
      <c r="L578" t="str">
        <f>IF(ISBLANK('[1]2.Diagnostic Analysis'!K578),"Unknown",'[1]2.Diagnostic Analysis'!K578)</f>
        <v>Unknown</v>
      </c>
    </row>
    <row r="579" spans="1:12" x14ac:dyDescent="0.25">
      <c r="A579" t="s">
        <v>254</v>
      </c>
      <c r="B579" t="s">
        <v>13</v>
      </c>
      <c r="C579" t="str">
        <f>IF(ISBLANK('[1]2.Diagnostic Analysis'!C579),"Unknown",'[1]2.Diagnostic Analysis'!C579)</f>
        <v>South</v>
      </c>
      <c r="D579" t="s">
        <v>14</v>
      </c>
      <c r="E579" t="s">
        <v>15</v>
      </c>
      <c r="F579">
        <f>IF(ISBLANK('[1]2.Diagnostic Analysis'!D579),'[1]2.Diagnostic Analysis'!$Q$3,'[1]2.Diagnostic Analysis'!D579)</f>
        <v>69</v>
      </c>
      <c r="G579">
        <v>300</v>
      </c>
      <c r="H579">
        <v>2</v>
      </c>
      <c r="I579">
        <v>600</v>
      </c>
      <c r="J579">
        <v>18.79</v>
      </c>
      <c r="K579" s="2">
        <v>45136</v>
      </c>
      <c r="L579" t="str">
        <f>IF(ISBLANK('[1]2.Diagnostic Analysis'!K579),"Unknown",'[1]2.Diagnostic Analysis'!K579)</f>
        <v>Delivered</v>
      </c>
    </row>
    <row r="580" spans="1:12" x14ac:dyDescent="0.25">
      <c r="A580" t="s">
        <v>191</v>
      </c>
      <c r="B580" t="s">
        <v>20</v>
      </c>
      <c r="C580" t="str">
        <f>IF(ISBLANK('[1]2.Diagnostic Analysis'!C580),"Unknown",'[1]2.Diagnostic Analysis'!C580)</f>
        <v>North</v>
      </c>
      <c r="D580" t="s">
        <v>40</v>
      </c>
      <c r="E580" t="s">
        <v>15</v>
      </c>
      <c r="F580">
        <f>IF(ISBLANK('[1]2.Diagnostic Analysis'!D580),'[1]2.Diagnostic Analysis'!$Q$3,'[1]2.Diagnostic Analysis'!D580)</f>
        <v>64</v>
      </c>
      <c r="G580">
        <v>800</v>
      </c>
      <c r="H580">
        <v>2</v>
      </c>
      <c r="I580">
        <v>1600</v>
      </c>
      <c r="J580">
        <v>17.54</v>
      </c>
      <c r="K580" s="2">
        <v>45143</v>
      </c>
      <c r="L580" t="str">
        <f>IF(ISBLANK('[1]2.Diagnostic Analysis'!K580),"Unknown",'[1]2.Diagnostic Analysis'!K580)</f>
        <v>Returned</v>
      </c>
    </row>
    <row r="581" spans="1:12" x14ac:dyDescent="0.25">
      <c r="A581" t="s">
        <v>52</v>
      </c>
      <c r="B581" t="s">
        <v>13</v>
      </c>
      <c r="C581" t="str">
        <f>IF(ISBLANK('[1]2.Diagnostic Analysis'!C581),"Unknown",'[1]2.Diagnostic Analysis'!C581)</f>
        <v>North</v>
      </c>
      <c r="D581" t="s">
        <v>29</v>
      </c>
      <c r="E581" t="s">
        <v>18</v>
      </c>
      <c r="F581">
        <f>IF(ISBLANK('[1]2.Diagnostic Analysis'!D581),'[1]2.Diagnostic Analysis'!$Q$3,'[1]2.Diagnostic Analysis'!D581)</f>
        <v>57</v>
      </c>
      <c r="G581">
        <v>50</v>
      </c>
      <c r="H581">
        <v>3</v>
      </c>
      <c r="I581">
        <v>150</v>
      </c>
      <c r="J581">
        <v>18.440000000000001</v>
      </c>
      <c r="K581" s="2">
        <v>44978</v>
      </c>
      <c r="L581" t="str">
        <f>IF(ISBLANK('[1]2.Diagnostic Analysis'!K581),"Unknown",'[1]2.Diagnostic Analysis'!K581)</f>
        <v>In Transit</v>
      </c>
    </row>
    <row r="582" spans="1:12" x14ac:dyDescent="0.25">
      <c r="A582" t="s">
        <v>275</v>
      </c>
      <c r="B582" t="s">
        <v>13</v>
      </c>
      <c r="C582" t="str">
        <f>IF(ISBLANK('[1]2.Diagnostic Analysis'!C582),"Unknown",'[1]2.Diagnostic Analysis'!C582)</f>
        <v>North</v>
      </c>
      <c r="D582" t="s">
        <v>14</v>
      </c>
      <c r="E582" t="s">
        <v>15</v>
      </c>
      <c r="F582">
        <f>IF(ISBLANK('[1]2.Diagnostic Analysis'!D582),'[1]2.Diagnostic Analysis'!$Q$3,'[1]2.Diagnostic Analysis'!D582)</f>
        <v>34</v>
      </c>
      <c r="G582">
        <v>300</v>
      </c>
      <c r="H582">
        <v>2</v>
      </c>
      <c r="I582">
        <v>600</v>
      </c>
      <c r="J582">
        <v>12.94</v>
      </c>
      <c r="K582" s="2">
        <v>45051</v>
      </c>
      <c r="L582" t="str">
        <f>IF(ISBLANK('[1]2.Diagnostic Analysis'!K582),"Unknown",'[1]2.Diagnostic Analysis'!K582)</f>
        <v>In Transit</v>
      </c>
    </row>
    <row r="583" spans="1:12" x14ac:dyDescent="0.25">
      <c r="A583" t="s">
        <v>168</v>
      </c>
      <c r="B583" t="s">
        <v>20</v>
      </c>
      <c r="C583" t="str">
        <f>IF(ISBLANK('[1]2.Diagnostic Analysis'!C583),"Unknown",'[1]2.Diagnostic Analysis'!C583)</f>
        <v>West</v>
      </c>
      <c r="D583" t="s">
        <v>14</v>
      </c>
      <c r="E583" t="s">
        <v>15</v>
      </c>
      <c r="F583">
        <f>IF(ISBLANK('[1]2.Diagnostic Analysis'!D583),'[1]2.Diagnostic Analysis'!$Q$3,'[1]2.Diagnostic Analysis'!D583)</f>
        <v>42</v>
      </c>
      <c r="G583">
        <v>300</v>
      </c>
      <c r="H583">
        <v>3</v>
      </c>
      <c r="I583">
        <v>900</v>
      </c>
      <c r="J583">
        <v>14.11</v>
      </c>
      <c r="K583" s="2">
        <v>44942</v>
      </c>
      <c r="L583" t="str">
        <f>IF(ISBLANK('[1]2.Diagnostic Analysis'!K583),"Unknown",'[1]2.Diagnostic Analysis'!K583)</f>
        <v>Returned</v>
      </c>
    </row>
    <row r="584" spans="1:12" x14ac:dyDescent="0.25">
      <c r="A584" t="s">
        <v>255</v>
      </c>
      <c r="B584" t="s">
        <v>20</v>
      </c>
      <c r="C584" t="str">
        <f>IF(ISBLANK('[1]2.Diagnostic Analysis'!C584),"Unknown",'[1]2.Diagnostic Analysis'!C584)</f>
        <v>Unknown</v>
      </c>
      <c r="D584" t="s">
        <v>17</v>
      </c>
      <c r="E584" t="s">
        <v>18</v>
      </c>
      <c r="F584">
        <f>IF(ISBLANK('[1]2.Diagnostic Analysis'!D584),'[1]2.Diagnostic Analysis'!$Q$3,'[1]2.Diagnostic Analysis'!D584)</f>
        <v>39</v>
      </c>
      <c r="G584">
        <v>100</v>
      </c>
      <c r="H584">
        <v>1</v>
      </c>
      <c r="I584">
        <v>100</v>
      </c>
      <c r="J584">
        <v>7.09</v>
      </c>
      <c r="K584" s="2">
        <v>45103</v>
      </c>
      <c r="L584" t="str">
        <f>IF(ISBLANK('[1]2.Diagnostic Analysis'!K584),"Unknown",'[1]2.Diagnostic Analysis'!K584)</f>
        <v>Delivered</v>
      </c>
    </row>
    <row r="585" spans="1:12" x14ac:dyDescent="0.25">
      <c r="A585" t="s">
        <v>133</v>
      </c>
      <c r="B585" t="s">
        <v>13</v>
      </c>
      <c r="C585" t="str">
        <f>IF(ISBLANK('[1]2.Diagnostic Analysis'!C585),"Unknown",'[1]2.Diagnostic Analysis'!C585)</f>
        <v>North</v>
      </c>
      <c r="D585" t="s">
        <v>25</v>
      </c>
      <c r="E585" t="s">
        <v>26</v>
      </c>
      <c r="F585">
        <f>IF(ISBLANK('[1]2.Diagnostic Analysis'!D585),'[1]2.Diagnostic Analysis'!$Q$3,'[1]2.Diagnostic Analysis'!D585)</f>
        <v>41</v>
      </c>
      <c r="G585">
        <v>200</v>
      </c>
      <c r="H585">
        <v>1</v>
      </c>
      <c r="I585">
        <v>200</v>
      </c>
      <c r="J585">
        <v>18.84</v>
      </c>
      <c r="K585" s="2">
        <v>45036</v>
      </c>
      <c r="L585" t="str">
        <f>IF(ISBLANK('[1]2.Diagnostic Analysis'!K585),"Unknown",'[1]2.Diagnostic Analysis'!K585)</f>
        <v>In Transit</v>
      </c>
    </row>
    <row r="586" spans="1:12" x14ac:dyDescent="0.25">
      <c r="A586" t="s">
        <v>277</v>
      </c>
      <c r="B586" t="s">
        <v>13</v>
      </c>
      <c r="C586" t="str">
        <f>IF(ISBLANK('[1]2.Diagnostic Analysis'!C586),"Unknown",'[1]2.Diagnostic Analysis'!C586)</f>
        <v>North</v>
      </c>
      <c r="D586" t="s">
        <v>23</v>
      </c>
      <c r="E586" t="s">
        <v>15</v>
      </c>
      <c r="F586">
        <f>IF(ISBLANK('[1]2.Diagnostic Analysis'!D586),'[1]2.Diagnostic Analysis'!$Q$3,'[1]2.Diagnostic Analysis'!D586)</f>
        <v>29</v>
      </c>
      <c r="G586">
        <v>1500</v>
      </c>
      <c r="H586">
        <v>5</v>
      </c>
      <c r="I586">
        <v>7500</v>
      </c>
      <c r="J586">
        <v>13.95</v>
      </c>
      <c r="K586" s="2">
        <v>45229</v>
      </c>
      <c r="L586" t="str">
        <f>IF(ISBLANK('[1]2.Diagnostic Analysis'!K586),"Unknown",'[1]2.Diagnostic Analysis'!K586)</f>
        <v>Delivered</v>
      </c>
    </row>
    <row r="587" spans="1:12" x14ac:dyDescent="0.25">
      <c r="A587" t="s">
        <v>206</v>
      </c>
      <c r="B587" t="s">
        <v>20</v>
      </c>
      <c r="C587" t="str">
        <f>IF(ISBLANK('[1]2.Diagnostic Analysis'!C587),"Unknown",'[1]2.Diagnostic Analysis'!C587)</f>
        <v>North</v>
      </c>
      <c r="D587" t="s">
        <v>17</v>
      </c>
      <c r="E587" t="s">
        <v>18</v>
      </c>
      <c r="F587">
        <f>IF(ISBLANK('[1]2.Diagnostic Analysis'!D587),'[1]2.Diagnostic Analysis'!$Q$3,'[1]2.Diagnostic Analysis'!D587)</f>
        <v>49</v>
      </c>
      <c r="G587">
        <v>100</v>
      </c>
      <c r="H587">
        <v>4</v>
      </c>
      <c r="I587">
        <v>400</v>
      </c>
      <c r="J587">
        <v>11.95</v>
      </c>
      <c r="K587" s="2">
        <v>45173</v>
      </c>
      <c r="L587" t="str">
        <f>IF(ISBLANK('[1]2.Diagnostic Analysis'!K587),"Unknown",'[1]2.Diagnostic Analysis'!K587)</f>
        <v>Delivered</v>
      </c>
    </row>
    <row r="588" spans="1:12" x14ac:dyDescent="0.25">
      <c r="A588" t="s">
        <v>206</v>
      </c>
      <c r="B588" t="s">
        <v>13</v>
      </c>
      <c r="C588" t="str">
        <f>IF(ISBLANK('[1]2.Diagnostic Analysis'!C588),"Unknown",'[1]2.Diagnostic Analysis'!C588)</f>
        <v>North</v>
      </c>
      <c r="D588" t="s">
        <v>30</v>
      </c>
      <c r="E588" t="s">
        <v>18</v>
      </c>
      <c r="F588">
        <f>IF(ISBLANK('[1]2.Diagnostic Analysis'!D588),'[1]2.Diagnostic Analysis'!$Q$3,'[1]2.Diagnostic Analysis'!D588)</f>
        <v>45</v>
      </c>
      <c r="G588">
        <v>30</v>
      </c>
      <c r="H588">
        <v>3</v>
      </c>
      <c r="I588">
        <v>90</v>
      </c>
      <c r="J588">
        <v>10.06</v>
      </c>
      <c r="K588" s="2">
        <v>44975</v>
      </c>
      <c r="L588" t="str">
        <f>IF(ISBLANK('[1]2.Diagnostic Analysis'!K588),"Unknown",'[1]2.Diagnostic Analysis'!K588)</f>
        <v>Delivered</v>
      </c>
    </row>
    <row r="589" spans="1:12" x14ac:dyDescent="0.25">
      <c r="A589" t="s">
        <v>38</v>
      </c>
      <c r="B589" t="s">
        <v>13</v>
      </c>
      <c r="C589" t="str">
        <f>IF(ISBLANK('[1]2.Diagnostic Analysis'!C589),"Unknown",'[1]2.Diagnostic Analysis'!C589)</f>
        <v>North</v>
      </c>
      <c r="D589" t="s">
        <v>30</v>
      </c>
      <c r="E589" t="s">
        <v>18</v>
      </c>
      <c r="F589">
        <f>IF(ISBLANK('[1]2.Diagnostic Analysis'!D589),'[1]2.Diagnostic Analysis'!$Q$3,'[1]2.Diagnostic Analysis'!D589)</f>
        <v>57</v>
      </c>
      <c r="G589">
        <v>30</v>
      </c>
      <c r="H589">
        <v>5</v>
      </c>
      <c r="I589">
        <v>150</v>
      </c>
      <c r="J589">
        <v>19.16</v>
      </c>
      <c r="K589" s="2">
        <v>44933</v>
      </c>
      <c r="L589" t="str">
        <f>IF(ISBLANK('[1]2.Diagnostic Analysis'!K589),"Unknown",'[1]2.Diagnostic Analysis'!K589)</f>
        <v>Returned</v>
      </c>
    </row>
    <row r="590" spans="1:12" x14ac:dyDescent="0.25">
      <c r="A590" t="s">
        <v>278</v>
      </c>
      <c r="B590" t="s">
        <v>13</v>
      </c>
      <c r="C590" t="str">
        <f>IF(ISBLANK('[1]2.Diagnostic Analysis'!C590),"Unknown",'[1]2.Diagnostic Analysis'!C590)</f>
        <v>West</v>
      </c>
      <c r="D590" t="s">
        <v>17</v>
      </c>
      <c r="E590" t="s">
        <v>18</v>
      </c>
      <c r="F590">
        <f>IF(ISBLANK('[1]2.Diagnostic Analysis'!D590),'[1]2.Diagnostic Analysis'!$Q$3,'[1]2.Diagnostic Analysis'!D590)</f>
        <v>50</v>
      </c>
      <c r="G590">
        <v>100</v>
      </c>
      <c r="H590">
        <v>2</v>
      </c>
      <c r="I590">
        <v>200</v>
      </c>
      <c r="J590">
        <v>19.13</v>
      </c>
      <c r="K590" s="2">
        <v>45207</v>
      </c>
      <c r="L590" t="str">
        <f>IF(ISBLANK('[1]2.Diagnostic Analysis'!K590),"Unknown",'[1]2.Diagnostic Analysis'!K590)</f>
        <v>Unknown</v>
      </c>
    </row>
    <row r="591" spans="1:12" x14ac:dyDescent="0.25">
      <c r="A591" t="s">
        <v>173</v>
      </c>
      <c r="B591" t="s">
        <v>13</v>
      </c>
      <c r="C591" t="str">
        <f>IF(ISBLANK('[1]2.Diagnostic Analysis'!C591),"Unknown",'[1]2.Diagnostic Analysis'!C591)</f>
        <v>West</v>
      </c>
      <c r="D591" t="s">
        <v>29</v>
      </c>
      <c r="E591" t="s">
        <v>18</v>
      </c>
      <c r="F591">
        <f>IF(ISBLANK('[1]2.Diagnostic Analysis'!D591),'[1]2.Diagnostic Analysis'!$Q$3,'[1]2.Diagnostic Analysis'!D591)</f>
        <v>60</v>
      </c>
      <c r="G591">
        <v>50</v>
      </c>
      <c r="H591">
        <v>5</v>
      </c>
      <c r="I591">
        <v>250</v>
      </c>
      <c r="J591">
        <v>13</v>
      </c>
      <c r="K591" s="2">
        <v>45279</v>
      </c>
      <c r="L591" t="str">
        <f>IF(ISBLANK('[1]2.Diagnostic Analysis'!K591),"Unknown",'[1]2.Diagnostic Analysis'!K591)</f>
        <v>Returned</v>
      </c>
    </row>
    <row r="592" spans="1:12" x14ac:dyDescent="0.25">
      <c r="A592" t="s">
        <v>279</v>
      </c>
      <c r="B592" t="s">
        <v>20</v>
      </c>
      <c r="C592" t="str">
        <f>IF(ISBLANK('[1]2.Diagnostic Analysis'!C592),"Unknown",'[1]2.Diagnostic Analysis'!C592)</f>
        <v>East</v>
      </c>
      <c r="D592" t="s">
        <v>29</v>
      </c>
      <c r="E592" t="s">
        <v>18</v>
      </c>
      <c r="F592">
        <f>IF(ISBLANK('[1]2.Diagnostic Analysis'!D592),'[1]2.Diagnostic Analysis'!$Q$3,'[1]2.Diagnostic Analysis'!D592)</f>
        <v>38</v>
      </c>
      <c r="G592">
        <v>50</v>
      </c>
      <c r="H592">
        <v>3</v>
      </c>
      <c r="I592">
        <v>150</v>
      </c>
      <c r="J592">
        <v>6.14</v>
      </c>
      <c r="K592" s="2">
        <v>45026</v>
      </c>
      <c r="L592" t="str">
        <f>IF(ISBLANK('[1]2.Diagnostic Analysis'!K592),"Unknown",'[1]2.Diagnostic Analysis'!K592)</f>
        <v>Returned</v>
      </c>
    </row>
    <row r="593" spans="1:12" x14ac:dyDescent="0.25">
      <c r="A593" t="s">
        <v>242</v>
      </c>
      <c r="B593" t="s">
        <v>13</v>
      </c>
      <c r="C593" t="str">
        <f>IF(ISBLANK('[1]2.Diagnostic Analysis'!C593),"Unknown",'[1]2.Diagnostic Analysis'!C593)</f>
        <v>East</v>
      </c>
      <c r="D593" t="s">
        <v>23</v>
      </c>
      <c r="E593" t="s">
        <v>15</v>
      </c>
      <c r="F593">
        <f>IF(ISBLANK('[1]2.Diagnostic Analysis'!D593),'[1]2.Diagnostic Analysis'!$Q$3,'[1]2.Diagnostic Analysis'!D593)</f>
        <v>68</v>
      </c>
      <c r="G593">
        <v>1500</v>
      </c>
      <c r="H593">
        <v>3</v>
      </c>
      <c r="I593">
        <v>4500</v>
      </c>
      <c r="J593">
        <v>11.29</v>
      </c>
      <c r="K593" s="2">
        <v>45078</v>
      </c>
      <c r="L593" t="str">
        <f>IF(ISBLANK('[1]2.Diagnostic Analysis'!K593),"Unknown",'[1]2.Diagnostic Analysis'!K593)</f>
        <v>Returned</v>
      </c>
    </row>
    <row r="594" spans="1:12" x14ac:dyDescent="0.25">
      <c r="A594" t="s">
        <v>280</v>
      </c>
      <c r="B594" t="s">
        <v>13</v>
      </c>
      <c r="C594" t="str">
        <f>IF(ISBLANK('[1]2.Diagnostic Analysis'!C594),"Unknown",'[1]2.Diagnostic Analysis'!C594)</f>
        <v>West</v>
      </c>
      <c r="D594" t="s">
        <v>25</v>
      </c>
      <c r="E594" t="s">
        <v>26</v>
      </c>
      <c r="F594">
        <f>IF(ISBLANK('[1]2.Diagnostic Analysis'!D594),'[1]2.Diagnostic Analysis'!$Q$3,'[1]2.Diagnostic Analysis'!D594)</f>
        <v>26</v>
      </c>
      <c r="G594">
        <v>200</v>
      </c>
      <c r="H594">
        <v>5</v>
      </c>
      <c r="I594">
        <v>1000</v>
      </c>
      <c r="J594">
        <v>14.83</v>
      </c>
      <c r="K594" s="2">
        <v>45110</v>
      </c>
      <c r="L594" t="str">
        <f>IF(ISBLANK('[1]2.Diagnostic Analysis'!K594),"Unknown",'[1]2.Diagnostic Analysis'!K594)</f>
        <v>Delivered</v>
      </c>
    </row>
    <row r="595" spans="1:12" x14ac:dyDescent="0.25">
      <c r="A595" t="s">
        <v>249</v>
      </c>
      <c r="B595" t="s">
        <v>20</v>
      </c>
      <c r="C595" t="str">
        <f>IF(ISBLANK('[1]2.Diagnostic Analysis'!C595),"Unknown",'[1]2.Diagnostic Analysis'!C595)</f>
        <v>North</v>
      </c>
      <c r="D595" t="s">
        <v>14</v>
      </c>
      <c r="E595" t="s">
        <v>15</v>
      </c>
      <c r="F595">
        <f>IF(ISBLANK('[1]2.Diagnostic Analysis'!D595),'[1]2.Diagnostic Analysis'!$Q$3,'[1]2.Diagnostic Analysis'!D595)</f>
        <v>64</v>
      </c>
      <c r="G595">
        <v>300</v>
      </c>
      <c r="H595">
        <v>3</v>
      </c>
      <c r="I595">
        <v>900</v>
      </c>
      <c r="J595">
        <v>15.97</v>
      </c>
      <c r="K595" s="2">
        <v>45214</v>
      </c>
      <c r="L595" t="str">
        <f>IF(ISBLANK('[1]2.Diagnostic Analysis'!K595),"Unknown",'[1]2.Diagnostic Analysis'!K595)</f>
        <v>Delivered</v>
      </c>
    </row>
    <row r="596" spans="1:12" x14ac:dyDescent="0.25">
      <c r="A596" t="s">
        <v>249</v>
      </c>
      <c r="B596" t="s">
        <v>20</v>
      </c>
      <c r="C596" t="str">
        <f>IF(ISBLANK('[1]2.Diagnostic Analysis'!C596),"Unknown",'[1]2.Diagnostic Analysis'!C596)</f>
        <v>East</v>
      </c>
      <c r="D596" t="s">
        <v>17</v>
      </c>
      <c r="E596" t="s">
        <v>18</v>
      </c>
      <c r="F596">
        <f>IF(ISBLANK('[1]2.Diagnostic Analysis'!D596),'[1]2.Diagnostic Analysis'!$Q$3,'[1]2.Diagnostic Analysis'!D596)</f>
        <v>64</v>
      </c>
      <c r="G596">
        <v>100</v>
      </c>
      <c r="H596">
        <v>4</v>
      </c>
      <c r="I596">
        <v>400</v>
      </c>
      <c r="J596">
        <v>12.48</v>
      </c>
      <c r="K596" s="2">
        <v>45087</v>
      </c>
      <c r="L596" t="str">
        <f>IF(ISBLANK('[1]2.Diagnostic Analysis'!K596),"Unknown",'[1]2.Diagnostic Analysis'!K596)</f>
        <v>In Transit</v>
      </c>
    </row>
    <row r="597" spans="1:12" x14ac:dyDescent="0.25">
      <c r="A597" t="s">
        <v>145</v>
      </c>
      <c r="B597" t="s">
        <v>20</v>
      </c>
      <c r="C597" t="str">
        <f>IF(ISBLANK('[1]2.Diagnostic Analysis'!C597),"Unknown",'[1]2.Diagnostic Analysis'!C597)</f>
        <v>East</v>
      </c>
      <c r="D597" t="s">
        <v>14</v>
      </c>
      <c r="E597" t="s">
        <v>15</v>
      </c>
      <c r="F597">
        <f>IF(ISBLANK('[1]2.Diagnostic Analysis'!D597),'[1]2.Diagnostic Analysis'!$Q$3,'[1]2.Diagnostic Analysis'!D597)</f>
        <v>30</v>
      </c>
      <c r="G597">
        <v>300</v>
      </c>
      <c r="H597">
        <v>4</v>
      </c>
      <c r="I597">
        <v>1200</v>
      </c>
      <c r="J597">
        <v>10.86</v>
      </c>
      <c r="K597" s="2">
        <v>45172</v>
      </c>
      <c r="L597" t="str">
        <f>IF(ISBLANK('[1]2.Diagnostic Analysis'!K597),"Unknown",'[1]2.Diagnostic Analysis'!K597)</f>
        <v>Delivered</v>
      </c>
    </row>
    <row r="598" spans="1:12" x14ac:dyDescent="0.25">
      <c r="A598" t="s">
        <v>232</v>
      </c>
      <c r="B598" t="s">
        <v>13</v>
      </c>
      <c r="C598" t="str">
        <f>IF(ISBLANK('[1]2.Diagnostic Analysis'!C598),"Unknown",'[1]2.Diagnostic Analysis'!C598)</f>
        <v>East</v>
      </c>
      <c r="D598" t="s">
        <v>23</v>
      </c>
      <c r="E598" t="s">
        <v>15</v>
      </c>
      <c r="F598">
        <f>IF(ISBLANK('[1]2.Diagnostic Analysis'!D598),'[1]2.Diagnostic Analysis'!$Q$3,'[1]2.Diagnostic Analysis'!D598)</f>
        <v>25</v>
      </c>
      <c r="G598">
        <v>1500</v>
      </c>
      <c r="H598">
        <v>5</v>
      </c>
      <c r="I598">
        <v>7500</v>
      </c>
      <c r="J598">
        <v>16.95</v>
      </c>
      <c r="K598" s="2">
        <v>44989</v>
      </c>
      <c r="L598" t="str">
        <f>IF(ISBLANK('[1]2.Diagnostic Analysis'!K598),"Unknown",'[1]2.Diagnostic Analysis'!K598)</f>
        <v>Delivered</v>
      </c>
    </row>
    <row r="599" spans="1:12" x14ac:dyDescent="0.25">
      <c r="A599" t="s">
        <v>79</v>
      </c>
      <c r="B599" t="s">
        <v>20</v>
      </c>
      <c r="C599" t="str">
        <f>IF(ISBLANK('[1]2.Diagnostic Analysis'!C599),"Unknown",'[1]2.Diagnostic Analysis'!C599)</f>
        <v>East</v>
      </c>
      <c r="D599" t="s">
        <v>17</v>
      </c>
      <c r="E599" t="s">
        <v>18</v>
      </c>
      <c r="F599">
        <f>IF(ISBLANK('[1]2.Diagnostic Analysis'!D599),'[1]2.Diagnostic Analysis'!$Q$3,'[1]2.Diagnostic Analysis'!D599)</f>
        <v>52</v>
      </c>
      <c r="G599">
        <v>100</v>
      </c>
      <c r="H599">
        <v>2</v>
      </c>
      <c r="I599">
        <v>200</v>
      </c>
      <c r="J599">
        <v>18.95</v>
      </c>
      <c r="K599" s="2">
        <v>44950</v>
      </c>
      <c r="L599" t="str">
        <f>IF(ISBLANK('[1]2.Diagnostic Analysis'!K599),"Unknown",'[1]2.Diagnostic Analysis'!K599)</f>
        <v>In Transit</v>
      </c>
    </row>
    <row r="600" spans="1:12" x14ac:dyDescent="0.25">
      <c r="A600" t="s">
        <v>281</v>
      </c>
      <c r="B600" t="s">
        <v>13</v>
      </c>
      <c r="C600" t="str">
        <f>IF(ISBLANK('[1]2.Diagnostic Analysis'!C600),"Unknown",'[1]2.Diagnostic Analysis'!C600)</f>
        <v>North</v>
      </c>
      <c r="D600" t="s">
        <v>30</v>
      </c>
      <c r="E600" t="s">
        <v>18</v>
      </c>
      <c r="F600">
        <f>IF(ISBLANK('[1]2.Diagnostic Analysis'!D600),'[1]2.Diagnostic Analysis'!$Q$3,'[1]2.Diagnostic Analysis'!D600)</f>
        <v>43</v>
      </c>
      <c r="G600">
        <v>30</v>
      </c>
      <c r="H600">
        <v>4</v>
      </c>
      <c r="I600">
        <v>120</v>
      </c>
      <c r="J600">
        <v>10.77</v>
      </c>
      <c r="K600" s="2">
        <v>45193</v>
      </c>
      <c r="L600" t="str">
        <f>IF(ISBLANK('[1]2.Diagnostic Analysis'!K600),"Unknown",'[1]2.Diagnostic Analysis'!K600)</f>
        <v>Unknown</v>
      </c>
    </row>
    <row r="601" spans="1:12" x14ac:dyDescent="0.25">
      <c r="A601" t="s">
        <v>282</v>
      </c>
      <c r="B601" t="s">
        <v>20</v>
      </c>
      <c r="C601" t="str">
        <f>IF(ISBLANK('[1]2.Diagnostic Analysis'!C601),"Unknown",'[1]2.Diagnostic Analysis'!C601)</f>
        <v>South</v>
      </c>
      <c r="D601" t="s">
        <v>17</v>
      </c>
      <c r="E601" t="s">
        <v>18</v>
      </c>
      <c r="F601">
        <f>IF(ISBLANK('[1]2.Diagnostic Analysis'!D601),'[1]2.Diagnostic Analysis'!$Q$3,'[1]2.Diagnostic Analysis'!D601)</f>
        <v>46</v>
      </c>
      <c r="G601">
        <v>100</v>
      </c>
      <c r="H601">
        <v>2</v>
      </c>
      <c r="I601">
        <v>200</v>
      </c>
      <c r="J601">
        <v>19.54</v>
      </c>
      <c r="K601" s="2">
        <v>45097</v>
      </c>
      <c r="L601" t="str">
        <f>IF(ISBLANK('[1]2.Diagnostic Analysis'!K601),"Unknown",'[1]2.Diagnostic Analysis'!K601)</f>
        <v>Returned</v>
      </c>
    </row>
    <row r="602" spans="1:12" x14ac:dyDescent="0.25">
      <c r="A602" t="s">
        <v>254</v>
      </c>
      <c r="B602" t="s">
        <v>13</v>
      </c>
      <c r="C602" t="str">
        <f>IF(ISBLANK('[1]2.Diagnostic Analysis'!C602),"Unknown",'[1]2.Diagnostic Analysis'!C602)</f>
        <v>East</v>
      </c>
      <c r="D602" t="s">
        <v>23</v>
      </c>
      <c r="E602" t="s">
        <v>15</v>
      </c>
      <c r="F602">
        <f>IF(ISBLANK('[1]2.Diagnostic Analysis'!D602),'[1]2.Diagnostic Analysis'!$Q$3,'[1]2.Diagnostic Analysis'!D602)</f>
        <v>69</v>
      </c>
      <c r="G602">
        <v>1500</v>
      </c>
      <c r="H602">
        <v>4</v>
      </c>
      <c r="I602">
        <v>6000</v>
      </c>
      <c r="J602">
        <v>10</v>
      </c>
      <c r="K602" s="2">
        <v>45245</v>
      </c>
      <c r="L602" t="str">
        <f>IF(ISBLANK('[1]2.Diagnostic Analysis'!K602),"Unknown",'[1]2.Diagnostic Analysis'!K602)</f>
        <v>Delivered</v>
      </c>
    </row>
    <row r="603" spans="1:12" x14ac:dyDescent="0.25">
      <c r="A603" t="s">
        <v>173</v>
      </c>
      <c r="B603" t="s">
        <v>20</v>
      </c>
      <c r="C603" t="str">
        <f>IF(ISBLANK('[1]2.Diagnostic Analysis'!C603),"Unknown",'[1]2.Diagnostic Analysis'!C603)</f>
        <v>East</v>
      </c>
      <c r="D603" t="s">
        <v>23</v>
      </c>
      <c r="E603" t="s">
        <v>15</v>
      </c>
      <c r="F603">
        <f>IF(ISBLANK('[1]2.Diagnostic Analysis'!D603),'[1]2.Diagnostic Analysis'!$Q$3,'[1]2.Diagnostic Analysis'!D603)</f>
        <v>49</v>
      </c>
      <c r="G603">
        <v>1500</v>
      </c>
      <c r="H603">
        <v>5</v>
      </c>
      <c r="I603">
        <v>7500</v>
      </c>
      <c r="J603">
        <v>12.35</v>
      </c>
      <c r="K603" s="2">
        <v>45044</v>
      </c>
      <c r="L603" t="str">
        <f>IF(ISBLANK('[1]2.Diagnostic Analysis'!K603),"Unknown",'[1]2.Diagnostic Analysis'!K603)</f>
        <v>In Transit</v>
      </c>
    </row>
    <row r="604" spans="1:12" x14ac:dyDescent="0.25">
      <c r="A604" t="s">
        <v>253</v>
      </c>
      <c r="B604" t="s">
        <v>20</v>
      </c>
      <c r="C604" t="str">
        <f>IF(ISBLANK('[1]2.Diagnostic Analysis'!C604),"Unknown",'[1]2.Diagnostic Analysis'!C604)</f>
        <v>East</v>
      </c>
      <c r="D604" t="s">
        <v>14</v>
      </c>
      <c r="E604" t="s">
        <v>15</v>
      </c>
      <c r="F604">
        <f>IF(ISBLANK('[1]2.Diagnostic Analysis'!D604),'[1]2.Diagnostic Analysis'!$Q$3,'[1]2.Diagnostic Analysis'!D604)</f>
        <v>56</v>
      </c>
      <c r="G604">
        <v>300</v>
      </c>
      <c r="H604">
        <v>3</v>
      </c>
      <c r="I604">
        <v>900</v>
      </c>
      <c r="J604">
        <v>17.34</v>
      </c>
      <c r="K604" s="2">
        <v>45068</v>
      </c>
      <c r="L604" t="str">
        <f>IF(ISBLANK('[1]2.Diagnostic Analysis'!K604),"Unknown",'[1]2.Diagnostic Analysis'!K604)</f>
        <v>Returned</v>
      </c>
    </row>
    <row r="605" spans="1:12" x14ac:dyDescent="0.25">
      <c r="A605" t="s">
        <v>181</v>
      </c>
      <c r="B605" t="s">
        <v>13</v>
      </c>
      <c r="C605" t="str">
        <f>IF(ISBLANK('[1]2.Diagnostic Analysis'!C605),"Unknown",'[1]2.Diagnostic Analysis'!C605)</f>
        <v>West</v>
      </c>
      <c r="D605" t="s">
        <v>29</v>
      </c>
      <c r="E605" t="s">
        <v>18</v>
      </c>
      <c r="F605">
        <f>IF(ISBLANK('[1]2.Diagnostic Analysis'!D605),'[1]2.Diagnostic Analysis'!$Q$3,'[1]2.Diagnostic Analysis'!D605)</f>
        <v>29</v>
      </c>
      <c r="G605">
        <v>50</v>
      </c>
      <c r="H605">
        <v>3</v>
      </c>
      <c r="I605">
        <v>150</v>
      </c>
      <c r="J605">
        <v>12.06</v>
      </c>
      <c r="K605" s="2">
        <v>45018</v>
      </c>
      <c r="L605" t="str">
        <f>IF(ISBLANK('[1]2.Diagnostic Analysis'!K605),"Unknown",'[1]2.Diagnostic Analysis'!K605)</f>
        <v>Returned</v>
      </c>
    </row>
    <row r="606" spans="1:12" x14ac:dyDescent="0.25">
      <c r="A606" t="s">
        <v>208</v>
      </c>
      <c r="B606" t="s">
        <v>20</v>
      </c>
      <c r="C606" t="str">
        <f>IF(ISBLANK('[1]2.Diagnostic Analysis'!C606),"Unknown",'[1]2.Diagnostic Analysis'!C606)</f>
        <v>West</v>
      </c>
      <c r="D606" t="s">
        <v>30</v>
      </c>
      <c r="E606" t="s">
        <v>18</v>
      </c>
      <c r="F606">
        <f>IF(ISBLANK('[1]2.Diagnostic Analysis'!D606),'[1]2.Diagnostic Analysis'!$Q$3,'[1]2.Diagnostic Analysis'!D606)</f>
        <v>49</v>
      </c>
      <c r="G606">
        <v>30</v>
      </c>
      <c r="H606">
        <v>2</v>
      </c>
      <c r="I606">
        <v>60</v>
      </c>
      <c r="J606">
        <v>14.07</v>
      </c>
      <c r="K606" s="2">
        <v>45245</v>
      </c>
      <c r="L606" t="str">
        <f>IF(ISBLANK('[1]2.Diagnostic Analysis'!K606),"Unknown",'[1]2.Diagnostic Analysis'!K606)</f>
        <v>Unknown</v>
      </c>
    </row>
    <row r="607" spans="1:12" x14ac:dyDescent="0.25">
      <c r="A607" t="s">
        <v>185</v>
      </c>
      <c r="B607" t="s">
        <v>13</v>
      </c>
      <c r="C607" t="str">
        <f>IF(ISBLANK('[1]2.Diagnostic Analysis'!C607),"Unknown",'[1]2.Diagnostic Analysis'!C607)</f>
        <v>North</v>
      </c>
      <c r="D607" t="s">
        <v>23</v>
      </c>
      <c r="E607" t="s">
        <v>15</v>
      </c>
      <c r="F607">
        <f>IF(ISBLANK('[1]2.Diagnostic Analysis'!D607),'[1]2.Diagnostic Analysis'!$Q$3,'[1]2.Diagnostic Analysis'!D607)</f>
        <v>49</v>
      </c>
      <c r="G607">
        <v>1500</v>
      </c>
      <c r="H607">
        <v>2</v>
      </c>
      <c r="I607">
        <v>3000</v>
      </c>
      <c r="J607">
        <v>16.82</v>
      </c>
      <c r="K607" s="2">
        <v>45204</v>
      </c>
      <c r="L607" t="str">
        <f>IF(ISBLANK('[1]2.Diagnostic Analysis'!K607),"Unknown",'[1]2.Diagnostic Analysis'!K607)</f>
        <v>Unknown</v>
      </c>
    </row>
    <row r="608" spans="1:12" x14ac:dyDescent="0.25">
      <c r="A608" t="s">
        <v>246</v>
      </c>
      <c r="B608" t="s">
        <v>20</v>
      </c>
      <c r="C608" t="str">
        <f>IF(ISBLANK('[1]2.Diagnostic Analysis'!C608),"Unknown",'[1]2.Diagnostic Analysis'!C608)</f>
        <v>North</v>
      </c>
      <c r="D608" t="s">
        <v>40</v>
      </c>
      <c r="E608" t="s">
        <v>15</v>
      </c>
      <c r="F608">
        <f>IF(ISBLANK('[1]2.Diagnostic Analysis'!D608),'[1]2.Diagnostic Analysis'!$Q$3,'[1]2.Diagnostic Analysis'!D608)</f>
        <v>54</v>
      </c>
      <c r="G608">
        <v>800</v>
      </c>
      <c r="H608">
        <v>5</v>
      </c>
      <c r="I608">
        <v>4000</v>
      </c>
      <c r="J608">
        <v>19.489999999999998</v>
      </c>
      <c r="K608" s="2">
        <v>45160</v>
      </c>
      <c r="L608" t="str">
        <f>IF(ISBLANK('[1]2.Diagnostic Analysis'!K608),"Unknown",'[1]2.Diagnostic Analysis'!K608)</f>
        <v>Returned</v>
      </c>
    </row>
    <row r="609" spans="1:12" x14ac:dyDescent="0.25">
      <c r="A609" t="s">
        <v>48</v>
      </c>
      <c r="B609" t="s">
        <v>13</v>
      </c>
      <c r="C609" t="str">
        <f>IF(ISBLANK('[1]2.Diagnostic Analysis'!C609),"Unknown",'[1]2.Diagnostic Analysis'!C609)</f>
        <v>West</v>
      </c>
      <c r="D609" t="s">
        <v>29</v>
      </c>
      <c r="E609" t="s">
        <v>18</v>
      </c>
      <c r="F609">
        <f>IF(ISBLANK('[1]2.Diagnostic Analysis'!D609),'[1]2.Diagnostic Analysis'!$Q$3,'[1]2.Diagnostic Analysis'!D609)</f>
        <v>59</v>
      </c>
      <c r="G609">
        <v>50</v>
      </c>
      <c r="H609">
        <v>2</v>
      </c>
      <c r="I609">
        <v>100</v>
      </c>
      <c r="J609">
        <v>15.51</v>
      </c>
      <c r="K609" s="2">
        <v>45123</v>
      </c>
      <c r="L609" t="str">
        <f>IF(ISBLANK('[1]2.Diagnostic Analysis'!K609),"Unknown",'[1]2.Diagnostic Analysis'!K609)</f>
        <v>Returned</v>
      </c>
    </row>
    <row r="610" spans="1:12" x14ac:dyDescent="0.25">
      <c r="A610" t="s">
        <v>164</v>
      </c>
      <c r="B610" t="s">
        <v>13</v>
      </c>
      <c r="C610" t="str">
        <f>IF(ISBLANK('[1]2.Diagnostic Analysis'!C610),"Unknown",'[1]2.Diagnostic Analysis'!C610)</f>
        <v>East</v>
      </c>
      <c r="D610" t="s">
        <v>25</v>
      </c>
      <c r="E610" t="s">
        <v>26</v>
      </c>
      <c r="F610">
        <f>IF(ISBLANK('[1]2.Diagnostic Analysis'!D610),'[1]2.Diagnostic Analysis'!$Q$3,'[1]2.Diagnostic Analysis'!D610)</f>
        <v>57</v>
      </c>
      <c r="G610">
        <v>200</v>
      </c>
      <c r="H610">
        <v>5</v>
      </c>
      <c r="I610">
        <v>1000</v>
      </c>
      <c r="J610">
        <v>9.77</v>
      </c>
      <c r="K610" s="2">
        <v>44953</v>
      </c>
      <c r="L610" t="str">
        <f>IF(ISBLANK('[1]2.Diagnostic Analysis'!K610),"Unknown",'[1]2.Diagnostic Analysis'!K610)</f>
        <v>Returned</v>
      </c>
    </row>
    <row r="611" spans="1:12" x14ac:dyDescent="0.25">
      <c r="A611" t="s">
        <v>145</v>
      </c>
      <c r="B611" t="s">
        <v>13</v>
      </c>
      <c r="C611" t="str">
        <f>IF(ISBLANK('[1]2.Diagnostic Analysis'!C611),"Unknown",'[1]2.Diagnostic Analysis'!C611)</f>
        <v>West</v>
      </c>
      <c r="D611" t="s">
        <v>17</v>
      </c>
      <c r="E611" t="s">
        <v>18</v>
      </c>
      <c r="F611">
        <f>IF(ISBLANK('[1]2.Diagnostic Analysis'!D611),'[1]2.Diagnostic Analysis'!$Q$3,'[1]2.Diagnostic Analysis'!D611)</f>
        <v>30</v>
      </c>
      <c r="G611">
        <v>100</v>
      </c>
      <c r="H611">
        <v>1</v>
      </c>
      <c r="I611">
        <v>100</v>
      </c>
      <c r="J611">
        <v>15.64</v>
      </c>
      <c r="K611" s="2">
        <v>45175</v>
      </c>
      <c r="L611" t="str">
        <f>IF(ISBLANK('[1]2.Diagnostic Analysis'!K611),"Unknown",'[1]2.Diagnostic Analysis'!K611)</f>
        <v>Delivered</v>
      </c>
    </row>
    <row r="612" spans="1:12" x14ac:dyDescent="0.25">
      <c r="A612" t="s">
        <v>148</v>
      </c>
      <c r="B612" t="s">
        <v>13</v>
      </c>
      <c r="C612" t="str">
        <f>IF(ISBLANK('[1]2.Diagnostic Analysis'!C612),"Unknown",'[1]2.Diagnostic Analysis'!C612)</f>
        <v>East</v>
      </c>
      <c r="D612" t="s">
        <v>40</v>
      </c>
      <c r="E612" t="s">
        <v>15</v>
      </c>
      <c r="F612">
        <f>IF(ISBLANK('[1]2.Diagnostic Analysis'!D612),'[1]2.Diagnostic Analysis'!$Q$3,'[1]2.Diagnostic Analysis'!D612)</f>
        <v>56</v>
      </c>
      <c r="G612">
        <v>800</v>
      </c>
      <c r="H612">
        <v>5</v>
      </c>
      <c r="I612">
        <v>4000</v>
      </c>
      <c r="J612">
        <v>12.22</v>
      </c>
      <c r="K612" s="2">
        <v>45052</v>
      </c>
      <c r="L612" t="str">
        <f>IF(ISBLANK('[1]2.Diagnostic Analysis'!K612),"Unknown",'[1]2.Diagnostic Analysis'!K612)</f>
        <v>Delivered</v>
      </c>
    </row>
    <row r="613" spans="1:12" x14ac:dyDescent="0.25">
      <c r="A613" t="s">
        <v>283</v>
      </c>
      <c r="B613" t="s">
        <v>13</v>
      </c>
      <c r="C613" t="str">
        <f>IF(ISBLANK('[1]2.Diagnostic Analysis'!C613),"Unknown",'[1]2.Diagnostic Analysis'!C613)</f>
        <v>East</v>
      </c>
      <c r="D613" t="s">
        <v>17</v>
      </c>
      <c r="E613" t="s">
        <v>18</v>
      </c>
      <c r="F613">
        <f>IF(ISBLANK('[1]2.Diagnostic Analysis'!D613),'[1]2.Diagnostic Analysis'!$Q$3,'[1]2.Diagnostic Analysis'!D613)</f>
        <v>21</v>
      </c>
      <c r="G613">
        <v>100</v>
      </c>
      <c r="H613">
        <v>5</v>
      </c>
      <c r="I613">
        <v>500</v>
      </c>
      <c r="J613">
        <v>13.7</v>
      </c>
      <c r="K613" s="2">
        <v>44940</v>
      </c>
      <c r="L613" t="str">
        <f>IF(ISBLANK('[1]2.Diagnostic Analysis'!K613),"Unknown",'[1]2.Diagnostic Analysis'!K613)</f>
        <v>In Transit</v>
      </c>
    </row>
    <row r="614" spans="1:12" x14ac:dyDescent="0.25">
      <c r="A614" t="s">
        <v>172</v>
      </c>
      <c r="B614" t="s">
        <v>20</v>
      </c>
      <c r="C614" t="str">
        <f>IF(ISBLANK('[1]2.Diagnostic Analysis'!C614),"Unknown",'[1]2.Diagnostic Analysis'!C614)</f>
        <v>Unknown</v>
      </c>
      <c r="D614" t="s">
        <v>23</v>
      </c>
      <c r="E614" t="s">
        <v>15</v>
      </c>
      <c r="F614">
        <f>IF(ISBLANK('[1]2.Diagnostic Analysis'!D614),'[1]2.Diagnostic Analysis'!$Q$3,'[1]2.Diagnostic Analysis'!D614)</f>
        <v>57</v>
      </c>
      <c r="G614">
        <v>1500</v>
      </c>
      <c r="H614">
        <v>4</v>
      </c>
      <c r="I614">
        <v>6000</v>
      </c>
      <c r="J614">
        <v>12.77</v>
      </c>
      <c r="K614" s="2">
        <v>45044</v>
      </c>
      <c r="L614" t="str">
        <f>IF(ISBLANK('[1]2.Diagnostic Analysis'!K614),"Unknown",'[1]2.Diagnostic Analysis'!K614)</f>
        <v>Delivered</v>
      </c>
    </row>
    <row r="615" spans="1:12" x14ac:dyDescent="0.25">
      <c r="A615" t="s">
        <v>284</v>
      </c>
      <c r="B615" t="s">
        <v>20</v>
      </c>
      <c r="C615" t="str">
        <f>IF(ISBLANK('[1]2.Diagnostic Analysis'!C615),"Unknown",'[1]2.Diagnostic Analysis'!C615)</f>
        <v>North</v>
      </c>
      <c r="D615" t="s">
        <v>14</v>
      </c>
      <c r="E615" t="s">
        <v>15</v>
      </c>
      <c r="F615">
        <f>IF(ISBLANK('[1]2.Diagnostic Analysis'!D615),'[1]2.Diagnostic Analysis'!$Q$3,'[1]2.Diagnostic Analysis'!D615)</f>
        <v>45</v>
      </c>
      <c r="G615">
        <v>300</v>
      </c>
      <c r="H615">
        <v>4</v>
      </c>
      <c r="I615">
        <v>1200</v>
      </c>
      <c r="J615">
        <v>14.76</v>
      </c>
      <c r="K615" s="2">
        <v>44928</v>
      </c>
      <c r="L615" t="str">
        <f>IF(ISBLANK('[1]2.Diagnostic Analysis'!K615),"Unknown",'[1]2.Diagnostic Analysis'!K615)</f>
        <v>Delivered</v>
      </c>
    </row>
    <row r="616" spans="1:12" x14ac:dyDescent="0.25">
      <c r="A616" t="s">
        <v>89</v>
      </c>
      <c r="B616" t="s">
        <v>13</v>
      </c>
      <c r="C616" t="str">
        <f>IF(ISBLANK('[1]2.Diagnostic Analysis'!C616),"Unknown",'[1]2.Diagnostic Analysis'!C616)</f>
        <v>North</v>
      </c>
      <c r="D616" t="s">
        <v>30</v>
      </c>
      <c r="E616" t="s">
        <v>18</v>
      </c>
      <c r="F616">
        <f>IF(ISBLANK('[1]2.Diagnostic Analysis'!D616),'[1]2.Diagnostic Analysis'!$Q$3,'[1]2.Diagnostic Analysis'!D616)</f>
        <v>49</v>
      </c>
      <c r="G616">
        <v>30</v>
      </c>
      <c r="H616">
        <v>3</v>
      </c>
      <c r="I616">
        <v>90</v>
      </c>
      <c r="J616">
        <v>11.71</v>
      </c>
      <c r="K616" s="2">
        <v>45239</v>
      </c>
      <c r="L616" t="str">
        <f>IF(ISBLANK('[1]2.Diagnostic Analysis'!K616),"Unknown",'[1]2.Diagnostic Analysis'!K616)</f>
        <v>Delivered</v>
      </c>
    </row>
    <row r="617" spans="1:12" x14ac:dyDescent="0.25">
      <c r="A617" t="s">
        <v>285</v>
      </c>
      <c r="B617" t="s">
        <v>20</v>
      </c>
      <c r="C617" t="str">
        <f>IF(ISBLANK('[1]2.Diagnostic Analysis'!C617),"Unknown",'[1]2.Diagnostic Analysis'!C617)</f>
        <v>East</v>
      </c>
      <c r="D617" t="s">
        <v>40</v>
      </c>
      <c r="E617" t="s">
        <v>15</v>
      </c>
      <c r="F617">
        <f>IF(ISBLANK('[1]2.Diagnostic Analysis'!D617),'[1]2.Diagnostic Analysis'!$Q$3,'[1]2.Diagnostic Analysis'!D617)</f>
        <v>44</v>
      </c>
      <c r="G617">
        <v>800</v>
      </c>
      <c r="H617">
        <v>5</v>
      </c>
      <c r="I617">
        <v>4000</v>
      </c>
      <c r="J617">
        <v>17.36</v>
      </c>
      <c r="K617" s="2">
        <v>45110</v>
      </c>
      <c r="L617" t="str">
        <f>IF(ISBLANK('[1]2.Diagnostic Analysis'!K617),"Unknown",'[1]2.Diagnostic Analysis'!K617)</f>
        <v>Returned</v>
      </c>
    </row>
    <row r="618" spans="1:12" x14ac:dyDescent="0.25">
      <c r="A618" t="s">
        <v>272</v>
      </c>
      <c r="B618" t="s">
        <v>13</v>
      </c>
      <c r="C618" t="str">
        <f>IF(ISBLANK('[1]2.Diagnostic Analysis'!C618),"Unknown",'[1]2.Diagnostic Analysis'!C618)</f>
        <v>North</v>
      </c>
      <c r="D618" t="s">
        <v>17</v>
      </c>
      <c r="E618" t="s">
        <v>18</v>
      </c>
      <c r="F618">
        <f>IF(ISBLANK('[1]2.Diagnostic Analysis'!D618),'[1]2.Diagnostic Analysis'!$Q$3,'[1]2.Diagnostic Analysis'!D618)</f>
        <v>51</v>
      </c>
      <c r="G618">
        <v>100</v>
      </c>
      <c r="H618">
        <v>4</v>
      </c>
      <c r="I618">
        <v>400</v>
      </c>
      <c r="J618">
        <v>10.89</v>
      </c>
      <c r="K618" s="2">
        <v>44940</v>
      </c>
      <c r="L618" t="str">
        <f>IF(ISBLANK('[1]2.Diagnostic Analysis'!K618),"Unknown",'[1]2.Diagnostic Analysis'!K618)</f>
        <v>Delivered</v>
      </c>
    </row>
    <row r="619" spans="1:12" x14ac:dyDescent="0.25">
      <c r="A619" t="s">
        <v>145</v>
      </c>
      <c r="B619" t="s">
        <v>13</v>
      </c>
      <c r="C619" t="str">
        <f>IF(ISBLANK('[1]2.Diagnostic Analysis'!C619),"Unknown",'[1]2.Diagnostic Analysis'!C619)</f>
        <v>Unknown</v>
      </c>
      <c r="D619" t="s">
        <v>40</v>
      </c>
      <c r="E619" t="s">
        <v>15</v>
      </c>
      <c r="F619">
        <f>IF(ISBLANK('[1]2.Diagnostic Analysis'!D619),'[1]2.Diagnostic Analysis'!$Q$3,'[1]2.Diagnostic Analysis'!D619)</f>
        <v>30</v>
      </c>
      <c r="G619">
        <v>800</v>
      </c>
      <c r="H619">
        <v>1</v>
      </c>
      <c r="I619">
        <v>800</v>
      </c>
      <c r="J619">
        <v>14.23</v>
      </c>
      <c r="K619" s="2">
        <v>44980</v>
      </c>
      <c r="L619" t="str">
        <f>IF(ISBLANK('[1]2.Diagnostic Analysis'!K619),"Unknown",'[1]2.Diagnostic Analysis'!K619)</f>
        <v>In Transit</v>
      </c>
    </row>
    <row r="620" spans="1:12" x14ac:dyDescent="0.25">
      <c r="A620" t="s">
        <v>34</v>
      </c>
      <c r="B620" t="s">
        <v>13</v>
      </c>
      <c r="C620" t="str">
        <f>IF(ISBLANK('[1]2.Diagnostic Analysis'!C620),"Unknown",'[1]2.Diagnostic Analysis'!C620)</f>
        <v>North</v>
      </c>
      <c r="D620" t="s">
        <v>14</v>
      </c>
      <c r="E620" t="s">
        <v>15</v>
      </c>
      <c r="F620">
        <f>IF(ISBLANK('[1]2.Diagnostic Analysis'!D620),'[1]2.Diagnostic Analysis'!$Q$3,'[1]2.Diagnostic Analysis'!D620)</f>
        <v>41</v>
      </c>
      <c r="G620">
        <v>300</v>
      </c>
      <c r="H620">
        <v>1</v>
      </c>
      <c r="I620">
        <v>300</v>
      </c>
      <c r="J620">
        <v>9.5</v>
      </c>
      <c r="K620" s="2">
        <v>45088</v>
      </c>
      <c r="L620" t="str">
        <f>IF(ISBLANK('[1]2.Diagnostic Analysis'!K620),"Unknown",'[1]2.Diagnostic Analysis'!K620)</f>
        <v>Delivered</v>
      </c>
    </row>
    <row r="621" spans="1:12" x14ac:dyDescent="0.25">
      <c r="A621" t="s">
        <v>286</v>
      </c>
      <c r="B621" t="s">
        <v>20</v>
      </c>
      <c r="C621" t="str">
        <f>IF(ISBLANK('[1]2.Diagnostic Analysis'!C621),"Unknown",'[1]2.Diagnostic Analysis'!C621)</f>
        <v>West</v>
      </c>
      <c r="D621" t="s">
        <v>14</v>
      </c>
      <c r="E621" t="s">
        <v>15</v>
      </c>
      <c r="F621">
        <f>IF(ISBLANK('[1]2.Diagnostic Analysis'!D621),'[1]2.Diagnostic Analysis'!$Q$3,'[1]2.Diagnostic Analysis'!D621)</f>
        <v>19</v>
      </c>
      <c r="G621">
        <v>300</v>
      </c>
      <c r="H621">
        <v>3</v>
      </c>
      <c r="I621">
        <v>900</v>
      </c>
      <c r="J621">
        <v>13.79</v>
      </c>
      <c r="K621" s="2">
        <v>45062</v>
      </c>
      <c r="L621" t="str">
        <f>IF(ISBLANK('[1]2.Diagnostic Analysis'!K621),"Unknown",'[1]2.Diagnostic Analysis'!K621)</f>
        <v>In Transit</v>
      </c>
    </row>
    <row r="622" spans="1:12" x14ac:dyDescent="0.25">
      <c r="A622" t="s">
        <v>54</v>
      </c>
      <c r="B622" t="s">
        <v>13</v>
      </c>
      <c r="C622" t="str">
        <f>IF(ISBLANK('[1]2.Diagnostic Analysis'!C622),"Unknown",'[1]2.Diagnostic Analysis'!C622)</f>
        <v>South</v>
      </c>
      <c r="D622" t="s">
        <v>40</v>
      </c>
      <c r="E622" t="s">
        <v>15</v>
      </c>
      <c r="F622">
        <f>IF(ISBLANK('[1]2.Diagnostic Analysis'!D622),'[1]2.Diagnostic Analysis'!$Q$3,'[1]2.Diagnostic Analysis'!D622)</f>
        <v>53</v>
      </c>
      <c r="G622">
        <v>800</v>
      </c>
      <c r="H622">
        <v>1</v>
      </c>
      <c r="I622">
        <v>800</v>
      </c>
      <c r="J622">
        <v>5.36</v>
      </c>
      <c r="K622" s="2">
        <v>45001</v>
      </c>
      <c r="L622" t="str">
        <f>IF(ISBLANK('[1]2.Diagnostic Analysis'!K622),"Unknown",'[1]2.Diagnostic Analysis'!K622)</f>
        <v>Returned</v>
      </c>
    </row>
    <row r="623" spans="1:12" x14ac:dyDescent="0.25">
      <c r="A623" t="s">
        <v>62</v>
      </c>
      <c r="B623" t="s">
        <v>13</v>
      </c>
      <c r="C623" t="str">
        <f>IF(ISBLANK('[1]2.Diagnostic Analysis'!C623),"Unknown",'[1]2.Diagnostic Analysis'!C623)</f>
        <v>West</v>
      </c>
      <c r="D623" t="s">
        <v>40</v>
      </c>
      <c r="E623" t="s">
        <v>15</v>
      </c>
      <c r="F623">
        <f>IF(ISBLANK('[1]2.Diagnostic Analysis'!D623),'[1]2.Diagnostic Analysis'!$Q$3,'[1]2.Diagnostic Analysis'!D623)</f>
        <v>58</v>
      </c>
      <c r="G623">
        <v>800</v>
      </c>
      <c r="H623">
        <v>5</v>
      </c>
      <c r="I623">
        <v>4000</v>
      </c>
      <c r="J623">
        <v>19.93</v>
      </c>
      <c r="K623" s="2">
        <v>44929</v>
      </c>
      <c r="L623" t="str">
        <f>IF(ISBLANK('[1]2.Diagnostic Analysis'!K623),"Unknown",'[1]2.Diagnostic Analysis'!K623)</f>
        <v>In Transit</v>
      </c>
    </row>
    <row r="624" spans="1:12" x14ac:dyDescent="0.25">
      <c r="A624" t="s">
        <v>240</v>
      </c>
      <c r="B624" t="s">
        <v>20</v>
      </c>
      <c r="C624" t="str">
        <f>IF(ISBLANK('[1]2.Diagnostic Analysis'!C624),"Unknown",'[1]2.Diagnostic Analysis'!C624)</f>
        <v>Unknown</v>
      </c>
      <c r="D624" t="s">
        <v>29</v>
      </c>
      <c r="E624" t="s">
        <v>18</v>
      </c>
      <c r="F624">
        <f>IF(ISBLANK('[1]2.Diagnostic Analysis'!D624),'[1]2.Diagnostic Analysis'!$Q$3,'[1]2.Diagnostic Analysis'!D624)</f>
        <v>27</v>
      </c>
      <c r="G624">
        <v>50</v>
      </c>
      <c r="H624">
        <v>2</v>
      </c>
      <c r="I624">
        <v>100</v>
      </c>
      <c r="J624">
        <v>19.920000000000002</v>
      </c>
      <c r="K624" s="2">
        <v>45079</v>
      </c>
      <c r="L624" t="str">
        <f>IF(ISBLANK('[1]2.Diagnostic Analysis'!K624),"Unknown",'[1]2.Diagnostic Analysis'!K624)</f>
        <v>Delivered</v>
      </c>
    </row>
    <row r="625" spans="1:12" x14ac:dyDescent="0.25">
      <c r="A625" t="s">
        <v>221</v>
      </c>
      <c r="B625" t="s">
        <v>13</v>
      </c>
      <c r="C625" t="str">
        <f>IF(ISBLANK('[1]2.Diagnostic Analysis'!C625),"Unknown",'[1]2.Diagnostic Analysis'!C625)</f>
        <v>South</v>
      </c>
      <c r="D625" t="s">
        <v>25</v>
      </c>
      <c r="E625" t="s">
        <v>26</v>
      </c>
      <c r="F625">
        <f>IF(ISBLANK('[1]2.Diagnostic Analysis'!D625),'[1]2.Diagnostic Analysis'!$Q$3,'[1]2.Diagnostic Analysis'!D625)</f>
        <v>37</v>
      </c>
      <c r="G625">
        <v>200</v>
      </c>
      <c r="H625">
        <v>2</v>
      </c>
      <c r="I625">
        <v>400</v>
      </c>
      <c r="J625">
        <v>14.16</v>
      </c>
      <c r="K625" s="2">
        <v>45083</v>
      </c>
      <c r="L625" t="str">
        <f>IF(ISBLANK('[1]2.Diagnostic Analysis'!K625),"Unknown",'[1]2.Diagnostic Analysis'!K625)</f>
        <v>Delivered</v>
      </c>
    </row>
    <row r="626" spans="1:12" x14ac:dyDescent="0.25">
      <c r="A626" t="s">
        <v>41</v>
      </c>
      <c r="B626" t="s">
        <v>20</v>
      </c>
      <c r="C626" t="str">
        <f>IF(ISBLANK('[1]2.Diagnostic Analysis'!C626),"Unknown",'[1]2.Diagnostic Analysis'!C626)</f>
        <v>East</v>
      </c>
      <c r="D626" t="s">
        <v>23</v>
      </c>
      <c r="E626" t="s">
        <v>15</v>
      </c>
      <c r="F626">
        <f>IF(ISBLANK('[1]2.Diagnostic Analysis'!D626),'[1]2.Diagnostic Analysis'!$Q$3,'[1]2.Diagnostic Analysis'!D626)</f>
        <v>32</v>
      </c>
      <c r="G626">
        <v>1500</v>
      </c>
      <c r="H626">
        <v>5</v>
      </c>
      <c r="I626">
        <v>7500</v>
      </c>
      <c r="J626">
        <v>7.52</v>
      </c>
      <c r="K626" s="2">
        <v>45227</v>
      </c>
      <c r="L626" t="str">
        <f>IF(ISBLANK('[1]2.Diagnostic Analysis'!K626),"Unknown",'[1]2.Diagnostic Analysis'!K626)</f>
        <v>Returned</v>
      </c>
    </row>
    <row r="627" spans="1:12" x14ac:dyDescent="0.25">
      <c r="A627" t="s">
        <v>271</v>
      </c>
      <c r="B627" t="s">
        <v>13</v>
      </c>
      <c r="C627" t="str">
        <f>IF(ISBLANK('[1]2.Diagnostic Analysis'!C627),"Unknown",'[1]2.Diagnostic Analysis'!C627)</f>
        <v>West</v>
      </c>
      <c r="D627" t="s">
        <v>14</v>
      </c>
      <c r="E627" t="s">
        <v>15</v>
      </c>
      <c r="F627">
        <f>IF(ISBLANK('[1]2.Diagnostic Analysis'!D627),'[1]2.Diagnostic Analysis'!$Q$3,'[1]2.Diagnostic Analysis'!D627)</f>
        <v>65</v>
      </c>
      <c r="G627">
        <v>300</v>
      </c>
      <c r="H627">
        <v>4</v>
      </c>
      <c r="I627">
        <v>1200</v>
      </c>
      <c r="J627">
        <v>10.09</v>
      </c>
      <c r="K627" s="2">
        <v>44957</v>
      </c>
      <c r="L627" t="str">
        <f>IF(ISBLANK('[1]2.Diagnostic Analysis'!K627),"Unknown",'[1]2.Diagnostic Analysis'!K627)</f>
        <v>Returned</v>
      </c>
    </row>
    <row r="628" spans="1:12" x14ac:dyDescent="0.25">
      <c r="A628" t="s">
        <v>135</v>
      </c>
      <c r="B628" t="s">
        <v>13</v>
      </c>
      <c r="C628" t="str">
        <f>IF(ISBLANK('[1]2.Diagnostic Analysis'!C628),"Unknown",'[1]2.Diagnostic Analysis'!C628)</f>
        <v>North</v>
      </c>
      <c r="D628" t="s">
        <v>23</v>
      </c>
      <c r="E628" t="s">
        <v>15</v>
      </c>
      <c r="F628">
        <f>IF(ISBLANK('[1]2.Diagnostic Analysis'!D628),'[1]2.Diagnostic Analysis'!$Q$3,'[1]2.Diagnostic Analysis'!D628)</f>
        <v>54</v>
      </c>
      <c r="G628">
        <v>1500</v>
      </c>
      <c r="H628">
        <v>4</v>
      </c>
      <c r="I628">
        <v>6000</v>
      </c>
      <c r="J628">
        <v>6.73</v>
      </c>
      <c r="K628" s="2">
        <v>45044</v>
      </c>
      <c r="L628" t="str">
        <f>IF(ISBLANK('[1]2.Diagnostic Analysis'!K628),"Unknown",'[1]2.Diagnostic Analysis'!K628)</f>
        <v>In Transit</v>
      </c>
    </row>
    <row r="629" spans="1:12" x14ac:dyDescent="0.25">
      <c r="A629" t="s">
        <v>287</v>
      </c>
      <c r="B629" t="s">
        <v>20</v>
      </c>
      <c r="C629" t="str">
        <f>IF(ISBLANK('[1]2.Diagnostic Analysis'!C629),"Unknown",'[1]2.Diagnostic Analysis'!C629)</f>
        <v>West</v>
      </c>
      <c r="D629" t="s">
        <v>30</v>
      </c>
      <c r="E629" t="s">
        <v>18</v>
      </c>
      <c r="F629">
        <f>IF(ISBLANK('[1]2.Diagnostic Analysis'!D629),'[1]2.Diagnostic Analysis'!$Q$3,'[1]2.Diagnostic Analysis'!D629)</f>
        <v>20</v>
      </c>
      <c r="G629">
        <v>30</v>
      </c>
      <c r="H629">
        <v>4</v>
      </c>
      <c r="I629">
        <v>120</v>
      </c>
      <c r="J629">
        <v>5.19</v>
      </c>
      <c r="K629" s="2">
        <v>45129</v>
      </c>
      <c r="L629" t="str">
        <f>IF(ISBLANK('[1]2.Diagnostic Analysis'!K629),"Unknown",'[1]2.Diagnostic Analysis'!K629)</f>
        <v>Returned</v>
      </c>
    </row>
    <row r="630" spans="1:12" x14ac:dyDescent="0.25">
      <c r="A630" t="s">
        <v>200</v>
      </c>
      <c r="B630" t="s">
        <v>13</v>
      </c>
      <c r="C630" t="str">
        <f>IF(ISBLANK('[1]2.Diagnostic Analysis'!C630),"Unknown",'[1]2.Diagnostic Analysis'!C630)</f>
        <v>Unknown</v>
      </c>
      <c r="D630" t="s">
        <v>29</v>
      </c>
      <c r="E630" t="s">
        <v>18</v>
      </c>
      <c r="F630">
        <f>IF(ISBLANK('[1]2.Diagnostic Analysis'!D630),'[1]2.Diagnostic Analysis'!$Q$3,'[1]2.Diagnostic Analysis'!D630)</f>
        <v>44</v>
      </c>
      <c r="G630">
        <v>50</v>
      </c>
      <c r="H630">
        <v>1</v>
      </c>
      <c r="I630">
        <v>50</v>
      </c>
      <c r="J630">
        <v>12.3</v>
      </c>
      <c r="K630" s="2">
        <v>45089</v>
      </c>
      <c r="L630" t="str">
        <f>IF(ISBLANK('[1]2.Diagnostic Analysis'!K630),"Unknown",'[1]2.Diagnostic Analysis'!K630)</f>
        <v>Delivered</v>
      </c>
    </row>
    <row r="631" spans="1:12" x14ac:dyDescent="0.25">
      <c r="A631" t="s">
        <v>211</v>
      </c>
      <c r="B631" t="s">
        <v>13</v>
      </c>
      <c r="C631" t="str">
        <f>IF(ISBLANK('[1]2.Diagnostic Analysis'!C631),"Unknown",'[1]2.Diagnostic Analysis'!C631)</f>
        <v>South</v>
      </c>
      <c r="D631" t="s">
        <v>23</v>
      </c>
      <c r="E631" t="s">
        <v>15</v>
      </c>
      <c r="F631">
        <f>IF(ISBLANK('[1]2.Diagnostic Analysis'!D631),'[1]2.Diagnostic Analysis'!$Q$3,'[1]2.Diagnostic Analysis'!D631)</f>
        <v>66</v>
      </c>
      <c r="G631">
        <v>1500</v>
      </c>
      <c r="H631">
        <v>4</v>
      </c>
      <c r="I631">
        <v>6000</v>
      </c>
      <c r="J631">
        <v>13.08</v>
      </c>
      <c r="K631" s="2">
        <v>45005</v>
      </c>
      <c r="L631" t="str">
        <f>IF(ISBLANK('[1]2.Diagnostic Analysis'!K631),"Unknown",'[1]2.Diagnostic Analysis'!K631)</f>
        <v>In Transit</v>
      </c>
    </row>
    <row r="632" spans="1:12" x14ac:dyDescent="0.25">
      <c r="A632" t="s">
        <v>210</v>
      </c>
      <c r="B632" t="s">
        <v>20</v>
      </c>
      <c r="C632" t="str">
        <f>IF(ISBLANK('[1]2.Diagnostic Analysis'!C632),"Unknown",'[1]2.Diagnostic Analysis'!C632)</f>
        <v>Unknown</v>
      </c>
      <c r="D632" t="s">
        <v>23</v>
      </c>
      <c r="E632" t="s">
        <v>15</v>
      </c>
      <c r="F632">
        <f>IF(ISBLANK('[1]2.Diagnostic Analysis'!D632),'[1]2.Diagnostic Analysis'!$Q$3,'[1]2.Diagnostic Analysis'!D632)</f>
        <v>54</v>
      </c>
      <c r="G632">
        <v>1500</v>
      </c>
      <c r="H632">
        <v>4</v>
      </c>
      <c r="I632">
        <v>6000</v>
      </c>
      <c r="J632">
        <v>12</v>
      </c>
      <c r="K632" s="2">
        <v>45030</v>
      </c>
      <c r="L632" t="str">
        <f>IF(ISBLANK('[1]2.Diagnostic Analysis'!K632),"Unknown",'[1]2.Diagnostic Analysis'!K632)</f>
        <v>Returned</v>
      </c>
    </row>
    <row r="633" spans="1:12" x14ac:dyDescent="0.25">
      <c r="A633" t="s">
        <v>146</v>
      </c>
      <c r="B633" t="s">
        <v>13</v>
      </c>
      <c r="C633" t="str">
        <f>IF(ISBLANK('[1]2.Diagnostic Analysis'!C633),"Unknown",'[1]2.Diagnostic Analysis'!C633)</f>
        <v>North</v>
      </c>
      <c r="D633" t="s">
        <v>30</v>
      </c>
      <c r="E633" t="s">
        <v>18</v>
      </c>
      <c r="F633">
        <f>IF(ISBLANK('[1]2.Diagnostic Analysis'!D633),'[1]2.Diagnostic Analysis'!$Q$3,'[1]2.Diagnostic Analysis'!D633)</f>
        <v>68</v>
      </c>
      <c r="G633">
        <v>30</v>
      </c>
      <c r="H633">
        <v>2</v>
      </c>
      <c r="I633">
        <v>60</v>
      </c>
      <c r="J633">
        <v>9.2799999999999994</v>
      </c>
      <c r="K633" s="2">
        <v>45050</v>
      </c>
      <c r="L633" t="str">
        <f>IF(ISBLANK('[1]2.Diagnostic Analysis'!K633),"Unknown",'[1]2.Diagnostic Analysis'!K633)</f>
        <v>Delivered</v>
      </c>
    </row>
    <row r="634" spans="1:12" x14ac:dyDescent="0.25">
      <c r="A634" t="s">
        <v>100</v>
      </c>
      <c r="B634" t="s">
        <v>20</v>
      </c>
      <c r="C634" t="str">
        <f>IF(ISBLANK('[1]2.Diagnostic Analysis'!C634),"Unknown",'[1]2.Diagnostic Analysis'!C634)</f>
        <v>South</v>
      </c>
      <c r="D634" t="s">
        <v>29</v>
      </c>
      <c r="E634" t="s">
        <v>18</v>
      </c>
      <c r="F634">
        <f>IF(ISBLANK('[1]2.Diagnostic Analysis'!D634),'[1]2.Diagnostic Analysis'!$Q$3,'[1]2.Diagnostic Analysis'!D634)</f>
        <v>48</v>
      </c>
      <c r="G634">
        <v>50</v>
      </c>
      <c r="H634">
        <v>5</v>
      </c>
      <c r="I634">
        <v>250</v>
      </c>
      <c r="J634">
        <v>14.34</v>
      </c>
      <c r="K634" s="2">
        <v>45197</v>
      </c>
      <c r="L634" t="str">
        <f>IF(ISBLANK('[1]2.Diagnostic Analysis'!K634),"Unknown",'[1]2.Diagnostic Analysis'!K634)</f>
        <v>Delivered</v>
      </c>
    </row>
    <row r="635" spans="1:12" x14ac:dyDescent="0.25">
      <c r="A635" t="s">
        <v>239</v>
      </c>
      <c r="B635" t="s">
        <v>13</v>
      </c>
      <c r="C635" t="str">
        <f>IF(ISBLANK('[1]2.Diagnostic Analysis'!C635),"Unknown",'[1]2.Diagnostic Analysis'!C635)</f>
        <v>South</v>
      </c>
      <c r="D635" t="s">
        <v>14</v>
      </c>
      <c r="E635" t="s">
        <v>15</v>
      </c>
      <c r="F635">
        <f>IF(ISBLANK('[1]2.Diagnostic Analysis'!D635),'[1]2.Diagnostic Analysis'!$Q$3,'[1]2.Diagnostic Analysis'!D635)</f>
        <v>56</v>
      </c>
      <c r="G635">
        <v>300</v>
      </c>
      <c r="H635">
        <v>2</v>
      </c>
      <c r="I635">
        <v>600</v>
      </c>
      <c r="J635">
        <v>17.13</v>
      </c>
      <c r="K635" s="2">
        <v>45139</v>
      </c>
      <c r="L635" t="str">
        <f>IF(ISBLANK('[1]2.Diagnostic Analysis'!K635),"Unknown",'[1]2.Diagnostic Analysis'!K635)</f>
        <v>In Transit</v>
      </c>
    </row>
    <row r="636" spans="1:12" x14ac:dyDescent="0.25">
      <c r="A636" t="s">
        <v>38</v>
      </c>
      <c r="B636" t="s">
        <v>13</v>
      </c>
      <c r="C636" t="str">
        <f>IF(ISBLANK('[1]2.Diagnostic Analysis'!C636),"Unknown",'[1]2.Diagnostic Analysis'!C636)</f>
        <v>North</v>
      </c>
      <c r="D636" t="s">
        <v>14</v>
      </c>
      <c r="E636" t="s">
        <v>15</v>
      </c>
      <c r="F636">
        <f>IF(ISBLANK('[1]2.Diagnostic Analysis'!D636),'[1]2.Diagnostic Analysis'!$Q$3,'[1]2.Diagnostic Analysis'!D636)</f>
        <v>57</v>
      </c>
      <c r="G636">
        <v>300</v>
      </c>
      <c r="H636">
        <v>1</v>
      </c>
      <c r="I636">
        <v>300</v>
      </c>
      <c r="J636">
        <v>13.55</v>
      </c>
      <c r="K636" s="2">
        <v>45195</v>
      </c>
      <c r="L636" t="str">
        <f>IF(ISBLANK('[1]2.Diagnostic Analysis'!K636),"Unknown",'[1]2.Diagnostic Analysis'!K636)</f>
        <v>Delivered</v>
      </c>
    </row>
    <row r="637" spans="1:12" x14ac:dyDescent="0.25">
      <c r="A637" t="s">
        <v>262</v>
      </c>
      <c r="B637" t="s">
        <v>13</v>
      </c>
      <c r="C637" t="str">
        <f>IF(ISBLANK('[1]2.Diagnostic Analysis'!C637),"Unknown",'[1]2.Diagnostic Analysis'!C637)</f>
        <v>West</v>
      </c>
      <c r="D637" t="s">
        <v>30</v>
      </c>
      <c r="E637" t="s">
        <v>18</v>
      </c>
      <c r="F637">
        <f>IF(ISBLANK('[1]2.Diagnostic Analysis'!D637),'[1]2.Diagnostic Analysis'!$Q$3,'[1]2.Diagnostic Analysis'!D637)</f>
        <v>40</v>
      </c>
      <c r="G637">
        <v>30</v>
      </c>
      <c r="H637">
        <v>5</v>
      </c>
      <c r="I637">
        <v>150</v>
      </c>
      <c r="J637">
        <v>9.01</v>
      </c>
      <c r="K637" s="2">
        <v>45244</v>
      </c>
      <c r="L637" t="str">
        <f>IF(ISBLANK('[1]2.Diagnostic Analysis'!K637),"Unknown",'[1]2.Diagnostic Analysis'!K637)</f>
        <v>Returned</v>
      </c>
    </row>
    <row r="638" spans="1:12" x14ac:dyDescent="0.25">
      <c r="A638" t="s">
        <v>222</v>
      </c>
      <c r="B638" t="s">
        <v>13</v>
      </c>
      <c r="C638" t="str">
        <f>IF(ISBLANK('[1]2.Diagnostic Analysis'!C638),"Unknown",'[1]2.Diagnostic Analysis'!C638)</f>
        <v>North</v>
      </c>
      <c r="D638" t="s">
        <v>23</v>
      </c>
      <c r="E638" t="s">
        <v>15</v>
      </c>
      <c r="F638">
        <f>IF(ISBLANK('[1]2.Diagnostic Analysis'!D638),'[1]2.Diagnostic Analysis'!$Q$3,'[1]2.Diagnostic Analysis'!D638)</f>
        <v>67</v>
      </c>
      <c r="G638">
        <v>1500</v>
      </c>
      <c r="H638">
        <v>4</v>
      </c>
      <c r="I638">
        <v>6000</v>
      </c>
      <c r="J638">
        <v>13.3</v>
      </c>
      <c r="K638" s="2">
        <v>45231</v>
      </c>
      <c r="L638" t="str">
        <f>IF(ISBLANK('[1]2.Diagnostic Analysis'!K638),"Unknown",'[1]2.Diagnostic Analysis'!K638)</f>
        <v>Delivered</v>
      </c>
    </row>
    <row r="639" spans="1:12" x14ac:dyDescent="0.25">
      <c r="A639" t="s">
        <v>132</v>
      </c>
      <c r="B639" t="s">
        <v>20</v>
      </c>
      <c r="C639" t="str">
        <f>IF(ISBLANK('[1]2.Diagnostic Analysis'!C639),"Unknown",'[1]2.Diagnostic Analysis'!C639)</f>
        <v>South</v>
      </c>
      <c r="D639" t="s">
        <v>17</v>
      </c>
      <c r="E639" t="s">
        <v>18</v>
      </c>
      <c r="F639">
        <f>IF(ISBLANK('[1]2.Diagnostic Analysis'!D639),'[1]2.Diagnostic Analysis'!$Q$3,'[1]2.Diagnostic Analysis'!D639)</f>
        <v>33</v>
      </c>
      <c r="G639">
        <v>100</v>
      </c>
      <c r="H639">
        <v>5</v>
      </c>
      <c r="I639">
        <v>500</v>
      </c>
      <c r="J639">
        <v>8.27</v>
      </c>
      <c r="K639" s="2">
        <v>45107</v>
      </c>
      <c r="L639" t="str">
        <f>IF(ISBLANK('[1]2.Diagnostic Analysis'!K639),"Unknown",'[1]2.Diagnostic Analysis'!K639)</f>
        <v>In Transit</v>
      </c>
    </row>
    <row r="640" spans="1:12" x14ac:dyDescent="0.25">
      <c r="A640" t="s">
        <v>288</v>
      </c>
      <c r="B640" t="s">
        <v>20</v>
      </c>
      <c r="C640" t="str">
        <f>IF(ISBLANK('[1]2.Diagnostic Analysis'!C640),"Unknown",'[1]2.Diagnostic Analysis'!C640)</f>
        <v>West</v>
      </c>
      <c r="D640" t="s">
        <v>23</v>
      </c>
      <c r="E640" t="s">
        <v>15</v>
      </c>
      <c r="F640">
        <f>IF(ISBLANK('[1]2.Diagnostic Analysis'!D640),'[1]2.Diagnostic Analysis'!$Q$3,'[1]2.Diagnostic Analysis'!D640)</f>
        <v>66</v>
      </c>
      <c r="G640">
        <v>1500</v>
      </c>
      <c r="H640">
        <v>2</v>
      </c>
      <c r="I640">
        <v>3000</v>
      </c>
      <c r="J640">
        <v>9.26</v>
      </c>
      <c r="K640" s="2">
        <v>45209</v>
      </c>
      <c r="L640" t="str">
        <f>IF(ISBLANK('[1]2.Diagnostic Analysis'!K640),"Unknown",'[1]2.Diagnostic Analysis'!K640)</f>
        <v>In Transit</v>
      </c>
    </row>
    <row r="641" spans="1:12" x14ac:dyDescent="0.25">
      <c r="A641" t="s">
        <v>198</v>
      </c>
      <c r="B641" t="s">
        <v>13</v>
      </c>
      <c r="C641" t="str">
        <f>IF(ISBLANK('[1]2.Diagnostic Analysis'!C641),"Unknown",'[1]2.Diagnostic Analysis'!C641)</f>
        <v>West</v>
      </c>
      <c r="D641" t="s">
        <v>14</v>
      </c>
      <c r="E641" t="s">
        <v>15</v>
      </c>
      <c r="F641">
        <f>IF(ISBLANK('[1]2.Diagnostic Analysis'!D641),'[1]2.Diagnostic Analysis'!$Q$3,'[1]2.Diagnostic Analysis'!D641)</f>
        <v>46</v>
      </c>
      <c r="G641">
        <v>300</v>
      </c>
      <c r="H641">
        <v>3</v>
      </c>
      <c r="I641">
        <v>900</v>
      </c>
      <c r="J641">
        <v>18.829999999999998</v>
      </c>
      <c r="K641" s="2">
        <v>45188</v>
      </c>
      <c r="L641" t="str">
        <f>IF(ISBLANK('[1]2.Diagnostic Analysis'!K641),"Unknown",'[1]2.Diagnostic Analysis'!K641)</f>
        <v>Returned</v>
      </c>
    </row>
    <row r="642" spans="1:12" x14ac:dyDescent="0.25">
      <c r="A642" t="s">
        <v>243</v>
      </c>
      <c r="B642" t="s">
        <v>20</v>
      </c>
      <c r="C642" t="str">
        <f>IF(ISBLANK('[1]2.Diagnostic Analysis'!C642),"Unknown",'[1]2.Diagnostic Analysis'!C642)</f>
        <v>East</v>
      </c>
      <c r="D642" t="s">
        <v>14</v>
      </c>
      <c r="E642" t="s">
        <v>15</v>
      </c>
      <c r="F642">
        <f>IF(ISBLANK('[1]2.Diagnostic Analysis'!D642),'[1]2.Diagnostic Analysis'!$Q$3,'[1]2.Diagnostic Analysis'!D642)</f>
        <v>49</v>
      </c>
      <c r="G642">
        <v>300</v>
      </c>
      <c r="H642">
        <v>1</v>
      </c>
      <c r="I642">
        <v>300</v>
      </c>
      <c r="J642">
        <v>6.55</v>
      </c>
      <c r="K642" s="2">
        <v>45294</v>
      </c>
      <c r="L642" t="str">
        <f>IF(ISBLANK('[1]2.Diagnostic Analysis'!K642),"Unknown",'[1]2.Diagnostic Analysis'!K642)</f>
        <v>Delivered</v>
      </c>
    </row>
    <row r="643" spans="1:12" x14ac:dyDescent="0.25">
      <c r="A643" t="s">
        <v>106</v>
      </c>
      <c r="B643" t="s">
        <v>13</v>
      </c>
      <c r="C643" t="str">
        <f>IF(ISBLANK('[1]2.Diagnostic Analysis'!C643),"Unknown",'[1]2.Diagnostic Analysis'!C643)</f>
        <v>East</v>
      </c>
      <c r="D643" t="s">
        <v>23</v>
      </c>
      <c r="E643" t="s">
        <v>15</v>
      </c>
      <c r="F643">
        <f>IF(ISBLANK('[1]2.Diagnostic Analysis'!D643),'[1]2.Diagnostic Analysis'!$Q$3,'[1]2.Diagnostic Analysis'!D643)</f>
        <v>42</v>
      </c>
      <c r="G643">
        <v>1500</v>
      </c>
      <c r="H643">
        <v>2</v>
      </c>
      <c r="I643">
        <v>3000</v>
      </c>
      <c r="J643">
        <v>12.17</v>
      </c>
      <c r="K643" s="2">
        <v>44935</v>
      </c>
      <c r="L643" t="str">
        <f>IF(ISBLANK('[1]2.Diagnostic Analysis'!K643),"Unknown",'[1]2.Diagnostic Analysis'!K643)</f>
        <v>Unknown</v>
      </c>
    </row>
    <row r="644" spans="1:12" x14ac:dyDescent="0.25">
      <c r="A644" t="s">
        <v>158</v>
      </c>
      <c r="B644" t="s">
        <v>13</v>
      </c>
      <c r="C644" t="str">
        <f>IF(ISBLANK('[1]2.Diagnostic Analysis'!C644),"Unknown",'[1]2.Diagnostic Analysis'!C644)</f>
        <v>North</v>
      </c>
      <c r="D644" t="s">
        <v>23</v>
      </c>
      <c r="E644" t="s">
        <v>15</v>
      </c>
      <c r="F644">
        <f>IF(ISBLANK('[1]2.Diagnostic Analysis'!D644),'[1]2.Diagnostic Analysis'!$Q$3,'[1]2.Diagnostic Analysis'!D644)</f>
        <v>32</v>
      </c>
      <c r="G644">
        <v>1500</v>
      </c>
      <c r="H644">
        <v>1</v>
      </c>
      <c r="I644">
        <v>1500</v>
      </c>
      <c r="J644">
        <v>8.5299999999999994</v>
      </c>
      <c r="K644" s="2">
        <v>45149</v>
      </c>
      <c r="L644" t="str">
        <f>IF(ISBLANK('[1]2.Diagnostic Analysis'!K644),"Unknown",'[1]2.Diagnostic Analysis'!K644)</f>
        <v>In Transit</v>
      </c>
    </row>
    <row r="645" spans="1:12" x14ac:dyDescent="0.25">
      <c r="A645" t="s">
        <v>253</v>
      </c>
      <c r="B645" t="s">
        <v>13</v>
      </c>
      <c r="C645" t="str">
        <f>IF(ISBLANK('[1]2.Diagnostic Analysis'!C645),"Unknown",'[1]2.Diagnostic Analysis'!C645)</f>
        <v>West</v>
      </c>
      <c r="D645" t="s">
        <v>14</v>
      </c>
      <c r="E645" t="s">
        <v>15</v>
      </c>
      <c r="F645">
        <f>IF(ISBLANK('[1]2.Diagnostic Analysis'!D645),'[1]2.Diagnostic Analysis'!$Q$3,'[1]2.Diagnostic Analysis'!D645)</f>
        <v>56</v>
      </c>
      <c r="G645">
        <v>300</v>
      </c>
      <c r="H645">
        <v>1</v>
      </c>
      <c r="I645">
        <v>300</v>
      </c>
      <c r="J645">
        <v>8.8699999999999992</v>
      </c>
      <c r="K645" s="2">
        <v>45132</v>
      </c>
      <c r="L645" t="str">
        <f>IF(ISBLANK('[1]2.Diagnostic Analysis'!K645),"Unknown",'[1]2.Diagnostic Analysis'!K645)</f>
        <v>Returned</v>
      </c>
    </row>
    <row r="646" spans="1:12" x14ac:dyDescent="0.25">
      <c r="A646" t="s">
        <v>222</v>
      </c>
      <c r="B646" t="s">
        <v>20</v>
      </c>
      <c r="C646" t="str">
        <f>IF(ISBLANK('[1]2.Diagnostic Analysis'!C646),"Unknown",'[1]2.Diagnostic Analysis'!C646)</f>
        <v>South</v>
      </c>
      <c r="D646" t="s">
        <v>25</v>
      </c>
      <c r="E646" t="s">
        <v>26</v>
      </c>
      <c r="F646">
        <f>IF(ISBLANK('[1]2.Diagnostic Analysis'!D646),'[1]2.Diagnostic Analysis'!$Q$3,'[1]2.Diagnostic Analysis'!D646)</f>
        <v>67</v>
      </c>
      <c r="G646">
        <v>200</v>
      </c>
      <c r="H646">
        <v>1</v>
      </c>
      <c r="I646">
        <v>200</v>
      </c>
      <c r="J646">
        <v>5.45</v>
      </c>
      <c r="K646" s="2">
        <v>45199</v>
      </c>
      <c r="L646" t="str">
        <f>IF(ISBLANK('[1]2.Diagnostic Analysis'!K646),"Unknown",'[1]2.Diagnostic Analysis'!K646)</f>
        <v>Returned</v>
      </c>
    </row>
    <row r="647" spans="1:12" x14ac:dyDescent="0.25">
      <c r="A647" t="s">
        <v>28</v>
      </c>
      <c r="B647" t="s">
        <v>13</v>
      </c>
      <c r="C647" t="str">
        <f>IF(ISBLANK('[1]2.Diagnostic Analysis'!C647),"Unknown",'[1]2.Diagnostic Analysis'!C647)</f>
        <v>North</v>
      </c>
      <c r="D647" t="s">
        <v>17</v>
      </c>
      <c r="E647" t="s">
        <v>18</v>
      </c>
      <c r="F647">
        <f>IF(ISBLANK('[1]2.Diagnostic Analysis'!D647),'[1]2.Diagnostic Analysis'!$Q$3,'[1]2.Diagnostic Analysis'!D647)</f>
        <v>49</v>
      </c>
      <c r="G647">
        <v>100</v>
      </c>
      <c r="H647">
        <v>2</v>
      </c>
      <c r="I647">
        <v>200</v>
      </c>
      <c r="J647">
        <v>10.39</v>
      </c>
      <c r="K647" s="2">
        <v>45225</v>
      </c>
      <c r="L647" t="str">
        <f>IF(ISBLANK('[1]2.Diagnostic Analysis'!K647),"Unknown",'[1]2.Diagnostic Analysis'!K647)</f>
        <v>Returned</v>
      </c>
    </row>
    <row r="648" spans="1:12" x14ac:dyDescent="0.25">
      <c r="A648" t="s">
        <v>178</v>
      </c>
      <c r="B648" t="s">
        <v>13</v>
      </c>
      <c r="C648" t="str">
        <f>IF(ISBLANK('[1]2.Diagnostic Analysis'!C648),"Unknown",'[1]2.Diagnostic Analysis'!C648)</f>
        <v>South</v>
      </c>
      <c r="D648" t="s">
        <v>17</v>
      </c>
      <c r="E648" t="s">
        <v>18</v>
      </c>
      <c r="F648">
        <f>IF(ISBLANK('[1]2.Diagnostic Analysis'!D648),'[1]2.Diagnostic Analysis'!$Q$3,'[1]2.Diagnostic Analysis'!D648)</f>
        <v>30</v>
      </c>
      <c r="G648">
        <v>100</v>
      </c>
      <c r="H648">
        <v>4</v>
      </c>
      <c r="I648">
        <v>400</v>
      </c>
      <c r="J648">
        <v>13.94</v>
      </c>
      <c r="K648" s="2">
        <v>45282</v>
      </c>
      <c r="L648" t="str">
        <f>IF(ISBLANK('[1]2.Diagnostic Analysis'!K648),"Unknown",'[1]2.Diagnostic Analysis'!K648)</f>
        <v>Delivered</v>
      </c>
    </row>
    <row r="649" spans="1:12" x14ac:dyDescent="0.25">
      <c r="A649" t="s">
        <v>163</v>
      </c>
      <c r="B649" t="s">
        <v>13</v>
      </c>
      <c r="C649" t="str">
        <f>IF(ISBLANK('[1]2.Diagnostic Analysis'!C649),"Unknown",'[1]2.Diagnostic Analysis'!C649)</f>
        <v>East</v>
      </c>
      <c r="D649" t="s">
        <v>17</v>
      </c>
      <c r="E649" t="s">
        <v>18</v>
      </c>
      <c r="F649">
        <f>IF(ISBLANK('[1]2.Diagnostic Analysis'!D649),'[1]2.Diagnostic Analysis'!$Q$3,'[1]2.Diagnostic Analysis'!D649)</f>
        <v>21</v>
      </c>
      <c r="G649">
        <v>100</v>
      </c>
      <c r="H649">
        <v>4</v>
      </c>
      <c r="I649">
        <v>400</v>
      </c>
      <c r="J649">
        <v>12.96</v>
      </c>
      <c r="K649" s="2">
        <v>45182</v>
      </c>
      <c r="L649" t="str">
        <f>IF(ISBLANK('[1]2.Diagnostic Analysis'!K649),"Unknown",'[1]2.Diagnostic Analysis'!K649)</f>
        <v>In Transit</v>
      </c>
    </row>
    <row r="650" spans="1:12" x14ac:dyDescent="0.25">
      <c r="A650" t="s">
        <v>127</v>
      </c>
      <c r="B650" t="s">
        <v>20</v>
      </c>
      <c r="C650" t="str">
        <f>IF(ISBLANK('[1]2.Diagnostic Analysis'!C650),"Unknown",'[1]2.Diagnostic Analysis'!C650)</f>
        <v>South</v>
      </c>
      <c r="D650" t="s">
        <v>29</v>
      </c>
      <c r="E650" t="s">
        <v>18</v>
      </c>
      <c r="F650">
        <f>IF(ISBLANK('[1]2.Diagnostic Analysis'!D650),'[1]2.Diagnostic Analysis'!$Q$3,'[1]2.Diagnostic Analysis'!D650)</f>
        <v>38</v>
      </c>
      <c r="G650">
        <v>50</v>
      </c>
      <c r="H650">
        <v>4</v>
      </c>
      <c r="I650">
        <v>200</v>
      </c>
      <c r="J650">
        <v>11</v>
      </c>
      <c r="K650" s="2">
        <v>45286</v>
      </c>
      <c r="L650" t="str">
        <f>IF(ISBLANK('[1]2.Diagnostic Analysis'!K650),"Unknown",'[1]2.Diagnostic Analysis'!K650)</f>
        <v>Returned</v>
      </c>
    </row>
    <row r="651" spans="1:12" x14ac:dyDescent="0.25">
      <c r="A651" t="s">
        <v>160</v>
      </c>
      <c r="B651" t="s">
        <v>13</v>
      </c>
      <c r="C651" t="str">
        <f>IF(ISBLANK('[1]2.Diagnostic Analysis'!C651),"Unknown",'[1]2.Diagnostic Analysis'!C651)</f>
        <v>West</v>
      </c>
      <c r="D651" t="s">
        <v>23</v>
      </c>
      <c r="E651" t="s">
        <v>15</v>
      </c>
      <c r="F651">
        <f>IF(ISBLANK('[1]2.Diagnostic Analysis'!D651),'[1]2.Diagnostic Analysis'!$Q$3,'[1]2.Diagnostic Analysis'!D651)</f>
        <v>27</v>
      </c>
      <c r="G651">
        <v>1500</v>
      </c>
      <c r="H651">
        <v>2</v>
      </c>
      <c r="I651">
        <v>3000</v>
      </c>
      <c r="J651">
        <v>13.22</v>
      </c>
      <c r="K651" s="2">
        <v>45175</v>
      </c>
      <c r="L651" t="str">
        <f>IF(ISBLANK('[1]2.Diagnostic Analysis'!K651),"Unknown",'[1]2.Diagnostic Analysis'!K651)</f>
        <v>In Transit</v>
      </c>
    </row>
    <row r="652" spans="1:12" x14ac:dyDescent="0.25">
      <c r="A652" t="s">
        <v>204</v>
      </c>
      <c r="B652" t="s">
        <v>13</v>
      </c>
      <c r="C652" t="str">
        <f>IF(ISBLANK('[1]2.Diagnostic Analysis'!C652),"Unknown",'[1]2.Diagnostic Analysis'!C652)</f>
        <v>North</v>
      </c>
      <c r="D652" t="s">
        <v>14</v>
      </c>
      <c r="E652" t="s">
        <v>15</v>
      </c>
      <c r="F652">
        <f>IF(ISBLANK('[1]2.Diagnostic Analysis'!D652),'[1]2.Diagnostic Analysis'!$Q$3,'[1]2.Diagnostic Analysis'!D652)</f>
        <v>69</v>
      </c>
      <c r="G652">
        <v>300</v>
      </c>
      <c r="H652">
        <v>5</v>
      </c>
      <c r="I652">
        <v>1500</v>
      </c>
      <c r="J652">
        <v>17.75</v>
      </c>
      <c r="K652" s="2">
        <v>45244</v>
      </c>
      <c r="L652" t="str">
        <f>IF(ISBLANK('[1]2.Diagnostic Analysis'!K652),"Unknown",'[1]2.Diagnostic Analysis'!K652)</f>
        <v>In Transit</v>
      </c>
    </row>
    <row r="653" spans="1:12" x14ac:dyDescent="0.25">
      <c r="A653" t="s">
        <v>254</v>
      </c>
      <c r="B653" t="s">
        <v>20</v>
      </c>
      <c r="C653" t="str">
        <f>IF(ISBLANK('[1]2.Diagnostic Analysis'!C653),"Unknown",'[1]2.Diagnostic Analysis'!C653)</f>
        <v>West</v>
      </c>
      <c r="D653" t="s">
        <v>40</v>
      </c>
      <c r="E653" t="s">
        <v>15</v>
      </c>
      <c r="F653">
        <f>IF(ISBLANK('[1]2.Diagnostic Analysis'!D653),'[1]2.Diagnostic Analysis'!$Q$3,'[1]2.Diagnostic Analysis'!D653)</f>
        <v>69</v>
      </c>
      <c r="G653">
        <v>800</v>
      </c>
      <c r="H653">
        <v>3</v>
      </c>
      <c r="I653">
        <v>2400</v>
      </c>
      <c r="J653">
        <v>15.53</v>
      </c>
      <c r="K653" s="2">
        <v>45041</v>
      </c>
      <c r="L653" t="str">
        <f>IF(ISBLANK('[1]2.Diagnostic Analysis'!K653),"Unknown",'[1]2.Diagnostic Analysis'!K653)</f>
        <v>In Transit</v>
      </c>
    </row>
    <row r="654" spans="1:12" x14ac:dyDescent="0.25">
      <c r="A654" t="s">
        <v>265</v>
      </c>
      <c r="B654" t="s">
        <v>20</v>
      </c>
      <c r="C654" t="str">
        <f>IF(ISBLANK('[1]2.Diagnostic Analysis'!C654),"Unknown",'[1]2.Diagnostic Analysis'!C654)</f>
        <v>South</v>
      </c>
      <c r="D654" t="s">
        <v>23</v>
      </c>
      <c r="E654" t="s">
        <v>15</v>
      </c>
      <c r="F654">
        <f>IF(ISBLANK('[1]2.Diagnostic Analysis'!D654),'[1]2.Diagnostic Analysis'!$Q$3,'[1]2.Diagnostic Analysis'!D654)</f>
        <v>67</v>
      </c>
      <c r="G654">
        <v>1500</v>
      </c>
      <c r="H654">
        <v>1</v>
      </c>
      <c r="I654">
        <v>1500</v>
      </c>
      <c r="J654">
        <v>13.92</v>
      </c>
      <c r="K654" s="2">
        <v>45133</v>
      </c>
      <c r="L654" t="str">
        <f>IF(ISBLANK('[1]2.Diagnostic Analysis'!K654),"Unknown",'[1]2.Diagnostic Analysis'!K654)</f>
        <v>Delivered</v>
      </c>
    </row>
    <row r="655" spans="1:12" x14ac:dyDescent="0.25">
      <c r="A655" t="s">
        <v>93</v>
      </c>
      <c r="B655" t="s">
        <v>13</v>
      </c>
      <c r="C655" t="str">
        <f>IF(ISBLANK('[1]2.Diagnostic Analysis'!C655),"Unknown",'[1]2.Diagnostic Analysis'!C655)</f>
        <v>West</v>
      </c>
      <c r="D655" t="s">
        <v>25</v>
      </c>
      <c r="E655" t="s">
        <v>26</v>
      </c>
      <c r="F655">
        <f>IF(ISBLANK('[1]2.Diagnostic Analysis'!D655),'[1]2.Diagnostic Analysis'!$Q$3,'[1]2.Diagnostic Analysis'!D655)</f>
        <v>47</v>
      </c>
      <c r="G655">
        <v>200</v>
      </c>
      <c r="H655">
        <v>3</v>
      </c>
      <c r="I655">
        <v>600</v>
      </c>
      <c r="J655">
        <v>13.73</v>
      </c>
      <c r="K655" s="2">
        <v>45092</v>
      </c>
      <c r="L655" t="str">
        <f>IF(ISBLANK('[1]2.Diagnostic Analysis'!K655),"Unknown",'[1]2.Diagnostic Analysis'!K655)</f>
        <v>Delivered</v>
      </c>
    </row>
    <row r="656" spans="1:12" x14ac:dyDescent="0.25">
      <c r="A656" t="s">
        <v>276</v>
      </c>
      <c r="B656" t="s">
        <v>13</v>
      </c>
      <c r="C656" t="str">
        <f>IF(ISBLANK('[1]2.Diagnostic Analysis'!C656),"Unknown",'[1]2.Diagnostic Analysis'!C656)</f>
        <v>West</v>
      </c>
      <c r="D656" t="s">
        <v>14</v>
      </c>
      <c r="E656" t="s">
        <v>15</v>
      </c>
      <c r="F656">
        <f>IF(ISBLANK('[1]2.Diagnostic Analysis'!D656),'[1]2.Diagnostic Analysis'!$Q$3,'[1]2.Diagnostic Analysis'!D656)</f>
        <v>32</v>
      </c>
      <c r="G656">
        <v>300</v>
      </c>
      <c r="H656">
        <v>3</v>
      </c>
      <c r="I656">
        <v>900</v>
      </c>
      <c r="J656">
        <v>8.48</v>
      </c>
      <c r="K656" s="2">
        <v>45068</v>
      </c>
      <c r="L656" t="str">
        <f>IF(ISBLANK('[1]2.Diagnostic Analysis'!K656),"Unknown",'[1]2.Diagnostic Analysis'!K656)</f>
        <v>Delivered</v>
      </c>
    </row>
    <row r="657" spans="1:12" x14ac:dyDescent="0.25">
      <c r="A657" t="s">
        <v>209</v>
      </c>
      <c r="B657" t="s">
        <v>20</v>
      </c>
      <c r="C657" t="str">
        <f>IF(ISBLANK('[1]2.Diagnostic Analysis'!C657),"Unknown",'[1]2.Diagnostic Analysis'!C657)</f>
        <v>West</v>
      </c>
      <c r="D657" t="s">
        <v>23</v>
      </c>
      <c r="E657" t="s">
        <v>15</v>
      </c>
      <c r="F657">
        <f>IF(ISBLANK('[1]2.Diagnostic Analysis'!D657),'[1]2.Diagnostic Analysis'!$Q$3,'[1]2.Diagnostic Analysis'!D657)</f>
        <v>41</v>
      </c>
      <c r="G657">
        <v>1500</v>
      </c>
      <c r="H657">
        <v>3</v>
      </c>
      <c r="I657">
        <v>4500</v>
      </c>
      <c r="J657">
        <v>13.82</v>
      </c>
      <c r="K657" s="2">
        <v>45267</v>
      </c>
      <c r="L657" t="str">
        <f>IF(ISBLANK('[1]2.Diagnostic Analysis'!K657),"Unknown",'[1]2.Diagnostic Analysis'!K657)</f>
        <v>Delivered</v>
      </c>
    </row>
    <row r="658" spans="1:12" x14ac:dyDescent="0.25">
      <c r="A658" t="s">
        <v>142</v>
      </c>
      <c r="B658" t="s">
        <v>20</v>
      </c>
      <c r="C658" t="str">
        <f>IF(ISBLANK('[1]2.Diagnostic Analysis'!C658),"Unknown",'[1]2.Diagnostic Analysis'!C658)</f>
        <v>East</v>
      </c>
      <c r="D658" t="s">
        <v>30</v>
      </c>
      <c r="E658" t="s">
        <v>18</v>
      </c>
      <c r="F658">
        <f>IF(ISBLANK('[1]2.Diagnostic Analysis'!D658),'[1]2.Diagnostic Analysis'!$Q$3,'[1]2.Diagnostic Analysis'!D658)</f>
        <v>29</v>
      </c>
      <c r="G658">
        <v>30</v>
      </c>
      <c r="H658">
        <v>1</v>
      </c>
      <c r="I658">
        <v>30</v>
      </c>
      <c r="J658">
        <v>11.33</v>
      </c>
      <c r="K658" s="2">
        <v>44985</v>
      </c>
      <c r="L658" t="str">
        <f>IF(ISBLANK('[1]2.Diagnostic Analysis'!K658),"Unknown",'[1]2.Diagnostic Analysis'!K658)</f>
        <v>In Transit</v>
      </c>
    </row>
    <row r="659" spans="1:12" x14ac:dyDescent="0.25">
      <c r="A659" t="s">
        <v>161</v>
      </c>
      <c r="B659" t="s">
        <v>13</v>
      </c>
      <c r="C659" t="str">
        <f>IF(ISBLANK('[1]2.Diagnostic Analysis'!C659),"Unknown",'[1]2.Diagnostic Analysis'!C659)</f>
        <v>North</v>
      </c>
      <c r="D659" t="s">
        <v>14</v>
      </c>
      <c r="E659" t="s">
        <v>15</v>
      </c>
      <c r="F659">
        <f>IF(ISBLANK('[1]2.Diagnostic Analysis'!D659),'[1]2.Diagnostic Analysis'!$Q$3,'[1]2.Diagnostic Analysis'!D659)</f>
        <v>65</v>
      </c>
      <c r="G659">
        <v>300</v>
      </c>
      <c r="H659">
        <v>4</v>
      </c>
      <c r="I659">
        <v>1200</v>
      </c>
      <c r="J659">
        <v>11.14</v>
      </c>
      <c r="K659" s="2">
        <v>45294</v>
      </c>
      <c r="L659" t="str">
        <f>IF(ISBLANK('[1]2.Diagnostic Analysis'!K659),"Unknown",'[1]2.Diagnostic Analysis'!K659)</f>
        <v>Unknown</v>
      </c>
    </row>
    <row r="660" spans="1:12" x14ac:dyDescent="0.25">
      <c r="A660" t="s">
        <v>187</v>
      </c>
      <c r="B660" t="s">
        <v>20</v>
      </c>
      <c r="C660" t="str">
        <f>IF(ISBLANK('[1]2.Diagnostic Analysis'!C660),"Unknown",'[1]2.Diagnostic Analysis'!C660)</f>
        <v>East</v>
      </c>
      <c r="D660" t="s">
        <v>25</v>
      </c>
      <c r="E660" t="s">
        <v>26</v>
      </c>
      <c r="F660">
        <f>IF(ISBLANK('[1]2.Diagnostic Analysis'!D660),'[1]2.Diagnostic Analysis'!$Q$3,'[1]2.Diagnostic Analysis'!D660)</f>
        <v>48</v>
      </c>
      <c r="G660">
        <v>200</v>
      </c>
      <c r="H660">
        <v>5</v>
      </c>
      <c r="I660">
        <v>1000</v>
      </c>
      <c r="J660">
        <v>10.9</v>
      </c>
      <c r="K660" s="2">
        <v>45050</v>
      </c>
      <c r="L660" t="str">
        <f>IF(ISBLANK('[1]2.Diagnostic Analysis'!K660),"Unknown",'[1]2.Diagnostic Analysis'!K660)</f>
        <v>In Transit</v>
      </c>
    </row>
    <row r="661" spans="1:12" x14ac:dyDescent="0.25">
      <c r="A661" t="s">
        <v>71</v>
      </c>
      <c r="B661" t="s">
        <v>13</v>
      </c>
      <c r="C661" t="str">
        <f>IF(ISBLANK('[1]2.Diagnostic Analysis'!C661),"Unknown",'[1]2.Diagnostic Analysis'!C661)</f>
        <v>East</v>
      </c>
      <c r="D661" t="s">
        <v>23</v>
      </c>
      <c r="E661" t="s">
        <v>15</v>
      </c>
      <c r="F661">
        <f>IF(ISBLANK('[1]2.Diagnostic Analysis'!D661),'[1]2.Diagnostic Analysis'!$Q$3,'[1]2.Diagnostic Analysis'!D661)</f>
        <v>68</v>
      </c>
      <c r="G661">
        <v>1500</v>
      </c>
      <c r="H661">
        <v>1</v>
      </c>
      <c r="I661">
        <v>1500</v>
      </c>
      <c r="J661">
        <v>19.37</v>
      </c>
      <c r="K661" s="2">
        <v>45165</v>
      </c>
      <c r="L661" t="str">
        <f>IF(ISBLANK('[1]2.Diagnostic Analysis'!K661),"Unknown",'[1]2.Diagnostic Analysis'!K661)</f>
        <v>Unknown</v>
      </c>
    </row>
    <row r="662" spans="1:12" x14ac:dyDescent="0.25">
      <c r="A662" t="s">
        <v>230</v>
      </c>
      <c r="B662" t="s">
        <v>20</v>
      </c>
      <c r="C662" t="str">
        <f>IF(ISBLANK('[1]2.Diagnostic Analysis'!C662),"Unknown",'[1]2.Diagnostic Analysis'!C662)</f>
        <v>North</v>
      </c>
      <c r="D662" t="s">
        <v>30</v>
      </c>
      <c r="E662" t="s">
        <v>18</v>
      </c>
      <c r="F662">
        <f>IF(ISBLANK('[1]2.Diagnostic Analysis'!D662),'[1]2.Diagnostic Analysis'!$Q$3,'[1]2.Diagnostic Analysis'!D662)</f>
        <v>42</v>
      </c>
      <c r="G662">
        <v>30</v>
      </c>
      <c r="H662">
        <v>5</v>
      </c>
      <c r="I662">
        <v>150</v>
      </c>
      <c r="J662">
        <v>8.2799999999999994</v>
      </c>
      <c r="K662" s="2">
        <v>45244</v>
      </c>
      <c r="L662" t="str">
        <f>IF(ISBLANK('[1]2.Diagnostic Analysis'!K662),"Unknown",'[1]2.Diagnostic Analysis'!K662)</f>
        <v>Returned</v>
      </c>
    </row>
    <row r="663" spans="1:12" x14ac:dyDescent="0.25">
      <c r="A663" t="s">
        <v>35</v>
      </c>
      <c r="B663" t="s">
        <v>13</v>
      </c>
      <c r="C663" t="str">
        <f>IF(ISBLANK('[1]2.Diagnostic Analysis'!C663),"Unknown",'[1]2.Diagnostic Analysis'!C663)</f>
        <v>Unknown</v>
      </c>
      <c r="D663" t="s">
        <v>23</v>
      </c>
      <c r="E663" t="s">
        <v>15</v>
      </c>
      <c r="F663">
        <f>IF(ISBLANK('[1]2.Diagnostic Analysis'!D663),'[1]2.Diagnostic Analysis'!$Q$3,'[1]2.Diagnostic Analysis'!D663)</f>
        <v>60</v>
      </c>
      <c r="G663">
        <v>1500</v>
      </c>
      <c r="H663">
        <v>1</v>
      </c>
      <c r="I663">
        <v>1500</v>
      </c>
      <c r="J663">
        <v>10.84</v>
      </c>
      <c r="K663" s="2">
        <v>45175</v>
      </c>
      <c r="L663" t="str">
        <f>IF(ISBLANK('[1]2.Diagnostic Analysis'!K663),"Unknown",'[1]2.Diagnostic Analysis'!K663)</f>
        <v>In Transit</v>
      </c>
    </row>
    <row r="664" spans="1:12" x14ac:dyDescent="0.25">
      <c r="A664" t="s">
        <v>136</v>
      </c>
      <c r="B664" t="s">
        <v>20</v>
      </c>
      <c r="C664" t="str">
        <f>IF(ISBLANK('[1]2.Diagnostic Analysis'!C664),"Unknown",'[1]2.Diagnostic Analysis'!C664)</f>
        <v>North</v>
      </c>
      <c r="D664" t="s">
        <v>40</v>
      </c>
      <c r="E664" t="s">
        <v>15</v>
      </c>
      <c r="F664">
        <f>IF(ISBLANK('[1]2.Diagnostic Analysis'!D664),'[1]2.Diagnostic Analysis'!$Q$3,'[1]2.Diagnostic Analysis'!D664)</f>
        <v>37</v>
      </c>
      <c r="G664">
        <v>800</v>
      </c>
      <c r="H664">
        <v>1</v>
      </c>
      <c r="I664">
        <v>800</v>
      </c>
      <c r="J664">
        <v>12.78</v>
      </c>
      <c r="K664" s="2">
        <v>44929</v>
      </c>
      <c r="L664" t="str">
        <f>IF(ISBLANK('[1]2.Diagnostic Analysis'!K664),"Unknown",'[1]2.Diagnostic Analysis'!K664)</f>
        <v>Returned</v>
      </c>
    </row>
    <row r="665" spans="1:12" x14ac:dyDescent="0.25">
      <c r="A665" t="s">
        <v>174</v>
      </c>
      <c r="B665" t="s">
        <v>20</v>
      </c>
      <c r="C665" t="str">
        <f>IF(ISBLANK('[1]2.Diagnostic Analysis'!C665),"Unknown",'[1]2.Diagnostic Analysis'!C665)</f>
        <v>South</v>
      </c>
      <c r="D665" t="s">
        <v>23</v>
      </c>
      <c r="E665" t="s">
        <v>15</v>
      </c>
      <c r="F665">
        <f>IF(ISBLANK('[1]2.Diagnostic Analysis'!D665),'[1]2.Diagnostic Analysis'!$Q$3,'[1]2.Diagnostic Analysis'!D665)</f>
        <v>54</v>
      </c>
      <c r="G665">
        <v>1500</v>
      </c>
      <c r="H665">
        <v>4</v>
      </c>
      <c r="I665">
        <v>6000</v>
      </c>
      <c r="J665">
        <v>12.84</v>
      </c>
      <c r="K665" s="2">
        <v>44977</v>
      </c>
      <c r="L665" t="str">
        <f>IF(ISBLANK('[1]2.Diagnostic Analysis'!K665),"Unknown",'[1]2.Diagnostic Analysis'!K665)</f>
        <v>Delivered</v>
      </c>
    </row>
    <row r="666" spans="1:12" x14ac:dyDescent="0.25">
      <c r="A666" t="s">
        <v>170</v>
      </c>
      <c r="B666" t="s">
        <v>20</v>
      </c>
      <c r="C666" t="str">
        <f>IF(ISBLANK('[1]2.Diagnostic Analysis'!C666),"Unknown",'[1]2.Diagnostic Analysis'!C666)</f>
        <v>South</v>
      </c>
      <c r="D666" t="s">
        <v>14</v>
      </c>
      <c r="E666" t="s">
        <v>15</v>
      </c>
      <c r="F666">
        <f>IF(ISBLANK('[1]2.Diagnostic Analysis'!D666),'[1]2.Diagnostic Analysis'!$Q$3,'[1]2.Diagnostic Analysis'!D666)</f>
        <v>57</v>
      </c>
      <c r="G666">
        <v>300</v>
      </c>
      <c r="H666">
        <v>1</v>
      </c>
      <c r="I666">
        <v>300</v>
      </c>
      <c r="J666">
        <v>6.55</v>
      </c>
      <c r="K666" s="2">
        <v>45029</v>
      </c>
      <c r="L666" t="str">
        <f>IF(ISBLANK('[1]2.Diagnostic Analysis'!K666),"Unknown",'[1]2.Diagnostic Analysis'!K666)</f>
        <v>Delivered</v>
      </c>
    </row>
    <row r="667" spans="1:12" x14ac:dyDescent="0.25">
      <c r="A667" t="s">
        <v>43</v>
      </c>
      <c r="B667" t="s">
        <v>20</v>
      </c>
      <c r="C667" t="str">
        <f>IF(ISBLANK('[1]2.Diagnostic Analysis'!C667),"Unknown",'[1]2.Diagnostic Analysis'!C667)</f>
        <v>East</v>
      </c>
      <c r="D667" t="s">
        <v>29</v>
      </c>
      <c r="E667" t="s">
        <v>18</v>
      </c>
      <c r="F667">
        <f>IF(ISBLANK('[1]2.Diagnostic Analysis'!D667),'[1]2.Diagnostic Analysis'!$Q$3,'[1]2.Diagnostic Analysis'!D667)</f>
        <v>37</v>
      </c>
      <c r="G667">
        <v>50</v>
      </c>
      <c r="H667">
        <v>4</v>
      </c>
      <c r="I667">
        <v>200</v>
      </c>
      <c r="J667">
        <v>12.81</v>
      </c>
      <c r="K667" s="2">
        <v>44931</v>
      </c>
      <c r="L667" t="str">
        <f>IF(ISBLANK('[1]2.Diagnostic Analysis'!K667),"Unknown",'[1]2.Diagnostic Analysis'!K667)</f>
        <v>Delivered</v>
      </c>
    </row>
    <row r="668" spans="1:12" x14ac:dyDescent="0.25">
      <c r="A668" t="s">
        <v>191</v>
      </c>
      <c r="B668" t="s">
        <v>20</v>
      </c>
      <c r="C668" t="str">
        <f>IF(ISBLANK('[1]2.Diagnostic Analysis'!C668),"Unknown",'[1]2.Diagnostic Analysis'!C668)</f>
        <v>North</v>
      </c>
      <c r="D668" t="s">
        <v>23</v>
      </c>
      <c r="E668" t="s">
        <v>15</v>
      </c>
      <c r="F668">
        <f>IF(ISBLANK('[1]2.Diagnostic Analysis'!D668),'[1]2.Diagnostic Analysis'!$Q$3,'[1]2.Diagnostic Analysis'!D668)</f>
        <v>64</v>
      </c>
      <c r="G668">
        <v>1500</v>
      </c>
      <c r="H668">
        <v>1</v>
      </c>
      <c r="I668">
        <v>1500</v>
      </c>
      <c r="J668">
        <v>18.190000000000001</v>
      </c>
      <c r="K668" s="2">
        <v>45068</v>
      </c>
      <c r="L668" t="str">
        <f>IF(ISBLANK('[1]2.Diagnostic Analysis'!K668),"Unknown",'[1]2.Diagnostic Analysis'!K668)</f>
        <v>In Transit</v>
      </c>
    </row>
    <row r="669" spans="1:12" x14ac:dyDescent="0.25">
      <c r="A669" t="s">
        <v>91</v>
      </c>
      <c r="B669" t="s">
        <v>13</v>
      </c>
      <c r="C669" t="str">
        <f>IF(ISBLANK('[1]2.Diagnostic Analysis'!C669),"Unknown",'[1]2.Diagnostic Analysis'!C669)</f>
        <v>South</v>
      </c>
      <c r="D669" t="s">
        <v>25</v>
      </c>
      <c r="E669" t="s">
        <v>26</v>
      </c>
      <c r="F669">
        <f>IF(ISBLANK('[1]2.Diagnostic Analysis'!D669),'[1]2.Diagnostic Analysis'!$Q$3,'[1]2.Diagnostic Analysis'!D669)</f>
        <v>54</v>
      </c>
      <c r="G669">
        <v>200</v>
      </c>
      <c r="H669">
        <v>3</v>
      </c>
      <c r="I669">
        <v>600</v>
      </c>
      <c r="J669">
        <v>16.36</v>
      </c>
      <c r="K669" s="2">
        <v>45148</v>
      </c>
      <c r="L669" t="str">
        <f>IF(ISBLANK('[1]2.Diagnostic Analysis'!K669),"Unknown",'[1]2.Diagnostic Analysis'!K669)</f>
        <v>In Transit</v>
      </c>
    </row>
    <row r="670" spans="1:12" x14ac:dyDescent="0.25">
      <c r="A670" t="s">
        <v>289</v>
      </c>
      <c r="B670" t="s">
        <v>13</v>
      </c>
      <c r="C670" t="str">
        <f>IF(ISBLANK('[1]2.Diagnostic Analysis'!C670),"Unknown",'[1]2.Diagnostic Analysis'!C670)</f>
        <v>West</v>
      </c>
      <c r="D670" t="s">
        <v>23</v>
      </c>
      <c r="E670" t="s">
        <v>15</v>
      </c>
      <c r="F670">
        <f>IF(ISBLANK('[1]2.Diagnostic Analysis'!D670),'[1]2.Diagnostic Analysis'!$Q$3,'[1]2.Diagnostic Analysis'!D670)</f>
        <v>67</v>
      </c>
      <c r="G670">
        <v>1500</v>
      </c>
      <c r="H670">
        <v>4</v>
      </c>
      <c r="I670">
        <v>6000</v>
      </c>
      <c r="J670">
        <v>14.85</v>
      </c>
      <c r="K670" s="2">
        <v>45088</v>
      </c>
      <c r="L670" t="str">
        <f>IF(ISBLANK('[1]2.Diagnostic Analysis'!K670),"Unknown",'[1]2.Diagnostic Analysis'!K670)</f>
        <v>Delivered</v>
      </c>
    </row>
    <row r="671" spans="1:12" x14ac:dyDescent="0.25">
      <c r="A671" t="s">
        <v>142</v>
      </c>
      <c r="B671" t="s">
        <v>20</v>
      </c>
      <c r="C671" t="str">
        <f>IF(ISBLANK('[1]2.Diagnostic Analysis'!C671),"Unknown",'[1]2.Diagnostic Analysis'!C671)</f>
        <v>East</v>
      </c>
      <c r="D671" t="s">
        <v>25</v>
      </c>
      <c r="E671" t="s">
        <v>26</v>
      </c>
      <c r="F671">
        <f>IF(ISBLANK('[1]2.Diagnostic Analysis'!D671),'[1]2.Diagnostic Analysis'!$Q$3,'[1]2.Diagnostic Analysis'!D671)</f>
        <v>29</v>
      </c>
      <c r="G671">
        <v>200</v>
      </c>
      <c r="H671">
        <v>4</v>
      </c>
      <c r="I671">
        <v>800</v>
      </c>
      <c r="J671">
        <v>17.93</v>
      </c>
      <c r="K671" s="2">
        <v>44982</v>
      </c>
      <c r="L671" t="str">
        <f>IF(ISBLANK('[1]2.Diagnostic Analysis'!K671),"Unknown",'[1]2.Diagnostic Analysis'!K671)</f>
        <v>Delivered</v>
      </c>
    </row>
    <row r="672" spans="1:12" x14ac:dyDescent="0.25">
      <c r="A672" t="s">
        <v>146</v>
      </c>
      <c r="B672" t="s">
        <v>20</v>
      </c>
      <c r="C672" t="str">
        <f>IF(ISBLANK('[1]2.Diagnostic Analysis'!C672),"Unknown",'[1]2.Diagnostic Analysis'!C672)</f>
        <v>South</v>
      </c>
      <c r="D672" t="s">
        <v>17</v>
      </c>
      <c r="E672" t="s">
        <v>18</v>
      </c>
      <c r="F672">
        <f>IF(ISBLANK('[1]2.Diagnostic Analysis'!D672),'[1]2.Diagnostic Analysis'!$Q$3,'[1]2.Diagnostic Analysis'!D672)</f>
        <v>68</v>
      </c>
      <c r="G672">
        <v>100</v>
      </c>
      <c r="H672">
        <v>2</v>
      </c>
      <c r="I672">
        <v>200</v>
      </c>
      <c r="J672">
        <v>11.73</v>
      </c>
      <c r="K672" s="2">
        <v>45082</v>
      </c>
      <c r="L672" t="str">
        <f>IF(ISBLANK('[1]2.Diagnostic Analysis'!K672),"Unknown",'[1]2.Diagnostic Analysis'!K672)</f>
        <v>Unknown</v>
      </c>
    </row>
    <row r="673" spans="1:12" x14ac:dyDescent="0.25">
      <c r="A673" t="s">
        <v>136</v>
      </c>
      <c r="B673" t="s">
        <v>13</v>
      </c>
      <c r="C673" t="str">
        <f>IF(ISBLANK('[1]2.Diagnostic Analysis'!C673),"Unknown",'[1]2.Diagnostic Analysis'!C673)</f>
        <v>West</v>
      </c>
      <c r="D673" t="s">
        <v>30</v>
      </c>
      <c r="E673" t="s">
        <v>18</v>
      </c>
      <c r="F673">
        <f>IF(ISBLANK('[1]2.Diagnostic Analysis'!D673),'[1]2.Diagnostic Analysis'!$Q$3,'[1]2.Diagnostic Analysis'!D673)</f>
        <v>37</v>
      </c>
      <c r="G673">
        <v>30</v>
      </c>
      <c r="H673">
        <v>3</v>
      </c>
      <c r="I673">
        <v>90</v>
      </c>
      <c r="J673">
        <v>13.86</v>
      </c>
      <c r="K673" s="2">
        <v>45216</v>
      </c>
      <c r="L673" t="str">
        <f>IF(ISBLANK('[1]2.Diagnostic Analysis'!K673),"Unknown",'[1]2.Diagnostic Analysis'!K673)</f>
        <v>Delivered</v>
      </c>
    </row>
    <row r="674" spans="1:12" x14ac:dyDescent="0.25">
      <c r="A674" t="s">
        <v>290</v>
      </c>
      <c r="B674" t="s">
        <v>13</v>
      </c>
      <c r="C674" t="str">
        <f>IF(ISBLANK('[1]2.Diagnostic Analysis'!C674),"Unknown",'[1]2.Diagnostic Analysis'!C674)</f>
        <v>North</v>
      </c>
      <c r="D674" t="s">
        <v>30</v>
      </c>
      <c r="E674" t="s">
        <v>18</v>
      </c>
      <c r="F674">
        <f>IF(ISBLANK('[1]2.Diagnostic Analysis'!D674),'[1]2.Diagnostic Analysis'!$Q$3,'[1]2.Diagnostic Analysis'!D674)</f>
        <v>22</v>
      </c>
      <c r="G674">
        <v>30</v>
      </c>
      <c r="H674">
        <v>5</v>
      </c>
      <c r="I674">
        <v>150</v>
      </c>
      <c r="J674">
        <v>18.22</v>
      </c>
      <c r="K674" s="2">
        <v>44951</v>
      </c>
      <c r="L674" t="str">
        <f>IF(ISBLANK('[1]2.Diagnostic Analysis'!K674),"Unknown",'[1]2.Diagnostic Analysis'!K674)</f>
        <v>Returned</v>
      </c>
    </row>
    <row r="675" spans="1:12" x14ac:dyDescent="0.25">
      <c r="A675" t="s">
        <v>119</v>
      </c>
      <c r="B675" t="s">
        <v>13</v>
      </c>
      <c r="C675" t="str">
        <f>IF(ISBLANK('[1]2.Diagnostic Analysis'!C675),"Unknown",'[1]2.Diagnostic Analysis'!C675)</f>
        <v>Unknown</v>
      </c>
      <c r="D675" t="s">
        <v>14</v>
      </c>
      <c r="E675" t="s">
        <v>15</v>
      </c>
      <c r="F675">
        <f>IF(ISBLANK('[1]2.Diagnostic Analysis'!D675),'[1]2.Diagnostic Analysis'!$Q$3,'[1]2.Diagnostic Analysis'!D675)</f>
        <v>18</v>
      </c>
      <c r="G675">
        <v>300</v>
      </c>
      <c r="H675">
        <v>2</v>
      </c>
      <c r="I675">
        <v>600</v>
      </c>
      <c r="J675">
        <v>8.33</v>
      </c>
      <c r="K675" s="2">
        <v>44936</v>
      </c>
      <c r="L675" t="str">
        <f>IF(ISBLANK('[1]2.Diagnostic Analysis'!K675),"Unknown",'[1]2.Diagnostic Analysis'!K675)</f>
        <v>In Transit</v>
      </c>
    </row>
    <row r="676" spans="1:12" x14ac:dyDescent="0.25">
      <c r="A676" t="s">
        <v>221</v>
      </c>
      <c r="B676" t="s">
        <v>20</v>
      </c>
      <c r="C676" t="str">
        <f>IF(ISBLANK('[1]2.Diagnostic Analysis'!C676),"Unknown",'[1]2.Diagnostic Analysis'!C676)</f>
        <v>West</v>
      </c>
      <c r="D676" t="s">
        <v>23</v>
      </c>
      <c r="E676" t="s">
        <v>15</v>
      </c>
      <c r="F676">
        <f>IF(ISBLANK('[1]2.Diagnostic Analysis'!D676),'[1]2.Diagnostic Analysis'!$Q$3,'[1]2.Diagnostic Analysis'!D676)</f>
        <v>49</v>
      </c>
      <c r="G676">
        <v>1500</v>
      </c>
      <c r="H676">
        <v>3</v>
      </c>
      <c r="I676">
        <v>4500</v>
      </c>
      <c r="J676">
        <v>6.86</v>
      </c>
      <c r="K676" s="2">
        <v>45287</v>
      </c>
      <c r="L676" t="str">
        <f>IF(ISBLANK('[1]2.Diagnostic Analysis'!K676),"Unknown",'[1]2.Diagnostic Analysis'!K676)</f>
        <v>In Transit</v>
      </c>
    </row>
    <row r="677" spans="1:12" x14ac:dyDescent="0.25">
      <c r="A677" t="s">
        <v>289</v>
      </c>
      <c r="B677" t="s">
        <v>13</v>
      </c>
      <c r="C677" t="str">
        <f>IF(ISBLANK('[1]2.Diagnostic Analysis'!C677),"Unknown",'[1]2.Diagnostic Analysis'!C677)</f>
        <v>South</v>
      </c>
      <c r="D677" t="s">
        <v>29</v>
      </c>
      <c r="E677" t="s">
        <v>18</v>
      </c>
      <c r="F677">
        <f>IF(ISBLANK('[1]2.Diagnostic Analysis'!D677),'[1]2.Diagnostic Analysis'!$Q$3,'[1]2.Diagnostic Analysis'!D677)</f>
        <v>49</v>
      </c>
      <c r="G677">
        <v>50</v>
      </c>
      <c r="H677">
        <v>5</v>
      </c>
      <c r="I677">
        <v>250</v>
      </c>
      <c r="J677">
        <v>9.8699999999999992</v>
      </c>
      <c r="K677" s="2">
        <v>45233</v>
      </c>
      <c r="L677" t="str">
        <f>IF(ISBLANK('[1]2.Diagnostic Analysis'!K677),"Unknown",'[1]2.Diagnostic Analysis'!K677)</f>
        <v>Returned</v>
      </c>
    </row>
    <row r="678" spans="1:12" x14ac:dyDescent="0.25">
      <c r="A678" t="s">
        <v>282</v>
      </c>
      <c r="B678" t="s">
        <v>13</v>
      </c>
      <c r="C678" t="str">
        <f>IF(ISBLANK('[1]2.Diagnostic Analysis'!C678),"Unknown",'[1]2.Diagnostic Analysis'!C678)</f>
        <v>West</v>
      </c>
      <c r="D678" t="s">
        <v>25</v>
      </c>
      <c r="E678" t="s">
        <v>26</v>
      </c>
      <c r="F678">
        <f>IF(ISBLANK('[1]2.Diagnostic Analysis'!D678),'[1]2.Diagnostic Analysis'!$Q$3,'[1]2.Diagnostic Analysis'!D678)</f>
        <v>49</v>
      </c>
      <c r="G678">
        <v>200</v>
      </c>
      <c r="H678">
        <v>2</v>
      </c>
      <c r="I678">
        <v>400</v>
      </c>
      <c r="J678">
        <v>8.0500000000000007</v>
      </c>
      <c r="K678" s="2">
        <v>45026</v>
      </c>
      <c r="L678" t="str">
        <f>IF(ISBLANK('[1]2.Diagnostic Analysis'!K678),"Unknown",'[1]2.Diagnostic Analysis'!K678)</f>
        <v>In Transit</v>
      </c>
    </row>
    <row r="679" spans="1:12" x14ac:dyDescent="0.25">
      <c r="A679" t="s">
        <v>262</v>
      </c>
      <c r="B679" t="s">
        <v>13</v>
      </c>
      <c r="C679" t="str">
        <f>IF(ISBLANK('[1]2.Diagnostic Analysis'!C679),"Unknown",'[1]2.Diagnostic Analysis'!C679)</f>
        <v>North</v>
      </c>
      <c r="D679" t="s">
        <v>25</v>
      </c>
      <c r="E679" t="s">
        <v>26</v>
      </c>
      <c r="F679">
        <f>IF(ISBLANK('[1]2.Diagnostic Analysis'!D679),'[1]2.Diagnostic Analysis'!$Q$3,'[1]2.Diagnostic Analysis'!D679)</f>
        <v>40</v>
      </c>
      <c r="G679">
        <v>200</v>
      </c>
      <c r="H679">
        <v>4</v>
      </c>
      <c r="I679">
        <v>800</v>
      </c>
      <c r="J679">
        <v>11.68</v>
      </c>
      <c r="K679" s="2">
        <v>45287</v>
      </c>
      <c r="L679" t="str">
        <f>IF(ISBLANK('[1]2.Diagnostic Analysis'!K679),"Unknown",'[1]2.Diagnostic Analysis'!K679)</f>
        <v>Delivered</v>
      </c>
    </row>
    <row r="680" spans="1:12" x14ac:dyDescent="0.25">
      <c r="A680" t="s">
        <v>22</v>
      </c>
      <c r="B680" t="s">
        <v>13</v>
      </c>
      <c r="C680" t="str">
        <f>IF(ISBLANK('[1]2.Diagnostic Analysis'!C680),"Unknown",'[1]2.Diagnostic Analysis'!C680)</f>
        <v>South</v>
      </c>
      <c r="D680" t="s">
        <v>23</v>
      </c>
      <c r="E680" t="s">
        <v>15</v>
      </c>
      <c r="F680">
        <f>IF(ISBLANK('[1]2.Diagnostic Analysis'!D680),'[1]2.Diagnostic Analysis'!$Q$3,'[1]2.Diagnostic Analysis'!D680)</f>
        <v>65</v>
      </c>
      <c r="G680">
        <v>1500</v>
      </c>
      <c r="H680">
        <v>3</v>
      </c>
      <c r="I680">
        <v>4500</v>
      </c>
      <c r="J680">
        <v>13.18</v>
      </c>
      <c r="K680" s="2">
        <v>45282</v>
      </c>
      <c r="L680" t="str">
        <f>IF(ISBLANK('[1]2.Diagnostic Analysis'!K680),"Unknown",'[1]2.Diagnostic Analysis'!K680)</f>
        <v>In Transit</v>
      </c>
    </row>
    <row r="681" spans="1:12" x14ac:dyDescent="0.25">
      <c r="A681" t="s">
        <v>47</v>
      </c>
      <c r="B681" t="s">
        <v>20</v>
      </c>
      <c r="C681" t="str">
        <f>IF(ISBLANK('[1]2.Diagnostic Analysis'!C681),"Unknown",'[1]2.Diagnostic Analysis'!C681)</f>
        <v>East</v>
      </c>
      <c r="D681" t="s">
        <v>40</v>
      </c>
      <c r="E681" t="s">
        <v>15</v>
      </c>
      <c r="F681">
        <f>IF(ISBLANK('[1]2.Diagnostic Analysis'!D681),'[1]2.Diagnostic Analysis'!$Q$3,'[1]2.Diagnostic Analysis'!D681)</f>
        <v>57</v>
      </c>
      <c r="G681">
        <v>800</v>
      </c>
      <c r="H681">
        <v>2</v>
      </c>
      <c r="I681">
        <v>1600</v>
      </c>
      <c r="J681">
        <v>9.01</v>
      </c>
      <c r="K681" s="2">
        <v>45238</v>
      </c>
      <c r="L681" t="str">
        <f>IF(ISBLANK('[1]2.Diagnostic Analysis'!K681),"Unknown",'[1]2.Diagnostic Analysis'!K681)</f>
        <v>In Transit</v>
      </c>
    </row>
    <row r="682" spans="1:12" x14ac:dyDescent="0.25">
      <c r="A682" t="s">
        <v>199</v>
      </c>
      <c r="B682" t="s">
        <v>20</v>
      </c>
      <c r="C682" t="str">
        <f>IF(ISBLANK('[1]2.Diagnostic Analysis'!C682),"Unknown",'[1]2.Diagnostic Analysis'!C682)</f>
        <v>South</v>
      </c>
      <c r="D682" t="s">
        <v>17</v>
      </c>
      <c r="E682" t="s">
        <v>18</v>
      </c>
      <c r="F682">
        <f>IF(ISBLANK('[1]2.Diagnostic Analysis'!D682),'[1]2.Diagnostic Analysis'!$Q$3,'[1]2.Diagnostic Analysis'!D682)</f>
        <v>50</v>
      </c>
      <c r="G682">
        <v>100</v>
      </c>
      <c r="H682">
        <v>3</v>
      </c>
      <c r="I682">
        <v>300</v>
      </c>
      <c r="J682">
        <v>17.63</v>
      </c>
      <c r="K682" s="2">
        <v>45267</v>
      </c>
      <c r="L682" t="str">
        <f>IF(ISBLANK('[1]2.Diagnostic Analysis'!K682),"Unknown",'[1]2.Diagnostic Analysis'!K682)</f>
        <v>Delivered</v>
      </c>
    </row>
    <row r="683" spans="1:12" x14ac:dyDescent="0.25">
      <c r="A683" t="s">
        <v>267</v>
      </c>
      <c r="B683" t="s">
        <v>13</v>
      </c>
      <c r="C683" t="str">
        <f>IF(ISBLANK('[1]2.Diagnostic Analysis'!C683),"Unknown",'[1]2.Diagnostic Analysis'!C683)</f>
        <v>West</v>
      </c>
      <c r="D683" t="s">
        <v>14</v>
      </c>
      <c r="E683" t="s">
        <v>15</v>
      </c>
      <c r="F683">
        <f>IF(ISBLANK('[1]2.Diagnostic Analysis'!D683),'[1]2.Diagnostic Analysis'!$Q$3,'[1]2.Diagnostic Analysis'!D683)</f>
        <v>19</v>
      </c>
      <c r="G683">
        <v>300</v>
      </c>
      <c r="H683">
        <v>1</v>
      </c>
      <c r="I683">
        <v>300</v>
      </c>
      <c r="J683">
        <v>7.48</v>
      </c>
      <c r="K683" s="2">
        <v>44991</v>
      </c>
      <c r="L683" t="str">
        <f>IF(ISBLANK('[1]2.Diagnostic Analysis'!K683),"Unknown",'[1]2.Diagnostic Analysis'!K683)</f>
        <v>In Transit</v>
      </c>
    </row>
    <row r="684" spans="1:12" x14ac:dyDescent="0.25">
      <c r="A684" t="s">
        <v>214</v>
      </c>
      <c r="B684" t="s">
        <v>13</v>
      </c>
      <c r="C684" t="str">
        <f>IF(ISBLANK('[1]2.Diagnostic Analysis'!C684),"Unknown",'[1]2.Diagnostic Analysis'!C684)</f>
        <v>South</v>
      </c>
      <c r="D684" t="s">
        <v>30</v>
      </c>
      <c r="E684" t="s">
        <v>18</v>
      </c>
      <c r="F684">
        <f>IF(ISBLANK('[1]2.Diagnostic Analysis'!D684),'[1]2.Diagnostic Analysis'!$Q$3,'[1]2.Diagnostic Analysis'!D684)</f>
        <v>49</v>
      </c>
      <c r="G684">
        <v>30</v>
      </c>
      <c r="H684">
        <v>1</v>
      </c>
      <c r="I684">
        <v>30</v>
      </c>
      <c r="J684">
        <v>6.7</v>
      </c>
      <c r="K684" s="2">
        <v>45053</v>
      </c>
      <c r="L684" t="str">
        <f>IF(ISBLANK('[1]2.Diagnostic Analysis'!K684),"Unknown",'[1]2.Diagnostic Analysis'!K684)</f>
        <v>In Transit</v>
      </c>
    </row>
    <row r="685" spans="1:12" x14ac:dyDescent="0.25">
      <c r="A685" t="s">
        <v>48</v>
      </c>
      <c r="B685" t="s">
        <v>20</v>
      </c>
      <c r="C685" t="str">
        <f>IF(ISBLANK('[1]2.Diagnostic Analysis'!C685),"Unknown",'[1]2.Diagnostic Analysis'!C685)</f>
        <v>South</v>
      </c>
      <c r="D685" t="s">
        <v>30</v>
      </c>
      <c r="E685" t="s">
        <v>18</v>
      </c>
      <c r="F685">
        <f>IF(ISBLANK('[1]2.Diagnostic Analysis'!D685),'[1]2.Diagnostic Analysis'!$Q$3,'[1]2.Diagnostic Analysis'!D685)</f>
        <v>49</v>
      </c>
      <c r="G685">
        <v>30</v>
      </c>
      <c r="H685">
        <v>5</v>
      </c>
      <c r="I685">
        <v>150</v>
      </c>
      <c r="J685">
        <v>14.88</v>
      </c>
      <c r="K685" s="2">
        <v>45267</v>
      </c>
      <c r="L685" t="str">
        <f>IF(ISBLANK('[1]2.Diagnostic Analysis'!K685),"Unknown",'[1]2.Diagnostic Analysis'!K685)</f>
        <v>Delivered</v>
      </c>
    </row>
    <row r="686" spans="1:12" x14ac:dyDescent="0.25">
      <c r="A686" t="s">
        <v>266</v>
      </c>
      <c r="B686" t="s">
        <v>20</v>
      </c>
      <c r="C686" t="str">
        <f>IF(ISBLANK('[1]2.Diagnostic Analysis'!C686),"Unknown",'[1]2.Diagnostic Analysis'!C686)</f>
        <v>South</v>
      </c>
      <c r="D686" t="s">
        <v>40</v>
      </c>
      <c r="E686" t="s">
        <v>15</v>
      </c>
      <c r="F686">
        <f>IF(ISBLANK('[1]2.Diagnostic Analysis'!D686),'[1]2.Diagnostic Analysis'!$Q$3,'[1]2.Diagnostic Analysis'!D686)</f>
        <v>55</v>
      </c>
      <c r="G686">
        <v>800</v>
      </c>
      <c r="H686">
        <v>4</v>
      </c>
      <c r="I686">
        <v>3200</v>
      </c>
      <c r="J686">
        <v>8.31</v>
      </c>
      <c r="K686" s="2">
        <v>45182</v>
      </c>
      <c r="L686" t="str">
        <f>IF(ISBLANK('[1]2.Diagnostic Analysis'!K686),"Unknown",'[1]2.Diagnostic Analysis'!K686)</f>
        <v>Returned</v>
      </c>
    </row>
    <row r="687" spans="1:12" x14ac:dyDescent="0.25">
      <c r="A687" t="s">
        <v>38</v>
      </c>
      <c r="B687" t="s">
        <v>20</v>
      </c>
      <c r="C687" t="str">
        <f>IF(ISBLANK('[1]2.Diagnostic Analysis'!C687),"Unknown",'[1]2.Diagnostic Analysis'!C687)</f>
        <v>Unknown</v>
      </c>
      <c r="D687" t="s">
        <v>40</v>
      </c>
      <c r="E687" t="s">
        <v>15</v>
      </c>
      <c r="F687">
        <f>IF(ISBLANK('[1]2.Diagnostic Analysis'!D687),'[1]2.Diagnostic Analysis'!$Q$3,'[1]2.Diagnostic Analysis'!D687)</f>
        <v>57</v>
      </c>
      <c r="G687">
        <v>800</v>
      </c>
      <c r="H687">
        <v>3</v>
      </c>
      <c r="I687">
        <v>2400</v>
      </c>
      <c r="J687">
        <v>19.61</v>
      </c>
      <c r="K687" s="2">
        <v>45291</v>
      </c>
      <c r="L687" t="str">
        <f>IF(ISBLANK('[1]2.Diagnostic Analysis'!K687),"Unknown",'[1]2.Diagnostic Analysis'!K687)</f>
        <v>Returned</v>
      </c>
    </row>
    <row r="688" spans="1:12" x14ac:dyDescent="0.25">
      <c r="A688" t="s">
        <v>95</v>
      </c>
      <c r="B688" t="s">
        <v>20</v>
      </c>
      <c r="C688" t="str">
        <f>IF(ISBLANK('[1]2.Diagnostic Analysis'!C688),"Unknown",'[1]2.Diagnostic Analysis'!C688)</f>
        <v>South</v>
      </c>
      <c r="D688" t="s">
        <v>29</v>
      </c>
      <c r="E688" t="s">
        <v>18</v>
      </c>
      <c r="F688">
        <f>IF(ISBLANK('[1]2.Diagnostic Analysis'!D688),'[1]2.Diagnostic Analysis'!$Q$3,'[1]2.Diagnostic Analysis'!D688)</f>
        <v>33</v>
      </c>
      <c r="G688">
        <v>50</v>
      </c>
      <c r="H688">
        <v>2</v>
      </c>
      <c r="I688">
        <v>100</v>
      </c>
      <c r="J688">
        <v>16.28</v>
      </c>
      <c r="K688" s="2">
        <v>45036</v>
      </c>
      <c r="L688" t="str">
        <f>IF(ISBLANK('[1]2.Diagnostic Analysis'!K688),"Unknown",'[1]2.Diagnostic Analysis'!K688)</f>
        <v>Returned</v>
      </c>
    </row>
    <row r="689" spans="1:12" x14ac:dyDescent="0.25">
      <c r="A689" t="s">
        <v>291</v>
      </c>
      <c r="B689" t="s">
        <v>20</v>
      </c>
      <c r="C689" t="str">
        <f>IF(ISBLANK('[1]2.Diagnostic Analysis'!C689),"Unknown",'[1]2.Diagnostic Analysis'!C689)</f>
        <v>North</v>
      </c>
      <c r="D689" t="s">
        <v>14</v>
      </c>
      <c r="E689" t="s">
        <v>15</v>
      </c>
      <c r="F689">
        <f>IF(ISBLANK('[1]2.Diagnostic Analysis'!D689),'[1]2.Diagnostic Analysis'!$Q$3,'[1]2.Diagnostic Analysis'!D689)</f>
        <v>53</v>
      </c>
      <c r="G689">
        <v>300</v>
      </c>
      <c r="H689">
        <v>4</v>
      </c>
      <c r="I689">
        <v>1200</v>
      </c>
      <c r="J689">
        <v>10.58</v>
      </c>
      <c r="K689" s="2">
        <v>45016</v>
      </c>
      <c r="L689" t="str">
        <f>IF(ISBLANK('[1]2.Diagnostic Analysis'!K689),"Unknown",'[1]2.Diagnostic Analysis'!K689)</f>
        <v>Unknown</v>
      </c>
    </row>
    <row r="690" spans="1:12" x14ac:dyDescent="0.25">
      <c r="A690" t="s">
        <v>282</v>
      </c>
      <c r="B690" t="s">
        <v>13</v>
      </c>
      <c r="C690" t="str">
        <f>IF(ISBLANK('[1]2.Diagnostic Analysis'!C690),"Unknown",'[1]2.Diagnostic Analysis'!C690)</f>
        <v>East</v>
      </c>
      <c r="D690" t="s">
        <v>14</v>
      </c>
      <c r="E690" t="s">
        <v>15</v>
      </c>
      <c r="F690">
        <f>IF(ISBLANK('[1]2.Diagnostic Analysis'!D690),'[1]2.Diagnostic Analysis'!$Q$3,'[1]2.Diagnostic Analysis'!D690)</f>
        <v>46</v>
      </c>
      <c r="G690">
        <v>300</v>
      </c>
      <c r="H690">
        <v>4</v>
      </c>
      <c r="I690">
        <v>1200</v>
      </c>
      <c r="J690">
        <v>19.38</v>
      </c>
      <c r="K690" s="2">
        <v>45250</v>
      </c>
      <c r="L690" t="str">
        <f>IF(ISBLANK('[1]2.Diagnostic Analysis'!K690),"Unknown",'[1]2.Diagnostic Analysis'!K690)</f>
        <v>In Transit</v>
      </c>
    </row>
    <row r="691" spans="1:12" x14ac:dyDescent="0.25">
      <c r="A691" t="s">
        <v>135</v>
      </c>
      <c r="B691" t="s">
        <v>20</v>
      </c>
      <c r="C691" t="str">
        <f>IF(ISBLANK('[1]2.Diagnostic Analysis'!C691),"Unknown",'[1]2.Diagnostic Analysis'!C691)</f>
        <v>West</v>
      </c>
      <c r="D691" t="s">
        <v>30</v>
      </c>
      <c r="E691" t="s">
        <v>18</v>
      </c>
      <c r="F691">
        <f>IF(ISBLANK('[1]2.Diagnostic Analysis'!D691),'[1]2.Diagnostic Analysis'!$Q$3,'[1]2.Diagnostic Analysis'!D691)</f>
        <v>54</v>
      </c>
      <c r="G691">
        <v>30</v>
      </c>
      <c r="H691">
        <v>3</v>
      </c>
      <c r="I691">
        <v>90</v>
      </c>
      <c r="J691">
        <v>14.77</v>
      </c>
      <c r="K691" s="2">
        <v>45269</v>
      </c>
      <c r="L691" t="str">
        <f>IF(ISBLANK('[1]2.Diagnostic Analysis'!K691),"Unknown",'[1]2.Diagnostic Analysis'!K691)</f>
        <v>In Transit</v>
      </c>
    </row>
    <row r="692" spans="1:12" x14ac:dyDescent="0.25">
      <c r="A692" t="s">
        <v>292</v>
      </c>
      <c r="B692" t="s">
        <v>13</v>
      </c>
      <c r="C692" t="str">
        <f>IF(ISBLANK('[1]2.Diagnostic Analysis'!C692),"Unknown",'[1]2.Diagnostic Analysis'!C692)</f>
        <v>West</v>
      </c>
      <c r="D692" t="s">
        <v>25</v>
      </c>
      <c r="E692" t="s">
        <v>26</v>
      </c>
      <c r="F692">
        <f>IF(ISBLANK('[1]2.Diagnostic Analysis'!D692),'[1]2.Diagnostic Analysis'!$Q$3,'[1]2.Diagnostic Analysis'!D692)</f>
        <v>41</v>
      </c>
      <c r="G692">
        <v>200</v>
      </c>
      <c r="H692">
        <v>1</v>
      </c>
      <c r="I692">
        <v>200</v>
      </c>
      <c r="J692">
        <v>13.72</v>
      </c>
      <c r="K692" s="2">
        <v>45083</v>
      </c>
      <c r="L692" t="str">
        <f>IF(ISBLANK('[1]2.Diagnostic Analysis'!K692),"Unknown",'[1]2.Diagnostic Analysis'!K692)</f>
        <v>In Transit</v>
      </c>
    </row>
    <row r="693" spans="1:12" x14ac:dyDescent="0.25">
      <c r="A693" t="s">
        <v>146</v>
      </c>
      <c r="B693" t="s">
        <v>13</v>
      </c>
      <c r="C693" t="str">
        <f>IF(ISBLANK('[1]2.Diagnostic Analysis'!C693),"Unknown",'[1]2.Diagnostic Analysis'!C693)</f>
        <v>West</v>
      </c>
      <c r="D693" t="s">
        <v>30</v>
      </c>
      <c r="E693" t="s">
        <v>18</v>
      </c>
      <c r="F693">
        <f>IF(ISBLANK('[1]2.Diagnostic Analysis'!D693),'[1]2.Diagnostic Analysis'!$Q$3,'[1]2.Diagnostic Analysis'!D693)</f>
        <v>68</v>
      </c>
      <c r="G693">
        <v>30</v>
      </c>
      <c r="H693">
        <v>5</v>
      </c>
      <c r="I693">
        <v>150</v>
      </c>
      <c r="J693">
        <v>16.66</v>
      </c>
      <c r="K693" s="2">
        <v>45272</v>
      </c>
      <c r="L693" t="str">
        <f>IF(ISBLANK('[1]2.Diagnostic Analysis'!K693),"Unknown",'[1]2.Diagnostic Analysis'!K693)</f>
        <v>In Transit</v>
      </c>
    </row>
    <row r="694" spans="1:12" x14ac:dyDescent="0.25">
      <c r="A694" t="s">
        <v>38</v>
      </c>
      <c r="B694" t="s">
        <v>13</v>
      </c>
      <c r="C694" t="str">
        <f>IF(ISBLANK('[1]2.Diagnostic Analysis'!C694),"Unknown",'[1]2.Diagnostic Analysis'!C694)</f>
        <v>West</v>
      </c>
      <c r="D694" t="s">
        <v>23</v>
      </c>
      <c r="E694" t="s">
        <v>15</v>
      </c>
      <c r="F694">
        <f>IF(ISBLANK('[1]2.Diagnostic Analysis'!D694),'[1]2.Diagnostic Analysis'!$Q$3,'[1]2.Diagnostic Analysis'!D694)</f>
        <v>57</v>
      </c>
      <c r="G694">
        <v>1500</v>
      </c>
      <c r="H694">
        <v>5</v>
      </c>
      <c r="I694">
        <v>7500</v>
      </c>
      <c r="J694">
        <v>8.19</v>
      </c>
      <c r="K694" s="2">
        <v>45137</v>
      </c>
      <c r="L694" t="str">
        <f>IF(ISBLANK('[1]2.Diagnostic Analysis'!K694),"Unknown",'[1]2.Diagnostic Analysis'!K694)</f>
        <v>In Transit</v>
      </c>
    </row>
    <row r="695" spans="1:12" x14ac:dyDescent="0.25">
      <c r="A695" t="s">
        <v>230</v>
      </c>
      <c r="B695" t="s">
        <v>13</v>
      </c>
      <c r="C695" t="str">
        <f>IF(ISBLANK('[1]2.Diagnostic Analysis'!C695),"Unknown",'[1]2.Diagnostic Analysis'!C695)</f>
        <v>West</v>
      </c>
      <c r="D695" t="s">
        <v>17</v>
      </c>
      <c r="E695" t="s">
        <v>18</v>
      </c>
      <c r="F695">
        <f>IF(ISBLANK('[1]2.Diagnostic Analysis'!D695),'[1]2.Diagnostic Analysis'!$Q$3,'[1]2.Diagnostic Analysis'!D695)</f>
        <v>42</v>
      </c>
      <c r="G695">
        <v>100</v>
      </c>
      <c r="H695">
        <v>5</v>
      </c>
      <c r="I695">
        <v>500</v>
      </c>
      <c r="J695">
        <v>5.43</v>
      </c>
      <c r="K695" s="2">
        <v>45223</v>
      </c>
      <c r="L695" t="str">
        <f>IF(ISBLANK('[1]2.Diagnostic Analysis'!K695),"Unknown",'[1]2.Diagnostic Analysis'!K695)</f>
        <v>Delivered</v>
      </c>
    </row>
    <row r="696" spans="1:12" x14ac:dyDescent="0.25">
      <c r="A696" t="s">
        <v>204</v>
      </c>
      <c r="B696" t="s">
        <v>13</v>
      </c>
      <c r="C696" t="str">
        <f>IF(ISBLANK('[1]2.Diagnostic Analysis'!C696),"Unknown",'[1]2.Diagnostic Analysis'!C696)</f>
        <v>East</v>
      </c>
      <c r="D696" t="s">
        <v>25</v>
      </c>
      <c r="E696" t="s">
        <v>26</v>
      </c>
      <c r="F696">
        <f>IF(ISBLANK('[1]2.Diagnostic Analysis'!D696),'[1]2.Diagnostic Analysis'!$Q$3,'[1]2.Diagnostic Analysis'!D696)</f>
        <v>69</v>
      </c>
      <c r="G696">
        <v>200</v>
      </c>
      <c r="H696">
        <v>5</v>
      </c>
      <c r="I696">
        <v>1000</v>
      </c>
      <c r="J696">
        <v>7.71</v>
      </c>
      <c r="K696" s="2">
        <v>45224</v>
      </c>
      <c r="L696" t="str">
        <f>IF(ISBLANK('[1]2.Diagnostic Analysis'!K696),"Unknown",'[1]2.Diagnostic Analysis'!K696)</f>
        <v>In Transit</v>
      </c>
    </row>
    <row r="697" spans="1:12" x14ac:dyDescent="0.25">
      <c r="A697" t="s">
        <v>293</v>
      </c>
      <c r="B697" t="s">
        <v>13</v>
      </c>
      <c r="C697" t="str">
        <f>IF(ISBLANK('[1]2.Diagnostic Analysis'!C697),"Unknown",'[1]2.Diagnostic Analysis'!C697)</f>
        <v>South</v>
      </c>
      <c r="D697" t="s">
        <v>29</v>
      </c>
      <c r="E697" t="s">
        <v>18</v>
      </c>
      <c r="F697">
        <f>IF(ISBLANK('[1]2.Diagnostic Analysis'!D697),'[1]2.Diagnostic Analysis'!$Q$3,'[1]2.Diagnostic Analysis'!D697)</f>
        <v>49</v>
      </c>
      <c r="G697">
        <v>50</v>
      </c>
      <c r="H697">
        <v>2</v>
      </c>
      <c r="I697">
        <v>100</v>
      </c>
      <c r="J697">
        <v>13.53</v>
      </c>
      <c r="K697" s="2">
        <v>45120</v>
      </c>
      <c r="L697" t="str">
        <f>IF(ISBLANK('[1]2.Diagnostic Analysis'!K697),"Unknown",'[1]2.Diagnostic Analysis'!K697)</f>
        <v>In Transit</v>
      </c>
    </row>
    <row r="698" spans="1:12" x14ac:dyDescent="0.25">
      <c r="A698" t="s">
        <v>53</v>
      </c>
      <c r="B698" t="s">
        <v>13</v>
      </c>
      <c r="C698" t="str">
        <f>IF(ISBLANK('[1]2.Diagnostic Analysis'!C698),"Unknown",'[1]2.Diagnostic Analysis'!C698)</f>
        <v>North</v>
      </c>
      <c r="D698" t="s">
        <v>29</v>
      </c>
      <c r="E698" t="s">
        <v>18</v>
      </c>
      <c r="F698">
        <f>IF(ISBLANK('[1]2.Diagnostic Analysis'!D698),'[1]2.Diagnostic Analysis'!$Q$3,'[1]2.Diagnostic Analysis'!D698)</f>
        <v>49</v>
      </c>
      <c r="G698">
        <v>50</v>
      </c>
      <c r="H698">
        <v>3</v>
      </c>
      <c r="I698">
        <v>150</v>
      </c>
      <c r="J698">
        <v>6.88</v>
      </c>
      <c r="K698" s="2">
        <v>45074</v>
      </c>
      <c r="L698" t="str">
        <f>IF(ISBLANK('[1]2.Diagnostic Analysis'!K698),"Unknown",'[1]2.Diagnostic Analysis'!K698)</f>
        <v>Returned</v>
      </c>
    </row>
    <row r="699" spans="1:12" x14ac:dyDescent="0.25">
      <c r="A699" t="s">
        <v>88</v>
      </c>
      <c r="B699" t="s">
        <v>13</v>
      </c>
      <c r="C699" t="str">
        <f>IF(ISBLANK('[1]2.Diagnostic Analysis'!C699),"Unknown",'[1]2.Diagnostic Analysis'!C699)</f>
        <v>South</v>
      </c>
      <c r="D699" t="s">
        <v>14</v>
      </c>
      <c r="E699" t="s">
        <v>15</v>
      </c>
      <c r="F699">
        <f>IF(ISBLANK('[1]2.Diagnostic Analysis'!D699),'[1]2.Diagnostic Analysis'!$Q$3,'[1]2.Diagnostic Analysis'!D699)</f>
        <v>50</v>
      </c>
      <c r="G699">
        <v>300</v>
      </c>
      <c r="H699">
        <v>5</v>
      </c>
      <c r="I699">
        <v>1500</v>
      </c>
      <c r="J699">
        <v>8.08</v>
      </c>
      <c r="K699" s="2">
        <v>45294</v>
      </c>
      <c r="L699" t="str">
        <f>IF(ISBLANK('[1]2.Diagnostic Analysis'!K699),"Unknown",'[1]2.Diagnostic Analysis'!K699)</f>
        <v>Returned</v>
      </c>
    </row>
    <row r="700" spans="1:12" x14ac:dyDescent="0.25">
      <c r="A700" t="s">
        <v>133</v>
      </c>
      <c r="B700" t="s">
        <v>20</v>
      </c>
      <c r="C700" t="str">
        <f>IF(ISBLANK('[1]2.Diagnostic Analysis'!C700),"Unknown",'[1]2.Diagnostic Analysis'!C700)</f>
        <v>East</v>
      </c>
      <c r="D700" t="s">
        <v>14</v>
      </c>
      <c r="E700" t="s">
        <v>15</v>
      </c>
      <c r="F700">
        <f>IF(ISBLANK('[1]2.Diagnostic Analysis'!D700),'[1]2.Diagnostic Analysis'!$Q$3,'[1]2.Diagnostic Analysis'!D700)</f>
        <v>41</v>
      </c>
      <c r="G700">
        <v>300</v>
      </c>
      <c r="H700">
        <v>1</v>
      </c>
      <c r="I700">
        <v>300</v>
      </c>
      <c r="J700">
        <v>16.71</v>
      </c>
      <c r="K700" s="2">
        <v>45210</v>
      </c>
      <c r="L700" t="str">
        <f>IF(ISBLANK('[1]2.Diagnostic Analysis'!K700),"Unknown",'[1]2.Diagnostic Analysis'!K700)</f>
        <v>Delivered</v>
      </c>
    </row>
    <row r="701" spans="1:12" x14ac:dyDescent="0.25">
      <c r="A701" t="s">
        <v>193</v>
      </c>
      <c r="B701" t="s">
        <v>20</v>
      </c>
      <c r="C701" t="str">
        <f>IF(ISBLANK('[1]2.Diagnostic Analysis'!C701),"Unknown",'[1]2.Diagnostic Analysis'!C701)</f>
        <v>South</v>
      </c>
      <c r="D701" t="s">
        <v>14</v>
      </c>
      <c r="E701" t="s">
        <v>15</v>
      </c>
      <c r="F701">
        <f>IF(ISBLANK('[1]2.Diagnostic Analysis'!D701),'[1]2.Diagnostic Analysis'!$Q$3,'[1]2.Diagnostic Analysis'!D701)</f>
        <v>49</v>
      </c>
      <c r="G701">
        <v>300</v>
      </c>
      <c r="H701">
        <v>3</v>
      </c>
      <c r="I701">
        <v>900</v>
      </c>
      <c r="J701">
        <v>14.38</v>
      </c>
      <c r="K701" s="2">
        <v>44985</v>
      </c>
      <c r="L701" t="str">
        <f>IF(ISBLANK('[1]2.Diagnostic Analysis'!K701),"Unknown",'[1]2.Diagnostic Analysis'!K701)</f>
        <v>Returned</v>
      </c>
    </row>
    <row r="702" spans="1:12" x14ac:dyDescent="0.25">
      <c r="A702" t="s">
        <v>68</v>
      </c>
      <c r="B702" t="s">
        <v>13</v>
      </c>
      <c r="C702" t="str">
        <f>IF(ISBLANK('[1]2.Diagnostic Analysis'!C702),"Unknown",'[1]2.Diagnostic Analysis'!C702)</f>
        <v>North</v>
      </c>
      <c r="D702" t="s">
        <v>25</v>
      </c>
      <c r="E702" t="s">
        <v>26</v>
      </c>
      <c r="F702">
        <f>IF(ISBLANK('[1]2.Diagnostic Analysis'!D702),'[1]2.Diagnostic Analysis'!$Q$3,'[1]2.Diagnostic Analysis'!D702)</f>
        <v>44</v>
      </c>
      <c r="G702">
        <v>200</v>
      </c>
      <c r="H702">
        <v>3</v>
      </c>
      <c r="I702">
        <v>600</v>
      </c>
      <c r="J702">
        <v>11.82</v>
      </c>
      <c r="K702" s="2">
        <v>45034</v>
      </c>
      <c r="L702" t="str">
        <f>IF(ISBLANK('[1]2.Diagnostic Analysis'!K702),"Unknown",'[1]2.Diagnostic Analysis'!K702)</f>
        <v>Delivered</v>
      </c>
    </row>
    <row r="703" spans="1:12" x14ac:dyDescent="0.25">
      <c r="A703" t="s">
        <v>55</v>
      </c>
      <c r="B703" t="s">
        <v>13</v>
      </c>
      <c r="C703" t="str">
        <f>IF(ISBLANK('[1]2.Diagnostic Analysis'!C703),"Unknown",'[1]2.Diagnostic Analysis'!C703)</f>
        <v>South</v>
      </c>
      <c r="D703" t="s">
        <v>40</v>
      </c>
      <c r="E703" t="s">
        <v>15</v>
      </c>
      <c r="F703">
        <f>IF(ISBLANK('[1]2.Diagnostic Analysis'!D703),'[1]2.Diagnostic Analysis'!$Q$3,'[1]2.Diagnostic Analysis'!D703)</f>
        <v>58</v>
      </c>
      <c r="G703">
        <v>800</v>
      </c>
      <c r="H703">
        <v>2</v>
      </c>
      <c r="I703">
        <v>1600</v>
      </c>
      <c r="J703">
        <v>12.94</v>
      </c>
      <c r="K703" s="2">
        <v>45241</v>
      </c>
      <c r="L703" t="str">
        <f>IF(ISBLANK('[1]2.Diagnostic Analysis'!K703),"Unknown",'[1]2.Diagnostic Analysis'!K703)</f>
        <v>Returned</v>
      </c>
    </row>
    <row r="704" spans="1:12" x14ac:dyDescent="0.25">
      <c r="A704" t="s">
        <v>63</v>
      </c>
      <c r="B704" t="s">
        <v>13</v>
      </c>
      <c r="C704" t="str">
        <f>IF(ISBLANK('[1]2.Diagnostic Analysis'!C704),"Unknown",'[1]2.Diagnostic Analysis'!C704)</f>
        <v>West</v>
      </c>
      <c r="D704" t="s">
        <v>23</v>
      </c>
      <c r="E704" t="s">
        <v>15</v>
      </c>
      <c r="F704">
        <f>IF(ISBLANK('[1]2.Diagnostic Analysis'!D704),'[1]2.Diagnostic Analysis'!$Q$3,'[1]2.Diagnostic Analysis'!D704)</f>
        <v>61</v>
      </c>
      <c r="G704">
        <v>3109.5606124866499</v>
      </c>
      <c r="H704">
        <v>1</v>
      </c>
      <c r="I704">
        <v>1500</v>
      </c>
      <c r="J704">
        <v>18.37</v>
      </c>
      <c r="K704" s="2">
        <v>45170</v>
      </c>
      <c r="L704" t="str">
        <f>IF(ISBLANK('[1]2.Diagnostic Analysis'!K704),"Unknown",'[1]2.Diagnostic Analysis'!K704)</f>
        <v>In Transit</v>
      </c>
    </row>
    <row r="705" spans="1:12" x14ac:dyDescent="0.25">
      <c r="A705" t="s">
        <v>102</v>
      </c>
      <c r="B705" t="s">
        <v>20</v>
      </c>
      <c r="C705" t="str">
        <f>IF(ISBLANK('[1]2.Diagnostic Analysis'!C705),"Unknown",'[1]2.Diagnostic Analysis'!C705)</f>
        <v>West</v>
      </c>
      <c r="D705" t="s">
        <v>30</v>
      </c>
      <c r="E705" t="s">
        <v>18</v>
      </c>
      <c r="F705">
        <f>IF(ISBLANK('[1]2.Diagnostic Analysis'!D705),'[1]2.Diagnostic Analysis'!$Q$3,'[1]2.Diagnostic Analysis'!D705)</f>
        <v>30</v>
      </c>
      <c r="G705">
        <v>30</v>
      </c>
      <c r="H705">
        <v>3</v>
      </c>
      <c r="I705">
        <v>90</v>
      </c>
      <c r="J705">
        <v>11.78</v>
      </c>
      <c r="K705" s="2">
        <v>45152</v>
      </c>
      <c r="L705" t="str">
        <f>IF(ISBLANK('[1]2.Diagnostic Analysis'!K705),"Unknown",'[1]2.Diagnostic Analysis'!K705)</f>
        <v>Returned</v>
      </c>
    </row>
    <row r="706" spans="1:12" x14ac:dyDescent="0.25">
      <c r="A706" t="s">
        <v>110</v>
      </c>
      <c r="B706" t="s">
        <v>20</v>
      </c>
      <c r="C706" t="str">
        <f>IF(ISBLANK('[1]2.Diagnostic Analysis'!C706),"Unknown",'[1]2.Diagnostic Analysis'!C706)</f>
        <v>East</v>
      </c>
      <c r="D706" t="s">
        <v>23</v>
      </c>
      <c r="E706" t="s">
        <v>15</v>
      </c>
      <c r="F706">
        <f>IF(ISBLANK('[1]2.Diagnostic Analysis'!D706),'[1]2.Diagnostic Analysis'!$Q$3,'[1]2.Diagnostic Analysis'!D706)</f>
        <v>38</v>
      </c>
      <c r="G706">
        <v>1500</v>
      </c>
      <c r="H706">
        <v>3</v>
      </c>
      <c r="I706">
        <v>4500</v>
      </c>
      <c r="J706">
        <v>7.52</v>
      </c>
      <c r="K706" s="2">
        <v>44960</v>
      </c>
      <c r="L706" t="str">
        <f>IF(ISBLANK('[1]2.Diagnostic Analysis'!K706),"Unknown",'[1]2.Diagnostic Analysis'!K706)</f>
        <v>Delivered</v>
      </c>
    </row>
    <row r="707" spans="1:12" x14ac:dyDescent="0.25">
      <c r="A707" t="s">
        <v>294</v>
      </c>
      <c r="B707" t="s">
        <v>20</v>
      </c>
      <c r="C707" t="str">
        <f>IF(ISBLANK('[1]2.Diagnostic Analysis'!C707),"Unknown",'[1]2.Diagnostic Analysis'!C707)</f>
        <v>Unknown</v>
      </c>
      <c r="D707" t="s">
        <v>30</v>
      </c>
      <c r="E707" t="s">
        <v>18</v>
      </c>
      <c r="F707">
        <f>IF(ISBLANK('[1]2.Diagnostic Analysis'!D707),'[1]2.Diagnostic Analysis'!$Q$3,'[1]2.Diagnostic Analysis'!D707)</f>
        <v>49</v>
      </c>
      <c r="G707">
        <v>30</v>
      </c>
      <c r="H707">
        <v>2</v>
      </c>
      <c r="I707">
        <v>60</v>
      </c>
      <c r="J707">
        <v>17.46</v>
      </c>
      <c r="K707" s="2">
        <v>44962</v>
      </c>
      <c r="L707" t="str">
        <f>IF(ISBLANK('[1]2.Diagnostic Analysis'!K707),"Unknown",'[1]2.Diagnostic Analysis'!K707)</f>
        <v>Delivered</v>
      </c>
    </row>
    <row r="708" spans="1:12" x14ac:dyDescent="0.25">
      <c r="A708" t="s">
        <v>294</v>
      </c>
      <c r="B708" t="s">
        <v>13</v>
      </c>
      <c r="C708" t="str">
        <f>IF(ISBLANK('[1]2.Diagnostic Analysis'!C708),"Unknown",'[1]2.Diagnostic Analysis'!C708)</f>
        <v>South</v>
      </c>
      <c r="D708" t="s">
        <v>14</v>
      </c>
      <c r="E708" t="s">
        <v>15</v>
      </c>
      <c r="F708">
        <f>IF(ISBLANK('[1]2.Diagnostic Analysis'!D708),'[1]2.Diagnostic Analysis'!$Q$3,'[1]2.Diagnostic Analysis'!D708)</f>
        <v>49</v>
      </c>
      <c r="G708">
        <v>300</v>
      </c>
      <c r="H708">
        <v>3</v>
      </c>
      <c r="I708">
        <v>900</v>
      </c>
      <c r="J708">
        <v>17.940000000000001</v>
      </c>
      <c r="K708" s="2">
        <v>44946</v>
      </c>
      <c r="L708" t="str">
        <f>IF(ISBLANK('[1]2.Diagnostic Analysis'!K708),"Unknown",'[1]2.Diagnostic Analysis'!K708)</f>
        <v>Unknown</v>
      </c>
    </row>
    <row r="709" spans="1:12" x14ac:dyDescent="0.25">
      <c r="A709" t="s">
        <v>295</v>
      </c>
      <c r="B709" t="s">
        <v>13</v>
      </c>
      <c r="C709" t="str">
        <f>IF(ISBLANK('[1]2.Diagnostic Analysis'!C709),"Unknown",'[1]2.Diagnostic Analysis'!C709)</f>
        <v>West</v>
      </c>
      <c r="D709" t="s">
        <v>40</v>
      </c>
      <c r="E709" t="s">
        <v>15</v>
      </c>
      <c r="F709">
        <f>IF(ISBLANK('[1]2.Diagnostic Analysis'!D709),'[1]2.Diagnostic Analysis'!$Q$3,'[1]2.Diagnostic Analysis'!D709)</f>
        <v>49</v>
      </c>
      <c r="G709">
        <v>800</v>
      </c>
      <c r="H709">
        <v>3</v>
      </c>
      <c r="I709">
        <v>2400</v>
      </c>
      <c r="J709">
        <v>10.5</v>
      </c>
      <c r="K709" s="2">
        <v>44975</v>
      </c>
      <c r="L709" t="str">
        <f>IF(ISBLANK('[1]2.Diagnostic Analysis'!K709),"Unknown",'[1]2.Diagnostic Analysis'!K709)</f>
        <v>Delivered</v>
      </c>
    </row>
    <row r="710" spans="1:12" x14ac:dyDescent="0.25">
      <c r="A710" t="s">
        <v>145</v>
      </c>
      <c r="B710" t="s">
        <v>20</v>
      </c>
      <c r="C710" t="str">
        <f>IF(ISBLANK('[1]2.Diagnostic Analysis'!C710),"Unknown",'[1]2.Diagnostic Analysis'!C710)</f>
        <v>South</v>
      </c>
      <c r="D710" t="s">
        <v>14</v>
      </c>
      <c r="E710" t="s">
        <v>15</v>
      </c>
      <c r="F710">
        <f>IF(ISBLANK('[1]2.Diagnostic Analysis'!D710),'[1]2.Diagnostic Analysis'!$Q$3,'[1]2.Diagnostic Analysis'!D710)</f>
        <v>30</v>
      </c>
      <c r="G710">
        <v>300</v>
      </c>
      <c r="H710">
        <v>1</v>
      </c>
      <c r="I710">
        <v>300</v>
      </c>
      <c r="J710">
        <v>14.91</v>
      </c>
      <c r="K710" s="2">
        <v>45136</v>
      </c>
      <c r="L710" t="str">
        <f>IF(ISBLANK('[1]2.Diagnostic Analysis'!K710),"Unknown",'[1]2.Diagnostic Analysis'!K710)</f>
        <v>In Transit</v>
      </c>
    </row>
    <row r="711" spans="1:12" x14ac:dyDescent="0.25">
      <c r="A711" t="s">
        <v>93</v>
      </c>
      <c r="B711" t="s">
        <v>20</v>
      </c>
      <c r="C711" t="str">
        <f>IF(ISBLANK('[1]2.Diagnostic Analysis'!C711),"Unknown",'[1]2.Diagnostic Analysis'!C711)</f>
        <v>East</v>
      </c>
      <c r="D711" t="s">
        <v>23</v>
      </c>
      <c r="E711" t="s">
        <v>15</v>
      </c>
      <c r="F711">
        <f>IF(ISBLANK('[1]2.Diagnostic Analysis'!D711),'[1]2.Diagnostic Analysis'!$Q$3,'[1]2.Diagnostic Analysis'!D711)</f>
        <v>47</v>
      </c>
      <c r="G711">
        <v>1500</v>
      </c>
      <c r="H711">
        <v>3</v>
      </c>
      <c r="I711">
        <v>4500</v>
      </c>
      <c r="J711">
        <v>15.5</v>
      </c>
      <c r="K711" s="2">
        <v>45132</v>
      </c>
      <c r="L711" t="str">
        <f>IF(ISBLANK('[1]2.Diagnostic Analysis'!K711),"Unknown",'[1]2.Diagnostic Analysis'!K711)</f>
        <v>Delivered</v>
      </c>
    </row>
    <row r="712" spans="1:12" x14ac:dyDescent="0.25">
      <c r="A712" t="s">
        <v>71</v>
      </c>
      <c r="B712" t="s">
        <v>13</v>
      </c>
      <c r="C712" t="str">
        <f>IF(ISBLANK('[1]2.Diagnostic Analysis'!C712),"Unknown",'[1]2.Diagnostic Analysis'!C712)</f>
        <v>East</v>
      </c>
      <c r="D712" t="s">
        <v>14</v>
      </c>
      <c r="E712" t="s">
        <v>15</v>
      </c>
      <c r="F712">
        <f>IF(ISBLANK('[1]2.Diagnostic Analysis'!D712),'[1]2.Diagnostic Analysis'!$Q$3,'[1]2.Diagnostic Analysis'!D712)</f>
        <v>68</v>
      </c>
      <c r="G712">
        <v>300</v>
      </c>
      <c r="H712">
        <v>3</v>
      </c>
      <c r="I712">
        <v>900</v>
      </c>
      <c r="J712">
        <v>16.440000000000001</v>
      </c>
      <c r="K712" s="2">
        <v>45276</v>
      </c>
      <c r="L712" t="str">
        <f>IF(ISBLANK('[1]2.Diagnostic Analysis'!K712),"Unknown",'[1]2.Diagnostic Analysis'!K712)</f>
        <v>Delivered</v>
      </c>
    </row>
    <row r="713" spans="1:12" x14ac:dyDescent="0.25">
      <c r="A713" t="s">
        <v>214</v>
      </c>
      <c r="B713" t="s">
        <v>13</v>
      </c>
      <c r="C713" t="str">
        <f>IF(ISBLANK('[1]2.Diagnostic Analysis'!C713),"Unknown",'[1]2.Diagnostic Analysis'!C713)</f>
        <v>West</v>
      </c>
      <c r="D713" t="s">
        <v>23</v>
      </c>
      <c r="E713" t="s">
        <v>15</v>
      </c>
      <c r="F713">
        <f>IF(ISBLANK('[1]2.Diagnostic Analysis'!D713),'[1]2.Diagnostic Analysis'!$Q$3,'[1]2.Diagnostic Analysis'!D713)</f>
        <v>67</v>
      </c>
      <c r="G713">
        <v>1500</v>
      </c>
      <c r="H713">
        <v>2</v>
      </c>
      <c r="I713">
        <v>3000</v>
      </c>
      <c r="J713">
        <v>13.04</v>
      </c>
      <c r="K713" s="2">
        <v>45015</v>
      </c>
      <c r="L713" t="str">
        <f>IF(ISBLANK('[1]2.Diagnostic Analysis'!K713),"Unknown",'[1]2.Diagnostic Analysis'!K713)</f>
        <v>Returned</v>
      </c>
    </row>
    <row r="714" spans="1:12" x14ac:dyDescent="0.25">
      <c r="A714" t="s">
        <v>99</v>
      </c>
      <c r="B714" t="s">
        <v>13</v>
      </c>
      <c r="C714" t="str">
        <f>IF(ISBLANK('[1]2.Diagnostic Analysis'!C714),"Unknown",'[1]2.Diagnostic Analysis'!C714)</f>
        <v>East</v>
      </c>
      <c r="D714" t="s">
        <v>17</v>
      </c>
      <c r="E714" t="s">
        <v>18</v>
      </c>
      <c r="F714">
        <f>IF(ISBLANK('[1]2.Diagnostic Analysis'!D714),'[1]2.Diagnostic Analysis'!$Q$3,'[1]2.Diagnostic Analysis'!D714)</f>
        <v>19</v>
      </c>
      <c r="G714">
        <v>100</v>
      </c>
      <c r="H714">
        <v>2</v>
      </c>
      <c r="I714">
        <v>200</v>
      </c>
      <c r="J714">
        <v>14.11</v>
      </c>
      <c r="K714" s="2">
        <v>44948</v>
      </c>
      <c r="L714" t="str">
        <f>IF(ISBLANK('[1]2.Diagnostic Analysis'!K714),"Unknown",'[1]2.Diagnostic Analysis'!K714)</f>
        <v>Returned</v>
      </c>
    </row>
    <row r="715" spans="1:12" x14ac:dyDescent="0.25">
      <c r="A715" t="s">
        <v>65</v>
      </c>
      <c r="B715" t="s">
        <v>13</v>
      </c>
      <c r="C715" t="str">
        <f>IF(ISBLANK('[1]2.Diagnostic Analysis'!C715),"Unknown",'[1]2.Diagnostic Analysis'!C715)</f>
        <v>North</v>
      </c>
      <c r="D715" t="s">
        <v>14</v>
      </c>
      <c r="E715" t="s">
        <v>15</v>
      </c>
      <c r="F715">
        <f>IF(ISBLANK('[1]2.Diagnostic Analysis'!D715),'[1]2.Diagnostic Analysis'!$Q$3,'[1]2.Diagnostic Analysis'!D715)</f>
        <v>38</v>
      </c>
      <c r="G715">
        <v>300</v>
      </c>
      <c r="H715">
        <v>2</v>
      </c>
      <c r="I715">
        <v>600</v>
      </c>
      <c r="J715">
        <v>5.79</v>
      </c>
      <c r="K715" s="2">
        <v>44945</v>
      </c>
      <c r="L715" t="str">
        <f>IF(ISBLANK('[1]2.Diagnostic Analysis'!K715),"Unknown",'[1]2.Diagnostic Analysis'!K715)</f>
        <v>Returned</v>
      </c>
    </row>
    <row r="716" spans="1:12" x14ac:dyDescent="0.25">
      <c r="A716" t="s">
        <v>236</v>
      </c>
      <c r="B716" t="s">
        <v>13</v>
      </c>
      <c r="C716" t="str">
        <f>IF(ISBLANK('[1]2.Diagnostic Analysis'!C716),"Unknown",'[1]2.Diagnostic Analysis'!C716)</f>
        <v>South</v>
      </c>
      <c r="D716" t="s">
        <v>25</v>
      </c>
      <c r="E716" t="s">
        <v>26</v>
      </c>
      <c r="F716">
        <f>IF(ISBLANK('[1]2.Diagnostic Analysis'!D716),'[1]2.Diagnostic Analysis'!$Q$3,'[1]2.Diagnostic Analysis'!D716)</f>
        <v>57</v>
      </c>
      <c r="G716">
        <v>200</v>
      </c>
      <c r="H716">
        <v>4</v>
      </c>
      <c r="I716">
        <v>800</v>
      </c>
      <c r="J716">
        <v>13.93</v>
      </c>
      <c r="K716" s="2">
        <v>45273</v>
      </c>
      <c r="L716" t="str">
        <f>IF(ISBLANK('[1]2.Diagnostic Analysis'!K716),"Unknown",'[1]2.Diagnostic Analysis'!K716)</f>
        <v>Delivered</v>
      </c>
    </row>
    <row r="717" spans="1:12" x14ac:dyDescent="0.25">
      <c r="A717" t="s">
        <v>70</v>
      </c>
      <c r="B717" t="s">
        <v>13</v>
      </c>
      <c r="C717" t="str">
        <f>IF(ISBLANK('[1]2.Diagnostic Analysis'!C717),"Unknown",'[1]2.Diagnostic Analysis'!C717)</f>
        <v>South</v>
      </c>
      <c r="D717" t="s">
        <v>40</v>
      </c>
      <c r="E717" t="s">
        <v>15</v>
      </c>
      <c r="F717">
        <f>IF(ISBLANK('[1]2.Diagnostic Analysis'!D717),'[1]2.Diagnostic Analysis'!$Q$3,'[1]2.Diagnostic Analysis'!D717)</f>
        <v>23</v>
      </c>
      <c r="G717">
        <v>800</v>
      </c>
      <c r="H717">
        <v>1</v>
      </c>
      <c r="I717">
        <v>800</v>
      </c>
      <c r="J717">
        <v>6.7</v>
      </c>
      <c r="K717" s="2">
        <v>45113</v>
      </c>
      <c r="L717" t="str">
        <f>IF(ISBLANK('[1]2.Diagnostic Analysis'!K717),"Unknown",'[1]2.Diagnostic Analysis'!K717)</f>
        <v>Unknown</v>
      </c>
    </row>
    <row r="718" spans="1:12" x14ac:dyDescent="0.25">
      <c r="A718" t="s">
        <v>186</v>
      </c>
      <c r="B718" t="s">
        <v>20</v>
      </c>
      <c r="C718" t="str">
        <f>IF(ISBLANK('[1]2.Diagnostic Analysis'!C718),"Unknown",'[1]2.Diagnostic Analysis'!C718)</f>
        <v>West</v>
      </c>
      <c r="D718" t="s">
        <v>14</v>
      </c>
      <c r="E718" t="s">
        <v>15</v>
      </c>
      <c r="F718">
        <f>IF(ISBLANK('[1]2.Diagnostic Analysis'!D718),'[1]2.Diagnostic Analysis'!$Q$3,'[1]2.Diagnostic Analysis'!D718)</f>
        <v>40</v>
      </c>
      <c r="G718">
        <v>300</v>
      </c>
      <c r="H718">
        <v>1</v>
      </c>
      <c r="I718">
        <v>300</v>
      </c>
      <c r="J718">
        <v>11.65</v>
      </c>
      <c r="K718" s="2">
        <v>45129</v>
      </c>
      <c r="L718" t="str">
        <f>IF(ISBLANK('[1]2.Diagnostic Analysis'!K718),"Unknown",'[1]2.Diagnostic Analysis'!K718)</f>
        <v>Delivered</v>
      </c>
    </row>
    <row r="719" spans="1:12" x14ac:dyDescent="0.25">
      <c r="A719" t="s">
        <v>165</v>
      </c>
      <c r="B719" t="s">
        <v>20</v>
      </c>
      <c r="C719" t="str">
        <f>IF(ISBLANK('[1]2.Diagnostic Analysis'!C719),"Unknown",'[1]2.Diagnostic Analysis'!C719)</f>
        <v>North</v>
      </c>
      <c r="D719" t="s">
        <v>29</v>
      </c>
      <c r="E719" t="s">
        <v>18</v>
      </c>
      <c r="F719">
        <f>IF(ISBLANK('[1]2.Diagnostic Analysis'!D719),'[1]2.Diagnostic Analysis'!$Q$3,'[1]2.Diagnostic Analysis'!D719)</f>
        <v>66</v>
      </c>
      <c r="G719">
        <v>50</v>
      </c>
      <c r="H719">
        <v>4</v>
      </c>
      <c r="I719">
        <v>200</v>
      </c>
      <c r="J719">
        <v>14.49</v>
      </c>
      <c r="K719" s="2">
        <v>45083</v>
      </c>
      <c r="L719" t="str">
        <f>IF(ISBLANK('[1]2.Diagnostic Analysis'!K719),"Unknown",'[1]2.Diagnostic Analysis'!K719)</f>
        <v>Delivered</v>
      </c>
    </row>
    <row r="720" spans="1:12" x14ac:dyDescent="0.25">
      <c r="A720" t="s">
        <v>184</v>
      </c>
      <c r="B720" t="s">
        <v>13</v>
      </c>
      <c r="C720" t="str">
        <f>IF(ISBLANK('[1]2.Diagnostic Analysis'!C720),"Unknown",'[1]2.Diagnostic Analysis'!C720)</f>
        <v>North</v>
      </c>
      <c r="D720" t="s">
        <v>14</v>
      </c>
      <c r="E720" t="s">
        <v>15</v>
      </c>
      <c r="F720">
        <f>IF(ISBLANK('[1]2.Diagnostic Analysis'!D720),'[1]2.Diagnostic Analysis'!$Q$3,'[1]2.Diagnostic Analysis'!D720)</f>
        <v>51</v>
      </c>
      <c r="G720">
        <v>300</v>
      </c>
      <c r="H720">
        <v>5</v>
      </c>
      <c r="I720">
        <v>1500</v>
      </c>
      <c r="J720">
        <v>14.23</v>
      </c>
      <c r="K720" s="2">
        <v>45141</v>
      </c>
      <c r="L720" t="str">
        <f>IF(ISBLANK('[1]2.Diagnostic Analysis'!K720),"Unknown",'[1]2.Diagnostic Analysis'!K720)</f>
        <v>In Transit</v>
      </c>
    </row>
    <row r="721" spans="1:12" x14ac:dyDescent="0.25">
      <c r="A721" t="s">
        <v>173</v>
      </c>
      <c r="B721" t="s">
        <v>13</v>
      </c>
      <c r="C721" t="str">
        <f>IF(ISBLANK('[1]2.Diagnostic Analysis'!C721),"Unknown",'[1]2.Diagnostic Analysis'!C721)</f>
        <v>North</v>
      </c>
      <c r="D721" t="s">
        <v>14</v>
      </c>
      <c r="E721" t="s">
        <v>15</v>
      </c>
      <c r="F721">
        <f>IF(ISBLANK('[1]2.Diagnostic Analysis'!D721),'[1]2.Diagnostic Analysis'!$Q$3,'[1]2.Diagnostic Analysis'!D721)</f>
        <v>60</v>
      </c>
      <c r="G721">
        <v>300</v>
      </c>
      <c r="H721">
        <v>2</v>
      </c>
      <c r="I721">
        <v>600</v>
      </c>
      <c r="J721">
        <v>15.88</v>
      </c>
      <c r="K721" s="2">
        <v>44938</v>
      </c>
      <c r="L721" t="str">
        <f>IF(ISBLANK('[1]2.Diagnostic Analysis'!K721),"Unknown",'[1]2.Diagnostic Analysis'!K721)</f>
        <v>In Transit</v>
      </c>
    </row>
    <row r="722" spans="1:12" x14ac:dyDescent="0.25">
      <c r="A722" t="s">
        <v>222</v>
      </c>
      <c r="B722" t="s">
        <v>13</v>
      </c>
      <c r="C722" t="str">
        <f>IF(ISBLANK('[1]2.Diagnostic Analysis'!C722),"Unknown",'[1]2.Diagnostic Analysis'!C722)</f>
        <v>East</v>
      </c>
      <c r="D722" t="s">
        <v>29</v>
      </c>
      <c r="E722" t="s">
        <v>18</v>
      </c>
      <c r="F722">
        <f>IF(ISBLANK('[1]2.Diagnostic Analysis'!D722),'[1]2.Diagnostic Analysis'!$Q$3,'[1]2.Diagnostic Analysis'!D722)</f>
        <v>67</v>
      </c>
      <c r="G722">
        <v>50</v>
      </c>
      <c r="H722">
        <v>1</v>
      </c>
      <c r="I722">
        <v>50</v>
      </c>
      <c r="J722">
        <v>19.41</v>
      </c>
      <c r="K722" s="2">
        <v>45136</v>
      </c>
      <c r="L722" t="str">
        <f>IF(ISBLANK('[1]2.Diagnostic Analysis'!K722),"Unknown",'[1]2.Diagnostic Analysis'!K722)</f>
        <v>In Transit</v>
      </c>
    </row>
    <row r="723" spans="1:12" x14ac:dyDescent="0.25">
      <c r="A723" t="s">
        <v>193</v>
      </c>
      <c r="B723" t="s">
        <v>13</v>
      </c>
      <c r="C723" t="str">
        <f>IF(ISBLANK('[1]2.Diagnostic Analysis'!C723),"Unknown",'[1]2.Diagnostic Analysis'!C723)</f>
        <v>Unknown</v>
      </c>
      <c r="D723" t="s">
        <v>40</v>
      </c>
      <c r="E723" t="s">
        <v>15</v>
      </c>
      <c r="F723">
        <f>IF(ISBLANK('[1]2.Diagnostic Analysis'!D723),'[1]2.Diagnostic Analysis'!$Q$3,'[1]2.Diagnostic Analysis'!D723)</f>
        <v>52</v>
      </c>
      <c r="G723">
        <v>800</v>
      </c>
      <c r="H723">
        <v>4</v>
      </c>
      <c r="I723">
        <v>3200</v>
      </c>
      <c r="J723">
        <v>15.79</v>
      </c>
      <c r="K723" s="2">
        <v>45158</v>
      </c>
      <c r="L723" t="str">
        <f>IF(ISBLANK('[1]2.Diagnostic Analysis'!K723),"Unknown",'[1]2.Diagnostic Analysis'!K723)</f>
        <v>In Transit</v>
      </c>
    </row>
    <row r="724" spans="1:12" x14ac:dyDescent="0.25">
      <c r="A724" t="s">
        <v>90</v>
      </c>
      <c r="B724" t="s">
        <v>13</v>
      </c>
      <c r="C724" t="str">
        <f>IF(ISBLANK('[1]2.Diagnostic Analysis'!C724),"Unknown",'[1]2.Diagnostic Analysis'!C724)</f>
        <v>West</v>
      </c>
      <c r="D724" t="s">
        <v>30</v>
      </c>
      <c r="E724" t="s">
        <v>18</v>
      </c>
      <c r="F724">
        <f>IF(ISBLANK('[1]2.Diagnostic Analysis'!D724),'[1]2.Diagnostic Analysis'!$Q$3,'[1]2.Diagnostic Analysis'!D724)</f>
        <v>50</v>
      </c>
      <c r="G724">
        <v>30</v>
      </c>
      <c r="H724">
        <v>4</v>
      </c>
      <c r="I724">
        <v>120</v>
      </c>
      <c r="J724">
        <v>17.84</v>
      </c>
      <c r="K724" s="2">
        <v>44994</v>
      </c>
      <c r="L724" t="str">
        <f>IF(ISBLANK('[1]2.Diagnostic Analysis'!K724),"Unknown",'[1]2.Diagnostic Analysis'!K724)</f>
        <v>Returned</v>
      </c>
    </row>
    <row r="725" spans="1:12" x14ac:dyDescent="0.25">
      <c r="A725" t="s">
        <v>64</v>
      </c>
      <c r="B725" t="s">
        <v>13</v>
      </c>
      <c r="C725" t="str">
        <f>IF(ISBLANK('[1]2.Diagnostic Analysis'!C725),"Unknown",'[1]2.Diagnostic Analysis'!C725)</f>
        <v>South</v>
      </c>
      <c r="D725" t="s">
        <v>25</v>
      </c>
      <c r="E725" t="s">
        <v>26</v>
      </c>
      <c r="F725">
        <f>IF(ISBLANK('[1]2.Diagnostic Analysis'!D725),'[1]2.Diagnostic Analysis'!$Q$3,'[1]2.Diagnostic Analysis'!D725)</f>
        <v>19</v>
      </c>
      <c r="G725">
        <v>200</v>
      </c>
      <c r="H725">
        <v>3</v>
      </c>
      <c r="I725">
        <v>600</v>
      </c>
      <c r="J725">
        <v>10.07</v>
      </c>
      <c r="K725" s="2">
        <v>45248</v>
      </c>
      <c r="L725" t="str">
        <f>IF(ISBLANK('[1]2.Diagnostic Analysis'!K725),"Unknown",'[1]2.Diagnostic Analysis'!K725)</f>
        <v>In Transit</v>
      </c>
    </row>
    <row r="726" spans="1:12" x14ac:dyDescent="0.25">
      <c r="A726" t="s">
        <v>22</v>
      </c>
      <c r="B726" t="s">
        <v>13</v>
      </c>
      <c r="C726" t="str">
        <f>IF(ISBLANK('[1]2.Diagnostic Analysis'!C726),"Unknown",'[1]2.Diagnostic Analysis'!C726)</f>
        <v>West</v>
      </c>
      <c r="D726" t="s">
        <v>30</v>
      </c>
      <c r="E726" t="s">
        <v>18</v>
      </c>
      <c r="F726">
        <f>IF(ISBLANK('[1]2.Diagnostic Analysis'!D726),'[1]2.Diagnostic Analysis'!$Q$3,'[1]2.Diagnostic Analysis'!D726)</f>
        <v>65</v>
      </c>
      <c r="G726">
        <v>30</v>
      </c>
      <c r="H726">
        <v>5</v>
      </c>
      <c r="I726">
        <v>150</v>
      </c>
      <c r="J726">
        <v>15.11</v>
      </c>
      <c r="K726" s="2">
        <v>45169</v>
      </c>
      <c r="L726" t="str">
        <f>IF(ISBLANK('[1]2.Diagnostic Analysis'!K726),"Unknown",'[1]2.Diagnostic Analysis'!K726)</f>
        <v>Delivered</v>
      </c>
    </row>
    <row r="727" spans="1:12" x14ac:dyDescent="0.25">
      <c r="A727" t="s">
        <v>83</v>
      </c>
      <c r="B727" t="s">
        <v>20</v>
      </c>
      <c r="C727" t="str">
        <f>IF(ISBLANK('[1]2.Diagnostic Analysis'!C727),"Unknown",'[1]2.Diagnostic Analysis'!C727)</f>
        <v>East</v>
      </c>
      <c r="D727" t="s">
        <v>14</v>
      </c>
      <c r="E727" t="s">
        <v>15</v>
      </c>
      <c r="F727">
        <f>IF(ISBLANK('[1]2.Diagnostic Analysis'!D727),'[1]2.Diagnostic Analysis'!$Q$3,'[1]2.Diagnostic Analysis'!D727)</f>
        <v>36</v>
      </c>
      <c r="G727">
        <v>300</v>
      </c>
      <c r="H727">
        <v>4</v>
      </c>
      <c r="I727">
        <v>1200</v>
      </c>
      <c r="J727">
        <v>11.23</v>
      </c>
      <c r="K727" s="2">
        <v>45155</v>
      </c>
      <c r="L727" t="str">
        <f>IF(ISBLANK('[1]2.Diagnostic Analysis'!K727),"Unknown",'[1]2.Diagnostic Analysis'!K727)</f>
        <v>In Transit</v>
      </c>
    </row>
    <row r="728" spans="1:12" x14ac:dyDescent="0.25">
      <c r="A728" t="s">
        <v>251</v>
      </c>
      <c r="B728" t="s">
        <v>13</v>
      </c>
      <c r="C728" t="str">
        <f>IF(ISBLANK('[1]2.Diagnostic Analysis'!C728),"Unknown",'[1]2.Diagnostic Analysis'!C728)</f>
        <v>South</v>
      </c>
      <c r="D728" t="s">
        <v>29</v>
      </c>
      <c r="E728" t="s">
        <v>18</v>
      </c>
      <c r="F728">
        <f>IF(ISBLANK('[1]2.Diagnostic Analysis'!D728),'[1]2.Diagnostic Analysis'!$Q$3,'[1]2.Diagnostic Analysis'!D728)</f>
        <v>51</v>
      </c>
      <c r="G728">
        <v>50</v>
      </c>
      <c r="H728">
        <v>5</v>
      </c>
      <c r="I728">
        <v>250</v>
      </c>
      <c r="J728">
        <v>15.38</v>
      </c>
      <c r="K728" s="2">
        <v>45145</v>
      </c>
      <c r="L728" t="str">
        <f>IF(ISBLANK('[1]2.Diagnostic Analysis'!K728),"Unknown",'[1]2.Diagnostic Analysis'!K728)</f>
        <v>Returned</v>
      </c>
    </row>
    <row r="729" spans="1:12" x14ac:dyDescent="0.25">
      <c r="A729" t="s">
        <v>296</v>
      </c>
      <c r="B729" t="s">
        <v>20</v>
      </c>
      <c r="C729" t="str">
        <f>IF(ISBLANK('[1]2.Diagnostic Analysis'!C729),"Unknown",'[1]2.Diagnostic Analysis'!C729)</f>
        <v>East</v>
      </c>
      <c r="D729" t="s">
        <v>29</v>
      </c>
      <c r="E729" t="s">
        <v>18</v>
      </c>
      <c r="F729">
        <f>IF(ISBLANK('[1]2.Diagnostic Analysis'!D729),'[1]2.Diagnostic Analysis'!$Q$3,'[1]2.Diagnostic Analysis'!D729)</f>
        <v>65</v>
      </c>
      <c r="G729">
        <v>50</v>
      </c>
      <c r="H729">
        <v>3</v>
      </c>
      <c r="I729">
        <v>150</v>
      </c>
      <c r="J729">
        <v>10.84</v>
      </c>
      <c r="K729" s="2">
        <v>45247</v>
      </c>
      <c r="L729" t="str">
        <f>IF(ISBLANK('[1]2.Diagnostic Analysis'!K729),"Unknown",'[1]2.Diagnostic Analysis'!K729)</f>
        <v>Unknown</v>
      </c>
    </row>
    <row r="730" spans="1:12" x14ac:dyDescent="0.25">
      <c r="A730" t="s">
        <v>238</v>
      </c>
      <c r="B730" t="s">
        <v>20</v>
      </c>
      <c r="C730" t="str">
        <f>IF(ISBLANK('[1]2.Diagnostic Analysis'!C730),"Unknown",'[1]2.Diagnostic Analysis'!C730)</f>
        <v>South</v>
      </c>
      <c r="D730" t="s">
        <v>14</v>
      </c>
      <c r="E730" t="s">
        <v>15</v>
      </c>
      <c r="F730">
        <f>IF(ISBLANK('[1]2.Diagnostic Analysis'!D730),'[1]2.Diagnostic Analysis'!$Q$3,'[1]2.Diagnostic Analysis'!D730)</f>
        <v>58</v>
      </c>
      <c r="G730">
        <v>300</v>
      </c>
      <c r="H730">
        <v>4</v>
      </c>
      <c r="I730">
        <v>1200</v>
      </c>
      <c r="J730">
        <v>13.4</v>
      </c>
      <c r="K730" s="2">
        <v>45016</v>
      </c>
      <c r="L730" t="str">
        <f>IF(ISBLANK('[1]2.Diagnostic Analysis'!K730),"Unknown",'[1]2.Diagnostic Analysis'!K730)</f>
        <v>Delivered</v>
      </c>
    </row>
    <row r="731" spans="1:12" x14ac:dyDescent="0.25">
      <c r="A731" t="s">
        <v>290</v>
      </c>
      <c r="B731" t="s">
        <v>20</v>
      </c>
      <c r="C731" t="str">
        <f>IF(ISBLANK('[1]2.Diagnostic Analysis'!C731),"Unknown",'[1]2.Diagnostic Analysis'!C731)</f>
        <v>South</v>
      </c>
      <c r="D731" t="s">
        <v>17</v>
      </c>
      <c r="E731" t="s">
        <v>18</v>
      </c>
      <c r="F731">
        <f>IF(ISBLANK('[1]2.Diagnostic Analysis'!D731),'[1]2.Diagnostic Analysis'!$Q$3,'[1]2.Diagnostic Analysis'!D731)</f>
        <v>22</v>
      </c>
      <c r="G731">
        <v>100</v>
      </c>
      <c r="H731">
        <v>3</v>
      </c>
      <c r="I731">
        <v>300</v>
      </c>
      <c r="J731">
        <v>7.7</v>
      </c>
      <c r="K731" s="2">
        <v>45127</v>
      </c>
      <c r="L731" t="str">
        <f>IF(ISBLANK('[1]2.Diagnostic Analysis'!K731),"Unknown",'[1]2.Diagnostic Analysis'!K731)</f>
        <v>Delivered</v>
      </c>
    </row>
    <row r="732" spans="1:12" x14ac:dyDescent="0.25">
      <c r="A732" t="s">
        <v>170</v>
      </c>
      <c r="B732" t="s">
        <v>13</v>
      </c>
      <c r="C732" t="str">
        <f>IF(ISBLANK('[1]2.Diagnostic Analysis'!C732),"Unknown",'[1]2.Diagnostic Analysis'!C732)</f>
        <v>North</v>
      </c>
      <c r="D732" t="s">
        <v>30</v>
      </c>
      <c r="E732" t="s">
        <v>18</v>
      </c>
      <c r="F732">
        <f>IF(ISBLANK('[1]2.Diagnostic Analysis'!D732),'[1]2.Diagnostic Analysis'!$Q$3,'[1]2.Diagnostic Analysis'!D732)</f>
        <v>57</v>
      </c>
      <c r="G732">
        <v>30</v>
      </c>
      <c r="H732">
        <v>4</v>
      </c>
      <c r="I732">
        <v>120</v>
      </c>
      <c r="J732">
        <v>15.44</v>
      </c>
      <c r="K732" s="2">
        <v>45089</v>
      </c>
      <c r="L732" t="str">
        <f>IF(ISBLANK('[1]2.Diagnostic Analysis'!K732),"Unknown",'[1]2.Diagnostic Analysis'!K732)</f>
        <v>Delivered</v>
      </c>
    </row>
    <row r="733" spans="1:12" x14ac:dyDescent="0.25">
      <c r="A733" t="s">
        <v>289</v>
      </c>
      <c r="B733" t="s">
        <v>20</v>
      </c>
      <c r="C733" t="str">
        <f>IF(ISBLANK('[1]2.Diagnostic Analysis'!C733),"Unknown",'[1]2.Diagnostic Analysis'!C733)</f>
        <v>South</v>
      </c>
      <c r="D733" t="s">
        <v>17</v>
      </c>
      <c r="E733" t="s">
        <v>18</v>
      </c>
      <c r="F733">
        <f>IF(ISBLANK('[1]2.Diagnostic Analysis'!D733),'[1]2.Diagnostic Analysis'!$Q$3,'[1]2.Diagnostic Analysis'!D733)</f>
        <v>67</v>
      </c>
      <c r="G733">
        <v>100</v>
      </c>
      <c r="H733">
        <v>5</v>
      </c>
      <c r="I733">
        <v>500</v>
      </c>
      <c r="J733">
        <v>8.74</v>
      </c>
      <c r="K733" s="2">
        <v>45085</v>
      </c>
      <c r="L733" t="str">
        <f>IF(ISBLANK('[1]2.Diagnostic Analysis'!K733),"Unknown",'[1]2.Diagnostic Analysis'!K733)</f>
        <v>Returned</v>
      </c>
    </row>
    <row r="734" spans="1:12" x14ac:dyDescent="0.25">
      <c r="A734" t="s">
        <v>272</v>
      </c>
      <c r="B734" t="s">
        <v>13</v>
      </c>
      <c r="C734" t="str">
        <f>IF(ISBLANK('[1]2.Diagnostic Analysis'!C734),"Unknown",'[1]2.Diagnostic Analysis'!C734)</f>
        <v>North</v>
      </c>
      <c r="D734" t="s">
        <v>17</v>
      </c>
      <c r="E734" t="s">
        <v>18</v>
      </c>
      <c r="F734">
        <f>IF(ISBLANK('[1]2.Diagnostic Analysis'!D734),'[1]2.Diagnostic Analysis'!$Q$3,'[1]2.Diagnostic Analysis'!D734)</f>
        <v>49</v>
      </c>
      <c r="G734">
        <v>100</v>
      </c>
      <c r="H734">
        <v>4</v>
      </c>
      <c r="I734">
        <v>400</v>
      </c>
      <c r="J734">
        <v>14.68</v>
      </c>
      <c r="K734" s="2">
        <v>45268</v>
      </c>
      <c r="L734" t="str">
        <f>IF(ISBLANK('[1]2.Diagnostic Analysis'!K734),"Unknown",'[1]2.Diagnostic Analysis'!K734)</f>
        <v>In Transit</v>
      </c>
    </row>
    <row r="735" spans="1:12" x14ac:dyDescent="0.25">
      <c r="A735" t="s">
        <v>297</v>
      </c>
      <c r="B735" t="s">
        <v>20</v>
      </c>
      <c r="C735" t="str">
        <f>IF(ISBLANK('[1]2.Diagnostic Analysis'!C735),"Unknown",'[1]2.Diagnostic Analysis'!C735)</f>
        <v>Unknown</v>
      </c>
      <c r="D735" t="s">
        <v>23</v>
      </c>
      <c r="E735" t="s">
        <v>15</v>
      </c>
      <c r="F735">
        <f>IF(ISBLANK('[1]2.Diagnostic Analysis'!D735),'[1]2.Diagnostic Analysis'!$Q$3,'[1]2.Diagnostic Analysis'!D735)</f>
        <v>44</v>
      </c>
      <c r="G735">
        <v>1500</v>
      </c>
      <c r="H735">
        <v>5</v>
      </c>
      <c r="I735">
        <v>7500</v>
      </c>
      <c r="J735">
        <v>18.3</v>
      </c>
      <c r="K735" s="2">
        <v>45237</v>
      </c>
      <c r="L735" t="str">
        <f>IF(ISBLANK('[1]2.Diagnostic Analysis'!K735),"Unknown",'[1]2.Diagnostic Analysis'!K735)</f>
        <v>Returned</v>
      </c>
    </row>
    <row r="736" spans="1:12" x14ac:dyDescent="0.25">
      <c r="A736" t="s">
        <v>35</v>
      </c>
      <c r="B736" t="s">
        <v>13</v>
      </c>
      <c r="C736" t="str">
        <f>IF(ISBLANK('[1]2.Diagnostic Analysis'!C736),"Unknown",'[1]2.Diagnostic Analysis'!C736)</f>
        <v>East</v>
      </c>
      <c r="D736" t="s">
        <v>25</v>
      </c>
      <c r="E736" t="s">
        <v>26</v>
      </c>
      <c r="F736">
        <f>IF(ISBLANK('[1]2.Diagnostic Analysis'!D736),'[1]2.Diagnostic Analysis'!$Q$3,'[1]2.Diagnostic Analysis'!D736)</f>
        <v>60</v>
      </c>
      <c r="G736">
        <v>200</v>
      </c>
      <c r="H736">
        <v>1</v>
      </c>
      <c r="I736">
        <v>200</v>
      </c>
      <c r="J736">
        <v>10.14</v>
      </c>
      <c r="K736" s="2">
        <v>45262</v>
      </c>
      <c r="L736" t="str">
        <f>IF(ISBLANK('[1]2.Diagnostic Analysis'!K736),"Unknown",'[1]2.Diagnostic Analysis'!K736)</f>
        <v>Unknown</v>
      </c>
    </row>
    <row r="737" spans="1:12" x14ac:dyDescent="0.25">
      <c r="A737" t="s">
        <v>187</v>
      </c>
      <c r="B737" t="s">
        <v>20</v>
      </c>
      <c r="C737" t="str">
        <f>IF(ISBLANK('[1]2.Diagnostic Analysis'!C737),"Unknown",'[1]2.Diagnostic Analysis'!C737)</f>
        <v>West</v>
      </c>
      <c r="D737" t="s">
        <v>29</v>
      </c>
      <c r="E737" t="s">
        <v>18</v>
      </c>
      <c r="F737">
        <f>IF(ISBLANK('[1]2.Diagnostic Analysis'!D737),'[1]2.Diagnostic Analysis'!$Q$3,'[1]2.Diagnostic Analysis'!D737)</f>
        <v>48</v>
      </c>
      <c r="G737">
        <v>50</v>
      </c>
      <c r="H737">
        <v>3</v>
      </c>
      <c r="I737">
        <v>150</v>
      </c>
      <c r="J737">
        <v>6.42</v>
      </c>
      <c r="K737" s="2">
        <v>45230</v>
      </c>
      <c r="L737" t="str">
        <f>IF(ISBLANK('[1]2.Diagnostic Analysis'!K737),"Unknown",'[1]2.Diagnostic Analysis'!K737)</f>
        <v>In Transit</v>
      </c>
    </row>
    <row r="738" spans="1:12" x14ac:dyDescent="0.25">
      <c r="A738" t="s">
        <v>277</v>
      </c>
      <c r="B738" t="s">
        <v>20</v>
      </c>
      <c r="C738" t="str">
        <f>IF(ISBLANK('[1]2.Diagnostic Analysis'!C738),"Unknown",'[1]2.Diagnostic Analysis'!C738)</f>
        <v>South</v>
      </c>
      <c r="D738" t="s">
        <v>14</v>
      </c>
      <c r="E738" t="s">
        <v>15</v>
      </c>
      <c r="F738">
        <f>IF(ISBLANK('[1]2.Diagnostic Analysis'!D738),'[1]2.Diagnostic Analysis'!$Q$3,'[1]2.Diagnostic Analysis'!D738)</f>
        <v>29</v>
      </c>
      <c r="G738">
        <v>300</v>
      </c>
      <c r="H738">
        <v>5</v>
      </c>
      <c r="I738">
        <v>1500</v>
      </c>
      <c r="J738">
        <v>18.18</v>
      </c>
      <c r="K738" s="2">
        <v>45175</v>
      </c>
      <c r="L738" t="str">
        <f>IF(ISBLANK('[1]2.Diagnostic Analysis'!K738),"Unknown",'[1]2.Diagnostic Analysis'!K738)</f>
        <v>In Transit</v>
      </c>
    </row>
    <row r="739" spans="1:12" x14ac:dyDescent="0.25">
      <c r="A739" t="s">
        <v>138</v>
      </c>
      <c r="B739" t="s">
        <v>20</v>
      </c>
      <c r="C739" t="str">
        <f>IF(ISBLANK('[1]2.Diagnostic Analysis'!C739),"Unknown",'[1]2.Diagnostic Analysis'!C739)</f>
        <v>South</v>
      </c>
      <c r="D739" t="s">
        <v>29</v>
      </c>
      <c r="E739" t="s">
        <v>18</v>
      </c>
      <c r="F739">
        <f>IF(ISBLANK('[1]2.Diagnostic Analysis'!D739),'[1]2.Diagnostic Analysis'!$Q$3,'[1]2.Diagnostic Analysis'!D739)</f>
        <v>49</v>
      </c>
      <c r="G739">
        <v>50</v>
      </c>
      <c r="H739">
        <v>3</v>
      </c>
      <c r="I739">
        <v>150</v>
      </c>
      <c r="J739">
        <v>5.62</v>
      </c>
      <c r="K739" s="2">
        <v>44990</v>
      </c>
      <c r="L739" t="str">
        <f>IF(ISBLANK('[1]2.Diagnostic Analysis'!K739),"Unknown",'[1]2.Diagnostic Analysis'!K739)</f>
        <v>In Transit</v>
      </c>
    </row>
    <row r="740" spans="1:12" x14ac:dyDescent="0.25">
      <c r="A740" t="s">
        <v>298</v>
      </c>
      <c r="B740" t="s">
        <v>20</v>
      </c>
      <c r="C740" t="str">
        <f>IF(ISBLANK('[1]2.Diagnostic Analysis'!C740),"Unknown",'[1]2.Diagnostic Analysis'!C740)</f>
        <v>South</v>
      </c>
      <c r="D740" t="s">
        <v>40</v>
      </c>
      <c r="E740" t="s">
        <v>15</v>
      </c>
      <c r="F740">
        <f>IF(ISBLANK('[1]2.Diagnostic Analysis'!D740),'[1]2.Diagnostic Analysis'!$Q$3,'[1]2.Diagnostic Analysis'!D740)</f>
        <v>35</v>
      </c>
      <c r="G740">
        <v>800</v>
      </c>
      <c r="H740">
        <v>1</v>
      </c>
      <c r="I740">
        <v>800</v>
      </c>
      <c r="J740">
        <v>17.3</v>
      </c>
      <c r="K740" s="2">
        <v>45053</v>
      </c>
      <c r="L740" t="str">
        <f>IF(ISBLANK('[1]2.Diagnostic Analysis'!K740),"Unknown",'[1]2.Diagnostic Analysis'!K740)</f>
        <v>In Transit</v>
      </c>
    </row>
    <row r="741" spans="1:12" x14ac:dyDescent="0.25">
      <c r="A741" t="s">
        <v>297</v>
      </c>
      <c r="B741" t="s">
        <v>13</v>
      </c>
      <c r="C741" t="str">
        <f>IF(ISBLANK('[1]2.Diagnostic Analysis'!C741),"Unknown",'[1]2.Diagnostic Analysis'!C741)</f>
        <v>East</v>
      </c>
      <c r="D741" t="s">
        <v>30</v>
      </c>
      <c r="E741" t="s">
        <v>18</v>
      </c>
      <c r="F741">
        <f>IF(ISBLANK('[1]2.Diagnostic Analysis'!D741),'[1]2.Diagnostic Analysis'!$Q$3,'[1]2.Diagnostic Analysis'!D741)</f>
        <v>44</v>
      </c>
      <c r="G741">
        <v>30</v>
      </c>
      <c r="H741">
        <v>3</v>
      </c>
      <c r="I741">
        <v>90</v>
      </c>
      <c r="J741">
        <v>14.91</v>
      </c>
      <c r="K741" s="2">
        <v>45219</v>
      </c>
      <c r="L741" t="str">
        <f>IF(ISBLANK('[1]2.Diagnostic Analysis'!K741),"Unknown",'[1]2.Diagnostic Analysis'!K741)</f>
        <v>In Transit</v>
      </c>
    </row>
    <row r="742" spans="1:12" x14ac:dyDescent="0.25">
      <c r="A742" t="s">
        <v>252</v>
      </c>
      <c r="B742" t="s">
        <v>20</v>
      </c>
      <c r="C742" t="str">
        <f>IF(ISBLANK('[1]2.Diagnostic Analysis'!C742),"Unknown",'[1]2.Diagnostic Analysis'!C742)</f>
        <v>South</v>
      </c>
      <c r="D742" t="s">
        <v>25</v>
      </c>
      <c r="E742" t="s">
        <v>26</v>
      </c>
      <c r="F742">
        <f>IF(ISBLANK('[1]2.Diagnostic Analysis'!D742),'[1]2.Diagnostic Analysis'!$Q$3,'[1]2.Diagnostic Analysis'!D742)</f>
        <v>55</v>
      </c>
      <c r="G742">
        <v>200</v>
      </c>
      <c r="H742">
        <v>4</v>
      </c>
      <c r="I742">
        <v>800</v>
      </c>
      <c r="J742">
        <v>7.31</v>
      </c>
      <c r="K742" s="2">
        <v>45001</v>
      </c>
      <c r="L742" t="str">
        <f>IF(ISBLANK('[1]2.Diagnostic Analysis'!K742),"Unknown",'[1]2.Diagnostic Analysis'!K742)</f>
        <v>Returned</v>
      </c>
    </row>
    <row r="743" spans="1:12" x14ac:dyDescent="0.25">
      <c r="A743" t="s">
        <v>230</v>
      </c>
      <c r="B743" t="s">
        <v>20</v>
      </c>
      <c r="C743" t="str">
        <f>IF(ISBLANK('[1]2.Diagnostic Analysis'!C743),"Unknown",'[1]2.Diagnostic Analysis'!C743)</f>
        <v>West</v>
      </c>
      <c r="D743" t="s">
        <v>29</v>
      </c>
      <c r="E743" t="s">
        <v>18</v>
      </c>
      <c r="F743">
        <f>IF(ISBLANK('[1]2.Diagnostic Analysis'!D743),'[1]2.Diagnostic Analysis'!$Q$3,'[1]2.Diagnostic Analysis'!D743)</f>
        <v>42</v>
      </c>
      <c r="G743">
        <v>50</v>
      </c>
      <c r="H743">
        <v>1</v>
      </c>
      <c r="I743">
        <v>50</v>
      </c>
      <c r="J743">
        <v>8.0500000000000007</v>
      </c>
      <c r="K743" s="2">
        <v>45120</v>
      </c>
      <c r="L743" t="str">
        <f>IF(ISBLANK('[1]2.Diagnostic Analysis'!K743),"Unknown",'[1]2.Diagnostic Analysis'!K743)</f>
        <v>Delivered</v>
      </c>
    </row>
    <row r="744" spans="1:12" x14ac:dyDescent="0.25">
      <c r="A744" t="s">
        <v>28</v>
      </c>
      <c r="B744" t="s">
        <v>20</v>
      </c>
      <c r="C744" t="str">
        <f>IF(ISBLANK('[1]2.Diagnostic Analysis'!C744),"Unknown",'[1]2.Diagnostic Analysis'!C744)</f>
        <v>North</v>
      </c>
      <c r="D744" t="s">
        <v>23</v>
      </c>
      <c r="E744" t="s">
        <v>15</v>
      </c>
      <c r="F744">
        <f>IF(ISBLANK('[1]2.Diagnostic Analysis'!D744),'[1]2.Diagnostic Analysis'!$Q$3,'[1]2.Diagnostic Analysis'!D744)</f>
        <v>18</v>
      </c>
      <c r="G744">
        <v>1500</v>
      </c>
      <c r="H744">
        <v>1</v>
      </c>
      <c r="I744">
        <v>1500</v>
      </c>
      <c r="J744">
        <v>5.29</v>
      </c>
      <c r="K744" s="2">
        <v>44947</v>
      </c>
      <c r="L744" t="str">
        <f>IF(ISBLANK('[1]2.Diagnostic Analysis'!K744),"Unknown",'[1]2.Diagnostic Analysis'!K744)</f>
        <v>Returned</v>
      </c>
    </row>
    <row r="745" spans="1:12" x14ac:dyDescent="0.25">
      <c r="A745" t="s">
        <v>105</v>
      </c>
      <c r="B745" t="s">
        <v>13</v>
      </c>
      <c r="C745" t="str">
        <f>IF(ISBLANK('[1]2.Diagnostic Analysis'!C745),"Unknown",'[1]2.Diagnostic Analysis'!C745)</f>
        <v>West</v>
      </c>
      <c r="D745" t="s">
        <v>23</v>
      </c>
      <c r="E745" t="s">
        <v>15</v>
      </c>
      <c r="F745">
        <f>IF(ISBLANK('[1]2.Diagnostic Analysis'!D745),'[1]2.Diagnostic Analysis'!$Q$3,'[1]2.Diagnostic Analysis'!D745)</f>
        <v>18</v>
      </c>
      <c r="G745">
        <v>1500</v>
      </c>
      <c r="H745">
        <v>3</v>
      </c>
      <c r="I745">
        <v>4500</v>
      </c>
      <c r="J745">
        <v>19.41</v>
      </c>
      <c r="K745" s="2">
        <v>45157</v>
      </c>
      <c r="L745" t="str">
        <f>IF(ISBLANK('[1]2.Diagnostic Analysis'!K745),"Unknown",'[1]2.Diagnostic Analysis'!K745)</f>
        <v>Delivered</v>
      </c>
    </row>
    <row r="746" spans="1:12" x14ac:dyDescent="0.25">
      <c r="A746" t="s">
        <v>138</v>
      </c>
      <c r="B746" t="s">
        <v>20</v>
      </c>
      <c r="C746" t="str">
        <f>IF(ISBLANK('[1]2.Diagnostic Analysis'!C746),"Unknown",'[1]2.Diagnostic Analysis'!C746)</f>
        <v>North</v>
      </c>
      <c r="D746" t="s">
        <v>14</v>
      </c>
      <c r="E746" t="s">
        <v>15</v>
      </c>
      <c r="F746">
        <f>IF(ISBLANK('[1]2.Diagnostic Analysis'!D746),'[1]2.Diagnostic Analysis'!$Q$3,'[1]2.Diagnostic Analysis'!D746)</f>
        <v>44</v>
      </c>
      <c r="G746">
        <v>300</v>
      </c>
      <c r="H746">
        <v>2</v>
      </c>
      <c r="I746">
        <v>600</v>
      </c>
      <c r="J746">
        <v>19.97</v>
      </c>
      <c r="K746" s="2">
        <v>45199</v>
      </c>
      <c r="L746" t="str">
        <f>IF(ISBLANK('[1]2.Diagnostic Analysis'!K746),"Unknown",'[1]2.Diagnostic Analysis'!K746)</f>
        <v>In Transit</v>
      </c>
    </row>
    <row r="747" spans="1:12" x14ac:dyDescent="0.25">
      <c r="A747" t="s">
        <v>284</v>
      </c>
      <c r="B747" t="s">
        <v>20</v>
      </c>
      <c r="C747" t="str">
        <f>IF(ISBLANK('[1]2.Diagnostic Analysis'!C747),"Unknown",'[1]2.Diagnostic Analysis'!C747)</f>
        <v>South</v>
      </c>
      <c r="D747" t="s">
        <v>25</v>
      </c>
      <c r="E747" t="s">
        <v>26</v>
      </c>
      <c r="F747">
        <f>IF(ISBLANK('[1]2.Diagnostic Analysis'!D747),'[1]2.Diagnostic Analysis'!$Q$3,'[1]2.Diagnostic Analysis'!D747)</f>
        <v>49</v>
      </c>
      <c r="G747">
        <v>200</v>
      </c>
      <c r="H747">
        <v>5</v>
      </c>
      <c r="I747">
        <v>1000</v>
      </c>
      <c r="J747">
        <v>9.18</v>
      </c>
      <c r="K747" s="2">
        <v>45230</v>
      </c>
      <c r="L747" t="str">
        <f>IF(ISBLANK('[1]2.Diagnostic Analysis'!K747),"Unknown",'[1]2.Diagnostic Analysis'!K747)</f>
        <v>In Transit</v>
      </c>
    </row>
    <row r="748" spans="1:12" x14ac:dyDescent="0.25">
      <c r="A748" t="s">
        <v>103</v>
      </c>
      <c r="B748" t="s">
        <v>13</v>
      </c>
      <c r="C748" t="str">
        <f>IF(ISBLANK('[1]2.Diagnostic Analysis'!C748),"Unknown",'[1]2.Diagnostic Analysis'!C748)</f>
        <v>West</v>
      </c>
      <c r="D748" t="s">
        <v>29</v>
      </c>
      <c r="E748" t="s">
        <v>18</v>
      </c>
      <c r="F748">
        <f>IF(ISBLANK('[1]2.Diagnostic Analysis'!D748),'[1]2.Diagnostic Analysis'!$Q$3,'[1]2.Diagnostic Analysis'!D748)</f>
        <v>63</v>
      </c>
      <c r="G748">
        <v>50</v>
      </c>
      <c r="H748">
        <v>2</v>
      </c>
      <c r="I748">
        <v>100</v>
      </c>
      <c r="J748">
        <v>6.28</v>
      </c>
      <c r="K748" s="2">
        <v>45006</v>
      </c>
      <c r="L748" t="str">
        <f>IF(ISBLANK('[1]2.Diagnostic Analysis'!K748),"Unknown",'[1]2.Diagnostic Analysis'!K748)</f>
        <v>Returned</v>
      </c>
    </row>
    <row r="749" spans="1:12" x14ac:dyDescent="0.25">
      <c r="A749" t="s">
        <v>256</v>
      </c>
      <c r="B749" t="s">
        <v>20</v>
      </c>
      <c r="C749" t="str">
        <f>IF(ISBLANK('[1]2.Diagnostic Analysis'!C749),"Unknown",'[1]2.Diagnostic Analysis'!C749)</f>
        <v>East</v>
      </c>
      <c r="D749" t="s">
        <v>29</v>
      </c>
      <c r="E749" t="s">
        <v>18</v>
      </c>
      <c r="F749">
        <f>IF(ISBLANK('[1]2.Diagnostic Analysis'!D749),'[1]2.Diagnostic Analysis'!$Q$3,'[1]2.Diagnostic Analysis'!D749)</f>
        <v>36</v>
      </c>
      <c r="G749">
        <v>50</v>
      </c>
      <c r="H749">
        <v>4</v>
      </c>
      <c r="I749">
        <v>200</v>
      </c>
      <c r="J749">
        <v>9.3000000000000007</v>
      </c>
      <c r="K749" s="2">
        <v>45116</v>
      </c>
      <c r="L749" t="str">
        <f>IF(ISBLANK('[1]2.Diagnostic Analysis'!K749),"Unknown",'[1]2.Diagnostic Analysis'!K749)</f>
        <v>Returned</v>
      </c>
    </row>
    <row r="750" spans="1:12" x14ac:dyDescent="0.25">
      <c r="A750" t="s">
        <v>108</v>
      </c>
      <c r="B750" t="s">
        <v>13</v>
      </c>
      <c r="C750" t="str">
        <f>IF(ISBLANK('[1]2.Diagnostic Analysis'!C750),"Unknown",'[1]2.Diagnostic Analysis'!C750)</f>
        <v>West</v>
      </c>
      <c r="D750" t="s">
        <v>29</v>
      </c>
      <c r="E750" t="s">
        <v>18</v>
      </c>
      <c r="F750">
        <f>IF(ISBLANK('[1]2.Diagnostic Analysis'!D750),'[1]2.Diagnostic Analysis'!$Q$3,'[1]2.Diagnostic Analysis'!D750)</f>
        <v>25</v>
      </c>
      <c r="G750">
        <v>50</v>
      </c>
      <c r="H750">
        <v>1</v>
      </c>
      <c r="I750">
        <v>50</v>
      </c>
      <c r="J750">
        <v>18.71</v>
      </c>
      <c r="K750" s="2">
        <v>45267</v>
      </c>
      <c r="L750" t="str">
        <f>IF(ISBLANK('[1]2.Diagnostic Analysis'!K750),"Unknown",'[1]2.Diagnostic Analysis'!K750)</f>
        <v>In Transit</v>
      </c>
    </row>
    <row r="751" spans="1:12" x14ac:dyDescent="0.25">
      <c r="A751" t="s">
        <v>54</v>
      </c>
      <c r="B751" t="s">
        <v>20</v>
      </c>
      <c r="C751" t="str">
        <f>IF(ISBLANK('[1]2.Diagnostic Analysis'!C751),"Unknown",'[1]2.Diagnostic Analysis'!C751)</f>
        <v>North</v>
      </c>
      <c r="D751" t="s">
        <v>17</v>
      </c>
      <c r="E751" t="s">
        <v>18</v>
      </c>
      <c r="F751">
        <f>IF(ISBLANK('[1]2.Diagnostic Analysis'!D751),'[1]2.Diagnostic Analysis'!$Q$3,'[1]2.Diagnostic Analysis'!D751)</f>
        <v>49</v>
      </c>
      <c r="G751">
        <v>100</v>
      </c>
      <c r="H751">
        <v>5</v>
      </c>
      <c r="I751">
        <v>500</v>
      </c>
      <c r="J751">
        <v>14.28</v>
      </c>
      <c r="K751" s="2">
        <v>45079</v>
      </c>
      <c r="L751" t="str">
        <f>IF(ISBLANK('[1]2.Diagnostic Analysis'!K751),"Unknown",'[1]2.Diagnostic Analysis'!K751)</f>
        <v>Returned</v>
      </c>
    </row>
    <row r="752" spans="1:12" x14ac:dyDescent="0.25">
      <c r="A752" t="s">
        <v>32</v>
      </c>
      <c r="B752" t="s">
        <v>13</v>
      </c>
      <c r="C752" t="str">
        <f>IF(ISBLANK('[1]2.Diagnostic Analysis'!C752),"Unknown",'[1]2.Diagnostic Analysis'!C752)</f>
        <v>West</v>
      </c>
      <c r="D752" t="s">
        <v>40</v>
      </c>
      <c r="E752" t="s">
        <v>15</v>
      </c>
      <c r="F752">
        <f>IF(ISBLANK('[1]2.Diagnostic Analysis'!D752),'[1]2.Diagnostic Analysis'!$Q$3,'[1]2.Diagnostic Analysis'!D752)</f>
        <v>49</v>
      </c>
      <c r="G752">
        <v>800</v>
      </c>
      <c r="H752">
        <v>1</v>
      </c>
      <c r="I752">
        <v>800</v>
      </c>
      <c r="J752">
        <v>12.3</v>
      </c>
      <c r="K752" s="2">
        <v>45076</v>
      </c>
      <c r="L752" t="str">
        <f>IF(ISBLANK('[1]2.Diagnostic Analysis'!K752),"Unknown",'[1]2.Diagnostic Analysis'!K752)</f>
        <v>Delivered</v>
      </c>
    </row>
    <row r="753" spans="1:12" x14ac:dyDescent="0.25">
      <c r="A753" t="s">
        <v>52</v>
      </c>
      <c r="B753" t="s">
        <v>13</v>
      </c>
      <c r="C753" t="str">
        <f>IF(ISBLANK('[1]2.Diagnostic Analysis'!C753),"Unknown",'[1]2.Diagnostic Analysis'!C753)</f>
        <v>Unknown</v>
      </c>
      <c r="D753" t="s">
        <v>40</v>
      </c>
      <c r="E753" t="s">
        <v>15</v>
      </c>
      <c r="F753">
        <f>IF(ISBLANK('[1]2.Diagnostic Analysis'!D753),'[1]2.Diagnostic Analysis'!$Q$3,'[1]2.Diagnostic Analysis'!D753)</f>
        <v>57</v>
      </c>
      <c r="G753">
        <v>800</v>
      </c>
      <c r="H753">
        <v>2</v>
      </c>
      <c r="I753">
        <v>1600</v>
      </c>
      <c r="J753">
        <v>19.87</v>
      </c>
      <c r="K753" s="2">
        <v>45078</v>
      </c>
      <c r="L753" t="str">
        <f>IF(ISBLANK('[1]2.Diagnostic Analysis'!K753),"Unknown",'[1]2.Diagnostic Analysis'!K753)</f>
        <v>Returned</v>
      </c>
    </row>
    <row r="754" spans="1:12" x14ac:dyDescent="0.25">
      <c r="A754" t="s">
        <v>36</v>
      </c>
      <c r="B754" t="s">
        <v>20</v>
      </c>
      <c r="C754" t="str">
        <f>IF(ISBLANK('[1]2.Diagnostic Analysis'!C754),"Unknown",'[1]2.Diagnostic Analysis'!C754)</f>
        <v>South</v>
      </c>
      <c r="D754" t="s">
        <v>23</v>
      </c>
      <c r="E754" t="s">
        <v>15</v>
      </c>
      <c r="F754">
        <f>IF(ISBLANK('[1]2.Diagnostic Analysis'!D754),'[1]2.Diagnostic Analysis'!$Q$3,'[1]2.Diagnostic Analysis'!D754)</f>
        <v>66</v>
      </c>
      <c r="G754">
        <v>1500</v>
      </c>
      <c r="H754">
        <v>3</v>
      </c>
      <c r="I754">
        <v>4500</v>
      </c>
      <c r="J754">
        <v>14.73</v>
      </c>
      <c r="K754" s="2">
        <v>45261</v>
      </c>
      <c r="L754" t="str">
        <f>IF(ISBLANK('[1]2.Diagnostic Analysis'!K754),"Unknown",'[1]2.Diagnostic Analysis'!K754)</f>
        <v>Delivered</v>
      </c>
    </row>
    <row r="755" spans="1:12" x14ac:dyDescent="0.25">
      <c r="A755" t="s">
        <v>32</v>
      </c>
      <c r="B755" t="s">
        <v>20</v>
      </c>
      <c r="C755" t="str">
        <f>IF(ISBLANK('[1]2.Diagnostic Analysis'!C755),"Unknown",'[1]2.Diagnostic Analysis'!C755)</f>
        <v>North</v>
      </c>
      <c r="D755" t="s">
        <v>25</v>
      </c>
      <c r="E755" t="s">
        <v>26</v>
      </c>
      <c r="F755">
        <f>IF(ISBLANK('[1]2.Diagnostic Analysis'!D755),'[1]2.Diagnostic Analysis'!$Q$3,'[1]2.Diagnostic Analysis'!D755)</f>
        <v>49</v>
      </c>
      <c r="G755">
        <v>200</v>
      </c>
      <c r="H755">
        <v>3</v>
      </c>
      <c r="I755">
        <v>600</v>
      </c>
      <c r="J755">
        <v>9.26</v>
      </c>
      <c r="K755" s="2">
        <v>45222</v>
      </c>
      <c r="L755" t="str">
        <f>IF(ISBLANK('[1]2.Diagnostic Analysis'!K755),"Unknown",'[1]2.Diagnostic Analysis'!K755)</f>
        <v>Delivered</v>
      </c>
    </row>
    <row r="756" spans="1:12" x14ac:dyDescent="0.25">
      <c r="A756" t="s">
        <v>299</v>
      </c>
      <c r="B756" t="s">
        <v>20</v>
      </c>
      <c r="C756" t="str">
        <f>IF(ISBLANK('[1]2.Diagnostic Analysis'!C756),"Unknown",'[1]2.Diagnostic Analysis'!C756)</f>
        <v>East</v>
      </c>
      <c r="D756" t="s">
        <v>29</v>
      </c>
      <c r="E756" t="s">
        <v>18</v>
      </c>
      <c r="F756">
        <f>IF(ISBLANK('[1]2.Diagnostic Analysis'!D756),'[1]2.Diagnostic Analysis'!$Q$3,'[1]2.Diagnostic Analysis'!D756)</f>
        <v>40</v>
      </c>
      <c r="G756">
        <v>50</v>
      </c>
      <c r="H756">
        <v>4</v>
      </c>
      <c r="I756">
        <v>200</v>
      </c>
      <c r="J756">
        <v>15.14</v>
      </c>
      <c r="K756" s="2">
        <v>45094</v>
      </c>
      <c r="L756" t="str">
        <f>IF(ISBLANK('[1]2.Diagnostic Analysis'!K756),"Unknown",'[1]2.Diagnostic Analysis'!K756)</f>
        <v>Delivered</v>
      </c>
    </row>
    <row r="757" spans="1:12" x14ac:dyDescent="0.25">
      <c r="A757" t="s">
        <v>291</v>
      </c>
      <c r="B757" t="s">
        <v>20</v>
      </c>
      <c r="C757" t="str">
        <f>IF(ISBLANK('[1]2.Diagnostic Analysis'!C757),"Unknown",'[1]2.Diagnostic Analysis'!C757)</f>
        <v>East</v>
      </c>
      <c r="D757" t="s">
        <v>25</v>
      </c>
      <c r="E757" t="s">
        <v>26</v>
      </c>
      <c r="F757">
        <f>IF(ISBLANK('[1]2.Diagnostic Analysis'!D757),'[1]2.Diagnostic Analysis'!$Q$3,'[1]2.Diagnostic Analysis'!D757)</f>
        <v>53</v>
      </c>
      <c r="G757">
        <v>200</v>
      </c>
      <c r="H757">
        <v>4</v>
      </c>
      <c r="I757">
        <v>800</v>
      </c>
      <c r="J757">
        <v>14.28</v>
      </c>
      <c r="K757" s="2">
        <v>45235</v>
      </c>
      <c r="L757" t="str">
        <f>IF(ISBLANK('[1]2.Diagnostic Analysis'!K757),"Unknown",'[1]2.Diagnostic Analysis'!K757)</f>
        <v>Unknown</v>
      </c>
    </row>
    <row r="758" spans="1:12" x14ac:dyDescent="0.25">
      <c r="A758" t="s">
        <v>134</v>
      </c>
      <c r="B758" t="s">
        <v>20</v>
      </c>
      <c r="C758" t="str">
        <f>IF(ISBLANK('[1]2.Diagnostic Analysis'!C758),"Unknown",'[1]2.Diagnostic Analysis'!C758)</f>
        <v>West</v>
      </c>
      <c r="D758" t="s">
        <v>23</v>
      </c>
      <c r="E758" t="s">
        <v>15</v>
      </c>
      <c r="F758">
        <f>IF(ISBLANK('[1]2.Diagnostic Analysis'!D758),'[1]2.Diagnostic Analysis'!$Q$3,'[1]2.Diagnostic Analysis'!D758)</f>
        <v>46</v>
      </c>
      <c r="G758">
        <v>3109.5606124866499</v>
      </c>
      <c r="H758">
        <v>2</v>
      </c>
      <c r="I758">
        <v>3000</v>
      </c>
      <c r="J758">
        <v>6.44</v>
      </c>
      <c r="K758" s="2">
        <v>45268</v>
      </c>
      <c r="L758" t="str">
        <f>IF(ISBLANK('[1]2.Diagnostic Analysis'!K758),"Unknown",'[1]2.Diagnostic Analysis'!K758)</f>
        <v>Delivered</v>
      </c>
    </row>
    <row r="759" spans="1:12" x14ac:dyDescent="0.25">
      <c r="A759" t="s">
        <v>287</v>
      </c>
      <c r="B759" t="s">
        <v>20</v>
      </c>
      <c r="C759" t="str">
        <f>IF(ISBLANK('[1]2.Diagnostic Analysis'!C759),"Unknown",'[1]2.Diagnostic Analysis'!C759)</f>
        <v>South</v>
      </c>
      <c r="D759" t="s">
        <v>29</v>
      </c>
      <c r="E759" t="s">
        <v>18</v>
      </c>
      <c r="F759">
        <f>IF(ISBLANK('[1]2.Diagnostic Analysis'!D759),'[1]2.Diagnostic Analysis'!$Q$3,'[1]2.Diagnostic Analysis'!D759)</f>
        <v>20</v>
      </c>
      <c r="G759">
        <v>50</v>
      </c>
      <c r="H759">
        <v>3</v>
      </c>
      <c r="I759">
        <v>150</v>
      </c>
      <c r="J759">
        <v>11.05</v>
      </c>
      <c r="K759" s="2">
        <v>45185</v>
      </c>
      <c r="L759" t="str">
        <f>IF(ISBLANK('[1]2.Diagnostic Analysis'!K759),"Unknown",'[1]2.Diagnostic Analysis'!K759)</f>
        <v>Returned</v>
      </c>
    </row>
    <row r="760" spans="1:12" x14ac:dyDescent="0.25">
      <c r="A760" t="s">
        <v>180</v>
      </c>
      <c r="B760" t="s">
        <v>20</v>
      </c>
      <c r="C760" t="str">
        <f>IF(ISBLANK('[1]2.Diagnostic Analysis'!C760),"Unknown",'[1]2.Diagnostic Analysis'!C760)</f>
        <v>South</v>
      </c>
      <c r="D760" t="s">
        <v>30</v>
      </c>
      <c r="E760" t="s">
        <v>18</v>
      </c>
      <c r="F760">
        <f>IF(ISBLANK('[1]2.Diagnostic Analysis'!D760),'[1]2.Diagnostic Analysis'!$Q$3,'[1]2.Diagnostic Analysis'!D760)</f>
        <v>55</v>
      </c>
      <c r="G760">
        <v>30</v>
      </c>
      <c r="H760">
        <v>3</v>
      </c>
      <c r="I760">
        <v>90</v>
      </c>
      <c r="J760">
        <v>11.24</v>
      </c>
      <c r="K760" s="2">
        <v>45178</v>
      </c>
      <c r="L760" t="str">
        <f>IF(ISBLANK('[1]2.Diagnostic Analysis'!K760),"Unknown",'[1]2.Diagnostic Analysis'!K760)</f>
        <v>Returned</v>
      </c>
    </row>
    <row r="761" spans="1:12" x14ac:dyDescent="0.25">
      <c r="A761" t="s">
        <v>108</v>
      </c>
      <c r="B761" t="s">
        <v>20</v>
      </c>
      <c r="C761" t="str">
        <f>IF(ISBLANK('[1]2.Diagnostic Analysis'!C761),"Unknown",'[1]2.Diagnostic Analysis'!C761)</f>
        <v>West</v>
      </c>
      <c r="D761" t="s">
        <v>40</v>
      </c>
      <c r="E761" t="s">
        <v>15</v>
      </c>
      <c r="F761">
        <f>IF(ISBLANK('[1]2.Diagnostic Analysis'!D761),'[1]2.Diagnostic Analysis'!$Q$3,'[1]2.Diagnostic Analysis'!D761)</f>
        <v>25</v>
      </c>
      <c r="G761">
        <v>800</v>
      </c>
      <c r="H761">
        <v>1</v>
      </c>
      <c r="I761">
        <v>800</v>
      </c>
      <c r="J761">
        <v>7.25</v>
      </c>
      <c r="K761" s="2">
        <v>44994</v>
      </c>
      <c r="L761" t="str">
        <f>IF(ISBLANK('[1]2.Diagnostic Analysis'!K761),"Unknown",'[1]2.Diagnostic Analysis'!K761)</f>
        <v>In Transit</v>
      </c>
    </row>
    <row r="762" spans="1:12" x14ac:dyDescent="0.25">
      <c r="A762" t="s">
        <v>300</v>
      </c>
      <c r="B762" t="s">
        <v>20</v>
      </c>
      <c r="C762" t="str">
        <f>IF(ISBLANK('[1]2.Diagnostic Analysis'!C762),"Unknown",'[1]2.Diagnostic Analysis'!C762)</f>
        <v>Unknown</v>
      </c>
      <c r="D762" t="s">
        <v>23</v>
      </c>
      <c r="E762" t="s">
        <v>15</v>
      </c>
      <c r="F762">
        <f>IF(ISBLANK('[1]2.Diagnostic Analysis'!D762),'[1]2.Diagnostic Analysis'!$Q$3,'[1]2.Diagnostic Analysis'!D762)</f>
        <v>41</v>
      </c>
      <c r="G762">
        <v>1500</v>
      </c>
      <c r="H762">
        <v>4</v>
      </c>
      <c r="I762">
        <v>6000</v>
      </c>
      <c r="J762">
        <v>6.76</v>
      </c>
      <c r="K762" s="2">
        <v>45139</v>
      </c>
      <c r="L762" t="str">
        <f>IF(ISBLANK('[1]2.Diagnostic Analysis'!K762),"Unknown",'[1]2.Diagnostic Analysis'!K762)</f>
        <v>Unknown</v>
      </c>
    </row>
    <row r="763" spans="1:12" x14ac:dyDescent="0.25">
      <c r="A763" t="s">
        <v>294</v>
      </c>
      <c r="B763" t="s">
        <v>20</v>
      </c>
      <c r="C763" t="str">
        <f>IF(ISBLANK('[1]2.Diagnostic Analysis'!C763),"Unknown",'[1]2.Diagnostic Analysis'!C763)</f>
        <v>North</v>
      </c>
      <c r="D763" t="s">
        <v>17</v>
      </c>
      <c r="E763" t="s">
        <v>18</v>
      </c>
      <c r="F763">
        <f>IF(ISBLANK('[1]2.Diagnostic Analysis'!D763),'[1]2.Diagnostic Analysis'!$Q$3,'[1]2.Diagnostic Analysis'!D763)</f>
        <v>49</v>
      </c>
      <c r="G763">
        <v>100</v>
      </c>
      <c r="H763">
        <v>2</v>
      </c>
      <c r="I763">
        <v>200</v>
      </c>
      <c r="J763">
        <v>19.07</v>
      </c>
      <c r="K763" s="2">
        <v>45054</v>
      </c>
      <c r="L763" t="str">
        <f>IF(ISBLANK('[1]2.Diagnostic Analysis'!K763),"Unknown",'[1]2.Diagnostic Analysis'!K763)</f>
        <v>Unknown</v>
      </c>
    </row>
    <row r="764" spans="1:12" x14ac:dyDescent="0.25">
      <c r="A764" t="s">
        <v>70</v>
      </c>
      <c r="B764" t="s">
        <v>20</v>
      </c>
      <c r="C764" t="str">
        <f>IF(ISBLANK('[1]2.Diagnostic Analysis'!C764),"Unknown",'[1]2.Diagnostic Analysis'!C764)</f>
        <v>West</v>
      </c>
      <c r="D764" t="s">
        <v>23</v>
      </c>
      <c r="E764" t="s">
        <v>15</v>
      </c>
      <c r="F764">
        <f>IF(ISBLANK('[1]2.Diagnostic Analysis'!D764),'[1]2.Diagnostic Analysis'!$Q$3,'[1]2.Diagnostic Analysis'!D764)</f>
        <v>23</v>
      </c>
      <c r="G764">
        <v>1500</v>
      </c>
      <c r="H764">
        <v>5</v>
      </c>
      <c r="I764">
        <v>7500</v>
      </c>
      <c r="J764">
        <v>19.41</v>
      </c>
      <c r="K764" s="2">
        <v>45281</v>
      </c>
      <c r="L764" t="str">
        <f>IF(ISBLANK('[1]2.Diagnostic Analysis'!K764),"Unknown",'[1]2.Diagnostic Analysis'!K764)</f>
        <v>Delivered</v>
      </c>
    </row>
    <row r="765" spans="1:12" x14ac:dyDescent="0.25">
      <c r="A765" t="s">
        <v>196</v>
      </c>
      <c r="B765" t="s">
        <v>13</v>
      </c>
      <c r="C765" t="str">
        <f>IF(ISBLANK('[1]2.Diagnostic Analysis'!C765),"Unknown",'[1]2.Diagnostic Analysis'!C765)</f>
        <v>West</v>
      </c>
      <c r="D765" t="s">
        <v>14</v>
      </c>
      <c r="E765" t="s">
        <v>15</v>
      </c>
      <c r="F765">
        <f>IF(ISBLANK('[1]2.Diagnostic Analysis'!D765),'[1]2.Diagnostic Analysis'!$Q$3,'[1]2.Diagnostic Analysis'!D765)</f>
        <v>66</v>
      </c>
      <c r="G765">
        <v>300</v>
      </c>
      <c r="H765">
        <v>1</v>
      </c>
      <c r="I765">
        <v>300</v>
      </c>
      <c r="J765">
        <v>7.84</v>
      </c>
      <c r="K765" s="2">
        <v>45268</v>
      </c>
      <c r="L765" t="str">
        <f>IF(ISBLANK('[1]2.Diagnostic Analysis'!K765),"Unknown",'[1]2.Diagnostic Analysis'!K765)</f>
        <v>In Transit</v>
      </c>
    </row>
    <row r="766" spans="1:12" x14ac:dyDescent="0.25">
      <c r="A766" t="s">
        <v>301</v>
      </c>
      <c r="B766" t="s">
        <v>20</v>
      </c>
      <c r="C766" t="str">
        <f>IF(ISBLANK('[1]2.Diagnostic Analysis'!C766),"Unknown",'[1]2.Diagnostic Analysis'!C766)</f>
        <v>South</v>
      </c>
      <c r="D766" t="s">
        <v>40</v>
      </c>
      <c r="E766" t="s">
        <v>15</v>
      </c>
      <c r="F766">
        <f>IF(ISBLANK('[1]2.Diagnostic Analysis'!D766),'[1]2.Diagnostic Analysis'!$Q$3,'[1]2.Diagnostic Analysis'!D766)</f>
        <v>60</v>
      </c>
      <c r="G766">
        <v>800</v>
      </c>
      <c r="H766">
        <v>4</v>
      </c>
      <c r="I766">
        <v>3200</v>
      </c>
      <c r="J766">
        <v>9.99</v>
      </c>
      <c r="K766" s="2">
        <v>45106</v>
      </c>
      <c r="L766" t="str">
        <f>IF(ISBLANK('[1]2.Diagnostic Analysis'!K766),"Unknown",'[1]2.Diagnostic Analysis'!K766)</f>
        <v>Returned</v>
      </c>
    </row>
    <row r="767" spans="1:12" x14ac:dyDescent="0.25">
      <c r="A767" t="s">
        <v>176</v>
      </c>
      <c r="B767" t="s">
        <v>13</v>
      </c>
      <c r="C767" t="str">
        <f>IF(ISBLANK('[1]2.Diagnostic Analysis'!C767),"Unknown",'[1]2.Diagnostic Analysis'!C767)</f>
        <v>South</v>
      </c>
      <c r="D767" t="s">
        <v>14</v>
      </c>
      <c r="E767" t="s">
        <v>15</v>
      </c>
      <c r="F767">
        <f>IF(ISBLANK('[1]2.Diagnostic Analysis'!D767),'[1]2.Diagnostic Analysis'!$Q$3,'[1]2.Diagnostic Analysis'!D767)</f>
        <v>20</v>
      </c>
      <c r="G767">
        <v>300</v>
      </c>
      <c r="H767">
        <v>2</v>
      </c>
      <c r="I767">
        <v>600</v>
      </c>
      <c r="J767">
        <v>9.77</v>
      </c>
      <c r="K767" s="2">
        <v>45193</v>
      </c>
      <c r="L767" t="str">
        <f>IF(ISBLANK('[1]2.Diagnostic Analysis'!K767),"Unknown",'[1]2.Diagnostic Analysis'!K767)</f>
        <v>Returned</v>
      </c>
    </row>
    <row r="768" spans="1:12" x14ac:dyDescent="0.25">
      <c r="A768" t="s">
        <v>101</v>
      </c>
      <c r="B768" t="s">
        <v>20</v>
      </c>
      <c r="C768" t="str">
        <f>IF(ISBLANK('[1]2.Diagnostic Analysis'!C768),"Unknown",'[1]2.Diagnostic Analysis'!C768)</f>
        <v>West</v>
      </c>
      <c r="D768" t="s">
        <v>40</v>
      </c>
      <c r="E768" t="s">
        <v>15</v>
      </c>
      <c r="F768">
        <f>IF(ISBLANK('[1]2.Diagnostic Analysis'!D768),'[1]2.Diagnostic Analysis'!$Q$3,'[1]2.Diagnostic Analysis'!D768)</f>
        <v>51</v>
      </c>
      <c r="G768">
        <v>800</v>
      </c>
      <c r="H768">
        <v>3</v>
      </c>
      <c r="I768">
        <v>2400</v>
      </c>
      <c r="J768">
        <v>15.28</v>
      </c>
      <c r="K768" s="2">
        <v>45068</v>
      </c>
      <c r="L768" t="str">
        <f>IF(ISBLANK('[1]2.Diagnostic Analysis'!K768),"Unknown",'[1]2.Diagnostic Analysis'!K768)</f>
        <v>In Transit</v>
      </c>
    </row>
    <row r="769" spans="1:12" x14ac:dyDescent="0.25">
      <c r="A769" t="s">
        <v>260</v>
      </c>
      <c r="B769" t="s">
        <v>20</v>
      </c>
      <c r="C769" t="str">
        <f>IF(ISBLANK('[1]2.Diagnostic Analysis'!C769),"Unknown",'[1]2.Diagnostic Analysis'!C769)</f>
        <v>East</v>
      </c>
      <c r="D769" t="s">
        <v>30</v>
      </c>
      <c r="E769" t="s">
        <v>18</v>
      </c>
      <c r="F769">
        <f>IF(ISBLANK('[1]2.Diagnostic Analysis'!D769),'[1]2.Diagnostic Analysis'!$Q$3,'[1]2.Diagnostic Analysis'!D769)</f>
        <v>35</v>
      </c>
      <c r="G769">
        <v>30</v>
      </c>
      <c r="H769">
        <v>3</v>
      </c>
      <c r="I769">
        <v>90</v>
      </c>
      <c r="J769">
        <v>8.7899999999999991</v>
      </c>
      <c r="K769" s="2">
        <v>45136</v>
      </c>
      <c r="L769" t="str">
        <f>IF(ISBLANK('[1]2.Diagnostic Analysis'!K769),"Unknown",'[1]2.Diagnostic Analysis'!K769)</f>
        <v>Returned</v>
      </c>
    </row>
    <row r="770" spans="1:12" x14ac:dyDescent="0.25">
      <c r="A770" t="s">
        <v>299</v>
      </c>
      <c r="B770" t="s">
        <v>13</v>
      </c>
      <c r="C770" t="str">
        <f>IF(ISBLANK('[1]2.Diagnostic Analysis'!C770),"Unknown",'[1]2.Diagnostic Analysis'!C770)</f>
        <v>West</v>
      </c>
      <c r="D770" t="s">
        <v>29</v>
      </c>
      <c r="E770" t="s">
        <v>18</v>
      </c>
      <c r="F770">
        <f>IF(ISBLANK('[1]2.Diagnostic Analysis'!D770),'[1]2.Diagnostic Analysis'!$Q$3,'[1]2.Diagnostic Analysis'!D770)</f>
        <v>40</v>
      </c>
      <c r="G770">
        <v>50</v>
      </c>
      <c r="H770">
        <v>4</v>
      </c>
      <c r="I770">
        <v>200</v>
      </c>
      <c r="J770">
        <v>12.79</v>
      </c>
      <c r="K770" s="2">
        <v>45218</v>
      </c>
      <c r="L770" t="str">
        <f>IF(ISBLANK('[1]2.Diagnostic Analysis'!K770),"Unknown",'[1]2.Diagnostic Analysis'!K770)</f>
        <v>Delivered</v>
      </c>
    </row>
    <row r="771" spans="1:12" x14ac:dyDescent="0.25">
      <c r="A771" t="s">
        <v>135</v>
      </c>
      <c r="B771" t="s">
        <v>13</v>
      </c>
      <c r="C771" t="str">
        <f>IF(ISBLANK('[1]2.Diagnostic Analysis'!C771),"Unknown",'[1]2.Diagnostic Analysis'!C771)</f>
        <v>North</v>
      </c>
      <c r="D771" t="s">
        <v>40</v>
      </c>
      <c r="E771" t="s">
        <v>15</v>
      </c>
      <c r="F771">
        <f>IF(ISBLANK('[1]2.Diagnostic Analysis'!D771),'[1]2.Diagnostic Analysis'!$Q$3,'[1]2.Diagnostic Analysis'!D771)</f>
        <v>54</v>
      </c>
      <c r="G771">
        <v>800</v>
      </c>
      <c r="H771">
        <v>5</v>
      </c>
      <c r="I771">
        <v>4000</v>
      </c>
      <c r="J771">
        <v>9.5500000000000007</v>
      </c>
      <c r="K771" s="2">
        <v>45171</v>
      </c>
      <c r="L771" t="str">
        <f>IF(ISBLANK('[1]2.Diagnostic Analysis'!K771),"Unknown",'[1]2.Diagnostic Analysis'!K771)</f>
        <v>Delivered</v>
      </c>
    </row>
    <row r="772" spans="1:12" x14ac:dyDescent="0.25">
      <c r="A772" t="s">
        <v>55</v>
      </c>
      <c r="B772" t="s">
        <v>20</v>
      </c>
      <c r="C772" t="str">
        <f>IF(ISBLANK('[1]2.Diagnostic Analysis'!C772),"Unknown",'[1]2.Diagnostic Analysis'!C772)</f>
        <v>East</v>
      </c>
      <c r="D772" t="s">
        <v>30</v>
      </c>
      <c r="E772" t="s">
        <v>18</v>
      </c>
      <c r="F772">
        <f>IF(ISBLANK('[1]2.Diagnostic Analysis'!D772),'[1]2.Diagnostic Analysis'!$Q$3,'[1]2.Diagnostic Analysis'!D772)</f>
        <v>58</v>
      </c>
      <c r="G772">
        <v>30</v>
      </c>
      <c r="H772">
        <v>4</v>
      </c>
      <c r="I772">
        <v>120</v>
      </c>
      <c r="J772">
        <v>8.85</v>
      </c>
      <c r="K772" s="2">
        <v>45098</v>
      </c>
      <c r="L772" t="str">
        <f>IF(ISBLANK('[1]2.Diagnostic Analysis'!K772),"Unknown",'[1]2.Diagnostic Analysis'!K772)</f>
        <v>Returned</v>
      </c>
    </row>
    <row r="773" spans="1:12" x14ac:dyDescent="0.25">
      <c r="A773" t="s">
        <v>302</v>
      </c>
      <c r="B773" t="s">
        <v>13</v>
      </c>
      <c r="C773" t="str">
        <f>IF(ISBLANK('[1]2.Diagnostic Analysis'!C773),"Unknown",'[1]2.Diagnostic Analysis'!C773)</f>
        <v>South</v>
      </c>
      <c r="D773" t="s">
        <v>29</v>
      </c>
      <c r="E773" t="s">
        <v>18</v>
      </c>
      <c r="F773">
        <f>IF(ISBLANK('[1]2.Diagnostic Analysis'!D773),'[1]2.Diagnostic Analysis'!$Q$3,'[1]2.Diagnostic Analysis'!D773)</f>
        <v>26</v>
      </c>
      <c r="G773">
        <v>50</v>
      </c>
      <c r="H773">
        <v>2</v>
      </c>
      <c r="I773">
        <v>100</v>
      </c>
      <c r="J773">
        <v>9.76</v>
      </c>
      <c r="K773" s="2">
        <v>45090</v>
      </c>
      <c r="L773" t="str">
        <f>IF(ISBLANK('[1]2.Diagnostic Analysis'!K773),"Unknown",'[1]2.Diagnostic Analysis'!K773)</f>
        <v>In Transit</v>
      </c>
    </row>
    <row r="774" spans="1:12" x14ac:dyDescent="0.25">
      <c r="A774" t="s">
        <v>281</v>
      </c>
      <c r="B774" t="s">
        <v>20</v>
      </c>
      <c r="C774" t="str">
        <f>IF(ISBLANK('[1]2.Diagnostic Analysis'!C774),"Unknown",'[1]2.Diagnostic Analysis'!C774)</f>
        <v>East</v>
      </c>
      <c r="D774" t="s">
        <v>25</v>
      </c>
      <c r="E774" t="s">
        <v>26</v>
      </c>
      <c r="F774">
        <f>IF(ISBLANK('[1]2.Diagnostic Analysis'!D774),'[1]2.Diagnostic Analysis'!$Q$3,'[1]2.Diagnostic Analysis'!D774)</f>
        <v>43</v>
      </c>
      <c r="G774">
        <v>200</v>
      </c>
      <c r="H774">
        <v>1</v>
      </c>
      <c r="I774">
        <v>200</v>
      </c>
      <c r="J774">
        <v>6.18</v>
      </c>
      <c r="K774" s="2">
        <v>45288</v>
      </c>
      <c r="L774" t="str">
        <f>IF(ISBLANK('[1]2.Diagnostic Analysis'!K774),"Unknown",'[1]2.Diagnostic Analysis'!K774)</f>
        <v>In Transit</v>
      </c>
    </row>
    <row r="775" spans="1:12" x14ac:dyDescent="0.25">
      <c r="A775" t="s">
        <v>217</v>
      </c>
      <c r="B775" t="s">
        <v>13</v>
      </c>
      <c r="C775" t="str">
        <f>IF(ISBLANK('[1]2.Diagnostic Analysis'!C775),"Unknown",'[1]2.Diagnostic Analysis'!C775)</f>
        <v>East</v>
      </c>
      <c r="D775" t="s">
        <v>23</v>
      </c>
      <c r="E775" t="s">
        <v>15</v>
      </c>
      <c r="F775">
        <f>IF(ISBLANK('[1]2.Diagnostic Analysis'!D775),'[1]2.Diagnostic Analysis'!$Q$3,'[1]2.Diagnostic Analysis'!D775)</f>
        <v>69</v>
      </c>
      <c r="G775">
        <v>1500</v>
      </c>
      <c r="H775">
        <v>3</v>
      </c>
      <c r="I775">
        <v>4500</v>
      </c>
      <c r="J775">
        <v>6.08</v>
      </c>
      <c r="K775" s="2">
        <v>45113</v>
      </c>
      <c r="L775" t="str">
        <f>IF(ISBLANK('[1]2.Diagnostic Analysis'!K775),"Unknown",'[1]2.Diagnostic Analysis'!K775)</f>
        <v>Returned</v>
      </c>
    </row>
    <row r="776" spans="1:12" x14ac:dyDescent="0.25">
      <c r="A776" t="s">
        <v>303</v>
      </c>
      <c r="B776" t="s">
        <v>13</v>
      </c>
      <c r="C776" t="str">
        <f>IF(ISBLANK('[1]2.Diagnostic Analysis'!C776),"Unknown",'[1]2.Diagnostic Analysis'!C776)</f>
        <v>West</v>
      </c>
      <c r="D776" t="s">
        <v>23</v>
      </c>
      <c r="E776" t="s">
        <v>15</v>
      </c>
      <c r="F776">
        <f>IF(ISBLANK('[1]2.Diagnostic Analysis'!D776),'[1]2.Diagnostic Analysis'!$Q$3,'[1]2.Diagnostic Analysis'!D776)</f>
        <v>61</v>
      </c>
      <c r="G776">
        <v>1500</v>
      </c>
      <c r="H776">
        <v>4</v>
      </c>
      <c r="I776">
        <v>6000</v>
      </c>
      <c r="J776">
        <v>9.4600000000000009</v>
      </c>
      <c r="K776" s="2">
        <v>45090</v>
      </c>
      <c r="L776" t="str">
        <f>IF(ISBLANK('[1]2.Diagnostic Analysis'!K776),"Unknown",'[1]2.Diagnostic Analysis'!K776)</f>
        <v>Delivered</v>
      </c>
    </row>
    <row r="777" spans="1:12" x14ac:dyDescent="0.25">
      <c r="A777" t="s">
        <v>63</v>
      </c>
      <c r="B777" t="s">
        <v>20</v>
      </c>
      <c r="C777" t="str">
        <f>IF(ISBLANK('[1]2.Diagnostic Analysis'!C777),"Unknown",'[1]2.Diagnostic Analysis'!C777)</f>
        <v>West</v>
      </c>
      <c r="D777" t="s">
        <v>17</v>
      </c>
      <c r="E777" t="s">
        <v>18</v>
      </c>
      <c r="F777">
        <f>IF(ISBLANK('[1]2.Diagnostic Analysis'!D777),'[1]2.Diagnostic Analysis'!$Q$3,'[1]2.Diagnostic Analysis'!D777)</f>
        <v>61</v>
      </c>
      <c r="G777">
        <v>100</v>
      </c>
      <c r="H777">
        <v>1</v>
      </c>
      <c r="I777">
        <v>100</v>
      </c>
      <c r="J777">
        <v>6.6</v>
      </c>
      <c r="K777" s="2">
        <v>45005</v>
      </c>
      <c r="L777" t="str">
        <f>IF(ISBLANK('[1]2.Diagnostic Analysis'!K777),"Unknown",'[1]2.Diagnostic Analysis'!K777)</f>
        <v>Returned</v>
      </c>
    </row>
    <row r="778" spans="1:12" x14ac:dyDescent="0.25">
      <c r="A778" t="s">
        <v>212</v>
      </c>
      <c r="B778" t="s">
        <v>20</v>
      </c>
      <c r="C778" t="str">
        <f>IF(ISBLANK('[1]2.Diagnostic Analysis'!C778),"Unknown",'[1]2.Diagnostic Analysis'!C778)</f>
        <v>North</v>
      </c>
      <c r="D778" t="s">
        <v>30</v>
      </c>
      <c r="E778" t="s">
        <v>18</v>
      </c>
      <c r="F778">
        <f>IF(ISBLANK('[1]2.Diagnostic Analysis'!D778),'[1]2.Diagnostic Analysis'!$Q$3,'[1]2.Diagnostic Analysis'!D778)</f>
        <v>67</v>
      </c>
      <c r="G778">
        <v>30</v>
      </c>
      <c r="H778">
        <v>4</v>
      </c>
      <c r="I778">
        <v>120</v>
      </c>
      <c r="J778">
        <v>19.59</v>
      </c>
      <c r="K778" s="2">
        <v>44977</v>
      </c>
      <c r="L778" t="str">
        <f>IF(ISBLANK('[1]2.Diagnostic Analysis'!K778),"Unknown",'[1]2.Diagnostic Analysis'!K778)</f>
        <v>In Transit</v>
      </c>
    </row>
    <row r="779" spans="1:12" x14ac:dyDescent="0.25">
      <c r="A779" t="s">
        <v>65</v>
      </c>
      <c r="B779" t="s">
        <v>20</v>
      </c>
      <c r="C779" t="str">
        <f>IF(ISBLANK('[1]2.Diagnostic Analysis'!C779),"Unknown",'[1]2.Diagnostic Analysis'!C779)</f>
        <v>West</v>
      </c>
      <c r="D779" t="s">
        <v>14</v>
      </c>
      <c r="E779" t="s">
        <v>15</v>
      </c>
      <c r="F779">
        <f>IF(ISBLANK('[1]2.Diagnostic Analysis'!D779),'[1]2.Diagnostic Analysis'!$Q$3,'[1]2.Diagnostic Analysis'!D779)</f>
        <v>38</v>
      </c>
      <c r="G779">
        <v>300</v>
      </c>
      <c r="H779">
        <v>4</v>
      </c>
      <c r="I779">
        <v>1200</v>
      </c>
      <c r="J779">
        <v>12.55</v>
      </c>
      <c r="K779" s="2">
        <v>45165</v>
      </c>
      <c r="L779" t="str">
        <f>IF(ISBLANK('[1]2.Diagnostic Analysis'!K779),"Unknown",'[1]2.Diagnostic Analysis'!K779)</f>
        <v>Delivered</v>
      </c>
    </row>
    <row r="780" spans="1:12" x14ac:dyDescent="0.25">
      <c r="A780" t="s">
        <v>254</v>
      </c>
      <c r="B780" t="s">
        <v>13</v>
      </c>
      <c r="C780" t="str">
        <f>IF(ISBLANK('[1]2.Diagnostic Analysis'!C780),"Unknown",'[1]2.Diagnostic Analysis'!C780)</f>
        <v>North</v>
      </c>
      <c r="D780" t="s">
        <v>29</v>
      </c>
      <c r="E780" t="s">
        <v>18</v>
      </c>
      <c r="F780">
        <f>IF(ISBLANK('[1]2.Diagnostic Analysis'!D780),'[1]2.Diagnostic Analysis'!$Q$3,'[1]2.Diagnostic Analysis'!D780)</f>
        <v>69</v>
      </c>
      <c r="G780">
        <v>50</v>
      </c>
      <c r="H780">
        <v>5</v>
      </c>
      <c r="I780">
        <v>250</v>
      </c>
      <c r="J780">
        <v>14.32</v>
      </c>
      <c r="K780" s="2">
        <v>44960</v>
      </c>
      <c r="L780" t="str">
        <f>IF(ISBLANK('[1]2.Diagnostic Analysis'!K780),"Unknown",'[1]2.Diagnostic Analysis'!K780)</f>
        <v>Unknown</v>
      </c>
    </row>
    <row r="781" spans="1:12" x14ac:dyDescent="0.25">
      <c r="A781" t="s">
        <v>169</v>
      </c>
      <c r="B781" t="s">
        <v>13</v>
      </c>
      <c r="C781" t="str">
        <f>IF(ISBLANK('[1]2.Diagnostic Analysis'!C781),"Unknown",'[1]2.Diagnostic Analysis'!C781)</f>
        <v>West</v>
      </c>
      <c r="D781" t="s">
        <v>40</v>
      </c>
      <c r="E781" t="s">
        <v>15</v>
      </c>
      <c r="F781">
        <f>IF(ISBLANK('[1]2.Diagnostic Analysis'!D781),'[1]2.Diagnostic Analysis'!$Q$3,'[1]2.Diagnostic Analysis'!D781)</f>
        <v>51</v>
      </c>
      <c r="G781">
        <v>800</v>
      </c>
      <c r="H781">
        <v>5</v>
      </c>
      <c r="I781">
        <v>4000</v>
      </c>
      <c r="J781">
        <v>6.74</v>
      </c>
      <c r="K781" s="2">
        <v>45196</v>
      </c>
      <c r="L781" t="str">
        <f>IF(ISBLANK('[1]2.Diagnostic Analysis'!K781),"Unknown",'[1]2.Diagnostic Analysis'!K781)</f>
        <v>Delivered</v>
      </c>
    </row>
    <row r="782" spans="1:12" x14ac:dyDescent="0.25">
      <c r="A782" t="s">
        <v>102</v>
      </c>
      <c r="B782" t="s">
        <v>13</v>
      </c>
      <c r="C782" t="str">
        <f>IF(ISBLANK('[1]2.Diagnostic Analysis'!C782),"Unknown",'[1]2.Diagnostic Analysis'!C782)</f>
        <v>South</v>
      </c>
      <c r="D782" t="s">
        <v>17</v>
      </c>
      <c r="E782" t="s">
        <v>18</v>
      </c>
      <c r="F782">
        <f>IF(ISBLANK('[1]2.Diagnostic Analysis'!D782),'[1]2.Diagnostic Analysis'!$Q$3,'[1]2.Diagnostic Analysis'!D782)</f>
        <v>30</v>
      </c>
      <c r="G782">
        <v>100</v>
      </c>
      <c r="H782">
        <v>2</v>
      </c>
      <c r="I782">
        <v>200</v>
      </c>
      <c r="J782">
        <v>7.01</v>
      </c>
      <c r="K782" s="2">
        <v>45003</v>
      </c>
      <c r="L782" t="str">
        <f>IF(ISBLANK('[1]2.Diagnostic Analysis'!K782),"Unknown",'[1]2.Diagnostic Analysis'!K782)</f>
        <v>In Transit</v>
      </c>
    </row>
    <row r="783" spans="1:12" x14ac:dyDescent="0.25">
      <c r="A783" t="s">
        <v>81</v>
      </c>
      <c r="B783" t="s">
        <v>13</v>
      </c>
      <c r="C783" t="str">
        <f>IF(ISBLANK('[1]2.Diagnostic Analysis'!C783),"Unknown",'[1]2.Diagnostic Analysis'!C783)</f>
        <v>East</v>
      </c>
      <c r="D783" t="s">
        <v>23</v>
      </c>
      <c r="E783" t="s">
        <v>15</v>
      </c>
      <c r="F783">
        <f>IF(ISBLANK('[1]2.Diagnostic Analysis'!D783),'[1]2.Diagnostic Analysis'!$Q$3,'[1]2.Diagnostic Analysis'!D783)</f>
        <v>33</v>
      </c>
      <c r="G783">
        <v>1500</v>
      </c>
      <c r="H783">
        <v>2</v>
      </c>
      <c r="I783">
        <v>3000</v>
      </c>
      <c r="J783">
        <v>14.97</v>
      </c>
      <c r="K783" s="2">
        <v>44943</v>
      </c>
      <c r="L783" t="str">
        <f>IF(ISBLANK('[1]2.Diagnostic Analysis'!K783),"Unknown",'[1]2.Diagnostic Analysis'!K783)</f>
        <v>Delivered</v>
      </c>
    </row>
    <row r="784" spans="1:12" x14ac:dyDescent="0.25">
      <c r="A784" t="s">
        <v>285</v>
      </c>
      <c r="B784" t="s">
        <v>20</v>
      </c>
      <c r="C784" t="str">
        <f>IF(ISBLANK('[1]2.Diagnostic Analysis'!C784),"Unknown",'[1]2.Diagnostic Analysis'!C784)</f>
        <v>West</v>
      </c>
      <c r="D784" t="s">
        <v>17</v>
      </c>
      <c r="E784" t="s">
        <v>18</v>
      </c>
      <c r="F784">
        <f>IF(ISBLANK('[1]2.Diagnostic Analysis'!D784),'[1]2.Diagnostic Analysis'!$Q$3,'[1]2.Diagnostic Analysis'!D784)</f>
        <v>44</v>
      </c>
      <c r="G784">
        <v>100</v>
      </c>
      <c r="H784">
        <v>4</v>
      </c>
      <c r="I784">
        <v>400</v>
      </c>
      <c r="J784">
        <v>10.029999999999999</v>
      </c>
      <c r="K784" s="2">
        <v>45057</v>
      </c>
      <c r="L784" t="str">
        <f>IF(ISBLANK('[1]2.Diagnostic Analysis'!K784),"Unknown",'[1]2.Diagnostic Analysis'!K784)</f>
        <v>In Transit</v>
      </c>
    </row>
    <row r="785" spans="1:12" x14ac:dyDescent="0.25">
      <c r="A785" t="s">
        <v>36</v>
      </c>
      <c r="B785" t="s">
        <v>13</v>
      </c>
      <c r="C785" t="str">
        <f>IF(ISBLANK('[1]2.Diagnostic Analysis'!C785),"Unknown",'[1]2.Diagnostic Analysis'!C785)</f>
        <v>South</v>
      </c>
      <c r="D785" t="s">
        <v>29</v>
      </c>
      <c r="E785" t="s">
        <v>18</v>
      </c>
      <c r="F785">
        <f>IF(ISBLANK('[1]2.Diagnostic Analysis'!D785),'[1]2.Diagnostic Analysis'!$Q$3,'[1]2.Diagnostic Analysis'!D785)</f>
        <v>66</v>
      </c>
      <c r="G785">
        <v>50</v>
      </c>
      <c r="H785">
        <v>2</v>
      </c>
      <c r="I785">
        <v>100</v>
      </c>
      <c r="J785">
        <v>8.51</v>
      </c>
      <c r="K785" s="2">
        <v>44995</v>
      </c>
      <c r="L785" t="str">
        <f>IF(ISBLANK('[1]2.Diagnostic Analysis'!K785),"Unknown",'[1]2.Diagnostic Analysis'!K785)</f>
        <v>In Transit</v>
      </c>
    </row>
    <row r="786" spans="1:12" x14ac:dyDescent="0.25">
      <c r="A786" t="s">
        <v>296</v>
      </c>
      <c r="B786" t="s">
        <v>20</v>
      </c>
      <c r="C786" t="str">
        <f>IF(ISBLANK('[1]2.Diagnostic Analysis'!C786),"Unknown",'[1]2.Diagnostic Analysis'!C786)</f>
        <v>West</v>
      </c>
      <c r="D786" t="s">
        <v>29</v>
      </c>
      <c r="E786" t="s">
        <v>18</v>
      </c>
      <c r="F786">
        <f>IF(ISBLANK('[1]2.Diagnostic Analysis'!D786),'[1]2.Diagnostic Analysis'!$Q$3,'[1]2.Diagnostic Analysis'!D786)</f>
        <v>65</v>
      </c>
      <c r="G786">
        <v>50</v>
      </c>
      <c r="H786">
        <v>1</v>
      </c>
      <c r="I786">
        <v>50</v>
      </c>
      <c r="J786">
        <v>7.55</v>
      </c>
      <c r="K786" s="2">
        <v>45104</v>
      </c>
      <c r="L786" t="str">
        <f>IF(ISBLANK('[1]2.Diagnostic Analysis'!K786),"Unknown",'[1]2.Diagnostic Analysis'!K786)</f>
        <v>Delivered</v>
      </c>
    </row>
    <row r="787" spans="1:12" x14ac:dyDescent="0.25">
      <c r="A787" t="s">
        <v>282</v>
      </c>
      <c r="B787" t="s">
        <v>20</v>
      </c>
      <c r="C787" t="str">
        <f>IF(ISBLANK('[1]2.Diagnostic Analysis'!C787),"Unknown",'[1]2.Diagnostic Analysis'!C787)</f>
        <v>North</v>
      </c>
      <c r="D787" t="s">
        <v>30</v>
      </c>
      <c r="E787" t="s">
        <v>18</v>
      </c>
      <c r="F787">
        <f>IF(ISBLANK('[1]2.Diagnostic Analysis'!D787),'[1]2.Diagnostic Analysis'!$Q$3,'[1]2.Diagnostic Analysis'!D787)</f>
        <v>46</v>
      </c>
      <c r="G787">
        <v>30</v>
      </c>
      <c r="H787">
        <v>4</v>
      </c>
      <c r="I787">
        <v>120</v>
      </c>
      <c r="J787">
        <v>18.309999999999999</v>
      </c>
      <c r="K787" s="2">
        <v>45237</v>
      </c>
      <c r="L787" t="str">
        <f>IF(ISBLANK('[1]2.Diagnostic Analysis'!K787),"Unknown",'[1]2.Diagnostic Analysis'!K787)</f>
        <v>In Transit</v>
      </c>
    </row>
    <row r="788" spans="1:12" x14ac:dyDescent="0.25">
      <c r="A788" t="s">
        <v>296</v>
      </c>
      <c r="B788" t="s">
        <v>13</v>
      </c>
      <c r="C788" t="str">
        <f>IF(ISBLANK('[1]2.Diagnostic Analysis'!C788),"Unknown",'[1]2.Diagnostic Analysis'!C788)</f>
        <v>North</v>
      </c>
      <c r="D788" t="s">
        <v>23</v>
      </c>
      <c r="E788" t="s">
        <v>15</v>
      </c>
      <c r="F788">
        <f>IF(ISBLANK('[1]2.Diagnostic Analysis'!D788),'[1]2.Diagnostic Analysis'!$Q$3,'[1]2.Diagnostic Analysis'!D788)</f>
        <v>65</v>
      </c>
      <c r="G788">
        <v>1500</v>
      </c>
      <c r="H788">
        <v>5</v>
      </c>
      <c r="I788">
        <v>7500</v>
      </c>
      <c r="J788">
        <v>16.39</v>
      </c>
      <c r="K788" s="2">
        <v>45024</v>
      </c>
      <c r="L788" t="str">
        <f>IF(ISBLANK('[1]2.Diagnostic Analysis'!K788),"Unknown",'[1]2.Diagnostic Analysis'!K788)</f>
        <v>Returned</v>
      </c>
    </row>
    <row r="789" spans="1:12" x14ac:dyDescent="0.25">
      <c r="A789" t="s">
        <v>71</v>
      </c>
      <c r="B789" t="s">
        <v>13</v>
      </c>
      <c r="C789" t="str">
        <f>IF(ISBLANK('[1]2.Diagnostic Analysis'!C789),"Unknown",'[1]2.Diagnostic Analysis'!C789)</f>
        <v>North</v>
      </c>
      <c r="D789" t="s">
        <v>23</v>
      </c>
      <c r="E789" t="s">
        <v>15</v>
      </c>
      <c r="F789">
        <f>IF(ISBLANK('[1]2.Diagnostic Analysis'!D789),'[1]2.Diagnostic Analysis'!$Q$3,'[1]2.Diagnostic Analysis'!D789)</f>
        <v>68</v>
      </c>
      <c r="G789">
        <v>1500</v>
      </c>
      <c r="H789">
        <v>2</v>
      </c>
      <c r="I789">
        <v>3000</v>
      </c>
      <c r="J789">
        <v>18.77</v>
      </c>
      <c r="K789" s="2">
        <v>45226</v>
      </c>
      <c r="L789" t="str">
        <f>IF(ISBLANK('[1]2.Diagnostic Analysis'!K789),"Unknown",'[1]2.Diagnostic Analysis'!K789)</f>
        <v>Returned</v>
      </c>
    </row>
    <row r="790" spans="1:12" x14ac:dyDescent="0.25">
      <c r="A790" t="s">
        <v>116</v>
      </c>
      <c r="B790" t="s">
        <v>20</v>
      </c>
      <c r="C790" t="str">
        <f>IF(ISBLANK('[1]2.Diagnostic Analysis'!C790),"Unknown",'[1]2.Diagnostic Analysis'!C790)</f>
        <v>East</v>
      </c>
      <c r="D790" t="s">
        <v>23</v>
      </c>
      <c r="E790" t="s">
        <v>15</v>
      </c>
      <c r="F790">
        <f>IF(ISBLANK('[1]2.Diagnostic Analysis'!D790),'[1]2.Diagnostic Analysis'!$Q$3,'[1]2.Diagnostic Analysis'!D790)</f>
        <v>20</v>
      </c>
      <c r="G790">
        <v>1500</v>
      </c>
      <c r="H790">
        <v>5</v>
      </c>
      <c r="I790">
        <v>7500</v>
      </c>
      <c r="J790">
        <v>9.26</v>
      </c>
      <c r="K790" s="2">
        <v>44958</v>
      </c>
      <c r="L790" t="str">
        <f>IF(ISBLANK('[1]2.Diagnostic Analysis'!K790),"Unknown",'[1]2.Diagnostic Analysis'!K790)</f>
        <v>Returned</v>
      </c>
    </row>
    <row r="791" spans="1:12" x14ac:dyDescent="0.25">
      <c r="A791" t="s">
        <v>165</v>
      </c>
      <c r="B791" t="s">
        <v>13</v>
      </c>
      <c r="C791" t="str">
        <f>IF(ISBLANK('[1]2.Diagnostic Analysis'!C791),"Unknown",'[1]2.Diagnostic Analysis'!C791)</f>
        <v>North</v>
      </c>
      <c r="D791" t="s">
        <v>40</v>
      </c>
      <c r="E791" t="s">
        <v>15</v>
      </c>
      <c r="F791">
        <f>IF(ISBLANK('[1]2.Diagnostic Analysis'!D791),'[1]2.Diagnostic Analysis'!$Q$3,'[1]2.Diagnostic Analysis'!D791)</f>
        <v>66</v>
      </c>
      <c r="G791">
        <v>800</v>
      </c>
      <c r="H791">
        <v>4</v>
      </c>
      <c r="I791">
        <v>3200</v>
      </c>
      <c r="J791">
        <v>15.69</v>
      </c>
      <c r="K791" s="2">
        <v>45073</v>
      </c>
      <c r="L791" t="str">
        <f>IF(ISBLANK('[1]2.Diagnostic Analysis'!K791),"Unknown",'[1]2.Diagnostic Analysis'!K791)</f>
        <v>In Transit</v>
      </c>
    </row>
    <row r="792" spans="1:12" x14ac:dyDescent="0.25">
      <c r="A792" t="s">
        <v>73</v>
      </c>
      <c r="B792" t="s">
        <v>13</v>
      </c>
      <c r="C792" t="str">
        <f>IF(ISBLANK('[1]2.Diagnostic Analysis'!C792),"Unknown",'[1]2.Diagnostic Analysis'!C792)</f>
        <v>South</v>
      </c>
      <c r="D792" t="s">
        <v>29</v>
      </c>
      <c r="E792" t="s">
        <v>18</v>
      </c>
      <c r="F792">
        <f>IF(ISBLANK('[1]2.Diagnostic Analysis'!D792),'[1]2.Diagnostic Analysis'!$Q$3,'[1]2.Diagnostic Analysis'!D792)</f>
        <v>49</v>
      </c>
      <c r="G792">
        <v>50</v>
      </c>
      <c r="H792">
        <v>4</v>
      </c>
      <c r="I792">
        <v>200</v>
      </c>
      <c r="J792">
        <v>11.55</v>
      </c>
      <c r="K792" s="2">
        <v>45200</v>
      </c>
      <c r="L792" t="str">
        <f>IF(ISBLANK('[1]2.Diagnostic Analysis'!K792),"Unknown",'[1]2.Diagnostic Analysis'!K792)</f>
        <v>Delivered</v>
      </c>
    </row>
    <row r="793" spans="1:12" x14ac:dyDescent="0.25">
      <c r="A793" t="s">
        <v>36</v>
      </c>
      <c r="B793" t="s">
        <v>13</v>
      </c>
      <c r="C793" t="str">
        <f>IF(ISBLANK('[1]2.Diagnostic Analysis'!C793),"Unknown",'[1]2.Diagnostic Analysis'!C793)</f>
        <v>West</v>
      </c>
      <c r="D793" t="s">
        <v>40</v>
      </c>
      <c r="E793" t="s">
        <v>15</v>
      </c>
      <c r="F793">
        <f>IF(ISBLANK('[1]2.Diagnostic Analysis'!D793),'[1]2.Diagnostic Analysis'!$Q$3,'[1]2.Diagnostic Analysis'!D793)</f>
        <v>66</v>
      </c>
      <c r="G793">
        <v>800</v>
      </c>
      <c r="H793">
        <v>3</v>
      </c>
      <c r="I793">
        <v>2400</v>
      </c>
      <c r="J793">
        <v>15.27</v>
      </c>
      <c r="K793" s="2">
        <v>45051</v>
      </c>
      <c r="L793" t="str">
        <f>IF(ISBLANK('[1]2.Diagnostic Analysis'!K793),"Unknown",'[1]2.Diagnostic Analysis'!K793)</f>
        <v>In Transit</v>
      </c>
    </row>
    <row r="794" spans="1:12" x14ac:dyDescent="0.25">
      <c r="A794" t="s">
        <v>277</v>
      </c>
      <c r="B794" t="s">
        <v>20</v>
      </c>
      <c r="C794" t="str">
        <f>IF(ISBLANK('[1]2.Diagnostic Analysis'!C794),"Unknown",'[1]2.Diagnostic Analysis'!C794)</f>
        <v>West</v>
      </c>
      <c r="D794" t="s">
        <v>29</v>
      </c>
      <c r="E794" t="s">
        <v>18</v>
      </c>
      <c r="F794">
        <f>IF(ISBLANK('[1]2.Diagnostic Analysis'!D794),'[1]2.Diagnostic Analysis'!$Q$3,'[1]2.Diagnostic Analysis'!D794)</f>
        <v>29</v>
      </c>
      <c r="G794">
        <v>50</v>
      </c>
      <c r="H794">
        <v>4</v>
      </c>
      <c r="I794">
        <v>200</v>
      </c>
      <c r="J794">
        <v>6.75</v>
      </c>
      <c r="K794" s="2">
        <v>45282</v>
      </c>
      <c r="L794" t="str">
        <f>IF(ISBLANK('[1]2.Diagnostic Analysis'!K794),"Unknown",'[1]2.Diagnostic Analysis'!K794)</f>
        <v>Delivered</v>
      </c>
    </row>
    <row r="795" spans="1:12" x14ac:dyDescent="0.25">
      <c r="A795" t="s">
        <v>184</v>
      </c>
      <c r="B795" t="s">
        <v>20</v>
      </c>
      <c r="C795" t="str">
        <f>IF(ISBLANK('[1]2.Diagnostic Analysis'!C795),"Unknown",'[1]2.Diagnostic Analysis'!C795)</f>
        <v>East</v>
      </c>
      <c r="D795" t="s">
        <v>17</v>
      </c>
      <c r="E795" t="s">
        <v>18</v>
      </c>
      <c r="F795">
        <f>IF(ISBLANK('[1]2.Diagnostic Analysis'!D795),'[1]2.Diagnostic Analysis'!$Q$3,'[1]2.Diagnostic Analysis'!D795)</f>
        <v>51</v>
      </c>
      <c r="G795">
        <v>100</v>
      </c>
      <c r="H795">
        <v>2</v>
      </c>
      <c r="I795">
        <v>200</v>
      </c>
      <c r="J795">
        <v>5.79</v>
      </c>
      <c r="K795" s="2">
        <v>45090</v>
      </c>
      <c r="L795" t="str">
        <f>IF(ISBLANK('[1]2.Diagnostic Analysis'!K795),"Unknown",'[1]2.Diagnostic Analysis'!K795)</f>
        <v>Delivered</v>
      </c>
    </row>
    <row r="796" spans="1:12" x14ac:dyDescent="0.25">
      <c r="A796" t="s">
        <v>197</v>
      </c>
      <c r="B796" t="s">
        <v>13</v>
      </c>
      <c r="C796" t="str">
        <f>IF(ISBLANK('[1]2.Diagnostic Analysis'!C796),"Unknown",'[1]2.Diagnostic Analysis'!C796)</f>
        <v>East</v>
      </c>
      <c r="D796" t="s">
        <v>25</v>
      </c>
      <c r="E796" t="s">
        <v>26</v>
      </c>
      <c r="F796">
        <f>IF(ISBLANK('[1]2.Diagnostic Analysis'!D796),'[1]2.Diagnostic Analysis'!$Q$3,'[1]2.Diagnostic Analysis'!D796)</f>
        <v>45</v>
      </c>
      <c r="G796">
        <v>200</v>
      </c>
      <c r="H796">
        <v>4</v>
      </c>
      <c r="I796">
        <v>800</v>
      </c>
      <c r="J796">
        <v>10.62</v>
      </c>
      <c r="K796" s="2">
        <v>44937</v>
      </c>
      <c r="L796" t="str">
        <f>IF(ISBLANK('[1]2.Diagnostic Analysis'!K796),"Unknown",'[1]2.Diagnostic Analysis'!K796)</f>
        <v>Returned</v>
      </c>
    </row>
    <row r="797" spans="1:12" x14ac:dyDescent="0.25">
      <c r="A797" t="s">
        <v>206</v>
      </c>
      <c r="B797" t="s">
        <v>20</v>
      </c>
      <c r="C797" t="str">
        <f>IF(ISBLANK('[1]2.Diagnostic Analysis'!C797),"Unknown",'[1]2.Diagnostic Analysis'!C797)</f>
        <v>North</v>
      </c>
      <c r="D797" t="s">
        <v>14</v>
      </c>
      <c r="E797" t="s">
        <v>15</v>
      </c>
      <c r="F797">
        <f>IF(ISBLANK('[1]2.Diagnostic Analysis'!D797),'[1]2.Diagnostic Analysis'!$Q$3,'[1]2.Diagnostic Analysis'!D797)</f>
        <v>49</v>
      </c>
      <c r="G797">
        <v>300</v>
      </c>
      <c r="H797">
        <v>1</v>
      </c>
      <c r="I797">
        <v>300</v>
      </c>
      <c r="J797">
        <v>5.83</v>
      </c>
      <c r="K797" s="2">
        <v>44964</v>
      </c>
      <c r="L797" t="str">
        <f>IF(ISBLANK('[1]2.Diagnostic Analysis'!K797),"Unknown",'[1]2.Diagnostic Analysis'!K797)</f>
        <v>Delivered</v>
      </c>
    </row>
    <row r="798" spans="1:12" x14ac:dyDescent="0.25">
      <c r="A798" t="s">
        <v>262</v>
      </c>
      <c r="B798" t="s">
        <v>20</v>
      </c>
      <c r="C798" t="str">
        <f>IF(ISBLANK('[1]2.Diagnostic Analysis'!C798),"Unknown",'[1]2.Diagnostic Analysis'!C798)</f>
        <v>Unknown</v>
      </c>
      <c r="D798" t="s">
        <v>17</v>
      </c>
      <c r="E798" t="s">
        <v>18</v>
      </c>
      <c r="F798">
        <f>IF(ISBLANK('[1]2.Diagnostic Analysis'!D798),'[1]2.Diagnostic Analysis'!$Q$3,'[1]2.Diagnostic Analysis'!D798)</f>
        <v>40</v>
      </c>
      <c r="G798">
        <v>100</v>
      </c>
      <c r="H798">
        <v>2</v>
      </c>
      <c r="I798">
        <v>200</v>
      </c>
      <c r="J798">
        <v>9.42</v>
      </c>
      <c r="K798" s="2">
        <v>45121</v>
      </c>
      <c r="L798" t="str">
        <f>IF(ISBLANK('[1]2.Diagnostic Analysis'!K798),"Unknown",'[1]2.Diagnostic Analysis'!K798)</f>
        <v>Returned</v>
      </c>
    </row>
    <row r="799" spans="1:12" x14ac:dyDescent="0.25">
      <c r="A799" t="s">
        <v>126</v>
      </c>
      <c r="B799" t="s">
        <v>13</v>
      </c>
      <c r="C799" t="str">
        <f>IF(ISBLANK('[1]2.Diagnostic Analysis'!C799),"Unknown",'[1]2.Diagnostic Analysis'!C799)</f>
        <v>East</v>
      </c>
      <c r="D799" t="s">
        <v>30</v>
      </c>
      <c r="E799" t="s">
        <v>18</v>
      </c>
      <c r="F799">
        <f>IF(ISBLANK('[1]2.Diagnostic Analysis'!D799),'[1]2.Diagnostic Analysis'!$Q$3,'[1]2.Diagnostic Analysis'!D799)</f>
        <v>50</v>
      </c>
      <c r="G799">
        <v>30</v>
      </c>
      <c r="H799">
        <v>5</v>
      </c>
      <c r="I799">
        <v>150</v>
      </c>
      <c r="J799">
        <v>6.26</v>
      </c>
      <c r="K799" s="2">
        <v>45023</v>
      </c>
      <c r="L799" t="str">
        <f>IF(ISBLANK('[1]2.Diagnostic Analysis'!K799),"Unknown",'[1]2.Diagnostic Analysis'!K799)</f>
        <v>Delivered</v>
      </c>
    </row>
    <row r="800" spans="1:12" x14ac:dyDescent="0.25">
      <c r="A800" t="s">
        <v>246</v>
      </c>
      <c r="B800" t="s">
        <v>13</v>
      </c>
      <c r="C800" t="str">
        <f>IF(ISBLANK('[1]2.Diagnostic Analysis'!C800),"Unknown",'[1]2.Diagnostic Analysis'!C800)</f>
        <v>South</v>
      </c>
      <c r="D800" t="s">
        <v>17</v>
      </c>
      <c r="E800" t="s">
        <v>18</v>
      </c>
      <c r="F800">
        <f>IF(ISBLANK('[1]2.Diagnostic Analysis'!D800),'[1]2.Diagnostic Analysis'!$Q$3,'[1]2.Diagnostic Analysis'!D800)</f>
        <v>54</v>
      </c>
      <c r="G800">
        <v>100</v>
      </c>
      <c r="H800">
        <v>1</v>
      </c>
      <c r="I800">
        <v>100</v>
      </c>
      <c r="J800">
        <v>19.25</v>
      </c>
      <c r="K800" s="2">
        <v>45278</v>
      </c>
      <c r="L800" t="str">
        <f>IF(ISBLANK('[1]2.Diagnostic Analysis'!K800),"Unknown",'[1]2.Diagnostic Analysis'!K800)</f>
        <v>Delivered</v>
      </c>
    </row>
    <row r="801" spans="1:12" x14ac:dyDescent="0.25">
      <c r="A801" t="s">
        <v>149</v>
      </c>
      <c r="B801" t="s">
        <v>13</v>
      </c>
      <c r="C801" t="str">
        <f>IF(ISBLANK('[1]2.Diagnostic Analysis'!C801),"Unknown",'[1]2.Diagnostic Analysis'!C801)</f>
        <v>West</v>
      </c>
      <c r="D801" t="s">
        <v>30</v>
      </c>
      <c r="E801" t="s">
        <v>18</v>
      </c>
      <c r="F801">
        <f>IF(ISBLANK('[1]2.Diagnostic Analysis'!D801),'[1]2.Diagnostic Analysis'!$Q$3,'[1]2.Diagnostic Analysis'!D801)</f>
        <v>59</v>
      </c>
      <c r="G801">
        <v>30</v>
      </c>
      <c r="H801">
        <v>2</v>
      </c>
      <c r="I801">
        <v>60</v>
      </c>
      <c r="J801">
        <v>18.170000000000002</v>
      </c>
      <c r="K801" s="2">
        <v>45247</v>
      </c>
      <c r="L801" t="str">
        <f>IF(ISBLANK('[1]2.Diagnostic Analysis'!K801),"Unknown",'[1]2.Diagnostic Analysis'!K801)</f>
        <v>In Transit</v>
      </c>
    </row>
    <row r="802" spans="1:12" x14ac:dyDescent="0.25">
      <c r="A802" t="s">
        <v>88</v>
      </c>
      <c r="B802" t="s">
        <v>20</v>
      </c>
      <c r="C802" t="str">
        <f>IF(ISBLANK('[1]2.Diagnostic Analysis'!C802),"Unknown",'[1]2.Diagnostic Analysis'!C802)</f>
        <v>West</v>
      </c>
      <c r="D802" t="s">
        <v>14</v>
      </c>
      <c r="E802" t="s">
        <v>15</v>
      </c>
      <c r="F802">
        <f>IF(ISBLANK('[1]2.Diagnostic Analysis'!D802),'[1]2.Diagnostic Analysis'!$Q$3,'[1]2.Diagnostic Analysis'!D802)</f>
        <v>50</v>
      </c>
      <c r="G802">
        <v>300</v>
      </c>
      <c r="H802">
        <v>1</v>
      </c>
      <c r="I802">
        <v>300</v>
      </c>
      <c r="J802">
        <v>5.94</v>
      </c>
      <c r="K802" s="2">
        <v>45286</v>
      </c>
      <c r="L802" t="str">
        <f>IF(ISBLANK('[1]2.Diagnostic Analysis'!K802),"Unknown",'[1]2.Diagnostic Analysis'!K802)</f>
        <v>Returned</v>
      </c>
    </row>
    <row r="803" spans="1:12" x14ac:dyDescent="0.25">
      <c r="A803" t="s">
        <v>291</v>
      </c>
      <c r="B803" t="s">
        <v>13</v>
      </c>
      <c r="C803" t="str">
        <f>IF(ISBLANK('[1]2.Diagnostic Analysis'!C803),"Unknown",'[1]2.Diagnostic Analysis'!C803)</f>
        <v>East</v>
      </c>
      <c r="D803" t="s">
        <v>17</v>
      </c>
      <c r="E803" t="s">
        <v>18</v>
      </c>
      <c r="F803">
        <f>IF(ISBLANK('[1]2.Diagnostic Analysis'!D803),'[1]2.Diagnostic Analysis'!$Q$3,'[1]2.Diagnostic Analysis'!D803)</f>
        <v>53</v>
      </c>
      <c r="G803">
        <v>100</v>
      </c>
      <c r="H803">
        <v>3</v>
      </c>
      <c r="I803">
        <v>300</v>
      </c>
      <c r="J803">
        <v>15.61</v>
      </c>
      <c r="K803" s="2">
        <v>45264</v>
      </c>
      <c r="L803" t="str">
        <f>IF(ISBLANK('[1]2.Diagnostic Analysis'!K803),"Unknown",'[1]2.Diagnostic Analysis'!K803)</f>
        <v>In Transit</v>
      </c>
    </row>
    <row r="804" spans="1:12" x14ac:dyDescent="0.25">
      <c r="A804" t="s">
        <v>53</v>
      </c>
      <c r="B804" t="s">
        <v>13</v>
      </c>
      <c r="C804" t="str">
        <f>IF(ISBLANK('[1]2.Diagnostic Analysis'!C804),"Unknown",'[1]2.Diagnostic Analysis'!C804)</f>
        <v>West</v>
      </c>
      <c r="D804" t="s">
        <v>23</v>
      </c>
      <c r="E804" t="s">
        <v>15</v>
      </c>
      <c r="F804">
        <f>IF(ISBLANK('[1]2.Diagnostic Analysis'!D804),'[1]2.Diagnostic Analysis'!$Q$3,'[1]2.Diagnostic Analysis'!D804)</f>
        <v>55</v>
      </c>
      <c r="G804">
        <v>1500</v>
      </c>
      <c r="H804">
        <v>2</v>
      </c>
      <c r="I804">
        <v>3000</v>
      </c>
      <c r="J804">
        <v>9.06</v>
      </c>
      <c r="K804" s="2">
        <v>45085</v>
      </c>
      <c r="L804" t="str">
        <f>IF(ISBLANK('[1]2.Diagnostic Analysis'!K804),"Unknown",'[1]2.Diagnostic Analysis'!K804)</f>
        <v>Delivered</v>
      </c>
    </row>
    <row r="805" spans="1:12" x14ac:dyDescent="0.25">
      <c r="A805" t="s">
        <v>268</v>
      </c>
      <c r="B805" t="s">
        <v>20</v>
      </c>
      <c r="C805" t="str">
        <f>IF(ISBLANK('[1]2.Diagnostic Analysis'!C805),"Unknown",'[1]2.Diagnostic Analysis'!C805)</f>
        <v>Unknown</v>
      </c>
      <c r="D805" t="s">
        <v>29</v>
      </c>
      <c r="E805" t="s">
        <v>18</v>
      </c>
      <c r="F805">
        <f>IF(ISBLANK('[1]2.Diagnostic Analysis'!D805),'[1]2.Diagnostic Analysis'!$Q$3,'[1]2.Diagnostic Analysis'!D805)</f>
        <v>43</v>
      </c>
      <c r="G805">
        <v>50</v>
      </c>
      <c r="H805">
        <v>4</v>
      </c>
      <c r="I805">
        <v>200</v>
      </c>
      <c r="J805">
        <v>16.25</v>
      </c>
      <c r="K805" s="2">
        <v>45152</v>
      </c>
      <c r="L805" t="str">
        <f>IF(ISBLANK('[1]2.Diagnostic Analysis'!K805),"Unknown",'[1]2.Diagnostic Analysis'!K805)</f>
        <v>In Transit</v>
      </c>
    </row>
    <row r="806" spans="1:12" x14ac:dyDescent="0.25">
      <c r="A806" t="s">
        <v>94</v>
      </c>
      <c r="B806" t="s">
        <v>13</v>
      </c>
      <c r="C806" t="str">
        <f>IF(ISBLANK('[1]2.Diagnostic Analysis'!C806),"Unknown",'[1]2.Diagnostic Analysis'!C806)</f>
        <v>North</v>
      </c>
      <c r="D806" t="s">
        <v>14</v>
      </c>
      <c r="E806" t="s">
        <v>15</v>
      </c>
      <c r="F806">
        <f>IF(ISBLANK('[1]2.Diagnostic Analysis'!D806),'[1]2.Diagnostic Analysis'!$Q$3,'[1]2.Diagnostic Analysis'!D806)</f>
        <v>45</v>
      </c>
      <c r="G806">
        <v>300</v>
      </c>
      <c r="H806">
        <v>4</v>
      </c>
      <c r="I806">
        <v>1200</v>
      </c>
      <c r="J806">
        <v>7.16</v>
      </c>
      <c r="K806" s="2">
        <v>45243</v>
      </c>
      <c r="L806" t="str">
        <f>IF(ISBLANK('[1]2.Diagnostic Analysis'!K806),"Unknown",'[1]2.Diagnostic Analysis'!K806)</f>
        <v>In Transit</v>
      </c>
    </row>
    <row r="807" spans="1:12" x14ac:dyDescent="0.25">
      <c r="A807" t="s">
        <v>41</v>
      </c>
      <c r="B807" t="s">
        <v>13</v>
      </c>
      <c r="C807" t="str">
        <f>IF(ISBLANK('[1]2.Diagnostic Analysis'!C807),"Unknown",'[1]2.Diagnostic Analysis'!C807)</f>
        <v>West</v>
      </c>
      <c r="D807" t="s">
        <v>14</v>
      </c>
      <c r="E807" t="s">
        <v>15</v>
      </c>
      <c r="F807">
        <f>IF(ISBLANK('[1]2.Diagnostic Analysis'!D807),'[1]2.Diagnostic Analysis'!$Q$3,'[1]2.Diagnostic Analysis'!D807)</f>
        <v>32</v>
      </c>
      <c r="G807">
        <v>300</v>
      </c>
      <c r="H807">
        <v>2</v>
      </c>
      <c r="I807">
        <v>600</v>
      </c>
      <c r="J807">
        <v>9.52</v>
      </c>
      <c r="K807" s="2">
        <v>45216</v>
      </c>
      <c r="L807" t="str">
        <f>IF(ISBLANK('[1]2.Diagnostic Analysis'!K807),"Unknown",'[1]2.Diagnostic Analysis'!K807)</f>
        <v>In Transit</v>
      </c>
    </row>
    <row r="808" spans="1:12" x14ac:dyDescent="0.25">
      <c r="A808" t="s">
        <v>304</v>
      </c>
      <c r="B808" t="s">
        <v>20</v>
      </c>
      <c r="C808" t="str">
        <f>IF(ISBLANK('[1]2.Diagnostic Analysis'!C808),"Unknown",'[1]2.Diagnostic Analysis'!C808)</f>
        <v>North</v>
      </c>
      <c r="D808" t="s">
        <v>17</v>
      </c>
      <c r="E808" t="s">
        <v>18</v>
      </c>
      <c r="F808">
        <f>IF(ISBLANK('[1]2.Diagnostic Analysis'!D808),'[1]2.Diagnostic Analysis'!$Q$3,'[1]2.Diagnostic Analysis'!D808)</f>
        <v>35</v>
      </c>
      <c r="G808">
        <v>100</v>
      </c>
      <c r="H808">
        <v>4</v>
      </c>
      <c r="I808">
        <v>400</v>
      </c>
      <c r="J808">
        <v>12.85</v>
      </c>
      <c r="K808" s="2">
        <v>45130</v>
      </c>
      <c r="L808" t="str">
        <f>IF(ISBLANK('[1]2.Diagnostic Analysis'!K808),"Unknown",'[1]2.Diagnostic Analysis'!K808)</f>
        <v>Delivered</v>
      </c>
    </row>
    <row r="809" spans="1:12" x14ac:dyDescent="0.25">
      <c r="A809" t="s">
        <v>81</v>
      </c>
      <c r="B809" t="s">
        <v>13</v>
      </c>
      <c r="C809" t="str">
        <f>IF(ISBLANK('[1]2.Diagnostic Analysis'!C809),"Unknown",'[1]2.Diagnostic Analysis'!C809)</f>
        <v>West</v>
      </c>
      <c r="D809" t="s">
        <v>40</v>
      </c>
      <c r="E809" t="s">
        <v>15</v>
      </c>
      <c r="F809">
        <f>IF(ISBLANK('[1]2.Diagnostic Analysis'!D809),'[1]2.Diagnostic Analysis'!$Q$3,'[1]2.Diagnostic Analysis'!D809)</f>
        <v>33</v>
      </c>
      <c r="G809">
        <v>800</v>
      </c>
      <c r="H809">
        <v>5</v>
      </c>
      <c r="I809">
        <v>4000</v>
      </c>
      <c r="J809">
        <v>5.14</v>
      </c>
      <c r="K809" s="2">
        <v>45092</v>
      </c>
      <c r="L809" t="str">
        <f>IF(ISBLANK('[1]2.Diagnostic Analysis'!K809),"Unknown",'[1]2.Diagnostic Analysis'!K809)</f>
        <v>Returned</v>
      </c>
    </row>
    <row r="810" spans="1:12" x14ac:dyDescent="0.25">
      <c r="A810" t="s">
        <v>83</v>
      </c>
      <c r="B810" t="s">
        <v>20</v>
      </c>
      <c r="C810" t="str">
        <f>IF(ISBLANK('[1]2.Diagnostic Analysis'!C810),"Unknown",'[1]2.Diagnostic Analysis'!C810)</f>
        <v>East</v>
      </c>
      <c r="D810" t="s">
        <v>30</v>
      </c>
      <c r="E810" t="s">
        <v>18</v>
      </c>
      <c r="F810">
        <f>IF(ISBLANK('[1]2.Diagnostic Analysis'!D810),'[1]2.Diagnostic Analysis'!$Q$3,'[1]2.Diagnostic Analysis'!D810)</f>
        <v>36</v>
      </c>
      <c r="G810">
        <v>30</v>
      </c>
      <c r="H810">
        <v>5</v>
      </c>
      <c r="I810">
        <v>150</v>
      </c>
      <c r="J810">
        <v>6.78</v>
      </c>
      <c r="K810" s="2">
        <v>45125</v>
      </c>
      <c r="L810" t="str">
        <f>IF(ISBLANK('[1]2.Diagnostic Analysis'!K810),"Unknown",'[1]2.Diagnostic Analysis'!K810)</f>
        <v>In Transit</v>
      </c>
    </row>
    <row r="811" spans="1:12" x14ac:dyDescent="0.25">
      <c r="A811" t="s">
        <v>233</v>
      </c>
      <c r="B811" t="s">
        <v>20</v>
      </c>
      <c r="C811" t="str">
        <f>IF(ISBLANK('[1]2.Diagnostic Analysis'!C811),"Unknown",'[1]2.Diagnostic Analysis'!C811)</f>
        <v>South</v>
      </c>
      <c r="D811" t="s">
        <v>29</v>
      </c>
      <c r="E811" t="s">
        <v>18</v>
      </c>
      <c r="F811">
        <f>IF(ISBLANK('[1]2.Diagnostic Analysis'!D811),'[1]2.Diagnostic Analysis'!$Q$3,'[1]2.Diagnostic Analysis'!D811)</f>
        <v>38</v>
      </c>
      <c r="G811">
        <v>50</v>
      </c>
      <c r="H811">
        <v>5</v>
      </c>
      <c r="I811">
        <v>250</v>
      </c>
      <c r="J811">
        <v>12.25</v>
      </c>
      <c r="K811" s="2">
        <v>45058</v>
      </c>
      <c r="L811" t="str">
        <f>IF(ISBLANK('[1]2.Diagnostic Analysis'!K811),"Unknown",'[1]2.Diagnostic Analysis'!K811)</f>
        <v>In Transit</v>
      </c>
    </row>
    <row r="812" spans="1:12" x14ac:dyDescent="0.25">
      <c r="A812" t="s">
        <v>249</v>
      </c>
      <c r="B812" t="s">
        <v>13</v>
      </c>
      <c r="C812" t="str">
        <f>IF(ISBLANK('[1]2.Diagnostic Analysis'!C812),"Unknown",'[1]2.Diagnostic Analysis'!C812)</f>
        <v>North</v>
      </c>
      <c r="D812" t="s">
        <v>23</v>
      </c>
      <c r="E812" t="s">
        <v>15</v>
      </c>
      <c r="F812">
        <f>IF(ISBLANK('[1]2.Diagnostic Analysis'!D812),'[1]2.Diagnostic Analysis'!$Q$3,'[1]2.Diagnostic Analysis'!D812)</f>
        <v>64</v>
      </c>
      <c r="G812">
        <v>1500</v>
      </c>
      <c r="H812">
        <v>4</v>
      </c>
      <c r="I812">
        <v>6000</v>
      </c>
      <c r="J812">
        <v>9.8699999999999992</v>
      </c>
      <c r="K812" s="2">
        <v>44976</v>
      </c>
      <c r="L812" t="str">
        <f>IF(ISBLANK('[1]2.Diagnostic Analysis'!K812),"Unknown",'[1]2.Diagnostic Analysis'!K812)</f>
        <v>Delivered</v>
      </c>
    </row>
    <row r="813" spans="1:12" x14ac:dyDescent="0.25">
      <c r="A813" t="s">
        <v>196</v>
      </c>
      <c r="B813" t="s">
        <v>13</v>
      </c>
      <c r="C813" t="str">
        <f>IF(ISBLANK('[1]2.Diagnostic Analysis'!C813),"Unknown",'[1]2.Diagnostic Analysis'!C813)</f>
        <v>West</v>
      </c>
      <c r="D813" t="s">
        <v>23</v>
      </c>
      <c r="E813" t="s">
        <v>15</v>
      </c>
      <c r="F813">
        <f>IF(ISBLANK('[1]2.Diagnostic Analysis'!D813),'[1]2.Diagnostic Analysis'!$Q$3,'[1]2.Diagnostic Analysis'!D813)</f>
        <v>66</v>
      </c>
      <c r="G813">
        <v>1500</v>
      </c>
      <c r="H813">
        <v>4</v>
      </c>
      <c r="I813">
        <v>6000</v>
      </c>
      <c r="J813">
        <v>11.5</v>
      </c>
      <c r="K813" s="2">
        <v>45216</v>
      </c>
      <c r="L813" t="str">
        <f>IF(ISBLANK('[1]2.Diagnostic Analysis'!K813),"Unknown",'[1]2.Diagnostic Analysis'!K813)</f>
        <v>In Transit</v>
      </c>
    </row>
    <row r="814" spans="1:12" x14ac:dyDescent="0.25">
      <c r="A814" t="s">
        <v>176</v>
      </c>
      <c r="B814" t="s">
        <v>13</v>
      </c>
      <c r="C814" t="str">
        <f>IF(ISBLANK('[1]2.Diagnostic Analysis'!C814),"Unknown",'[1]2.Diagnostic Analysis'!C814)</f>
        <v>South</v>
      </c>
      <c r="D814" t="s">
        <v>30</v>
      </c>
      <c r="E814" t="s">
        <v>18</v>
      </c>
      <c r="F814">
        <f>IF(ISBLANK('[1]2.Diagnostic Analysis'!D814),'[1]2.Diagnostic Analysis'!$Q$3,'[1]2.Diagnostic Analysis'!D814)</f>
        <v>20</v>
      </c>
      <c r="G814">
        <v>30</v>
      </c>
      <c r="H814">
        <v>3</v>
      </c>
      <c r="I814">
        <v>90</v>
      </c>
      <c r="J814">
        <v>16.07</v>
      </c>
      <c r="K814" s="2">
        <v>45199</v>
      </c>
      <c r="L814" t="str">
        <f>IF(ISBLANK('[1]2.Diagnostic Analysis'!K814),"Unknown",'[1]2.Diagnostic Analysis'!K814)</f>
        <v>Returned</v>
      </c>
    </row>
    <row r="815" spans="1:12" x14ac:dyDescent="0.25">
      <c r="A815" t="s">
        <v>204</v>
      </c>
      <c r="B815" t="s">
        <v>20</v>
      </c>
      <c r="C815" t="str">
        <f>IF(ISBLANK('[1]2.Diagnostic Analysis'!C815),"Unknown",'[1]2.Diagnostic Analysis'!C815)</f>
        <v>West</v>
      </c>
      <c r="D815" t="s">
        <v>29</v>
      </c>
      <c r="E815" t="s">
        <v>18</v>
      </c>
      <c r="F815">
        <f>IF(ISBLANK('[1]2.Diagnostic Analysis'!D815),'[1]2.Diagnostic Analysis'!$Q$3,'[1]2.Diagnostic Analysis'!D815)</f>
        <v>69</v>
      </c>
      <c r="G815">
        <v>50</v>
      </c>
      <c r="H815">
        <v>4</v>
      </c>
      <c r="I815">
        <v>200</v>
      </c>
      <c r="J815">
        <v>18.96</v>
      </c>
      <c r="K815" s="2">
        <v>45066</v>
      </c>
      <c r="L815" t="str">
        <f>IF(ISBLANK('[1]2.Diagnostic Analysis'!K815),"Unknown",'[1]2.Diagnostic Analysis'!K815)</f>
        <v>Returned</v>
      </c>
    </row>
    <row r="816" spans="1:12" x14ac:dyDescent="0.25">
      <c r="A816" t="s">
        <v>247</v>
      </c>
      <c r="B816" t="s">
        <v>20</v>
      </c>
      <c r="C816" t="str">
        <f>IF(ISBLANK('[1]2.Diagnostic Analysis'!C816),"Unknown",'[1]2.Diagnostic Analysis'!C816)</f>
        <v>East</v>
      </c>
      <c r="D816" t="s">
        <v>25</v>
      </c>
      <c r="E816" t="s">
        <v>26</v>
      </c>
      <c r="F816">
        <f>IF(ISBLANK('[1]2.Diagnostic Analysis'!D816),'[1]2.Diagnostic Analysis'!$Q$3,'[1]2.Diagnostic Analysis'!D816)</f>
        <v>37</v>
      </c>
      <c r="G816">
        <v>200</v>
      </c>
      <c r="H816">
        <v>4</v>
      </c>
      <c r="I816">
        <v>800</v>
      </c>
      <c r="J816">
        <v>5.98</v>
      </c>
      <c r="K816" s="2">
        <v>45043</v>
      </c>
      <c r="L816" t="str">
        <f>IF(ISBLANK('[1]2.Diagnostic Analysis'!K816),"Unknown",'[1]2.Diagnostic Analysis'!K816)</f>
        <v>In Transit</v>
      </c>
    </row>
    <row r="817" spans="1:12" x14ac:dyDescent="0.25">
      <c r="A817" t="s">
        <v>41</v>
      </c>
      <c r="B817" t="s">
        <v>13</v>
      </c>
      <c r="C817" t="str">
        <f>IF(ISBLANK('[1]2.Diagnostic Analysis'!C817),"Unknown",'[1]2.Diagnostic Analysis'!C817)</f>
        <v>South</v>
      </c>
      <c r="D817" t="s">
        <v>14</v>
      </c>
      <c r="E817" t="s">
        <v>15</v>
      </c>
      <c r="F817">
        <f>IF(ISBLANK('[1]2.Diagnostic Analysis'!D817),'[1]2.Diagnostic Analysis'!$Q$3,'[1]2.Diagnostic Analysis'!D817)</f>
        <v>32</v>
      </c>
      <c r="G817">
        <v>300</v>
      </c>
      <c r="H817">
        <v>2</v>
      </c>
      <c r="I817">
        <v>600</v>
      </c>
      <c r="J817">
        <v>14.24</v>
      </c>
      <c r="K817" s="2">
        <v>45012</v>
      </c>
      <c r="L817" t="str">
        <f>IF(ISBLANK('[1]2.Diagnostic Analysis'!K817),"Unknown",'[1]2.Diagnostic Analysis'!K817)</f>
        <v>Delivered</v>
      </c>
    </row>
    <row r="818" spans="1:12" x14ac:dyDescent="0.25">
      <c r="A818" t="s">
        <v>169</v>
      </c>
      <c r="B818" t="s">
        <v>13</v>
      </c>
      <c r="C818" t="str">
        <f>IF(ISBLANK('[1]2.Diagnostic Analysis'!C818),"Unknown",'[1]2.Diagnostic Analysis'!C818)</f>
        <v>South</v>
      </c>
      <c r="D818" t="s">
        <v>14</v>
      </c>
      <c r="E818" t="s">
        <v>15</v>
      </c>
      <c r="F818">
        <f>IF(ISBLANK('[1]2.Diagnostic Analysis'!D818),'[1]2.Diagnostic Analysis'!$Q$3,'[1]2.Diagnostic Analysis'!D818)</f>
        <v>51</v>
      </c>
      <c r="G818">
        <v>300</v>
      </c>
      <c r="H818">
        <v>5</v>
      </c>
      <c r="I818">
        <v>1500</v>
      </c>
      <c r="J818">
        <v>11.39</v>
      </c>
      <c r="K818" s="2">
        <v>45138</v>
      </c>
      <c r="L818" t="str">
        <f>IF(ISBLANK('[1]2.Diagnostic Analysis'!K818),"Unknown",'[1]2.Diagnostic Analysis'!K818)</f>
        <v>Returned</v>
      </c>
    </row>
    <row r="819" spans="1:12" x14ac:dyDescent="0.25">
      <c r="A819" t="s">
        <v>175</v>
      </c>
      <c r="B819" t="s">
        <v>20</v>
      </c>
      <c r="C819" t="str">
        <f>IF(ISBLANK('[1]2.Diagnostic Analysis'!C819),"Unknown",'[1]2.Diagnostic Analysis'!C819)</f>
        <v>North</v>
      </c>
      <c r="D819" t="s">
        <v>29</v>
      </c>
      <c r="E819" t="s">
        <v>18</v>
      </c>
      <c r="F819">
        <f>IF(ISBLANK('[1]2.Diagnostic Analysis'!D819),'[1]2.Diagnostic Analysis'!$Q$3,'[1]2.Diagnostic Analysis'!D819)</f>
        <v>58</v>
      </c>
      <c r="G819">
        <v>50</v>
      </c>
      <c r="H819">
        <v>4</v>
      </c>
      <c r="I819">
        <v>200</v>
      </c>
      <c r="J819">
        <v>17.649999999999999</v>
      </c>
      <c r="K819" s="2">
        <v>44968</v>
      </c>
      <c r="L819" t="str">
        <f>IF(ISBLANK('[1]2.Diagnostic Analysis'!K819),"Unknown",'[1]2.Diagnostic Analysis'!K819)</f>
        <v>In Transit</v>
      </c>
    </row>
    <row r="820" spans="1:12" x14ac:dyDescent="0.25">
      <c r="A820" t="s">
        <v>221</v>
      </c>
      <c r="B820" t="s">
        <v>20</v>
      </c>
      <c r="C820" t="str">
        <f>IF(ISBLANK('[1]2.Diagnostic Analysis'!C820),"Unknown",'[1]2.Diagnostic Analysis'!C820)</f>
        <v>East</v>
      </c>
      <c r="D820" t="s">
        <v>40</v>
      </c>
      <c r="E820" t="s">
        <v>15</v>
      </c>
      <c r="F820">
        <f>IF(ISBLANK('[1]2.Diagnostic Analysis'!D820),'[1]2.Diagnostic Analysis'!$Q$3,'[1]2.Diagnostic Analysis'!D820)</f>
        <v>37</v>
      </c>
      <c r="G820">
        <v>800</v>
      </c>
      <c r="H820">
        <v>5</v>
      </c>
      <c r="I820">
        <v>4000</v>
      </c>
      <c r="J820">
        <v>6.67</v>
      </c>
      <c r="K820" s="2">
        <v>44930</v>
      </c>
      <c r="L820" t="str">
        <f>IF(ISBLANK('[1]2.Diagnostic Analysis'!K820),"Unknown",'[1]2.Diagnostic Analysis'!K820)</f>
        <v>In Transit</v>
      </c>
    </row>
    <row r="821" spans="1:12" x14ac:dyDescent="0.25">
      <c r="A821" t="s">
        <v>258</v>
      </c>
      <c r="B821" t="s">
        <v>13</v>
      </c>
      <c r="C821" t="str">
        <f>IF(ISBLANK('[1]2.Diagnostic Analysis'!C821),"Unknown",'[1]2.Diagnostic Analysis'!C821)</f>
        <v>South</v>
      </c>
      <c r="D821" t="s">
        <v>25</v>
      </c>
      <c r="E821" t="s">
        <v>26</v>
      </c>
      <c r="F821">
        <f>IF(ISBLANK('[1]2.Diagnostic Analysis'!D821),'[1]2.Diagnostic Analysis'!$Q$3,'[1]2.Diagnostic Analysis'!D821)</f>
        <v>55</v>
      </c>
      <c r="G821">
        <v>200</v>
      </c>
      <c r="H821">
        <v>3</v>
      </c>
      <c r="I821">
        <v>600</v>
      </c>
      <c r="J821">
        <v>8.26</v>
      </c>
      <c r="K821" s="2">
        <v>45168</v>
      </c>
      <c r="L821" t="str">
        <f>IF(ISBLANK('[1]2.Diagnostic Analysis'!K821),"Unknown",'[1]2.Diagnostic Analysis'!K821)</f>
        <v>Unknown</v>
      </c>
    </row>
    <row r="822" spans="1:12" x14ac:dyDescent="0.25">
      <c r="A822" t="s">
        <v>56</v>
      </c>
      <c r="B822" t="s">
        <v>20</v>
      </c>
      <c r="C822" t="str">
        <f>IF(ISBLANK('[1]2.Diagnostic Analysis'!C822),"Unknown",'[1]2.Diagnostic Analysis'!C822)</f>
        <v>West</v>
      </c>
      <c r="D822" t="s">
        <v>14</v>
      </c>
      <c r="E822" t="s">
        <v>15</v>
      </c>
      <c r="F822">
        <f>IF(ISBLANK('[1]2.Diagnostic Analysis'!D822),'[1]2.Diagnostic Analysis'!$Q$3,'[1]2.Diagnostic Analysis'!D822)</f>
        <v>35</v>
      </c>
      <c r="G822">
        <v>300</v>
      </c>
      <c r="H822">
        <v>5</v>
      </c>
      <c r="I822">
        <v>1500</v>
      </c>
      <c r="J822">
        <v>18.940000000000001</v>
      </c>
      <c r="K822" s="2">
        <v>44991</v>
      </c>
      <c r="L822" t="str">
        <f>IF(ISBLANK('[1]2.Diagnostic Analysis'!K822),"Unknown",'[1]2.Diagnostic Analysis'!K822)</f>
        <v>Returned</v>
      </c>
    </row>
    <row r="823" spans="1:12" x14ac:dyDescent="0.25">
      <c r="A823" t="s">
        <v>173</v>
      </c>
      <c r="B823" t="s">
        <v>20</v>
      </c>
      <c r="C823" t="str">
        <f>IF(ISBLANK('[1]2.Diagnostic Analysis'!C823),"Unknown",'[1]2.Diagnostic Analysis'!C823)</f>
        <v>South</v>
      </c>
      <c r="D823" t="s">
        <v>14</v>
      </c>
      <c r="E823" t="s">
        <v>15</v>
      </c>
      <c r="F823">
        <f>IF(ISBLANK('[1]2.Diagnostic Analysis'!D823),'[1]2.Diagnostic Analysis'!$Q$3,'[1]2.Diagnostic Analysis'!D823)</f>
        <v>60</v>
      </c>
      <c r="G823">
        <v>300</v>
      </c>
      <c r="H823">
        <v>3</v>
      </c>
      <c r="I823">
        <v>900</v>
      </c>
      <c r="J823">
        <v>19.78</v>
      </c>
      <c r="K823" s="2">
        <v>44983</v>
      </c>
      <c r="L823" t="str">
        <f>IF(ISBLANK('[1]2.Diagnostic Analysis'!K823),"Unknown",'[1]2.Diagnostic Analysis'!K823)</f>
        <v>In Transit</v>
      </c>
    </row>
    <row r="824" spans="1:12" x14ac:dyDescent="0.25">
      <c r="A824" t="s">
        <v>166</v>
      </c>
      <c r="B824" t="s">
        <v>13</v>
      </c>
      <c r="C824" t="str">
        <f>IF(ISBLANK('[1]2.Diagnostic Analysis'!C824),"Unknown",'[1]2.Diagnostic Analysis'!C824)</f>
        <v>North</v>
      </c>
      <c r="D824" t="s">
        <v>40</v>
      </c>
      <c r="E824" t="s">
        <v>15</v>
      </c>
      <c r="F824">
        <f>IF(ISBLANK('[1]2.Diagnostic Analysis'!D824),'[1]2.Diagnostic Analysis'!$Q$3,'[1]2.Diagnostic Analysis'!D824)</f>
        <v>43</v>
      </c>
      <c r="G824">
        <v>800</v>
      </c>
      <c r="H824">
        <v>4</v>
      </c>
      <c r="I824">
        <v>3200</v>
      </c>
      <c r="J824">
        <v>10.65</v>
      </c>
      <c r="K824" s="2">
        <v>44982</v>
      </c>
      <c r="L824" t="str">
        <f>IF(ISBLANK('[1]2.Diagnostic Analysis'!K824),"Unknown",'[1]2.Diagnostic Analysis'!K824)</f>
        <v>Returned</v>
      </c>
    </row>
    <row r="825" spans="1:12" x14ac:dyDescent="0.25">
      <c r="A825" t="s">
        <v>208</v>
      </c>
      <c r="B825" t="s">
        <v>20</v>
      </c>
      <c r="C825" t="str">
        <f>IF(ISBLANK('[1]2.Diagnostic Analysis'!C825),"Unknown",'[1]2.Diagnostic Analysis'!C825)</f>
        <v>North</v>
      </c>
      <c r="D825" t="s">
        <v>25</v>
      </c>
      <c r="E825" t="s">
        <v>26</v>
      </c>
      <c r="F825">
        <f>IF(ISBLANK('[1]2.Diagnostic Analysis'!D825),'[1]2.Diagnostic Analysis'!$Q$3,'[1]2.Diagnostic Analysis'!D825)</f>
        <v>26</v>
      </c>
      <c r="G825">
        <v>200</v>
      </c>
      <c r="H825">
        <v>4</v>
      </c>
      <c r="I825">
        <v>800</v>
      </c>
      <c r="J825">
        <v>14.25</v>
      </c>
      <c r="K825" s="2">
        <v>44929</v>
      </c>
      <c r="L825" t="str">
        <f>IF(ISBLANK('[1]2.Diagnostic Analysis'!K825),"Unknown",'[1]2.Diagnostic Analysis'!K825)</f>
        <v>Delivered</v>
      </c>
    </row>
    <row r="826" spans="1:12" x14ac:dyDescent="0.25">
      <c r="A826" t="s">
        <v>251</v>
      </c>
      <c r="B826" t="s">
        <v>13</v>
      </c>
      <c r="C826" t="str">
        <f>IF(ISBLANK('[1]2.Diagnostic Analysis'!C826),"Unknown",'[1]2.Diagnostic Analysis'!C826)</f>
        <v>West</v>
      </c>
      <c r="D826" t="s">
        <v>14</v>
      </c>
      <c r="E826" t="s">
        <v>15</v>
      </c>
      <c r="F826">
        <f>IF(ISBLANK('[1]2.Diagnostic Analysis'!D826),'[1]2.Diagnostic Analysis'!$Q$3,'[1]2.Diagnostic Analysis'!D826)</f>
        <v>51</v>
      </c>
      <c r="G826">
        <v>300</v>
      </c>
      <c r="H826">
        <v>4</v>
      </c>
      <c r="I826">
        <v>1200</v>
      </c>
      <c r="J826">
        <v>6.26</v>
      </c>
      <c r="K826" s="2">
        <v>45288</v>
      </c>
      <c r="L826" t="str">
        <f>IF(ISBLANK('[1]2.Diagnostic Analysis'!K826),"Unknown",'[1]2.Diagnostic Analysis'!K826)</f>
        <v>Returned</v>
      </c>
    </row>
    <row r="827" spans="1:12" x14ac:dyDescent="0.25">
      <c r="A827" t="s">
        <v>271</v>
      </c>
      <c r="B827" t="s">
        <v>13</v>
      </c>
      <c r="C827" t="str">
        <f>IF(ISBLANK('[1]2.Diagnostic Analysis'!C827),"Unknown",'[1]2.Diagnostic Analysis'!C827)</f>
        <v>South</v>
      </c>
      <c r="D827" t="s">
        <v>29</v>
      </c>
      <c r="E827" t="s">
        <v>18</v>
      </c>
      <c r="F827">
        <f>IF(ISBLANK('[1]2.Diagnostic Analysis'!D827),'[1]2.Diagnostic Analysis'!$Q$3,'[1]2.Diagnostic Analysis'!D827)</f>
        <v>65</v>
      </c>
      <c r="G827">
        <v>50</v>
      </c>
      <c r="H827">
        <v>3</v>
      </c>
      <c r="I827">
        <v>150</v>
      </c>
      <c r="J827">
        <v>12.69</v>
      </c>
      <c r="K827" s="2">
        <v>45248</v>
      </c>
      <c r="L827" t="str">
        <f>IF(ISBLANK('[1]2.Diagnostic Analysis'!K827),"Unknown",'[1]2.Diagnostic Analysis'!K827)</f>
        <v>Delivered</v>
      </c>
    </row>
    <row r="828" spans="1:12" x14ac:dyDescent="0.25">
      <c r="A828" t="s">
        <v>305</v>
      </c>
      <c r="B828" t="s">
        <v>13</v>
      </c>
      <c r="C828" t="str">
        <f>IF(ISBLANK('[1]2.Diagnostic Analysis'!C828),"Unknown",'[1]2.Diagnostic Analysis'!C828)</f>
        <v>West</v>
      </c>
      <c r="D828" t="s">
        <v>25</v>
      </c>
      <c r="E828" t="s">
        <v>26</v>
      </c>
      <c r="F828">
        <f>IF(ISBLANK('[1]2.Diagnostic Analysis'!D828),'[1]2.Diagnostic Analysis'!$Q$3,'[1]2.Diagnostic Analysis'!D828)</f>
        <v>24</v>
      </c>
      <c r="G828">
        <v>200</v>
      </c>
      <c r="H828">
        <v>3</v>
      </c>
      <c r="I828">
        <v>600</v>
      </c>
      <c r="J828">
        <v>19.39</v>
      </c>
      <c r="K828" s="2">
        <v>44996</v>
      </c>
      <c r="L828" t="str">
        <f>IF(ISBLANK('[1]2.Diagnostic Analysis'!K828),"Unknown",'[1]2.Diagnostic Analysis'!K828)</f>
        <v>In Transit</v>
      </c>
    </row>
    <row r="829" spans="1:12" x14ac:dyDescent="0.25">
      <c r="A829" t="s">
        <v>170</v>
      </c>
      <c r="B829" t="s">
        <v>13</v>
      </c>
      <c r="C829" t="str">
        <f>IF(ISBLANK('[1]2.Diagnostic Analysis'!C829),"Unknown",'[1]2.Diagnostic Analysis'!C829)</f>
        <v>North</v>
      </c>
      <c r="D829" t="s">
        <v>17</v>
      </c>
      <c r="E829" t="s">
        <v>18</v>
      </c>
      <c r="F829">
        <f>IF(ISBLANK('[1]2.Diagnostic Analysis'!D829),'[1]2.Diagnostic Analysis'!$Q$3,'[1]2.Diagnostic Analysis'!D829)</f>
        <v>57</v>
      </c>
      <c r="G829">
        <v>100</v>
      </c>
      <c r="H829">
        <v>4</v>
      </c>
      <c r="I829">
        <v>400</v>
      </c>
      <c r="J829">
        <v>14.49</v>
      </c>
      <c r="K829" s="2">
        <v>45188</v>
      </c>
      <c r="L829" t="str">
        <f>IF(ISBLANK('[1]2.Diagnostic Analysis'!K829),"Unknown",'[1]2.Diagnostic Analysis'!K829)</f>
        <v>In Transit</v>
      </c>
    </row>
    <row r="830" spans="1:12" x14ac:dyDescent="0.25">
      <c r="A830" t="s">
        <v>79</v>
      </c>
      <c r="B830" t="s">
        <v>13</v>
      </c>
      <c r="C830" t="str">
        <f>IF(ISBLANK('[1]2.Diagnostic Analysis'!C830),"Unknown",'[1]2.Diagnostic Analysis'!C830)</f>
        <v>South</v>
      </c>
      <c r="D830" t="s">
        <v>25</v>
      </c>
      <c r="E830" t="s">
        <v>26</v>
      </c>
      <c r="F830">
        <f>IF(ISBLANK('[1]2.Diagnostic Analysis'!D830),'[1]2.Diagnostic Analysis'!$Q$3,'[1]2.Diagnostic Analysis'!D830)</f>
        <v>52</v>
      </c>
      <c r="G830">
        <v>200</v>
      </c>
      <c r="H830">
        <v>5</v>
      </c>
      <c r="I830">
        <v>1000</v>
      </c>
      <c r="J830">
        <v>13.13</v>
      </c>
      <c r="K830" s="2">
        <v>45061</v>
      </c>
      <c r="L830" t="str">
        <f>IF(ISBLANK('[1]2.Diagnostic Analysis'!K830),"Unknown",'[1]2.Diagnostic Analysis'!K830)</f>
        <v>In Transit</v>
      </c>
    </row>
    <row r="831" spans="1:12" x14ac:dyDescent="0.25">
      <c r="A831" t="s">
        <v>97</v>
      </c>
      <c r="B831" t="s">
        <v>13</v>
      </c>
      <c r="C831" t="str">
        <f>IF(ISBLANK('[1]2.Diagnostic Analysis'!C831),"Unknown",'[1]2.Diagnostic Analysis'!C831)</f>
        <v>North</v>
      </c>
      <c r="D831" t="s">
        <v>14</v>
      </c>
      <c r="E831" t="s">
        <v>15</v>
      </c>
      <c r="F831">
        <f>IF(ISBLANK('[1]2.Diagnostic Analysis'!D831),'[1]2.Diagnostic Analysis'!$Q$3,'[1]2.Diagnostic Analysis'!D831)</f>
        <v>59</v>
      </c>
      <c r="G831">
        <v>300</v>
      </c>
      <c r="H831">
        <v>4</v>
      </c>
      <c r="I831">
        <v>1200</v>
      </c>
      <c r="J831">
        <v>15.92</v>
      </c>
      <c r="K831" s="2">
        <v>45222</v>
      </c>
      <c r="L831" t="str">
        <f>IF(ISBLANK('[1]2.Diagnostic Analysis'!K831),"Unknown",'[1]2.Diagnostic Analysis'!K831)</f>
        <v>In Transit</v>
      </c>
    </row>
    <row r="832" spans="1:12" x14ac:dyDescent="0.25">
      <c r="A832" t="s">
        <v>227</v>
      </c>
      <c r="B832" t="s">
        <v>13</v>
      </c>
      <c r="C832" t="str">
        <f>IF(ISBLANK('[1]2.Diagnostic Analysis'!C832),"Unknown",'[1]2.Diagnostic Analysis'!C832)</f>
        <v>West</v>
      </c>
      <c r="D832" t="s">
        <v>25</v>
      </c>
      <c r="E832" t="s">
        <v>26</v>
      </c>
      <c r="F832">
        <f>IF(ISBLANK('[1]2.Diagnostic Analysis'!D832),'[1]2.Diagnostic Analysis'!$Q$3,'[1]2.Diagnostic Analysis'!D832)</f>
        <v>66</v>
      </c>
      <c r="G832">
        <v>200</v>
      </c>
      <c r="H832">
        <v>5</v>
      </c>
      <c r="I832">
        <v>1000</v>
      </c>
      <c r="J832">
        <v>12.06</v>
      </c>
      <c r="K832" s="2">
        <v>44992</v>
      </c>
      <c r="L832" t="str">
        <f>IF(ISBLANK('[1]2.Diagnostic Analysis'!K832),"Unknown",'[1]2.Diagnostic Analysis'!K832)</f>
        <v>Returned</v>
      </c>
    </row>
    <row r="833" spans="1:12" x14ac:dyDescent="0.25">
      <c r="A833" t="s">
        <v>244</v>
      </c>
      <c r="B833" t="s">
        <v>13</v>
      </c>
      <c r="C833" t="str">
        <f>IF(ISBLANK('[1]2.Diagnostic Analysis'!C833),"Unknown",'[1]2.Diagnostic Analysis'!C833)</f>
        <v>East</v>
      </c>
      <c r="D833" t="s">
        <v>29</v>
      </c>
      <c r="E833" t="s">
        <v>18</v>
      </c>
      <c r="F833">
        <f>IF(ISBLANK('[1]2.Diagnostic Analysis'!D833),'[1]2.Diagnostic Analysis'!$Q$3,'[1]2.Diagnostic Analysis'!D833)</f>
        <v>23</v>
      </c>
      <c r="G833">
        <v>50</v>
      </c>
      <c r="H833">
        <v>1</v>
      </c>
      <c r="I833">
        <v>50</v>
      </c>
      <c r="J833">
        <v>16.34</v>
      </c>
      <c r="K833" s="2">
        <v>44942</v>
      </c>
      <c r="L833" t="str">
        <f>IF(ISBLANK('[1]2.Diagnostic Analysis'!K833),"Unknown",'[1]2.Diagnostic Analysis'!K833)</f>
        <v>In Transit</v>
      </c>
    </row>
    <row r="834" spans="1:12" x14ac:dyDescent="0.25">
      <c r="A834" t="s">
        <v>45</v>
      </c>
      <c r="B834" t="s">
        <v>20</v>
      </c>
      <c r="C834" t="str">
        <f>IF(ISBLANK('[1]2.Diagnostic Analysis'!C834),"Unknown",'[1]2.Diagnostic Analysis'!C834)</f>
        <v>North</v>
      </c>
      <c r="D834" t="s">
        <v>25</v>
      </c>
      <c r="E834" t="s">
        <v>26</v>
      </c>
      <c r="F834">
        <f>IF(ISBLANK('[1]2.Diagnostic Analysis'!D834),'[1]2.Diagnostic Analysis'!$Q$3,'[1]2.Diagnostic Analysis'!D834)</f>
        <v>52</v>
      </c>
      <c r="G834">
        <v>200</v>
      </c>
      <c r="H834">
        <v>3</v>
      </c>
      <c r="I834">
        <v>600</v>
      </c>
      <c r="J834">
        <v>15.85</v>
      </c>
      <c r="K834" s="2">
        <v>45026</v>
      </c>
      <c r="L834" t="str">
        <f>IF(ISBLANK('[1]2.Diagnostic Analysis'!K834),"Unknown",'[1]2.Diagnostic Analysis'!K834)</f>
        <v>Delivered</v>
      </c>
    </row>
    <row r="835" spans="1:12" x14ac:dyDescent="0.25">
      <c r="A835" t="s">
        <v>186</v>
      </c>
      <c r="B835" t="s">
        <v>20</v>
      </c>
      <c r="C835" t="str">
        <f>IF(ISBLANK('[1]2.Diagnostic Analysis'!C835),"Unknown",'[1]2.Diagnostic Analysis'!C835)</f>
        <v>South</v>
      </c>
      <c r="D835" t="s">
        <v>17</v>
      </c>
      <c r="E835" t="s">
        <v>18</v>
      </c>
      <c r="F835">
        <f>IF(ISBLANK('[1]2.Diagnostic Analysis'!D835),'[1]2.Diagnostic Analysis'!$Q$3,'[1]2.Diagnostic Analysis'!D835)</f>
        <v>49</v>
      </c>
      <c r="G835">
        <v>100</v>
      </c>
      <c r="H835">
        <v>3</v>
      </c>
      <c r="I835">
        <v>300</v>
      </c>
      <c r="J835">
        <v>19.010000000000002</v>
      </c>
      <c r="K835" s="2">
        <v>45182</v>
      </c>
      <c r="L835" t="str">
        <f>IF(ISBLANK('[1]2.Diagnostic Analysis'!K835),"Unknown",'[1]2.Diagnostic Analysis'!K835)</f>
        <v>In Transit</v>
      </c>
    </row>
    <row r="836" spans="1:12" x14ac:dyDescent="0.25">
      <c r="A836" t="s">
        <v>189</v>
      </c>
      <c r="B836" t="s">
        <v>13</v>
      </c>
      <c r="C836" t="str">
        <f>IF(ISBLANK('[1]2.Diagnostic Analysis'!C836),"Unknown",'[1]2.Diagnostic Analysis'!C836)</f>
        <v>East</v>
      </c>
      <c r="D836" t="s">
        <v>23</v>
      </c>
      <c r="E836" t="s">
        <v>15</v>
      </c>
      <c r="F836">
        <f>IF(ISBLANK('[1]2.Diagnostic Analysis'!D836),'[1]2.Diagnostic Analysis'!$Q$3,'[1]2.Diagnostic Analysis'!D836)</f>
        <v>49</v>
      </c>
      <c r="G836">
        <v>1500</v>
      </c>
      <c r="H836">
        <v>3</v>
      </c>
      <c r="I836">
        <v>4500</v>
      </c>
      <c r="J836">
        <v>9.83</v>
      </c>
      <c r="K836" s="2">
        <v>45195</v>
      </c>
      <c r="L836" t="str">
        <f>IF(ISBLANK('[1]2.Diagnostic Analysis'!K836),"Unknown",'[1]2.Diagnostic Analysis'!K836)</f>
        <v>In Transit</v>
      </c>
    </row>
    <row r="837" spans="1:12" x14ac:dyDescent="0.25">
      <c r="A837" t="s">
        <v>274</v>
      </c>
      <c r="B837" t="s">
        <v>20</v>
      </c>
      <c r="C837" t="str">
        <f>IF(ISBLANK('[1]2.Diagnostic Analysis'!C837),"Unknown",'[1]2.Diagnostic Analysis'!C837)</f>
        <v>East</v>
      </c>
      <c r="D837" t="s">
        <v>30</v>
      </c>
      <c r="E837" t="s">
        <v>18</v>
      </c>
      <c r="F837">
        <f>IF(ISBLANK('[1]2.Diagnostic Analysis'!D837),'[1]2.Diagnostic Analysis'!$Q$3,'[1]2.Diagnostic Analysis'!D837)</f>
        <v>56</v>
      </c>
      <c r="G837">
        <v>30</v>
      </c>
      <c r="H837">
        <v>4</v>
      </c>
      <c r="I837">
        <v>120</v>
      </c>
      <c r="J837">
        <v>5.17</v>
      </c>
      <c r="K837" s="2">
        <v>45253</v>
      </c>
      <c r="L837" t="str">
        <f>IF(ISBLANK('[1]2.Diagnostic Analysis'!K837),"Unknown",'[1]2.Diagnostic Analysis'!K837)</f>
        <v>In Transit</v>
      </c>
    </row>
    <row r="838" spans="1:12" x14ac:dyDescent="0.25">
      <c r="A838" t="s">
        <v>155</v>
      </c>
      <c r="B838" t="s">
        <v>13</v>
      </c>
      <c r="C838" t="str">
        <f>IF(ISBLANK('[1]2.Diagnostic Analysis'!C838),"Unknown",'[1]2.Diagnostic Analysis'!C838)</f>
        <v>South</v>
      </c>
      <c r="D838" t="s">
        <v>40</v>
      </c>
      <c r="E838" t="s">
        <v>15</v>
      </c>
      <c r="F838">
        <f>IF(ISBLANK('[1]2.Diagnostic Analysis'!D838),'[1]2.Diagnostic Analysis'!$Q$3,'[1]2.Diagnostic Analysis'!D838)</f>
        <v>49</v>
      </c>
      <c r="G838">
        <v>800</v>
      </c>
      <c r="H838">
        <v>3</v>
      </c>
      <c r="I838">
        <v>2400</v>
      </c>
      <c r="J838">
        <v>15.04</v>
      </c>
      <c r="K838" s="2">
        <v>45150</v>
      </c>
      <c r="L838" t="str">
        <f>IF(ISBLANK('[1]2.Diagnostic Analysis'!K838),"Unknown",'[1]2.Diagnostic Analysis'!K838)</f>
        <v>In Transit</v>
      </c>
    </row>
    <row r="839" spans="1:12" x14ac:dyDescent="0.25">
      <c r="A839" t="s">
        <v>239</v>
      </c>
      <c r="B839" t="s">
        <v>13</v>
      </c>
      <c r="C839" t="str">
        <f>IF(ISBLANK('[1]2.Diagnostic Analysis'!C839),"Unknown",'[1]2.Diagnostic Analysis'!C839)</f>
        <v>West</v>
      </c>
      <c r="D839" t="s">
        <v>40</v>
      </c>
      <c r="E839" t="s">
        <v>15</v>
      </c>
      <c r="F839">
        <f>IF(ISBLANK('[1]2.Diagnostic Analysis'!D839),'[1]2.Diagnostic Analysis'!$Q$3,'[1]2.Diagnostic Analysis'!D839)</f>
        <v>49</v>
      </c>
      <c r="G839">
        <v>800</v>
      </c>
      <c r="H839">
        <v>5</v>
      </c>
      <c r="I839">
        <v>4000</v>
      </c>
      <c r="J839">
        <v>18.489999999999998</v>
      </c>
      <c r="K839" s="2">
        <v>45273</v>
      </c>
      <c r="L839" t="str">
        <f>IF(ISBLANK('[1]2.Diagnostic Analysis'!K839),"Unknown",'[1]2.Diagnostic Analysis'!K839)</f>
        <v>Delivered</v>
      </c>
    </row>
    <row r="840" spans="1:12" x14ac:dyDescent="0.25">
      <c r="A840" t="s">
        <v>306</v>
      </c>
      <c r="B840" t="s">
        <v>20</v>
      </c>
      <c r="C840" t="str">
        <f>IF(ISBLANK('[1]2.Diagnostic Analysis'!C840),"Unknown",'[1]2.Diagnostic Analysis'!C840)</f>
        <v>South</v>
      </c>
      <c r="D840" t="s">
        <v>25</v>
      </c>
      <c r="E840" t="s">
        <v>26</v>
      </c>
      <c r="F840">
        <f>IF(ISBLANK('[1]2.Diagnostic Analysis'!D840),'[1]2.Diagnostic Analysis'!$Q$3,'[1]2.Diagnostic Analysis'!D840)</f>
        <v>44</v>
      </c>
      <c r="G840">
        <v>200</v>
      </c>
      <c r="H840">
        <v>1</v>
      </c>
      <c r="I840">
        <v>200</v>
      </c>
      <c r="J840">
        <v>7.67</v>
      </c>
      <c r="K840" s="2">
        <v>45115</v>
      </c>
      <c r="L840" t="str">
        <f>IF(ISBLANK('[1]2.Diagnostic Analysis'!K840),"Unknown",'[1]2.Diagnostic Analysis'!K840)</f>
        <v>Returned</v>
      </c>
    </row>
    <row r="841" spans="1:12" x14ac:dyDescent="0.25">
      <c r="A841" t="s">
        <v>99</v>
      </c>
      <c r="B841" t="s">
        <v>20</v>
      </c>
      <c r="C841" t="str">
        <f>IF(ISBLANK('[1]2.Diagnostic Analysis'!C841),"Unknown",'[1]2.Diagnostic Analysis'!C841)</f>
        <v>North</v>
      </c>
      <c r="D841" t="s">
        <v>29</v>
      </c>
      <c r="E841" t="s">
        <v>18</v>
      </c>
      <c r="F841">
        <f>IF(ISBLANK('[1]2.Diagnostic Analysis'!D841),'[1]2.Diagnostic Analysis'!$Q$3,'[1]2.Diagnostic Analysis'!D841)</f>
        <v>19</v>
      </c>
      <c r="G841">
        <v>50</v>
      </c>
      <c r="H841">
        <v>3</v>
      </c>
      <c r="I841">
        <v>150</v>
      </c>
      <c r="J841">
        <v>5.76</v>
      </c>
      <c r="K841" s="2">
        <v>45132</v>
      </c>
      <c r="L841" t="str">
        <f>IF(ISBLANK('[1]2.Diagnostic Analysis'!K841),"Unknown",'[1]2.Diagnostic Analysis'!K841)</f>
        <v>In Transit</v>
      </c>
    </row>
    <row r="842" spans="1:12" x14ac:dyDescent="0.25">
      <c r="A842" t="s">
        <v>299</v>
      </c>
      <c r="B842" t="s">
        <v>13</v>
      </c>
      <c r="C842" t="str">
        <f>IF(ISBLANK('[1]2.Diagnostic Analysis'!C842),"Unknown",'[1]2.Diagnostic Analysis'!C842)</f>
        <v>Unknown</v>
      </c>
      <c r="D842" t="s">
        <v>25</v>
      </c>
      <c r="E842" t="s">
        <v>26</v>
      </c>
      <c r="F842">
        <f>IF(ISBLANK('[1]2.Diagnostic Analysis'!D842),'[1]2.Diagnostic Analysis'!$Q$3,'[1]2.Diagnostic Analysis'!D842)</f>
        <v>40</v>
      </c>
      <c r="G842">
        <v>200</v>
      </c>
      <c r="H842">
        <v>1</v>
      </c>
      <c r="I842">
        <v>200</v>
      </c>
      <c r="J842">
        <v>16.29</v>
      </c>
      <c r="K842" s="2">
        <v>45115</v>
      </c>
      <c r="L842" t="str">
        <f>IF(ISBLANK('[1]2.Diagnostic Analysis'!K842),"Unknown",'[1]2.Diagnostic Analysis'!K842)</f>
        <v>In Transit</v>
      </c>
    </row>
    <row r="843" spans="1:12" x14ac:dyDescent="0.25">
      <c r="A843" t="s">
        <v>297</v>
      </c>
      <c r="B843" t="s">
        <v>13</v>
      </c>
      <c r="C843" t="str">
        <f>IF(ISBLANK('[1]2.Diagnostic Analysis'!C843),"Unknown",'[1]2.Diagnostic Analysis'!C843)</f>
        <v>West</v>
      </c>
      <c r="D843" t="s">
        <v>17</v>
      </c>
      <c r="E843" t="s">
        <v>18</v>
      </c>
      <c r="F843">
        <f>IF(ISBLANK('[1]2.Diagnostic Analysis'!D843),'[1]2.Diagnostic Analysis'!$Q$3,'[1]2.Diagnostic Analysis'!D843)</f>
        <v>44</v>
      </c>
      <c r="G843">
        <v>100</v>
      </c>
      <c r="H843">
        <v>1</v>
      </c>
      <c r="I843">
        <v>100</v>
      </c>
      <c r="J843">
        <v>6.43</v>
      </c>
      <c r="K843" s="2">
        <v>45135</v>
      </c>
      <c r="L843" t="str">
        <f>IF(ISBLANK('[1]2.Diagnostic Analysis'!K843),"Unknown",'[1]2.Diagnostic Analysis'!K843)</f>
        <v>Returned</v>
      </c>
    </row>
    <row r="844" spans="1:12" x14ac:dyDescent="0.25">
      <c r="A844" t="s">
        <v>254</v>
      </c>
      <c r="B844" t="s">
        <v>13</v>
      </c>
      <c r="C844" t="str">
        <f>IF(ISBLANK('[1]2.Diagnostic Analysis'!C844),"Unknown",'[1]2.Diagnostic Analysis'!C844)</f>
        <v>West</v>
      </c>
      <c r="D844" t="s">
        <v>23</v>
      </c>
      <c r="E844" t="s">
        <v>15</v>
      </c>
      <c r="F844">
        <f>IF(ISBLANK('[1]2.Diagnostic Analysis'!D844),'[1]2.Diagnostic Analysis'!$Q$3,'[1]2.Diagnostic Analysis'!D844)</f>
        <v>69</v>
      </c>
      <c r="G844">
        <v>1500</v>
      </c>
      <c r="H844">
        <v>1</v>
      </c>
      <c r="I844">
        <v>1500</v>
      </c>
      <c r="J844">
        <v>7.32</v>
      </c>
      <c r="K844" s="2">
        <v>45188</v>
      </c>
      <c r="L844" t="str">
        <f>IF(ISBLANK('[1]2.Diagnostic Analysis'!K844),"Unknown",'[1]2.Diagnostic Analysis'!K844)</f>
        <v>Returned</v>
      </c>
    </row>
    <row r="845" spans="1:12" x14ac:dyDescent="0.25">
      <c r="A845" t="s">
        <v>160</v>
      </c>
      <c r="B845" t="s">
        <v>20</v>
      </c>
      <c r="C845" t="str">
        <f>IF(ISBLANK('[1]2.Diagnostic Analysis'!C845),"Unknown",'[1]2.Diagnostic Analysis'!C845)</f>
        <v>South</v>
      </c>
      <c r="D845" t="s">
        <v>25</v>
      </c>
      <c r="E845" t="s">
        <v>26</v>
      </c>
      <c r="F845">
        <f>IF(ISBLANK('[1]2.Diagnostic Analysis'!D845),'[1]2.Diagnostic Analysis'!$Q$3,'[1]2.Diagnostic Analysis'!D845)</f>
        <v>27</v>
      </c>
      <c r="G845">
        <v>200</v>
      </c>
      <c r="H845">
        <v>2</v>
      </c>
      <c r="I845">
        <v>400</v>
      </c>
      <c r="J845">
        <v>9.9700000000000006</v>
      </c>
      <c r="K845" s="2">
        <v>44944</v>
      </c>
      <c r="L845" t="str">
        <f>IF(ISBLANK('[1]2.Diagnostic Analysis'!K845),"Unknown",'[1]2.Diagnostic Analysis'!K845)</f>
        <v>Returned</v>
      </c>
    </row>
    <row r="846" spans="1:12" x14ac:dyDescent="0.25">
      <c r="A846" t="s">
        <v>85</v>
      </c>
      <c r="B846" t="s">
        <v>20</v>
      </c>
      <c r="C846" t="str">
        <f>IF(ISBLANK('[1]2.Diagnostic Analysis'!C846),"Unknown",'[1]2.Diagnostic Analysis'!C846)</f>
        <v>West</v>
      </c>
      <c r="D846" t="s">
        <v>25</v>
      </c>
      <c r="E846" t="s">
        <v>26</v>
      </c>
      <c r="F846">
        <f>IF(ISBLANK('[1]2.Diagnostic Analysis'!D846),'[1]2.Diagnostic Analysis'!$Q$3,'[1]2.Diagnostic Analysis'!D846)</f>
        <v>41</v>
      </c>
      <c r="G846">
        <v>200</v>
      </c>
      <c r="H846">
        <v>5</v>
      </c>
      <c r="I846">
        <v>1000</v>
      </c>
      <c r="J846">
        <v>12.79</v>
      </c>
      <c r="K846" s="2">
        <v>44932</v>
      </c>
      <c r="L846" t="str">
        <f>IF(ISBLANK('[1]2.Diagnostic Analysis'!K846),"Unknown",'[1]2.Diagnostic Analysis'!K846)</f>
        <v>In Transit</v>
      </c>
    </row>
    <row r="847" spans="1:12" x14ac:dyDescent="0.25">
      <c r="A847" t="s">
        <v>214</v>
      </c>
      <c r="B847" t="s">
        <v>20</v>
      </c>
      <c r="C847" t="str">
        <f>IF(ISBLANK('[1]2.Diagnostic Analysis'!C847),"Unknown",'[1]2.Diagnostic Analysis'!C847)</f>
        <v>North</v>
      </c>
      <c r="D847" t="s">
        <v>30</v>
      </c>
      <c r="E847" t="s">
        <v>18</v>
      </c>
      <c r="F847">
        <f>IF(ISBLANK('[1]2.Diagnostic Analysis'!D847),'[1]2.Diagnostic Analysis'!$Q$3,'[1]2.Diagnostic Analysis'!D847)</f>
        <v>49</v>
      </c>
      <c r="G847">
        <v>30</v>
      </c>
      <c r="H847">
        <v>4</v>
      </c>
      <c r="I847">
        <v>120</v>
      </c>
      <c r="J847">
        <v>17.23</v>
      </c>
      <c r="K847" s="2">
        <v>45116</v>
      </c>
      <c r="L847" t="str">
        <f>IF(ISBLANK('[1]2.Diagnostic Analysis'!K847),"Unknown",'[1]2.Diagnostic Analysis'!K847)</f>
        <v>Returned</v>
      </c>
    </row>
    <row r="848" spans="1:12" x14ac:dyDescent="0.25">
      <c r="A848" t="s">
        <v>113</v>
      </c>
      <c r="B848" t="s">
        <v>13</v>
      </c>
      <c r="C848" t="str">
        <f>IF(ISBLANK('[1]2.Diagnostic Analysis'!C848),"Unknown",'[1]2.Diagnostic Analysis'!C848)</f>
        <v>West</v>
      </c>
      <c r="D848" t="s">
        <v>30</v>
      </c>
      <c r="E848" t="s">
        <v>18</v>
      </c>
      <c r="F848">
        <f>IF(ISBLANK('[1]2.Diagnostic Analysis'!D848),'[1]2.Diagnostic Analysis'!$Q$3,'[1]2.Diagnostic Analysis'!D848)</f>
        <v>63</v>
      </c>
      <c r="G848">
        <v>62.191212249732999</v>
      </c>
      <c r="H848">
        <v>5</v>
      </c>
      <c r="I848">
        <v>150</v>
      </c>
      <c r="J848">
        <v>10.81</v>
      </c>
      <c r="K848" s="2">
        <v>45108</v>
      </c>
      <c r="L848" t="str">
        <f>IF(ISBLANK('[1]2.Diagnostic Analysis'!K848),"Unknown",'[1]2.Diagnostic Analysis'!K848)</f>
        <v>Delivered</v>
      </c>
    </row>
    <row r="849" spans="1:12" x14ac:dyDescent="0.25">
      <c r="A849" t="s">
        <v>202</v>
      </c>
      <c r="B849" t="s">
        <v>13</v>
      </c>
      <c r="C849" t="str">
        <f>IF(ISBLANK('[1]2.Diagnostic Analysis'!C849),"Unknown",'[1]2.Diagnostic Analysis'!C849)</f>
        <v>East</v>
      </c>
      <c r="D849" t="s">
        <v>25</v>
      </c>
      <c r="E849" t="s">
        <v>26</v>
      </c>
      <c r="F849">
        <f>IF(ISBLANK('[1]2.Diagnostic Analysis'!D849),'[1]2.Diagnostic Analysis'!$Q$3,'[1]2.Diagnostic Analysis'!D849)</f>
        <v>66</v>
      </c>
      <c r="G849">
        <v>200</v>
      </c>
      <c r="H849">
        <v>4</v>
      </c>
      <c r="I849">
        <v>800</v>
      </c>
      <c r="J849">
        <v>16.989999999999998</v>
      </c>
      <c r="K849" s="2">
        <v>45214</v>
      </c>
      <c r="L849" t="str">
        <f>IF(ISBLANK('[1]2.Diagnostic Analysis'!K849),"Unknown",'[1]2.Diagnostic Analysis'!K849)</f>
        <v>Returned</v>
      </c>
    </row>
    <row r="850" spans="1:12" x14ac:dyDescent="0.25">
      <c r="A850" t="s">
        <v>136</v>
      </c>
      <c r="B850" t="s">
        <v>20</v>
      </c>
      <c r="C850" t="str">
        <f>IF(ISBLANK('[1]2.Diagnostic Analysis'!C850),"Unknown",'[1]2.Diagnostic Analysis'!C850)</f>
        <v>North</v>
      </c>
      <c r="D850" t="s">
        <v>14</v>
      </c>
      <c r="E850" t="s">
        <v>15</v>
      </c>
      <c r="F850">
        <f>IF(ISBLANK('[1]2.Diagnostic Analysis'!D850),'[1]2.Diagnostic Analysis'!$Q$3,'[1]2.Diagnostic Analysis'!D850)</f>
        <v>37</v>
      </c>
      <c r="G850">
        <v>300</v>
      </c>
      <c r="H850">
        <v>3</v>
      </c>
      <c r="I850">
        <v>900</v>
      </c>
      <c r="J850">
        <v>17.149999999999999</v>
      </c>
      <c r="K850" s="2">
        <v>45294</v>
      </c>
      <c r="L850" t="str">
        <f>IF(ISBLANK('[1]2.Diagnostic Analysis'!K850),"Unknown",'[1]2.Diagnostic Analysis'!K850)</f>
        <v>In Transit</v>
      </c>
    </row>
    <row r="851" spans="1:12" x14ac:dyDescent="0.25">
      <c r="A851" t="s">
        <v>295</v>
      </c>
      <c r="B851" t="s">
        <v>13</v>
      </c>
      <c r="C851" t="str">
        <f>IF(ISBLANK('[1]2.Diagnostic Analysis'!C851),"Unknown",'[1]2.Diagnostic Analysis'!C851)</f>
        <v>South</v>
      </c>
      <c r="D851" t="s">
        <v>23</v>
      </c>
      <c r="E851" t="s">
        <v>15</v>
      </c>
      <c r="F851">
        <f>IF(ISBLANK('[1]2.Diagnostic Analysis'!D851),'[1]2.Diagnostic Analysis'!$Q$3,'[1]2.Diagnostic Analysis'!D851)</f>
        <v>39</v>
      </c>
      <c r="G851">
        <v>1500</v>
      </c>
      <c r="H851">
        <v>2</v>
      </c>
      <c r="I851">
        <v>3000</v>
      </c>
      <c r="J851">
        <v>11.24</v>
      </c>
      <c r="K851" s="2">
        <v>45246</v>
      </c>
      <c r="L851" t="str">
        <f>IF(ISBLANK('[1]2.Diagnostic Analysis'!K851),"Unknown",'[1]2.Diagnostic Analysis'!K851)</f>
        <v>Returned</v>
      </c>
    </row>
    <row r="852" spans="1:12" x14ac:dyDescent="0.25">
      <c r="A852" t="s">
        <v>50</v>
      </c>
      <c r="B852" t="s">
        <v>20</v>
      </c>
      <c r="C852" t="str">
        <f>IF(ISBLANK('[1]2.Diagnostic Analysis'!C852),"Unknown",'[1]2.Diagnostic Analysis'!C852)</f>
        <v>North</v>
      </c>
      <c r="D852" t="s">
        <v>14</v>
      </c>
      <c r="E852" t="s">
        <v>15</v>
      </c>
      <c r="F852">
        <f>IF(ISBLANK('[1]2.Diagnostic Analysis'!D852),'[1]2.Diagnostic Analysis'!$Q$3,'[1]2.Diagnostic Analysis'!D852)</f>
        <v>31</v>
      </c>
      <c r="G852">
        <v>300</v>
      </c>
      <c r="H852">
        <v>2</v>
      </c>
      <c r="I852">
        <v>600</v>
      </c>
      <c r="J852">
        <v>5.84</v>
      </c>
      <c r="K852" s="2">
        <v>45157</v>
      </c>
      <c r="L852" t="str">
        <f>IF(ISBLANK('[1]2.Diagnostic Analysis'!K852),"Unknown",'[1]2.Diagnostic Analysis'!K852)</f>
        <v>In Transit</v>
      </c>
    </row>
    <row r="853" spans="1:12" x14ac:dyDescent="0.25">
      <c r="A853" t="s">
        <v>81</v>
      </c>
      <c r="B853" t="s">
        <v>20</v>
      </c>
      <c r="C853" t="str">
        <f>IF(ISBLANK('[1]2.Diagnostic Analysis'!C853),"Unknown",'[1]2.Diagnostic Analysis'!C853)</f>
        <v>West</v>
      </c>
      <c r="D853" t="s">
        <v>40</v>
      </c>
      <c r="E853" t="s">
        <v>15</v>
      </c>
      <c r="F853">
        <f>IF(ISBLANK('[1]2.Diagnostic Analysis'!D853),'[1]2.Diagnostic Analysis'!$Q$3,'[1]2.Diagnostic Analysis'!D853)</f>
        <v>33</v>
      </c>
      <c r="G853">
        <v>800</v>
      </c>
      <c r="H853">
        <v>2</v>
      </c>
      <c r="I853">
        <v>1600</v>
      </c>
      <c r="J853">
        <v>7.61</v>
      </c>
      <c r="K853" s="2">
        <v>45268</v>
      </c>
      <c r="L853" t="str">
        <f>IF(ISBLANK('[1]2.Diagnostic Analysis'!K853),"Unknown",'[1]2.Diagnostic Analysis'!K853)</f>
        <v>Returned</v>
      </c>
    </row>
    <row r="854" spans="1:12" x14ac:dyDescent="0.25">
      <c r="A854" t="s">
        <v>67</v>
      </c>
      <c r="B854" t="s">
        <v>13</v>
      </c>
      <c r="C854" t="str">
        <f>IF(ISBLANK('[1]2.Diagnostic Analysis'!C854),"Unknown",'[1]2.Diagnostic Analysis'!C854)</f>
        <v>East</v>
      </c>
      <c r="D854" t="s">
        <v>17</v>
      </c>
      <c r="E854" t="s">
        <v>18</v>
      </c>
      <c r="F854">
        <f>IF(ISBLANK('[1]2.Diagnostic Analysis'!D854),'[1]2.Diagnostic Analysis'!$Q$3,'[1]2.Diagnostic Analysis'!D854)</f>
        <v>68</v>
      </c>
      <c r="G854">
        <v>100</v>
      </c>
      <c r="H854">
        <v>4</v>
      </c>
      <c r="I854">
        <v>400</v>
      </c>
      <c r="J854">
        <v>14.97</v>
      </c>
      <c r="K854" s="2">
        <v>45269</v>
      </c>
      <c r="L854" t="str">
        <f>IF(ISBLANK('[1]2.Diagnostic Analysis'!K854),"Unknown",'[1]2.Diagnostic Analysis'!K854)</f>
        <v>Returned</v>
      </c>
    </row>
    <row r="855" spans="1:12" x14ac:dyDescent="0.25">
      <c r="A855" t="s">
        <v>298</v>
      </c>
      <c r="B855" t="s">
        <v>20</v>
      </c>
      <c r="C855" t="str">
        <f>IF(ISBLANK('[1]2.Diagnostic Analysis'!C855),"Unknown",'[1]2.Diagnostic Analysis'!C855)</f>
        <v>South</v>
      </c>
      <c r="D855" t="s">
        <v>14</v>
      </c>
      <c r="E855" t="s">
        <v>15</v>
      </c>
      <c r="F855">
        <f>IF(ISBLANK('[1]2.Diagnostic Analysis'!D855),'[1]2.Diagnostic Analysis'!$Q$3,'[1]2.Diagnostic Analysis'!D855)</f>
        <v>35</v>
      </c>
      <c r="G855">
        <v>300</v>
      </c>
      <c r="H855">
        <v>1</v>
      </c>
      <c r="I855">
        <v>300</v>
      </c>
      <c r="J855">
        <v>15.16</v>
      </c>
      <c r="K855" s="2">
        <v>45224</v>
      </c>
      <c r="L855" t="str">
        <f>IF(ISBLANK('[1]2.Diagnostic Analysis'!K855),"Unknown",'[1]2.Diagnostic Analysis'!K855)</f>
        <v>Returned</v>
      </c>
    </row>
    <row r="856" spans="1:12" x14ac:dyDescent="0.25">
      <c r="A856" t="s">
        <v>16</v>
      </c>
      <c r="B856" t="s">
        <v>13</v>
      </c>
      <c r="C856" t="str">
        <f>IF(ISBLANK('[1]2.Diagnostic Analysis'!C856),"Unknown",'[1]2.Diagnostic Analysis'!C856)</f>
        <v>East</v>
      </c>
      <c r="D856" t="s">
        <v>23</v>
      </c>
      <c r="E856" t="s">
        <v>15</v>
      </c>
      <c r="F856">
        <f>IF(ISBLANK('[1]2.Diagnostic Analysis'!D856),'[1]2.Diagnostic Analysis'!$Q$3,'[1]2.Diagnostic Analysis'!D856)</f>
        <v>22</v>
      </c>
      <c r="G856">
        <v>1500</v>
      </c>
      <c r="H856">
        <v>2</v>
      </c>
      <c r="I856">
        <v>3000</v>
      </c>
      <c r="J856">
        <v>15.58</v>
      </c>
      <c r="K856" s="2">
        <v>45276</v>
      </c>
      <c r="L856" t="str">
        <f>IF(ISBLANK('[1]2.Diagnostic Analysis'!K856),"Unknown",'[1]2.Diagnostic Analysis'!K856)</f>
        <v>Delivered</v>
      </c>
    </row>
    <row r="857" spans="1:12" x14ac:dyDescent="0.25">
      <c r="A857" t="s">
        <v>242</v>
      </c>
      <c r="B857" t="s">
        <v>20</v>
      </c>
      <c r="C857" t="str">
        <f>IF(ISBLANK('[1]2.Diagnostic Analysis'!C857),"Unknown",'[1]2.Diagnostic Analysis'!C857)</f>
        <v>North</v>
      </c>
      <c r="D857" t="s">
        <v>23</v>
      </c>
      <c r="E857" t="s">
        <v>15</v>
      </c>
      <c r="F857">
        <f>IF(ISBLANK('[1]2.Diagnostic Analysis'!D857),'[1]2.Diagnostic Analysis'!$Q$3,'[1]2.Diagnostic Analysis'!D857)</f>
        <v>68</v>
      </c>
      <c r="G857">
        <v>1500</v>
      </c>
      <c r="H857">
        <v>1</v>
      </c>
      <c r="I857">
        <v>1500</v>
      </c>
      <c r="J857">
        <v>5.57</v>
      </c>
      <c r="K857" s="2">
        <v>45144</v>
      </c>
      <c r="L857" t="str">
        <f>IF(ISBLANK('[1]2.Diagnostic Analysis'!K857),"Unknown",'[1]2.Diagnostic Analysis'!K857)</f>
        <v>Delivered</v>
      </c>
    </row>
    <row r="858" spans="1:12" x14ac:dyDescent="0.25">
      <c r="A858" t="s">
        <v>279</v>
      </c>
      <c r="B858" t="s">
        <v>13</v>
      </c>
      <c r="C858" t="str">
        <f>IF(ISBLANK('[1]2.Diagnostic Analysis'!C858),"Unknown",'[1]2.Diagnostic Analysis'!C858)</f>
        <v>East</v>
      </c>
      <c r="D858" t="s">
        <v>23</v>
      </c>
      <c r="E858" t="s">
        <v>15</v>
      </c>
      <c r="F858">
        <f>IF(ISBLANK('[1]2.Diagnostic Analysis'!D858),'[1]2.Diagnostic Analysis'!$Q$3,'[1]2.Diagnostic Analysis'!D858)</f>
        <v>38</v>
      </c>
      <c r="G858">
        <v>1500</v>
      </c>
      <c r="H858">
        <v>4</v>
      </c>
      <c r="I858">
        <v>6000</v>
      </c>
      <c r="J858">
        <v>11.28</v>
      </c>
      <c r="K858" s="2">
        <v>45042</v>
      </c>
      <c r="L858" t="str">
        <f>IF(ISBLANK('[1]2.Diagnostic Analysis'!K858),"Unknown",'[1]2.Diagnostic Analysis'!K858)</f>
        <v>Returned</v>
      </c>
    </row>
    <row r="859" spans="1:12" x14ac:dyDescent="0.25">
      <c r="A859" t="s">
        <v>291</v>
      </c>
      <c r="B859" t="s">
        <v>20</v>
      </c>
      <c r="C859" t="str">
        <f>IF(ISBLANK('[1]2.Diagnostic Analysis'!C859),"Unknown",'[1]2.Diagnostic Analysis'!C859)</f>
        <v>West</v>
      </c>
      <c r="D859" t="s">
        <v>40</v>
      </c>
      <c r="E859" t="s">
        <v>15</v>
      </c>
      <c r="F859">
        <f>IF(ISBLANK('[1]2.Diagnostic Analysis'!D859),'[1]2.Diagnostic Analysis'!$Q$3,'[1]2.Diagnostic Analysis'!D859)</f>
        <v>53</v>
      </c>
      <c r="G859">
        <v>800</v>
      </c>
      <c r="H859">
        <v>4</v>
      </c>
      <c r="I859">
        <v>3200</v>
      </c>
      <c r="J859">
        <v>14.35</v>
      </c>
      <c r="K859" s="2">
        <v>45104</v>
      </c>
      <c r="L859" t="str">
        <f>IF(ISBLANK('[1]2.Diagnostic Analysis'!K859),"Unknown",'[1]2.Diagnostic Analysis'!K859)</f>
        <v>Delivered</v>
      </c>
    </row>
    <row r="860" spans="1:12" x14ac:dyDescent="0.25">
      <c r="A860" t="s">
        <v>110</v>
      </c>
      <c r="B860" t="s">
        <v>20</v>
      </c>
      <c r="C860" t="str">
        <f>IF(ISBLANK('[1]2.Diagnostic Analysis'!C860),"Unknown",'[1]2.Diagnostic Analysis'!C860)</f>
        <v>West</v>
      </c>
      <c r="D860" t="s">
        <v>29</v>
      </c>
      <c r="E860" t="s">
        <v>18</v>
      </c>
      <c r="F860">
        <f>IF(ISBLANK('[1]2.Diagnostic Analysis'!D860),'[1]2.Diagnostic Analysis'!$Q$3,'[1]2.Diagnostic Analysis'!D860)</f>
        <v>38</v>
      </c>
      <c r="G860">
        <v>50</v>
      </c>
      <c r="H860">
        <v>4</v>
      </c>
      <c r="I860">
        <v>200</v>
      </c>
      <c r="J860">
        <v>19.170000000000002</v>
      </c>
      <c r="K860" s="2">
        <v>44952</v>
      </c>
      <c r="L860" t="str">
        <f>IF(ISBLANK('[1]2.Diagnostic Analysis'!K860),"Unknown",'[1]2.Diagnostic Analysis'!K860)</f>
        <v>Returned</v>
      </c>
    </row>
    <row r="861" spans="1:12" x14ac:dyDescent="0.25">
      <c r="A861" t="s">
        <v>159</v>
      </c>
      <c r="B861" t="s">
        <v>13</v>
      </c>
      <c r="C861" t="str">
        <f>IF(ISBLANK('[1]2.Diagnostic Analysis'!C861),"Unknown",'[1]2.Diagnostic Analysis'!C861)</f>
        <v>South</v>
      </c>
      <c r="D861" t="s">
        <v>30</v>
      </c>
      <c r="E861" t="s">
        <v>18</v>
      </c>
      <c r="F861">
        <f>IF(ISBLANK('[1]2.Diagnostic Analysis'!D861),'[1]2.Diagnostic Analysis'!$Q$3,'[1]2.Diagnostic Analysis'!D861)</f>
        <v>26</v>
      </c>
      <c r="G861">
        <v>30</v>
      </c>
      <c r="H861">
        <v>1</v>
      </c>
      <c r="I861">
        <v>30</v>
      </c>
      <c r="J861">
        <v>10.220000000000001</v>
      </c>
      <c r="K861" s="2">
        <v>45225</v>
      </c>
      <c r="L861" t="str">
        <f>IF(ISBLANK('[1]2.Diagnostic Analysis'!K861),"Unknown",'[1]2.Diagnostic Analysis'!K861)</f>
        <v>Delivered</v>
      </c>
    </row>
    <row r="862" spans="1:12" x14ac:dyDescent="0.25">
      <c r="A862" t="s">
        <v>304</v>
      </c>
      <c r="B862" t="s">
        <v>13</v>
      </c>
      <c r="C862" t="str">
        <f>IF(ISBLANK('[1]2.Diagnostic Analysis'!C862),"Unknown",'[1]2.Diagnostic Analysis'!C862)</f>
        <v>North</v>
      </c>
      <c r="D862" t="s">
        <v>29</v>
      </c>
      <c r="E862" t="s">
        <v>18</v>
      </c>
      <c r="F862">
        <f>IF(ISBLANK('[1]2.Diagnostic Analysis'!D862),'[1]2.Diagnostic Analysis'!$Q$3,'[1]2.Diagnostic Analysis'!D862)</f>
        <v>35</v>
      </c>
      <c r="G862">
        <v>50</v>
      </c>
      <c r="H862">
        <v>3</v>
      </c>
      <c r="I862">
        <v>150</v>
      </c>
      <c r="J862">
        <v>12.89</v>
      </c>
      <c r="K862" s="2">
        <v>44956</v>
      </c>
      <c r="L862" t="str">
        <f>IF(ISBLANK('[1]2.Diagnostic Analysis'!K862),"Unknown",'[1]2.Diagnostic Analysis'!K862)</f>
        <v>In Transit</v>
      </c>
    </row>
    <row r="863" spans="1:12" x14ac:dyDescent="0.25">
      <c r="A863" t="s">
        <v>307</v>
      </c>
      <c r="B863" t="s">
        <v>20</v>
      </c>
      <c r="C863" t="str">
        <f>IF(ISBLANK('[1]2.Diagnostic Analysis'!C863),"Unknown",'[1]2.Diagnostic Analysis'!C863)</f>
        <v>North</v>
      </c>
      <c r="D863" t="s">
        <v>29</v>
      </c>
      <c r="E863" t="s">
        <v>18</v>
      </c>
      <c r="F863">
        <f>IF(ISBLANK('[1]2.Diagnostic Analysis'!D863),'[1]2.Diagnostic Analysis'!$Q$3,'[1]2.Diagnostic Analysis'!D863)</f>
        <v>38</v>
      </c>
      <c r="G863">
        <v>50</v>
      </c>
      <c r="H863">
        <v>4</v>
      </c>
      <c r="I863">
        <v>200</v>
      </c>
      <c r="J863">
        <v>7.52</v>
      </c>
      <c r="K863" s="2">
        <v>45075</v>
      </c>
      <c r="L863" t="str">
        <f>IF(ISBLANK('[1]2.Diagnostic Analysis'!K863),"Unknown",'[1]2.Diagnostic Analysis'!K863)</f>
        <v>In Transit</v>
      </c>
    </row>
    <row r="864" spans="1:12" x14ac:dyDescent="0.25">
      <c r="A864" t="s">
        <v>308</v>
      </c>
      <c r="B864" t="s">
        <v>20</v>
      </c>
      <c r="C864" t="str">
        <f>IF(ISBLANK('[1]2.Diagnostic Analysis'!C864),"Unknown",'[1]2.Diagnostic Analysis'!C864)</f>
        <v>South</v>
      </c>
      <c r="D864" t="s">
        <v>14</v>
      </c>
      <c r="E864" t="s">
        <v>15</v>
      </c>
      <c r="F864">
        <f>IF(ISBLANK('[1]2.Diagnostic Analysis'!D864),'[1]2.Diagnostic Analysis'!$Q$3,'[1]2.Diagnostic Analysis'!D864)</f>
        <v>45</v>
      </c>
      <c r="G864">
        <v>300</v>
      </c>
      <c r="H864">
        <v>2</v>
      </c>
      <c r="I864">
        <v>600</v>
      </c>
      <c r="J864">
        <v>9.09</v>
      </c>
      <c r="K864" s="2">
        <v>45201</v>
      </c>
      <c r="L864" t="str">
        <f>IF(ISBLANK('[1]2.Diagnostic Analysis'!K864),"Unknown",'[1]2.Diagnostic Analysis'!K864)</f>
        <v>In Transit</v>
      </c>
    </row>
    <row r="865" spans="1:12" x14ac:dyDescent="0.25">
      <c r="A865" t="s">
        <v>230</v>
      </c>
      <c r="B865" t="s">
        <v>13</v>
      </c>
      <c r="C865" t="str">
        <f>IF(ISBLANK('[1]2.Diagnostic Analysis'!C865),"Unknown",'[1]2.Diagnostic Analysis'!C865)</f>
        <v>North</v>
      </c>
      <c r="D865" t="s">
        <v>14</v>
      </c>
      <c r="E865" t="s">
        <v>15</v>
      </c>
      <c r="F865">
        <f>IF(ISBLANK('[1]2.Diagnostic Analysis'!D865),'[1]2.Diagnostic Analysis'!$Q$3,'[1]2.Diagnostic Analysis'!D865)</f>
        <v>42</v>
      </c>
      <c r="G865">
        <v>300</v>
      </c>
      <c r="H865">
        <v>4</v>
      </c>
      <c r="I865">
        <v>1200</v>
      </c>
      <c r="J865">
        <v>5.56</v>
      </c>
      <c r="K865" s="2">
        <v>45083</v>
      </c>
      <c r="L865" t="str">
        <f>IF(ISBLANK('[1]2.Diagnostic Analysis'!K865),"Unknown",'[1]2.Diagnostic Analysis'!K865)</f>
        <v>In Transit</v>
      </c>
    </row>
    <row r="866" spans="1:12" x14ac:dyDescent="0.25">
      <c r="A866" t="s">
        <v>53</v>
      </c>
      <c r="B866" t="s">
        <v>13</v>
      </c>
      <c r="C866" t="str">
        <f>IF(ISBLANK('[1]2.Diagnostic Analysis'!C866),"Unknown",'[1]2.Diagnostic Analysis'!C866)</f>
        <v>North</v>
      </c>
      <c r="D866" t="s">
        <v>25</v>
      </c>
      <c r="E866" t="s">
        <v>26</v>
      </c>
      <c r="F866">
        <f>IF(ISBLANK('[1]2.Diagnostic Analysis'!D866),'[1]2.Diagnostic Analysis'!$Q$3,'[1]2.Diagnostic Analysis'!D866)</f>
        <v>49</v>
      </c>
      <c r="G866">
        <v>200</v>
      </c>
      <c r="H866">
        <v>2</v>
      </c>
      <c r="I866">
        <v>400</v>
      </c>
      <c r="J866">
        <v>19.66</v>
      </c>
      <c r="K866" s="2">
        <v>44957</v>
      </c>
      <c r="L866" t="str">
        <f>IF(ISBLANK('[1]2.Diagnostic Analysis'!K866),"Unknown",'[1]2.Diagnostic Analysis'!K866)</f>
        <v>Returned</v>
      </c>
    </row>
    <row r="867" spans="1:12" x14ac:dyDescent="0.25">
      <c r="A867" t="s">
        <v>39</v>
      </c>
      <c r="B867" t="s">
        <v>13</v>
      </c>
      <c r="C867" t="str">
        <f>IF(ISBLANK('[1]2.Diagnostic Analysis'!C867),"Unknown",'[1]2.Diagnostic Analysis'!C867)</f>
        <v>South</v>
      </c>
      <c r="D867" t="s">
        <v>14</v>
      </c>
      <c r="E867" t="s">
        <v>15</v>
      </c>
      <c r="F867">
        <f>IF(ISBLANK('[1]2.Diagnostic Analysis'!D867),'[1]2.Diagnostic Analysis'!$Q$3,'[1]2.Diagnostic Analysis'!D867)</f>
        <v>30</v>
      </c>
      <c r="G867">
        <v>300</v>
      </c>
      <c r="H867">
        <v>1</v>
      </c>
      <c r="I867">
        <v>300</v>
      </c>
      <c r="J867">
        <v>11.26</v>
      </c>
      <c r="K867" s="2">
        <v>45291</v>
      </c>
      <c r="L867" t="str">
        <f>IF(ISBLANK('[1]2.Diagnostic Analysis'!K867),"Unknown",'[1]2.Diagnostic Analysis'!K867)</f>
        <v>Returned</v>
      </c>
    </row>
    <row r="868" spans="1:12" x14ac:dyDescent="0.25">
      <c r="A868" t="s">
        <v>176</v>
      </c>
      <c r="B868" t="s">
        <v>13</v>
      </c>
      <c r="C868" t="str">
        <f>IF(ISBLANK('[1]2.Diagnostic Analysis'!C868),"Unknown",'[1]2.Diagnostic Analysis'!C868)</f>
        <v>South</v>
      </c>
      <c r="D868" t="s">
        <v>30</v>
      </c>
      <c r="E868" t="s">
        <v>18</v>
      </c>
      <c r="F868">
        <f>IF(ISBLANK('[1]2.Diagnostic Analysis'!D868),'[1]2.Diagnostic Analysis'!$Q$3,'[1]2.Diagnostic Analysis'!D868)</f>
        <v>20</v>
      </c>
      <c r="G868">
        <v>30</v>
      </c>
      <c r="H868">
        <v>1</v>
      </c>
      <c r="I868">
        <v>30</v>
      </c>
      <c r="J868">
        <v>5.41</v>
      </c>
      <c r="K868" s="2">
        <v>44931</v>
      </c>
      <c r="L868" t="str">
        <f>IF(ISBLANK('[1]2.Diagnostic Analysis'!K868),"Unknown",'[1]2.Diagnostic Analysis'!K868)</f>
        <v>In Transit</v>
      </c>
    </row>
    <row r="869" spans="1:12" x14ac:dyDescent="0.25">
      <c r="A869" t="s">
        <v>234</v>
      </c>
      <c r="B869" t="s">
        <v>20</v>
      </c>
      <c r="C869" t="str">
        <f>IF(ISBLANK('[1]2.Diagnostic Analysis'!C869),"Unknown",'[1]2.Diagnostic Analysis'!C869)</f>
        <v>South</v>
      </c>
      <c r="D869" t="s">
        <v>23</v>
      </c>
      <c r="E869" t="s">
        <v>15</v>
      </c>
      <c r="F869">
        <f>IF(ISBLANK('[1]2.Diagnostic Analysis'!D869),'[1]2.Diagnostic Analysis'!$Q$3,'[1]2.Diagnostic Analysis'!D869)</f>
        <v>18</v>
      </c>
      <c r="G869">
        <v>1500</v>
      </c>
      <c r="H869">
        <v>2</v>
      </c>
      <c r="I869">
        <v>3000</v>
      </c>
      <c r="J869">
        <v>10.130000000000001</v>
      </c>
      <c r="K869" s="2">
        <v>45087</v>
      </c>
      <c r="L869" t="str">
        <f>IF(ISBLANK('[1]2.Diagnostic Analysis'!K869),"Unknown",'[1]2.Diagnostic Analysis'!K869)</f>
        <v>Delivered</v>
      </c>
    </row>
    <row r="870" spans="1:12" x14ac:dyDescent="0.25">
      <c r="A870" t="s">
        <v>139</v>
      </c>
      <c r="B870" t="s">
        <v>20</v>
      </c>
      <c r="C870" t="str">
        <f>IF(ISBLANK('[1]2.Diagnostic Analysis'!C870),"Unknown",'[1]2.Diagnostic Analysis'!C870)</f>
        <v>South</v>
      </c>
      <c r="D870" t="s">
        <v>40</v>
      </c>
      <c r="E870" t="s">
        <v>15</v>
      </c>
      <c r="F870">
        <f>IF(ISBLANK('[1]2.Diagnostic Analysis'!D870),'[1]2.Diagnostic Analysis'!$Q$3,'[1]2.Diagnostic Analysis'!D870)</f>
        <v>35</v>
      </c>
      <c r="G870">
        <v>800</v>
      </c>
      <c r="H870">
        <v>4</v>
      </c>
      <c r="I870">
        <v>3200</v>
      </c>
      <c r="J870">
        <v>7.74</v>
      </c>
      <c r="K870" s="2">
        <v>45072</v>
      </c>
      <c r="L870" t="str">
        <f>IF(ISBLANK('[1]2.Diagnostic Analysis'!K870),"Unknown",'[1]2.Diagnostic Analysis'!K870)</f>
        <v>Delivered</v>
      </c>
    </row>
    <row r="871" spans="1:12" x14ac:dyDescent="0.25">
      <c r="A871" t="s">
        <v>107</v>
      </c>
      <c r="B871" t="s">
        <v>13</v>
      </c>
      <c r="C871" t="str">
        <f>IF(ISBLANK('[1]2.Diagnostic Analysis'!C871),"Unknown",'[1]2.Diagnostic Analysis'!C871)</f>
        <v>West</v>
      </c>
      <c r="D871" t="s">
        <v>25</v>
      </c>
      <c r="E871" t="s">
        <v>26</v>
      </c>
      <c r="F871">
        <f>IF(ISBLANK('[1]2.Diagnostic Analysis'!D871),'[1]2.Diagnostic Analysis'!$Q$3,'[1]2.Diagnostic Analysis'!D871)</f>
        <v>49</v>
      </c>
      <c r="G871">
        <v>200</v>
      </c>
      <c r="H871">
        <v>1</v>
      </c>
      <c r="I871">
        <v>200</v>
      </c>
      <c r="J871">
        <v>8.2799999999999994</v>
      </c>
      <c r="K871" s="2">
        <v>45205</v>
      </c>
      <c r="L871" t="str">
        <f>IF(ISBLANK('[1]2.Diagnostic Analysis'!K871),"Unknown",'[1]2.Diagnostic Analysis'!K871)</f>
        <v>In Transit</v>
      </c>
    </row>
    <row r="872" spans="1:12" x14ac:dyDescent="0.25">
      <c r="A872" t="s">
        <v>233</v>
      </c>
      <c r="B872" t="s">
        <v>20</v>
      </c>
      <c r="C872" t="str">
        <f>IF(ISBLANK('[1]2.Diagnostic Analysis'!C872),"Unknown",'[1]2.Diagnostic Analysis'!C872)</f>
        <v>South</v>
      </c>
      <c r="D872" t="s">
        <v>14</v>
      </c>
      <c r="E872" t="s">
        <v>15</v>
      </c>
      <c r="F872">
        <f>IF(ISBLANK('[1]2.Diagnostic Analysis'!D872),'[1]2.Diagnostic Analysis'!$Q$3,'[1]2.Diagnostic Analysis'!D872)</f>
        <v>38</v>
      </c>
      <c r="G872">
        <v>300</v>
      </c>
      <c r="H872">
        <v>2</v>
      </c>
      <c r="I872">
        <v>600</v>
      </c>
      <c r="J872">
        <v>17.38</v>
      </c>
      <c r="K872" s="2">
        <v>45032</v>
      </c>
      <c r="L872" t="str">
        <f>IF(ISBLANK('[1]2.Diagnostic Analysis'!K872),"Unknown",'[1]2.Diagnostic Analysis'!K872)</f>
        <v>Delivered</v>
      </c>
    </row>
    <row r="873" spans="1:12" x14ac:dyDescent="0.25">
      <c r="A873" t="s">
        <v>126</v>
      </c>
      <c r="B873" t="s">
        <v>13</v>
      </c>
      <c r="C873" t="str">
        <f>IF(ISBLANK('[1]2.Diagnostic Analysis'!C873),"Unknown",'[1]2.Diagnostic Analysis'!C873)</f>
        <v>West</v>
      </c>
      <c r="D873" t="s">
        <v>29</v>
      </c>
      <c r="E873" t="s">
        <v>18</v>
      </c>
      <c r="F873">
        <f>IF(ISBLANK('[1]2.Diagnostic Analysis'!D873),'[1]2.Diagnostic Analysis'!$Q$3,'[1]2.Diagnostic Analysis'!D873)</f>
        <v>50</v>
      </c>
      <c r="G873">
        <v>50</v>
      </c>
      <c r="H873">
        <v>4</v>
      </c>
      <c r="I873">
        <v>200</v>
      </c>
      <c r="J873">
        <v>11.39</v>
      </c>
      <c r="K873" s="2">
        <v>44943</v>
      </c>
      <c r="L873" t="str">
        <f>IF(ISBLANK('[1]2.Diagnostic Analysis'!K873),"Unknown",'[1]2.Diagnostic Analysis'!K873)</f>
        <v>Delivered</v>
      </c>
    </row>
    <row r="874" spans="1:12" x14ac:dyDescent="0.25">
      <c r="A874" t="s">
        <v>28</v>
      </c>
      <c r="B874" t="s">
        <v>13</v>
      </c>
      <c r="C874" t="str">
        <f>IF(ISBLANK('[1]2.Diagnostic Analysis'!C874),"Unknown",'[1]2.Diagnostic Analysis'!C874)</f>
        <v>South</v>
      </c>
      <c r="D874" t="s">
        <v>23</v>
      </c>
      <c r="E874" t="s">
        <v>15</v>
      </c>
      <c r="F874">
        <f>IF(ISBLANK('[1]2.Diagnostic Analysis'!D874),'[1]2.Diagnostic Analysis'!$Q$3,'[1]2.Diagnostic Analysis'!D874)</f>
        <v>18</v>
      </c>
      <c r="G874">
        <v>1500</v>
      </c>
      <c r="H874">
        <v>3</v>
      </c>
      <c r="I874">
        <v>4500</v>
      </c>
      <c r="J874">
        <v>18.829999999999998</v>
      </c>
      <c r="K874" s="2">
        <v>45007</v>
      </c>
      <c r="L874" t="str">
        <f>IF(ISBLANK('[1]2.Diagnostic Analysis'!K874),"Unknown",'[1]2.Diagnostic Analysis'!K874)</f>
        <v>In Transit</v>
      </c>
    </row>
    <row r="875" spans="1:12" x14ac:dyDescent="0.25">
      <c r="A875" t="s">
        <v>49</v>
      </c>
      <c r="B875" t="s">
        <v>20</v>
      </c>
      <c r="C875" t="str">
        <f>IF(ISBLANK('[1]2.Diagnostic Analysis'!C875),"Unknown",'[1]2.Diagnostic Analysis'!C875)</f>
        <v>South</v>
      </c>
      <c r="D875" t="s">
        <v>25</v>
      </c>
      <c r="E875" t="s">
        <v>26</v>
      </c>
      <c r="F875">
        <f>IF(ISBLANK('[1]2.Diagnostic Analysis'!D875),'[1]2.Diagnostic Analysis'!$Q$3,'[1]2.Diagnostic Analysis'!D875)</f>
        <v>25</v>
      </c>
      <c r="G875">
        <v>200</v>
      </c>
      <c r="H875">
        <v>1</v>
      </c>
      <c r="I875">
        <v>200</v>
      </c>
      <c r="J875">
        <v>6.96</v>
      </c>
      <c r="K875" s="2">
        <v>45250</v>
      </c>
      <c r="L875" t="str">
        <f>IF(ISBLANK('[1]2.Diagnostic Analysis'!K875),"Unknown",'[1]2.Diagnostic Analysis'!K875)</f>
        <v>Returned</v>
      </c>
    </row>
    <row r="876" spans="1:12" x14ac:dyDescent="0.25">
      <c r="A876" t="s">
        <v>120</v>
      </c>
      <c r="B876" t="s">
        <v>13</v>
      </c>
      <c r="C876" t="str">
        <f>IF(ISBLANK('[1]2.Diagnostic Analysis'!C876),"Unknown",'[1]2.Diagnostic Analysis'!C876)</f>
        <v>North</v>
      </c>
      <c r="D876" t="s">
        <v>23</v>
      </c>
      <c r="E876" t="s">
        <v>15</v>
      </c>
      <c r="F876">
        <f>IF(ISBLANK('[1]2.Diagnostic Analysis'!D876),'[1]2.Diagnostic Analysis'!$Q$3,'[1]2.Diagnostic Analysis'!D876)</f>
        <v>58</v>
      </c>
      <c r="G876">
        <v>1500</v>
      </c>
      <c r="H876">
        <v>5</v>
      </c>
      <c r="I876">
        <v>7500</v>
      </c>
      <c r="J876">
        <v>6.21</v>
      </c>
      <c r="K876" s="2">
        <v>45128</v>
      </c>
      <c r="L876" t="str">
        <f>IF(ISBLANK('[1]2.Diagnostic Analysis'!K876),"Unknown",'[1]2.Diagnostic Analysis'!K876)</f>
        <v>Unknown</v>
      </c>
    </row>
    <row r="877" spans="1:12" x14ac:dyDescent="0.25">
      <c r="A877" t="s">
        <v>87</v>
      </c>
      <c r="B877" t="s">
        <v>13</v>
      </c>
      <c r="C877" t="str">
        <f>IF(ISBLANK('[1]2.Diagnostic Analysis'!C877),"Unknown",'[1]2.Diagnostic Analysis'!C877)</f>
        <v>East</v>
      </c>
      <c r="D877" t="s">
        <v>17</v>
      </c>
      <c r="E877" t="s">
        <v>18</v>
      </c>
      <c r="F877">
        <f>IF(ISBLANK('[1]2.Diagnostic Analysis'!D877),'[1]2.Diagnostic Analysis'!$Q$3,'[1]2.Diagnostic Analysis'!D877)</f>
        <v>21</v>
      </c>
      <c r="G877">
        <v>100</v>
      </c>
      <c r="H877">
        <v>4</v>
      </c>
      <c r="I877">
        <v>400</v>
      </c>
      <c r="J877">
        <v>18.3</v>
      </c>
      <c r="K877" s="2">
        <v>45133</v>
      </c>
      <c r="L877" t="str">
        <f>IF(ISBLANK('[1]2.Diagnostic Analysis'!K877),"Unknown",'[1]2.Diagnostic Analysis'!K877)</f>
        <v>Delivered</v>
      </c>
    </row>
    <row r="878" spans="1:12" x14ac:dyDescent="0.25">
      <c r="A878" t="s">
        <v>164</v>
      </c>
      <c r="B878" t="s">
        <v>13</v>
      </c>
      <c r="C878" t="str">
        <f>IF(ISBLANK('[1]2.Diagnostic Analysis'!C878),"Unknown",'[1]2.Diagnostic Analysis'!C878)</f>
        <v>West</v>
      </c>
      <c r="D878" t="s">
        <v>23</v>
      </c>
      <c r="E878" t="s">
        <v>15</v>
      </c>
      <c r="F878">
        <f>IF(ISBLANK('[1]2.Diagnostic Analysis'!D878),'[1]2.Diagnostic Analysis'!$Q$3,'[1]2.Diagnostic Analysis'!D878)</f>
        <v>57</v>
      </c>
      <c r="G878">
        <v>1500</v>
      </c>
      <c r="H878">
        <v>5</v>
      </c>
      <c r="I878">
        <v>7500</v>
      </c>
      <c r="J878">
        <v>7.57</v>
      </c>
      <c r="K878" s="2">
        <v>45064</v>
      </c>
      <c r="L878" t="str">
        <f>IF(ISBLANK('[1]2.Diagnostic Analysis'!K878),"Unknown",'[1]2.Diagnostic Analysis'!K878)</f>
        <v>Returned</v>
      </c>
    </row>
    <row r="879" spans="1:12" x14ac:dyDescent="0.25">
      <c r="A879" t="s">
        <v>208</v>
      </c>
      <c r="B879" t="s">
        <v>13</v>
      </c>
      <c r="C879" t="str">
        <f>IF(ISBLANK('[1]2.Diagnostic Analysis'!C879),"Unknown",'[1]2.Diagnostic Analysis'!C879)</f>
        <v>East</v>
      </c>
      <c r="D879" t="s">
        <v>14</v>
      </c>
      <c r="E879" t="s">
        <v>15</v>
      </c>
      <c r="F879">
        <f>IF(ISBLANK('[1]2.Diagnostic Analysis'!D879),'[1]2.Diagnostic Analysis'!$Q$3,'[1]2.Diagnostic Analysis'!D879)</f>
        <v>26</v>
      </c>
      <c r="G879">
        <v>621.91212249732996</v>
      </c>
      <c r="H879">
        <v>2</v>
      </c>
      <c r="I879">
        <v>600</v>
      </c>
      <c r="J879">
        <v>7.02</v>
      </c>
      <c r="K879" s="2">
        <v>45294</v>
      </c>
      <c r="L879" t="str">
        <f>IF(ISBLANK('[1]2.Diagnostic Analysis'!K879),"Unknown",'[1]2.Diagnostic Analysis'!K879)</f>
        <v>In Transit</v>
      </c>
    </row>
    <row r="880" spans="1:12" x14ac:dyDescent="0.25">
      <c r="A880" t="s">
        <v>176</v>
      </c>
      <c r="B880" t="s">
        <v>13</v>
      </c>
      <c r="C880" t="str">
        <f>IF(ISBLANK('[1]2.Diagnostic Analysis'!C880),"Unknown",'[1]2.Diagnostic Analysis'!C880)</f>
        <v>West</v>
      </c>
      <c r="D880" t="s">
        <v>14</v>
      </c>
      <c r="E880" t="s">
        <v>15</v>
      </c>
      <c r="F880">
        <f>IF(ISBLANK('[1]2.Diagnostic Analysis'!D880),'[1]2.Diagnostic Analysis'!$Q$3,'[1]2.Diagnostic Analysis'!D880)</f>
        <v>20</v>
      </c>
      <c r="G880">
        <v>300</v>
      </c>
      <c r="H880">
        <v>2</v>
      </c>
      <c r="I880">
        <v>600</v>
      </c>
      <c r="J880">
        <v>11.06</v>
      </c>
      <c r="K880" s="2">
        <v>45150</v>
      </c>
      <c r="L880" t="str">
        <f>IF(ISBLANK('[1]2.Diagnostic Analysis'!K880),"Unknown",'[1]2.Diagnostic Analysis'!K880)</f>
        <v>Unknown</v>
      </c>
    </row>
    <row r="881" spans="1:12" x14ac:dyDescent="0.25">
      <c r="A881" t="s">
        <v>139</v>
      </c>
      <c r="B881" t="s">
        <v>20</v>
      </c>
      <c r="C881" t="str">
        <f>IF(ISBLANK('[1]2.Diagnostic Analysis'!C881),"Unknown",'[1]2.Diagnostic Analysis'!C881)</f>
        <v>East</v>
      </c>
      <c r="D881" t="s">
        <v>30</v>
      </c>
      <c r="E881" t="s">
        <v>18</v>
      </c>
      <c r="F881">
        <f>IF(ISBLANK('[1]2.Diagnostic Analysis'!D881),'[1]2.Diagnostic Analysis'!$Q$3,'[1]2.Diagnostic Analysis'!D881)</f>
        <v>35</v>
      </c>
      <c r="G881">
        <v>30</v>
      </c>
      <c r="H881">
        <v>5</v>
      </c>
      <c r="I881">
        <v>150</v>
      </c>
      <c r="J881">
        <v>13.08</v>
      </c>
      <c r="K881" s="2">
        <v>45154</v>
      </c>
      <c r="L881" t="str">
        <f>IF(ISBLANK('[1]2.Diagnostic Analysis'!K881),"Unknown",'[1]2.Diagnostic Analysis'!K881)</f>
        <v>Delivered</v>
      </c>
    </row>
    <row r="882" spans="1:12" x14ac:dyDescent="0.25">
      <c r="A882" t="s">
        <v>12</v>
      </c>
      <c r="B882" t="s">
        <v>20</v>
      </c>
      <c r="C882" t="str">
        <f>IF(ISBLANK('[1]2.Diagnostic Analysis'!C882),"Unknown",'[1]2.Diagnostic Analysis'!C882)</f>
        <v>South</v>
      </c>
      <c r="D882" t="s">
        <v>30</v>
      </c>
      <c r="E882" t="s">
        <v>18</v>
      </c>
      <c r="F882">
        <f>IF(ISBLANK('[1]2.Diagnostic Analysis'!D882),'[1]2.Diagnostic Analysis'!$Q$3,'[1]2.Diagnostic Analysis'!D882)</f>
        <v>21</v>
      </c>
      <c r="G882">
        <v>30</v>
      </c>
      <c r="H882">
        <v>3</v>
      </c>
      <c r="I882">
        <v>90</v>
      </c>
      <c r="J882">
        <v>10.49</v>
      </c>
      <c r="K882" s="2">
        <v>45149</v>
      </c>
      <c r="L882" t="str">
        <f>IF(ISBLANK('[1]2.Diagnostic Analysis'!K882),"Unknown",'[1]2.Diagnostic Analysis'!K882)</f>
        <v>Delivered</v>
      </c>
    </row>
    <row r="883" spans="1:12" x14ac:dyDescent="0.25">
      <c r="A883" t="s">
        <v>280</v>
      </c>
      <c r="B883" t="s">
        <v>13</v>
      </c>
      <c r="C883" t="str">
        <f>IF(ISBLANK('[1]2.Diagnostic Analysis'!C883),"Unknown",'[1]2.Diagnostic Analysis'!C883)</f>
        <v>West</v>
      </c>
      <c r="D883" t="s">
        <v>14</v>
      </c>
      <c r="E883" t="s">
        <v>15</v>
      </c>
      <c r="F883">
        <f>IF(ISBLANK('[1]2.Diagnostic Analysis'!D883),'[1]2.Diagnostic Analysis'!$Q$3,'[1]2.Diagnostic Analysis'!D883)</f>
        <v>26</v>
      </c>
      <c r="G883">
        <v>300</v>
      </c>
      <c r="H883">
        <v>2</v>
      </c>
      <c r="I883">
        <v>600</v>
      </c>
      <c r="J883">
        <v>12.94</v>
      </c>
      <c r="K883" s="2">
        <v>44928</v>
      </c>
      <c r="L883" t="str">
        <f>IF(ISBLANK('[1]2.Diagnostic Analysis'!K883),"Unknown",'[1]2.Diagnostic Analysis'!K883)</f>
        <v>Unknown</v>
      </c>
    </row>
    <row r="884" spans="1:12" x14ac:dyDescent="0.25">
      <c r="A884" t="s">
        <v>294</v>
      </c>
      <c r="B884" t="s">
        <v>20</v>
      </c>
      <c r="C884" t="str">
        <f>IF(ISBLANK('[1]2.Diagnostic Analysis'!C884),"Unknown",'[1]2.Diagnostic Analysis'!C884)</f>
        <v>North</v>
      </c>
      <c r="D884" t="s">
        <v>23</v>
      </c>
      <c r="E884" t="s">
        <v>15</v>
      </c>
      <c r="F884">
        <f>IF(ISBLANK('[1]2.Diagnostic Analysis'!D884),'[1]2.Diagnostic Analysis'!$Q$3,'[1]2.Diagnostic Analysis'!D884)</f>
        <v>49</v>
      </c>
      <c r="G884">
        <v>1500</v>
      </c>
      <c r="H884">
        <v>2</v>
      </c>
      <c r="I884">
        <v>3000</v>
      </c>
      <c r="J884">
        <v>11.24</v>
      </c>
      <c r="K884" s="2">
        <v>45135</v>
      </c>
      <c r="L884" t="str">
        <f>IF(ISBLANK('[1]2.Diagnostic Analysis'!K884),"Unknown",'[1]2.Diagnostic Analysis'!K884)</f>
        <v>In Transit</v>
      </c>
    </row>
    <row r="885" spans="1:12" x14ac:dyDescent="0.25">
      <c r="A885" t="s">
        <v>90</v>
      </c>
      <c r="B885" t="s">
        <v>20</v>
      </c>
      <c r="C885" t="str">
        <f>IF(ISBLANK('[1]2.Diagnostic Analysis'!C885),"Unknown",'[1]2.Diagnostic Analysis'!C885)</f>
        <v>North</v>
      </c>
      <c r="D885" t="s">
        <v>14</v>
      </c>
      <c r="E885" t="s">
        <v>15</v>
      </c>
      <c r="F885">
        <f>IF(ISBLANK('[1]2.Diagnostic Analysis'!D885),'[1]2.Diagnostic Analysis'!$Q$3,'[1]2.Diagnostic Analysis'!D885)</f>
        <v>49</v>
      </c>
      <c r="G885">
        <v>621.91212249732996</v>
      </c>
      <c r="H885">
        <v>3</v>
      </c>
      <c r="I885">
        <v>900</v>
      </c>
      <c r="J885">
        <v>14.86</v>
      </c>
      <c r="K885" s="2">
        <v>45043</v>
      </c>
      <c r="L885" t="str">
        <f>IF(ISBLANK('[1]2.Diagnostic Analysis'!K885),"Unknown",'[1]2.Diagnostic Analysis'!K885)</f>
        <v>In Transit</v>
      </c>
    </row>
    <row r="886" spans="1:12" x14ac:dyDescent="0.25">
      <c r="A886" t="s">
        <v>71</v>
      </c>
      <c r="B886" t="s">
        <v>13</v>
      </c>
      <c r="C886" t="str">
        <f>IF(ISBLANK('[1]2.Diagnostic Analysis'!C886),"Unknown",'[1]2.Diagnostic Analysis'!C886)</f>
        <v>East</v>
      </c>
      <c r="D886" t="s">
        <v>29</v>
      </c>
      <c r="E886" t="s">
        <v>18</v>
      </c>
      <c r="F886">
        <f>IF(ISBLANK('[1]2.Diagnostic Analysis'!D886),'[1]2.Diagnostic Analysis'!$Q$3,'[1]2.Diagnostic Analysis'!D886)</f>
        <v>68</v>
      </c>
      <c r="G886">
        <v>50</v>
      </c>
      <c r="H886">
        <v>2</v>
      </c>
      <c r="I886">
        <v>100</v>
      </c>
      <c r="J886">
        <v>11.09</v>
      </c>
      <c r="K886" s="2">
        <v>45154</v>
      </c>
      <c r="L886" t="str">
        <f>IF(ISBLANK('[1]2.Diagnostic Analysis'!K886),"Unknown",'[1]2.Diagnostic Analysis'!K886)</f>
        <v>Unknown</v>
      </c>
    </row>
    <row r="887" spans="1:12" x14ac:dyDescent="0.25">
      <c r="A887" t="s">
        <v>46</v>
      </c>
      <c r="B887" t="s">
        <v>13</v>
      </c>
      <c r="C887" t="str">
        <f>IF(ISBLANK('[1]2.Diagnostic Analysis'!C887),"Unknown",'[1]2.Diagnostic Analysis'!C887)</f>
        <v>South</v>
      </c>
      <c r="D887" t="s">
        <v>25</v>
      </c>
      <c r="E887" t="s">
        <v>26</v>
      </c>
      <c r="F887">
        <f>IF(ISBLANK('[1]2.Diagnostic Analysis'!D887),'[1]2.Diagnostic Analysis'!$Q$3,'[1]2.Diagnostic Analysis'!D887)</f>
        <v>58</v>
      </c>
      <c r="G887">
        <v>200</v>
      </c>
      <c r="H887">
        <v>5</v>
      </c>
      <c r="I887">
        <v>1000</v>
      </c>
      <c r="J887">
        <v>10.84</v>
      </c>
      <c r="K887" s="2">
        <v>45221</v>
      </c>
      <c r="L887" t="str">
        <f>IF(ISBLANK('[1]2.Diagnostic Analysis'!K887),"Unknown",'[1]2.Diagnostic Analysis'!K887)</f>
        <v>In Transit</v>
      </c>
    </row>
    <row r="888" spans="1:12" x14ac:dyDescent="0.25">
      <c r="A888" t="s">
        <v>302</v>
      </c>
      <c r="B888" t="s">
        <v>20</v>
      </c>
      <c r="C888" t="str">
        <f>IF(ISBLANK('[1]2.Diagnostic Analysis'!C888),"Unknown",'[1]2.Diagnostic Analysis'!C888)</f>
        <v>North</v>
      </c>
      <c r="D888" t="s">
        <v>23</v>
      </c>
      <c r="E888" t="s">
        <v>15</v>
      </c>
      <c r="F888">
        <f>IF(ISBLANK('[1]2.Diagnostic Analysis'!D888),'[1]2.Diagnostic Analysis'!$Q$3,'[1]2.Diagnostic Analysis'!D888)</f>
        <v>26</v>
      </c>
      <c r="G888">
        <v>1500</v>
      </c>
      <c r="H888">
        <v>4</v>
      </c>
      <c r="I888">
        <v>6000</v>
      </c>
      <c r="J888">
        <v>5.57</v>
      </c>
      <c r="K888" s="2">
        <v>45162</v>
      </c>
      <c r="L888" t="str">
        <f>IF(ISBLANK('[1]2.Diagnostic Analysis'!K888),"Unknown",'[1]2.Diagnostic Analysis'!K888)</f>
        <v>In Transit</v>
      </c>
    </row>
    <row r="889" spans="1:12" x14ac:dyDescent="0.25">
      <c r="A889" t="s">
        <v>152</v>
      </c>
      <c r="B889" t="s">
        <v>13</v>
      </c>
      <c r="C889" t="str">
        <f>IF(ISBLANK('[1]2.Diagnostic Analysis'!C889),"Unknown",'[1]2.Diagnostic Analysis'!C889)</f>
        <v>East</v>
      </c>
      <c r="D889" t="s">
        <v>30</v>
      </c>
      <c r="E889" t="s">
        <v>18</v>
      </c>
      <c r="F889">
        <f>IF(ISBLANK('[1]2.Diagnostic Analysis'!D889),'[1]2.Diagnostic Analysis'!$Q$3,'[1]2.Diagnostic Analysis'!D889)</f>
        <v>53</v>
      </c>
      <c r="G889">
        <v>30</v>
      </c>
      <c r="H889">
        <v>2</v>
      </c>
      <c r="I889">
        <v>60</v>
      </c>
      <c r="J889">
        <v>8.58</v>
      </c>
      <c r="K889" s="2">
        <v>45226</v>
      </c>
      <c r="L889" t="str">
        <f>IF(ISBLANK('[1]2.Diagnostic Analysis'!K889),"Unknown",'[1]2.Diagnostic Analysis'!K889)</f>
        <v>Returned</v>
      </c>
    </row>
    <row r="890" spans="1:12" x14ac:dyDescent="0.25">
      <c r="A890" t="s">
        <v>203</v>
      </c>
      <c r="B890" t="s">
        <v>20</v>
      </c>
      <c r="C890" t="str">
        <f>IF(ISBLANK('[1]2.Diagnostic Analysis'!C890),"Unknown",'[1]2.Diagnostic Analysis'!C890)</f>
        <v>West</v>
      </c>
      <c r="D890" t="s">
        <v>29</v>
      </c>
      <c r="E890" t="s">
        <v>18</v>
      </c>
      <c r="F890">
        <f>IF(ISBLANK('[1]2.Diagnostic Analysis'!D890),'[1]2.Diagnostic Analysis'!$Q$3,'[1]2.Diagnostic Analysis'!D890)</f>
        <v>49</v>
      </c>
      <c r="G890">
        <v>50</v>
      </c>
      <c r="H890">
        <v>3</v>
      </c>
      <c r="I890">
        <v>150</v>
      </c>
      <c r="J890">
        <v>10.050000000000001</v>
      </c>
      <c r="K890" s="2">
        <v>45256</v>
      </c>
      <c r="L890" t="str">
        <f>IF(ISBLANK('[1]2.Diagnostic Analysis'!K890),"Unknown",'[1]2.Diagnostic Analysis'!K890)</f>
        <v>In Transit</v>
      </c>
    </row>
    <row r="891" spans="1:12" x14ac:dyDescent="0.25">
      <c r="A891" t="s">
        <v>43</v>
      </c>
      <c r="B891" t="s">
        <v>13</v>
      </c>
      <c r="C891" t="str">
        <f>IF(ISBLANK('[1]2.Diagnostic Analysis'!C891),"Unknown",'[1]2.Diagnostic Analysis'!C891)</f>
        <v>South</v>
      </c>
      <c r="D891" t="s">
        <v>25</v>
      </c>
      <c r="E891" t="s">
        <v>26</v>
      </c>
      <c r="F891">
        <f>IF(ISBLANK('[1]2.Diagnostic Analysis'!D891),'[1]2.Diagnostic Analysis'!$Q$3,'[1]2.Diagnostic Analysis'!D891)</f>
        <v>37</v>
      </c>
      <c r="G891">
        <v>200</v>
      </c>
      <c r="H891">
        <v>2</v>
      </c>
      <c r="I891">
        <v>400</v>
      </c>
      <c r="J891">
        <v>18.38</v>
      </c>
      <c r="K891" s="2">
        <v>44974</v>
      </c>
      <c r="L891" t="str">
        <f>IF(ISBLANK('[1]2.Diagnostic Analysis'!K891),"Unknown",'[1]2.Diagnostic Analysis'!K891)</f>
        <v>Delivered</v>
      </c>
    </row>
    <row r="892" spans="1:12" x14ac:dyDescent="0.25">
      <c r="A892" t="s">
        <v>212</v>
      </c>
      <c r="B892" t="s">
        <v>13</v>
      </c>
      <c r="C892" t="str">
        <f>IF(ISBLANK('[1]2.Diagnostic Analysis'!C892),"Unknown",'[1]2.Diagnostic Analysis'!C892)</f>
        <v>South</v>
      </c>
      <c r="D892" t="s">
        <v>14</v>
      </c>
      <c r="E892" t="s">
        <v>15</v>
      </c>
      <c r="F892">
        <f>IF(ISBLANK('[1]2.Diagnostic Analysis'!D892),'[1]2.Diagnostic Analysis'!$Q$3,'[1]2.Diagnostic Analysis'!D892)</f>
        <v>67</v>
      </c>
      <c r="G892">
        <v>300</v>
      </c>
      <c r="H892">
        <v>3</v>
      </c>
      <c r="I892">
        <v>900</v>
      </c>
      <c r="J892">
        <v>19.760000000000002</v>
      </c>
      <c r="K892" s="2">
        <v>45239</v>
      </c>
      <c r="L892" t="str">
        <f>IF(ISBLANK('[1]2.Diagnostic Analysis'!K892),"Unknown",'[1]2.Diagnostic Analysis'!K892)</f>
        <v>Delivered</v>
      </c>
    </row>
    <row r="893" spans="1:12" x14ac:dyDescent="0.25">
      <c r="A893" t="s">
        <v>261</v>
      </c>
      <c r="B893" t="s">
        <v>20</v>
      </c>
      <c r="C893" t="str">
        <f>IF(ISBLANK('[1]2.Diagnostic Analysis'!C893),"Unknown",'[1]2.Diagnostic Analysis'!C893)</f>
        <v>West</v>
      </c>
      <c r="D893" t="s">
        <v>30</v>
      </c>
      <c r="E893" t="s">
        <v>18</v>
      </c>
      <c r="F893">
        <f>IF(ISBLANK('[1]2.Diagnostic Analysis'!D893),'[1]2.Diagnostic Analysis'!$Q$3,'[1]2.Diagnostic Analysis'!D893)</f>
        <v>26</v>
      </c>
      <c r="G893">
        <v>30</v>
      </c>
      <c r="H893">
        <v>1</v>
      </c>
      <c r="I893">
        <v>30</v>
      </c>
      <c r="J893">
        <v>13.87</v>
      </c>
      <c r="K893" s="2">
        <v>45087</v>
      </c>
      <c r="L893" t="str">
        <f>IF(ISBLANK('[1]2.Diagnostic Analysis'!K893),"Unknown",'[1]2.Diagnostic Analysis'!K893)</f>
        <v>In Transit</v>
      </c>
    </row>
    <row r="894" spans="1:12" x14ac:dyDescent="0.25">
      <c r="A894" t="s">
        <v>275</v>
      </c>
      <c r="B894" t="s">
        <v>13</v>
      </c>
      <c r="C894" t="str">
        <f>IF(ISBLANK('[1]2.Diagnostic Analysis'!C894),"Unknown",'[1]2.Diagnostic Analysis'!C894)</f>
        <v>East</v>
      </c>
      <c r="D894" t="s">
        <v>25</v>
      </c>
      <c r="E894" t="s">
        <v>26</v>
      </c>
      <c r="F894">
        <f>IF(ISBLANK('[1]2.Diagnostic Analysis'!D894),'[1]2.Diagnostic Analysis'!$Q$3,'[1]2.Diagnostic Analysis'!D894)</f>
        <v>34</v>
      </c>
      <c r="G894">
        <v>200</v>
      </c>
      <c r="H894">
        <v>3</v>
      </c>
      <c r="I894">
        <v>600</v>
      </c>
      <c r="J894">
        <v>16.93</v>
      </c>
      <c r="K894" s="2">
        <v>45029</v>
      </c>
      <c r="L894" t="str">
        <f>IF(ISBLANK('[1]2.Diagnostic Analysis'!K894),"Unknown",'[1]2.Diagnostic Analysis'!K894)</f>
        <v>In Transit</v>
      </c>
    </row>
    <row r="895" spans="1:12" x14ac:dyDescent="0.25">
      <c r="A895" t="s">
        <v>194</v>
      </c>
      <c r="B895" t="s">
        <v>20</v>
      </c>
      <c r="C895" t="str">
        <f>IF(ISBLANK('[1]2.Diagnostic Analysis'!C895),"Unknown",'[1]2.Diagnostic Analysis'!C895)</f>
        <v>South</v>
      </c>
      <c r="D895" t="s">
        <v>30</v>
      </c>
      <c r="E895" t="s">
        <v>18</v>
      </c>
      <c r="F895">
        <f>IF(ISBLANK('[1]2.Diagnostic Analysis'!D895),'[1]2.Diagnostic Analysis'!$Q$3,'[1]2.Diagnostic Analysis'!D895)</f>
        <v>53</v>
      </c>
      <c r="G895">
        <v>30</v>
      </c>
      <c r="H895">
        <v>3</v>
      </c>
      <c r="I895">
        <v>90</v>
      </c>
      <c r="J895">
        <v>6.18</v>
      </c>
      <c r="K895" s="2">
        <v>45041</v>
      </c>
      <c r="L895" t="str">
        <f>IF(ISBLANK('[1]2.Diagnostic Analysis'!K895),"Unknown",'[1]2.Diagnostic Analysis'!K895)</f>
        <v>Delivered</v>
      </c>
    </row>
    <row r="896" spans="1:12" x14ac:dyDescent="0.25">
      <c r="A896" t="s">
        <v>48</v>
      </c>
      <c r="B896" t="s">
        <v>20</v>
      </c>
      <c r="C896" t="str">
        <f>IF(ISBLANK('[1]2.Diagnostic Analysis'!C896),"Unknown",'[1]2.Diagnostic Analysis'!C896)</f>
        <v>East</v>
      </c>
      <c r="D896" t="s">
        <v>40</v>
      </c>
      <c r="E896" t="s">
        <v>15</v>
      </c>
      <c r="F896">
        <f>IF(ISBLANK('[1]2.Diagnostic Analysis'!D896),'[1]2.Diagnostic Analysis'!$Q$3,'[1]2.Diagnostic Analysis'!D896)</f>
        <v>49</v>
      </c>
      <c r="G896">
        <v>800</v>
      </c>
      <c r="H896">
        <v>4</v>
      </c>
      <c r="I896">
        <v>3200</v>
      </c>
      <c r="J896">
        <v>17.440000000000001</v>
      </c>
      <c r="K896" s="2">
        <v>44988</v>
      </c>
      <c r="L896" t="str">
        <f>IF(ISBLANK('[1]2.Diagnostic Analysis'!K896),"Unknown",'[1]2.Diagnostic Analysis'!K896)</f>
        <v>Delivered</v>
      </c>
    </row>
    <row r="897" spans="1:12" x14ac:dyDescent="0.25">
      <c r="A897" t="s">
        <v>152</v>
      </c>
      <c r="B897" t="s">
        <v>13</v>
      </c>
      <c r="C897" t="str">
        <f>IF(ISBLANK('[1]2.Diagnostic Analysis'!C897),"Unknown",'[1]2.Diagnostic Analysis'!C897)</f>
        <v>South</v>
      </c>
      <c r="D897" t="s">
        <v>14</v>
      </c>
      <c r="E897" t="s">
        <v>15</v>
      </c>
      <c r="F897">
        <f>IF(ISBLANK('[1]2.Diagnostic Analysis'!D897),'[1]2.Diagnostic Analysis'!$Q$3,'[1]2.Diagnostic Analysis'!D897)</f>
        <v>53</v>
      </c>
      <c r="G897">
        <v>300</v>
      </c>
      <c r="H897">
        <v>3</v>
      </c>
      <c r="I897">
        <v>900</v>
      </c>
      <c r="J897">
        <v>12.14</v>
      </c>
      <c r="K897" s="2">
        <v>44999</v>
      </c>
      <c r="L897" t="str">
        <f>IF(ISBLANK('[1]2.Diagnostic Analysis'!K897),"Unknown",'[1]2.Diagnostic Analysis'!K897)</f>
        <v>Returned</v>
      </c>
    </row>
    <row r="898" spans="1:12" x14ac:dyDescent="0.25">
      <c r="A898" t="s">
        <v>288</v>
      </c>
      <c r="B898" t="s">
        <v>13</v>
      </c>
      <c r="C898" t="str">
        <f>IF(ISBLANK('[1]2.Diagnostic Analysis'!C898),"Unknown",'[1]2.Diagnostic Analysis'!C898)</f>
        <v>South</v>
      </c>
      <c r="D898" t="s">
        <v>14</v>
      </c>
      <c r="E898" t="s">
        <v>15</v>
      </c>
      <c r="F898">
        <f>IF(ISBLANK('[1]2.Diagnostic Analysis'!D898),'[1]2.Diagnostic Analysis'!$Q$3,'[1]2.Diagnostic Analysis'!D898)</f>
        <v>66</v>
      </c>
      <c r="G898">
        <v>300</v>
      </c>
      <c r="H898">
        <v>1</v>
      </c>
      <c r="I898">
        <v>300</v>
      </c>
      <c r="J898">
        <v>17.09</v>
      </c>
      <c r="K898" s="2">
        <v>45019</v>
      </c>
      <c r="L898" t="str">
        <f>IF(ISBLANK('[1]2.Diagnostic Analysis'!K898),"Unknown",'[1]2.Diagnostic Analysis'!K898)</f>
        <v>In Transit</v>
      </c>
    </row>
    <row r="899" spans="1:12" x14ac:dyDescent="0.25">
      <c r="A899" t="s">
        <v>185</v>
      </c>
      <c r="B899" t="s">
        <v>13</v>
      </c>
      <c r="C899" t="str">
        <f>IF(ISBLANK('[1]2.Diagnostic Analysis'!C899),"Unknown",'[1]2.Diagnostic Analysis'!C899)</f>
        <v>South</v>
      </c>
      <c r="D899" t="s">
        <v>29</v>
      </c>
      <c r="E899" t="s">
        <v>18</v>
      </c>
      <c r="F899">
        <f>IF(ISBLANK('[1]2.Diagnostic Analysis'!D899),'[1]2.Diagnostic Analysis'!$Q$3,'[1]2.Diagnostic Analysis'!D899)</f>
        <v>68</v>
      </c>
      <c r="G899">
        <v>50</v>
      </c>
      <c r="H899">
        <v>1</v>
      </c>
      <c r="I899">
        <v>50</v>
      </c>
      <c r="J899">
        <v>11.23</v>
      </c>
      <c r="K899" s="2">
        <v>45018</v>
      </c>
      <c r="L899" t="str">
        <f>IF(ISBLANK('[1]2.Diagnostic Analysis'!K899),"Unknown",'[1]2.Diagnostic Analysis'!K899)</f>
        <v>Delivered</v>
      </c>
    </row>
    <row r="900" spans="1:12" x14ac:dyDescent="0.25">
      <c r="A900" t="s">
        <v>156</v>
      </c>
      <c r="B900" t="s">
        <v>20</v>
      </c>
      <c r="C900" t="str">
        <f>IF(ISBLANK('[1]2.Diagnostic Analysis'!C900),"Unknown",'[1]2.Diagnostic Analysis'!C900)</f>
        <v>East</v>
      </c>
      <c r="D900" t="s">
        <v>40</v>
      </c>
      <c r="E900" t="s">
        <v>15</v>
      </c>
      <c r="F900">
        <f>IF(ISBLANK('[1]2.Diagnostic Analysis'!D900),'[1]2.Diagnostic Analysis'!$Q$3,'[1]2.Diagnostic Analysis'!D900)</f>
        <v>54</v>
      </c>
      <c r="G900">
        <v>800</v>
      </c>
      <c r="H900">
        <v>5</v>
      </c>
      <c r="I900">
        <v>4000</v>
      </c>
      <c r="J900">
        <v>5.41</v>
      </c>
      <c r="K900" s="2">
        <v>45115</v>
      </c>
      <c r="L900" t="str">
        <f>IF(ISBLANK('[1]2.Diagnostic Analysis'!K900),"Unknown",'[1]2.Diagnostic Analysis'!K900)</f>
        <v>Returned</v>
      </c>
    </row>
    <row r="901" spans="1:12" x14ac:dyDescent="0.25">
      <c r="A901" t="s">
        <v>247</v>
      </c>
      <c r="B901" t="s">
        <v>13</v>
      </c>
      <c r="C901" t="str">
        <f>IF(ISBLANK('[1]2.Diagnostic Analysis'!C901),"Unknown",'[1]2.Diagnostic Analysis'!C901)</f>
        <v>Unknown</v>
      </c>
      <c r="D901" t="s">
        <v>17</v>
      </c>
      <c r="E901" t="s">
        <v>18</v>
      </c>
      <c r="F901">
        <f>IF(ISBLANK('[1]2.Diagnostic Analysis'!D901),'[1]2.Diagnostic Analysis'!$Q$3,'[1]2.Diagnostic Analysis'!D901)</f>
        <v>37</v>
      </c>
      <c r="G901">
        <v>100</v>
      </c>
      <c r="H901">
        <v>5</v>
      </c>
      <c r="I901">
        <v>500</v>
      </c>
      <c r="J901">
        <v>6.55</v>
      </c>
      <c r="K901" s="2">
        <v>45036</v>
      </c>
      <c r="L901" t="str">
        <f>IF(ISBLANK('[1]2.Diagnostic Analysis'!K901),"Unknown",'[1]2.Diagnostic Analysis'!K901)</f>
        <v>Returned</v>
      </c>
    </row>
    <row r="902" spans="1:12" x14ac:dyDescent="0.25">
      <c r="A902" t="s">
        <v>108</v>
      </c>
      <c r="B902" t="s">
        <v>20</v>
      </c>
      <c r="C902" t="str">
        <f>IF(ISBLANK('[1]2.Diagnostic Analysis'!C902),"Unknown",'[1]2.Diagnostic Analysis'!C902)</f>
        <v>East</v>
      </c>
      <c r="D902" t="s">
        <v>25</v>
      </c>
      <c r="E902" t="s">
        <v>26</v>
      </c>
      <c r="F902">
        <f>IF(ISBLANK('[1]2.Diagnostic Analysis'!D902),'[1]2.Diagnostic Analysis'!$Q$3,'[1]2.Diagnostic Analysis'!D902)</f>
        <v>25</v>
      </c>
      <c r="G902">
        <v>200</v>
      </c>
      <c r="H902">
        <v>2</v>
      </c>
      <c r="I902">
        <v>400</v>
      </c>
      <c r="J902">
        <v>6.46</v>
      </c>
      <c r="K902" s="2">
        <v>45218</v>
      </c>
      <c r="L902" t="str">
        <f>IF(ISBLANK('[1]2.Diagnostic Analysis'!K902),"Unknown",'[1]2.Diagnostic Analysis'!K902)</f>
        <v>In Transit</v>
      </c>
    </row>
    <row r="903" spans="1:12" x14ac:dyDescent="0.25">
      <c r="A903" t="s">
        <v>257</v>
      </c>
      <c r="B903" t="s">
        <v>13</v>
      </c>
      <c r="C903" t="str">
        <f>IF(ISBLANK('[1]2.Diagnostic Analysis'!C903),"Unknown",'[1]2.Diagnostic Analysis'!C903)</f>
        <v>West</v>
      </c>
      <c r="D903" t="s">
        <v>14</v>
      </c>
      <c r="E903" t="s">
        <v>15</v>
      </c>
      <c r="F903">
        <f>IF(ISBLANK('[1]2.Diagnostic Analysis'!D903),'[1]2.Diagnostic Analysis'!$Q$3,'[1]2.Diagnostic Analysis'!D903)</f>
        <v>58</v>
      </c>
      <c r="G903">
        <v>300</v>
      </c>
      <c r="H903">
        <v>4</v>
      </c>
      <c r="I903">
        <v>1200</v>
      </c>
      <c r="J903">
        <v>14.16</v>
      </c>
      <c r="K903" s="2">
        <v>45060</v>
      </c>
      <c r="L903" t="str">
        <f>IF(ISBLANK('[1]2.Diagnostic Analysis'!K903),"Unknown",'[1]2.Diagnostic Analysis'!K903)</f>
        <v>Unknown</v>
      </c>
    </row>
    <row r="904" spans="1:12" x14ac:dyDescent="0.25">
      <c r="A904" t="s">
        <v>46</v>
      </c>
      <c r="B904" t="s">
        <v>20</v>
      </c>
      <c r="C904" t="str">
        <f>IF(ISBLANK('[1]2.Diagnostic Analysis'!C904),"Unknown",'[1]2.Diagnostic Analysis'!C904)</f>
        <v>North</v>
      </c>
      <c r="D904" t="s">
        <v>25</v>
      </c>
      <c r="E904" t="s">
        <v>26</v>
      </c>
      <c r="F904">
        <f>IF(ISBLANK('[1]2.Diagnostic Analysis'!D904),'[1]2.Diagnostic Analysis'!$Q$3,'[1]2.Diagnostic Analysis'!D904)</f>
        <v>58</v>
      </c>
      <c r="G904">
        <v>200</v>
      </c>
      <c r="H904">
        <v>3</v>
      </c>
      <c r="I904">
        <v>600</v>
      </c>
      <c r="J904">
        <v>14.74</v>
      </c>
      <c r="K904" s="2">
        <v>45198</v>
      </c>
      <c r="L904" t="str">
        <f>IF(ISBLANK('[1]2.Diagnostic Analysis'!K904),"Unknown",'[1]2.Diagnostic Analysis'!K904)</f>
        <v>Returned</v>
      </c>
    </row>
    <row r="905" spans="1:12" x14ac:dyDescent="0.25">
      <c r="A905" t="s">
        <v>158</v>
      </c>
      <c r="B905" t="s">
        <v>13</v>
      </c>
      <c r="C905" t="str">
        <f>IF(ISBLANK('[1]2.Diagnostic Analysis'!C905),"Unknown",'[1]2.Diagnostic Analysis'!C905)</f>
        <v>South</v>
      </c>
      <c r="D905" t="s">
        <v>23</v>
      </c>
      <c r="E905" t="s">
        <v>15</v>
      </c>
      <c r="F905">
        <f>IF(ISBLANK('[1]2.Diagnostic Analysis'!D905),'[1]2.Diagnostic Analysis'!$Q$3,'[1]2.Diagnostic Analysis'!D905)</f>
        <v>32</v>
      </c>
      <c r="G905">
        <v>1500</v>
      </c>
      <c r="H905">
        <v>1</v>
      </c>
      <c r="I905">
        <v>1500</v>
      </c>
      <c r="J905">
        <v>6.92</v>
      </c>
      <c r="K905" s="2">
        <v>45286</v>
      </c>
      <c r="L905" t="str">
        <f>IF(ISBLANK('[1]2.Diagnostic Analysis'!K905),"Unknown",'[1]2.Diagnostic Analysis'!K905)</f>
        <v>In Transit</v>
      </c>
    </row>
    <row r="906" spans="1:12" x14ac:dyDescent="0.25">
      <c r="A906" t="s">
        <v>69</v>
      </c>
      <c r="B906" t="s">
        <v>13</v>
      </c>
      <c r="C906" t="str">
        <f>IF(ISBLANK('[1]2.Diagnostic Analysis'!C906),"Unknown",'[1]2.Diagnostic Analysis'!C906)</f>
        <v>East</v>
      </c>
      <c r="D906" t="s">
        <v>30</v>
      </c>
      <c r="E906" t="s">
        <v>18</v>
      </c>
      <c r="F906">
        <f>IF(ISBLANK('[1]2.Diagnostic Analysis'!D906),'[1]2.Diagnostic Analysis'!$Q$3,'[1]2.Diagnostic Analysis'!D906)</f>
        <v>67</v>
      </c>
      <c r="G906">
        <v>30</v>
      </c>
      <c r="H906">
        <v>1</v>
      </c>
      <c r="I906">
        <v>30</v>
      </c>
      <c r="J906">
        <v>13.84</v>
      </c>
      <c r="K906" s="2">
        <v>45085</v>
      </c>
      <c r="L906" t="str">
        <f>IF(ISBLANK('[1]2.Diagnostic Analysis'!K906),"Unknown",'[1]2.Diagnostic Analysis'!K906)</f>
        <v>Delivered</v>
      </c>
    </row>
    <row r="907" spans="1:12" x14ac:dyDescent="0.25">
      <c r="A907" t="s">
        <v>227</v>
      </c>
      <c r="B907" t="s">
        <v>13</v>
      </c>
      <c r="C907" t="str">
        <f>IF(ISBLANK('[1]2.Diagnostic Analysis'!C907),"Unknown",'[1]2.Diagnostic Analysis'!C907)</f>
        <v>North</v>
      </c>
      <c r="D907" t="s">
        <v>29</v>
      </c>
      <c r="E907" t="s">
        <v>18</v>
      </c>
      <c r="F907">
        <f>IF(ISBLANK('[1]2.Diagnostic Analysis'!D907),'[1]2.Diagnostic Analysis'!$Q$3,'[1]2.Diagnostic Analysis'!D907)</f>
        <v>66</v>
      </c>
      <c r="G907">
        <v>50</v>
      </c>
      <c r="H907">
        <v>4</v>
      </c>
      <c r="I907">
        <v>200</v>
      </c>
      <c r="J907">
        <v>10.69</v>
      </c>
      <c r="K907" s="2">
        <v>45080</v>
      </c>
      <c r="L907" t="str">
        <f>IF(ISBLANK('[1]2.Diagnostic Analysis'!K907),"Unknown",'[1]2.Diagnostic Analysis'!K907)</f>
        <v>Delivered</v>
      </c>
    </row>
    <row r="908" spans="1:12" x14ac:dyDescent="0.25">
      <c r="A908" t="s">
        <v>307</v>
      </c>
      <c r="B908" t="s">
        <v>13</v>
      </c>
      <c r="C908" t="str">
        <f>IF(ISBLANK('[1]2.Diagnostic Analysis'!C908),"Unknown",'[1]2.Diagnostic Analysis'!C908)</f>
        <v>West</v>
      </c>
      <c r="D908" t="s">
        <v>17</v>
      </c>
      <c r="E908" t="s">
        <v>18</v>
      </c>
      <c r="F908">
        <f>IF(ISBLANK('[1]2.Diagnostic Analysis'!D908),'[1]2.Diagnostic Analysis'!$Q$3,'[1]2.Diagnostic Analysis'!D908)</f>
        <v>38</v>
      </c>
      <c r="G908">
        <v>100</v>
      </c>
      <c r="H908">
        <v>3</v>
      </c>
      <c r="I908">
        <v>300</v>
      </c>
      <c r="J908">
        <v>8.1999999999999993</v>
      </c>
      <c r="K908" s="2">
        <v>45260</v>
      </c>
      <c r="L908" t="str">
        <f>IF(ISBLANK('[1]2.Diagnostic Analysis'!K908),"Unknown",'[1]2.Diagnostic Analysis'!K908)</f>
        <v>Returned</v>
      </c>
    </row>
    <row r="909" spans="1:12" x14ac:dyDescent="0.25">
      <c r="A909" t="s">
        <v>128</v>
      </c>
      <c r="B909" t="s">
        <v>13</v>
      </c>
      <c r="C909" t="str">
        <f>IF(ISBLANK('[1]2.Diagnostic Analysis'!C909),"Unknown",'[1]2.Diagnostic Analysis'!C909)</f>
        <v>North</v>
      </c>
      <c r="D909" t="s">
        <v>30</v>
      </c>
      <c r="E909" t="s">
        <v>18</v>
      </c>
      <c r="F909">
        <f>IF(ISBLANK('[1]2.Diagnostic Analysis'!D909),'[1]2.Diagnostic Analysis'!$Q$3,'[1]2.Diagnostic Analysis'!D909)</f>
        <v>63</v>
      </c>
      <c r="G909">
        <v>30</v>
      </c>
      <c r="H909">
        <v>3</v>
      </c>
      <c r="I909">
        <v>90</v>
      </c>
      <c r="J909">
        <v>9.0399999999999991</v>
      </c>
      <c r="K909" s="2">
        <v>44971</v>
      </c>
      <c r="L909" t="str">
        <f>IF(ISBLANK('[1]2.Diagnostic Analysis'!K909),"Unknown",'[1]2.Diagnostic Analysis'!K909)</f>
        <v>Delivered</v>
      </c>
    </row>
    <row r="910" spans="1:12" x14ac:dyDescent="0.25">
      <c r="A910" t="s">
        <v>129</v>
      </c>
      <c r="B910" t="s">
        <v>13</v>
      </c>
      <c r="C910" t="str">
        <f>IF(ISBLANK('[1]2.Diagnostic Analysis'!C910),"Unknown",'[1]2.Diagnostic Analysis'!C910)</f>
        <v>West</v>
      </c>
      <c r="D910" t="s">
        <v>29</v>
      </c>
      <c r="E910" t="s">
        <v>18</v>
      </c>
      <c r="F910">
        <f>IF(ISBLANK('[1]2.Diagnostic Analysis'!D910),'[1]2.Diagnostic Analysis'!$Q$3,'[1]2.Diagnostic Analysis'!D910)</f>
        <v>62</v>
      </c>
      <c r="G910">
        <v>50</v>
      </c>
      <c r="H910">
        <v>2</v>
      </c>
      <c r="I910">
        <v>100</v>
      </c>
      <c r="J910">
        <v>8.68</v>
      </c>
      <c r="K910" s="2">
        <v>45109</v>
      </c>
      <c r="L910" t="str">
        <f>IF(ISBLANK('[1]2.Diagnostic Analysis'!K910),"Unknown",'[1]2.Diagnostic Analysis'!K910)</f>
        <v>In Transit</v>
      </c>
    </row>
    <row r="911" spans="1:12" x14ac:dyDescent="0.25">
      <c r="A911" t="s">
        <v>199</v>
      </c>
      <c r="B911" t="s">
        <v>20</v>
      </c>
      <c r="C911" t="str">
        <f>IF(ISBLANK('[1]2.Diagnostic Analysis'!C911),"Unknown",'[1]2.Diagnostic Analysis'!C911)</f>
        <v>West</v>
      </c>
      <c r="D911" t="s">
        <v>40</v>
      </c>
      <c r="E911" t="s">
        <v>15</v>
      </c>
      <c r="F911">
        <f>IF(ISBLANK('[1]2.Diagnostic Analysis'!D911),'[1]2.Diagnostic Analysis'!$Q$3,'[1]2.Diagnostic Analysis'!D911)</f>
        <v>50</v>
      </c>
      <c r="G911">
        <v>800</v>
      </c>
      <c r="H911">
        <v>1</v>
      </c>
      <c r="I911">
        <v>800</v>
      </c>
      <c r="J911">
        <v>7.34</v>
      </c>
      <c r="K911" s="2">
        <v>45090</v>
      </c>
      <c r="L911" t="str">
        <f>IF(ISBLANK('[1]2.Diagnostic Analysis'!K911),"Unknown",'[1]2.Diagnostic Analysis'!K911)</f>
        <v>In Transit</v>
      </c>
    </row>
    <row r="912" spans="1:12" x14ac:dyDescent="0.25">
      <c r="A912" t="s">
        <v>244</v>
      </c>
      <c r="B912" t="s">
        <v>13</v>
      </c>
      <c r="C912" t="str">
        <f>IF(ISBLANK('[1]2.Diagnostic Analysis'!C912),"Unknown",'[1]2.Diagnostic Analysis'!C912)</f>
        <v>West</v>
      </c>
      <c r="D912" t="s">
        <v>14</v>
      </c>
      <c r="E912" t="s">
        <v>15</v>
      </c>
      <c r="F912">
        <f>IF(ISBLANK('[1]2.Diagnostic Analysis'!D912),'[1]2.Diagnostic Analysis'!$Q$3,'[1]2.Diagnostic Analysis'!D912)</f>
        <v>23</v>
      </c>
      <c r="G912">
        <v>300</v>
      </c>
      <c r="H912">
        <v>4</v>
      </c>
      <c r="I912">
        <v>1200</v>
      </c>
      <c r="J912">
        <v>11.76</v>
      </c>
      <c r="K912" s="2">
        <v>45013</v>
      </c>
      <c r="L912" t="str">
        <f>IF(ISBLANK('[1]2.Diagnostic Analysis'!K912),"Unknown",'[1]2.Diagnostic Analysis'!K912)</f>
        <v>Returned</v>
      </c>
    </row>
    <row r="913" spans="1:12" x14ac:dyDescent="0.25">
      <c r="A913" t="s">
        <v>227</v>
      </c>
      <c r="B913" t="s">
        <v>13</v>
      </c>
      <c r="C913" t="str">
        <f>IF(ISBLANK('[1]2.Diagnostic Analysis'!C913),"Unknown",'[1]2.Diagnostic Analysis'!C913)</f>
        <v>East</v>
      </c>
      <c r="D913" t="s">
        <v>17</v>
      </c>
      <c r="E913" t="s">
        <v>18</v>
      </c>
      <c r="F913">
        <f>IF(ISBLANK('[1]2.Diagnostic Analysis'!D913),'[1]2.Diagnostic Analysis'!$Q$3,'[1]2.Diagnostic Analysis'!D913)</f>
        <v>66</v>
      </c>
      <c r="G913">
        <v>100</v>
      </c>
      <c r="H913">
        <v>5</v>
      </c>
      <c r="I913">
        <v>500</v>
      </c>
      <c r="J913">
        <v>5.4</v>
      </c>
      <c r="K913" s="2">
        <v>45284</v>
      </c>
      <c r="L913" t="str">
        <f>IF(ISBLANK('[1]2.Diagnostic Analysis'!K913),"Unknown",'[1]2.Diagnostic Analysis'!K913)</f>
        <v>Returned</v>
      </c>
    </row>
    <row r="914" spans="1:12" x14ac:dyDescent="0.25">
      <c r="A914" t="s">
        <v>309</v>
      </c>
      <c r="B914" t="s">
        <v>13</v>
      </c>
      <c r="C914" t="str">
        <f>IF(ISBLANK('[1]2.Diagnostic Analysis'!C914),"Unknown",'[1]2.Diagnostic Analysis'!C914)</f>
        <v>South</v>
      </c>
      <c r="D914" t="s">
        <v>30</v>
      </c>
      <c r="E914" t="s">
        <v>18</v>
      </c>
      <c r="F914">
        <f>IF(ISBLANK('[1]2.Diagnostic Analysis'!D914),'[1]2.Diagnostic Analysis'!$Q$3,'[1]2.Diagnostic Analysis'!D914)</f>
        <v>21</v>
      </c>
      <c r="G914">
        <v>30</v>
      </c>
      <c r="H914">
        <v>4</v>
      </c>
      <c r="I914">
        <v>120</v>
      </c>
      <c r="J914">
        <v>13.68</v>
      </c>
      <c r="K914" s="2">
        <v>45070</v>
      </c>
      <c r="L914" t="str">
        <f>IF(ISBLANK('[1]2.Diagnostic Analysis'!K914),"Unknown",'[1]2.Diagnostic Analysis'!K914)</f>
        <v>Delivered</v>
      </c>
    </row>
    <row r="915" spans="1:12" x14ac:dyDescent="0.25">
      <c r="A915" t="s">
        <v>213</v>
      </c>
      <c r="B915" t="s">
        <v>20</v>
      </c>
      <c r="C915" t="str">
        <f>IF(ISBLANK('[1]2.Diagnostic Analysis'!C915),"Unknown",'[1]2.Diagnostic Analysis'!C915)</f>
        <v>South</v>
      </c>
      <c r="D915" t="s">
        <v>14</v>
      </c>
      <c r="E915" t="s">
        <v>15</v>
      </c>
      <c r="F915">
        <f>IF(ISBLANK('[1]2.Diagnostic Analysis'!D915),'[1]2.Diagnostic Analysis'!$Q$3,'[1]2.Diagnostic Analysis'!D915)</f>
        <v>49</v>
      </c>
      <c r="G915">
        <v>300</v>
      </c>
      <c r="H915">
        <v>3</v>
      </c>
      <c r="I915">
        <v>900</v>
      </c>
      <c r="J915">
        <v>15.81</v>
      </c>
      <c r="K915" s="2">
        <v>45067</v>
      </c>
      <c r="L915" t="str">
        <f>IF(ISBLANK('[1]2.Diagnostic Analysis'!K915),"Unknown",'[1]2.Diagnostic Analysis'!K915)</f>
        <v>In Transit</v>
      </c>
    </row>
    <row r="916" spans="1:12" x14ac:dyDescent="0.25">
      <c r="A916" t="s">
        <v>220</v>
      </c>
      <c r="B916" t="s">
        <v>20</v>
      </c>
      <c r="C916" t="str">
        <f>IF(ISBLANK('[1]2.Diagnostic Analysis'!C916),"Unknown",'[1]2.Diagnostic Analysis'!C916)</f>
        <v>North</v>
      </c>
      <c r="D916" t="s">
        <v>29</v>
      </c>
      <c r="E916" t="s">
        <v>18</v>
      </c>
      <c r="F916">
        <f>IF(ISBLANK('[1]2.Diagnostic Analysis'!D916),'[1]2.Diagnostic Analysis'!$Q$3,'[1]2.Diagnostic Analysis'!D916)</f>
        <v>18</v>
      </c>
      <c r="G916">
        <v>50</v>
      </c>
      <c r="H916">
        <v>5</v>
      </c>
      <c r="I916">
        <v>250</v>
      </c>
      <c r="J916">
        <v>16</v>
      </c>
      <c r="K916" s="2">
        <v>44931</v>
      </c>
      <c r="L916" t="str">
        <f>IF(ISBLANK('[1]2.Diagnostic Analysis'!K916),"Unknown",'[1]2.Diagnostic Analysis'!K916)</f>
        <v>Delivered</v>
      </c>
    </row>
    <row r="917" spans="1:12" x14ac:dyDescent="0.25">
      <c r="A917" t="s">
        <v>310</v>
      </c>
      <c r="B917" t="s">
        <v>20</v>
      </c>
      <c r="C917" t="str">
        <f>IF(ISBLANK('[1]2.Diagnostic Analysis'!C917),"Unknown",'[1]2.Diagnostic Analysis'!C917)</f>
        <v>West</v>
      </c>
      <c r="D917" t="s">
        <v>30</v>
      </c>
      <c r="E917" t="s">
        <v>18</v>
      </c>
      <c r="F917">
        <f>IF(ISBLANK('[1]2.Diagnostic Analysis'!D917),'[1]2.Diagnostic Analysis'!$Q$3,'[1]2.Diagnostic Analysis'!D917)</f>
        <v>29</v>
      </c>
      <c r="G917">
        <v>30</v>
      </c>
      <c r="H917">
        <v>4</v>
      </c>
      <c r="I917">
        <v>120</v>
      </c>
      <c r="J917">
        <v>11.36</v>
      </c>
      <c r="K917" s="2">
        <v>45249</v>
      </c>
      <c r="L917" t="str">
        <f>IF(ISBLANK('[1]2.Diagnostic Analysis'!K917),"Unknown",'[1]2.Diagnostic Analysis'!K917)</f>
        <v>Returned</v>
      </c>
    </row>
    <row r="918" spans="1:12" x14ac:dyDescent="0.25">
      <c r="A918" t="s">
        <v>311</v>
      </c>
      <c r="B918" t="s">
        <v>20</v>
      </c>
      <c r="C918" t="str">
        <f>IF(ISBLANK('[1]2.Diagnostic Analysis'!C918),"Unknown",'[1]2.Diagnostic Analysis'!C918)</f>
        <v>East</v>
      </c>
      <c r="D918" t="s">
        <v>29</v>
      </c>
      <c r="E918" t="s">
        <v>18</v>
      </c>
      <c r="F918">
        <f>IF(ISBLANK('[1]2.Diagnostic Analysis'!D918),'[1]2.Diagnostic Analysis'!$Q$3,'[1]2.Diagnostic Analysis'!D918)</f>
        <v>49</v>
      </c>
      <c r="G918">
        <v>50</v>
      </c>
      <c r="H918">
        <v>5</v>
      </c>
      <c r="I918">
        <v>250</v>
      </c>
      <c r="J918">
        <v>10.46</v>
      </c>
      <c r="K918" s="2">
        <v>45140</v>
      </c>
      <c r="L918" t="str">
        <f>IF(ISBLANK('[1]2.Diagnostic Analysis'!K918),"Unknown",'[1]2.Diagnostic Analysis'!K918)</f>
        <v>Returned</v>
      </c>
    </row>
    <row r="919" spans="1:12" x14ac:dyDescent="0.25">
      <c r="A919" t="s">
        <v>261</v>
      </c>
      <c r="B919" t="s">
        <v>13</v>
      </c>
      <c r="C919" t="str">
        <f>IF(ISBLANK('[1]2.Diagnostic Analysis'!C919),"Unknown",'[1]2.Diagnostic Analysis'!C919)</f>
        <v>North</v>
      </c>
      <c r="D919" t="s">
        <v>14</v>
      </c>
      <c r="E919" t="s">
        <v>15</v>
      </c>
      <c r="F919">
        <f>IF(ISBLANK('[1]2.Diagnostic Analysis'!D919),'[1]2.Diagnostic Analysis'!$Q$3,'[1]2.Diagnostic Analysis'!D919)</f>
        <v>49</v>
      </c>
      <c r="G919">
        <v>300</v>
      </c>
      <c r="H919">
        <v>1</v>
      </c>
      <c r="I919">
        <v>300</v>
      </c>
      <c r="J919">
        <v>9.06</v>
      </c>
      <c r="K919" s="2">
        <v>45093</v>
      </c>
      <c r="L919" t="str">
        <f>IF(ISBLANK('[1]2.Diagnostic Analysis'!K919),"Unknown",'[1]2.Diagnostic Analysis'!K919)</f>
        <v>Returned</v>
      </c>
    </row>
    <row r="920" spans="1:12" x14ac:dyDescent="0.25">
      <c r="A920" t="s">
        <v>234</v>
      </c>
      <c r="B920" t="s">
        <v>20</v>
      </c>
      <c r="C920" t="str">
        <f>IF(ISBLANK('[1]2.Diagnostic Analysis'!C920),"Unknown",'[1]2.Diagnostic Analysis'!C920)</f>
        <v>South</v>
      </c>
      <c r="D920" t="s">
        <v>30</v>
      </c>
      <c r="E920" t="s">
        <v>18</v>
      </c>
      <c r="F920">
        <f>IF(ISBLANK('[1]2.Diagnostic Analysis'!D920),'[1]2.Diagnostic Analysis'!$Q$3,'[1]2.Diagnostic Analysis'!D920)</f>
        <v>18</v>
      </c>
      <c r="G920">
        <v>30</v>
      </c>
      <c r="H920">
        <v>3</v>
      </c>
      <c r="I920">
        <v>90</v>
      </c>
      <c r="J920">
        <v>8.3000000000000007</v>
      </c>
      <c r="K920" s="2">
        <v>44963</v>
      </c>
      <c r="L920" t="str">
        <f>IF(ISBLANK('[1]2.Diagnostic Analysis'!K920),"Unknown",'[1]2.Diagnostic Analysis'!K920)</f>
        <v>Unknown</v>
      </c>
    </row>
    <row r="921" spans="1:12" x14ac:dyDescent="0.25">
      <c r="A921" t="s">
        <v>138</v>
      </c>
      <c r="B921" t="s">
        <v>20</v>
      </c>
      <c r="C921" t="str">
        <f>IF(ISBLANK('[1]2.Diagnostic Analysis'!C921),"Unknown",'[1]2.Diagnostic Analysis'!C921)</f>
        <v>East</v>
      </c>
      <c r="D921" t="s">
        <v>17</v>
      </c>
      <c r="E921" t="s">
        <v>18</v>
      </c>
      <c r="F921">
        <f>IF(ISBLANK('[1]2.Diagnostic Analysis'!D921),'[1]2.Diagnostic Analysis'!$Q$3,'[1]2.Diagnostic Analysis'!D921)</f>
        <v>44</v>
      </c>
      <c r="G921">
        <v>100</v>
      </c>
      <c r="H921">
        <v>3</v>
      </c>
      <c r="I921">
        <v>300</v>
      </c>
      <c r="J921">
        <v>13.94</v>
      </c>
      <c r="K921" s="2">
        <v>45197</v>
      </c>
      <c r="L921" t="str">
        <f>IF(ISBLANK('[1]2.Diagnostic Analysis'!K921),"Unknown",'[1]2.Diagnostic Analysis'!K921)</f>
        <v>In Transit</v>
      </c>
    </row>
    <row r="922" spans="1:12" x14ac:dyDescent="0.25">
      <c r="A922" t="s">
        <v>104</v>
      </c>
      <c r="B922" t="s">
        <v>13</v>
      </c>
      <c r="C922" t="str">
        <f>IF(ISBLANK('[1]2.Diagnostic Analysis'!C922),"Unknown",'[1]2.Diagnostic Analysis'!C922)</f>
        <v>South</v>
      </c>
      <c r="D922" t="s">
        <v>40</v>
      </c>
      <c r="E922" t="s">
        <v>15</v>
      </c>
      <c r="F922">
        <f>IF(ISBLANK('[1]2.Diagnostic Analysis'!D922),'[1]2.Diagnostic Analysis'!$Q$3,'[1]2.Diagnostic Analysis'!D922)</f>
        <v>69</v>
      </c>
      <c r="G922">
        <v>800</v>
      </c>
      <c r="H922">
        <v>4</v>
      </c>
      <c r="I922">
        <v>3200</v>
      </c>
      <c r="J922">
        <v>19.420000000000002</v>
      </c>
      <c r="K922" s="2">
        <v>45237</v>
      </c>
      <c r="L922" t="str">
        <f>IF(ISBLANK('[1]2.Diagnostic Analysis'!K922),"Unknown",'[1]2.Diagnostic Analysis'!K922)</f>
        <v>Delivered</v>
      </c>
    </row>
    <row r="923" spans="1:12" x14ac:dyDescent="0.25">
      <c r="A923" t="s">
        <v>161</v>
      </c>
      <c r="B923" t="s">
        <v>13</v>
      </c>
      <c r="C923" t="str">
        <f>IF(ISBLANK('[1]2.Diagnostic Analysis'!C923),"Unknown",'[1]2.Diagnostic Analysis'!C923)</f>
        <v>North</v>
      </c>
      <c r="D923" t="s">
        <v>29</v>
      </c>
      <c r="E923" t="s">
        <v>18</v>
      </c>
      <c r="F923">
        <f>IF(ISBLANK('[1]2.Diagnostic Analysis'!D923),'[1]2.Diagnostic Analysis'!$Q$3,'[1]2.Diagnostic Analysis'!D923)</f>
        <v>65</v>
      </c>
      <c r="G923">
        <v>50</v>
      </c>
      <c r="H923">
        <v>5</v>
      </c>
      <c r="I923">
        <v>250</v>
      </c>
      <c r="J923">
        <v>5.92</v>
      </c>
      <c r="K923" s="2">
        <v>45020</v>
      </c>
      <c r="L923" t="str">
        <f>IF(ISBLANK('[1]2.Diagnostic Analysis'!K923),"Unknown",'[1]2.Diagnostic Analysis'!K923)</f>
        <v>Returned</v>
      </c>
    </row>
    <row r="924" spans="1:12" x14ac:dyDescent="0.25">
      <c r="A924" t="s">
        <v>190</v>
      </c>
      <c r="B924" t="s">
        <v>20</v>
      </c>
      <c r="C924" t="str">
        <f>IF(ISBLANK('[1]2.Diagnostic Analysis'!C924),"Unknown",'[1]2.Diagnostic Analysis'!C924)</f>
        <v>West</v>
      </c>
      <c r="D924" t="s">
        <v>40</v>
      </c>
      <c r="E924" t="s">
        <v>15</v>
      </c>
      <c r="F924">
        <f>IF(ISBLANK('[1]2.Diagnostic Analysis'!D924),'[1]2.Diagnostic Analysis'!$Q$3,'[1]2.Diagnostic Analysis'!D924)</f>
        <v>59</v>
      </c>
      <c r="G924">
        <v>800</v>
      </c>
      <c r="H924">
        <v>5</v>
      </c>
      <c r="I924">
        <v>4000</v>
      </c>
      <c r="J924">
        <v>15.22</v>
      </c>
      <c r="K924" s="2">
        <v>45254</v>
      </c>
      <c r="L924" t="str">
        <f>IF(ISBLANK('[1]2.Diagnostic Analysis'!K924),"Unknown",'[1]2.Diagnostic Analysis'!K924)</f>
        <v>Delivered</v>
      </c>
    </row>
    <row r="925" spans="1:12" x14ac:dyDescent="0.25">
      <c r="A925" t="s">
        <v>140</v>
      </c>
      <c r="B925" t="s">
        <v>20</v>
      </c>
      <c r="C925" t="str">
        <f>IF(ISBLANK('[1]2.Diagnostic Analysis'!C925),"Unknown",'[1]2.Diagnostic Analysis'!C925)</f>
        <v>East</v>
      </c>
      <c r="D925" t="s">
        <v>17</v>
      </c>
      <c r="E925" t="s">
        <v>18</v>
      </c>
      <c r="F925">
        <f>IF(ISBLANK('[1]2.Diagnostic Analysis'!D925),'[1]2.Diagnostic Analysis'!$Q$3,'[1]2.Diagnostic Analysis'!D925)</f>
        <v>66</v>
      </c>
      <c r="G925">
        <v>100</v>
      </c>
      <c r="H925">
        <v>2</v>
      </c>
      <c r="I925">
        <v>200</v>
      </c>
      <c r="J925">
        <v>8.65</v>
      </c>
      <c r="K925" s="2">
        <v>45188</v>
      </c>
      <c r="L925" t="str">
        <f>IF(ISBLANK('[1]2.Diagnostic Analysis'!K925),"Unknown",'[1]2.Diagnostic Analysis'!K925)</f>
        <v>In Transit</v>
      </c>
    </row>
    <row r="926" spans="1:12" x14ac:dyDescent="0.25">
      <c r="A926" t="s">
        <v>161</v>
      </c>
      <c r="B926" t="s">
        <v>13</v>
      </c>
      <c r="C926" t="str">
        <f>IF(ISBLANK('[1]2.Diagnostic Analysis'!C926),"Unknown",'[1]2.Diagnostic Analysis'!C926)</f>
        <v>North</v>
      </c>
      <c r="D926" t="s">
        <v>14</v>
      </c>
      <c r="E926" t="s">
        <v>15</v>
      </c>
      <c r="F926">
        <f>IF(ISBLANK('[1]2.Diagnostic Analysis'!D926),'[1]2.Diagnostic Analysis'!$Q$3,'[1]2.Diagnostic Analysis'!D926)</f>
        <v>65</v>
      </c>
      <c r="G926">
        <v>300</v>
      </c>
      <c r="H926">
        <v>3</v>
      </c>
      <c r="I926">
        <v>900</v>
      </c>
      <c r="J926">
        <v>9.31</v>
      </c>
      <c r="K926" s="2">
        <v>44971</v>
      </c>
      <c r="L926" t="str">
        <f>IF(ISBLANK('[1]2.Diagnostic Analysis'!K926),"Unknown",'[1]2.Diagnostic Analysis'!K926)</f>
        <v>In Transit</v>
      </c>
    </row>
    <row r="927" spans="1:12" x14ac:dyDescent="0.25">
      <c r="A927" t="s">
        <v>57</v>
      </c>
      <c r="B927" t="s">
        <v>13</v>
      </c>
      <c r="C927" t="str">
        <f>IF(ISBLANK('[1]2.Diagnostic Analysis'!C927),"Unknown",'[1]2.Diagnostic Analysis'!C927)</f>
        <v>South</v>
      </c>
      <c r="D927" t="s">
        <v>29</v>
      </c>
      <c r="E927" t="s">
        <v>18</v>
      </c>
      <c r="F927">
        <f>IF(ISBLANK('[1]2.Diagnostic Analysis'!D927),'[1]2.Diagnostic Analysis'!$Q$3,'[1]2.Diagnostic Analysis'!D927)</f>
        <v>41</v>
      </c>
      <c r="G927">
        <v>50</v>
      </c>
      <c r="H927">
        <v>3</v>
      </c>
      <c r="I927">
        <v>150</v>
      </c>
      <c r="J927">
        <v>5.55</v>
      </c>
      <c r="K927" s="2">
        <v>44998</v>
      </c>
      <c r="L927" t="str">
        <f>IF(ISBLANK('[1]2.Diagnostic Analysis'!K927),"Unknown",'[1]2.Diagnostic Analysis'!K927)</f>
        <v>Delivered</v>
      </c>
    </row>
    <row r="928" spans="1:12" x14ac:dyDescent="0.25">
      <c r="A928" t="s">
        <v>50</v>
      </c>
      <c r="B928" t="s">
        <v>13</v>
      </c>
      <c r="C928" t="str">
        <f>IF(ISBLANK('[1]2.Diagnostic Analysis'!C928),"Unknown",'[1]2.Diagnostic Analysis'!C928)</f>
        <v>North</v>
      </c>
      <c r="D928" t="s">
        <v>30</v>
      </c>
      <c r="E928" t="s">
        <v>18</v>
      </c>
      <c r="F928">
        <f>IF(ISBLANK('[1]2.Diagnostic Analysis'!D928),'[1]2.Diagnostic Analysis'!$Q$3,'[1]2.Diagnostic Analysis'!D928)</f>
        <v>31</v>
      </c>
      <c r="G928">
        <v>30</v>
      </c>
      <c r="H928">
        <v>1</v>
      </c>
      <c r="I928">
        <v>30</v>
      </c>
      <c r="J928">
        <v>9.26</v>
      </c>
      <c r="K928" s="2">
        <v>45162</v>
      </c>
      <c r="L928" t="str">
        <f>IF(ISBLANK('[1]2.Diagnostic Analysis'!K928),"Unknown",'[1]2.Diagnostic Analysis'!K928)</f>
        <v>Returned</v>
      </c>
    </row>
    <row r="929" spans="1:12" x14ac:dyDescent="0.25">
      <c r="A929" t="s">
        <v>149</v>
      </c>
      <c r="B929" t="s">
        <v>13</v>
      </c>
      <c r="C929" t="str">
        <f>IF(ISBLANK('[1]2.Diagnostic Analysis'!C929),"Unknown",'[1]2.Diagnostic Analysis'!C929)</f>
        <v>East</v>
      </c>
      <c r="D929" t="s">
        <v>14</v>
      </c>
      <c r="E929" t="s">
        <v>15</v>
      </c>
      <c r="F929">
        <f>IF(ISBLANK('[1]2.Diagnostic Analysis'!D929),'[1]2.Diagnostic Analysis'!$Q$3,'[1]2.Diagnostic Analysis'!D929)</f>
        <v>59</v>
      </c>
      <c r="G929">
        <v>300</v>
      </c>
      <c r="H929">
        <v>3</v>
      </c>
      <c r="I929">
        <v>900</v>
      </c>
      <c r="J929">
        <v>19.36</v>
      </c>
      <c r="K929" s="2">
        <v>45047</v>
      </c>
      <c r="L929" t="str">
        <f>IF(ISBLANK('[1]2.Diagnostic Analysis'!K929),"Unknown",'[1]2.Diagnostic Analysis'!K929)</f>
        <v>Delivered</v>
      </c>
    </row>
    <row r="930" spans="1:12" x14ac:dyDescent="0.25">
      <c r="A930" t="s">
        <v>114</v>
      </c>
      <c r="B930" t="s">
        <v>20</v>
      </c>
      <c r="C930" t="str">
        <f>IF(ISBLANK('[1]2.Diagnostic Analysis'!C930),"Unknown",'[1]2.Diagnostic Analysis'!C930)</f>
        <v>East</v>
      </c>
      <c r="D930" t="s">
        <v>23</v>
      </c>
      <c r="E930" t="s">
        <v>15</v>
      </c>
      <c r="F930">
        <f>IF(ISBLANK('[1]2.Diagnostic Analysis'!D930),'[1]2.Diagnostic Analysis'!$Q$3,'[1]2.Diagnostic Analysis'!D930)</f>
        <v>49</v>
      </c>
      <c r="G930">
        <v>1500</v>
      </c>
      <c r="H930">
        <v>5</v>
      </c>
      <c r="I930">
        <v>7500</v>
      </c>
      <c r="J930">
        <v>16.440000000000001</v>
      </c>
      <c r="K930" s="2">
        <v>45192</v>
      </c>
      <c r="L930" t="str">
        <f>IF(ISBLANK('[1]2.Diagnostic Analysis'!K930),"Unknown",'[1]2.Diagnostic Analysis'!K930)</f>
        <v>In Transit</v>
      </c>
    </row>
    <row r="931" spans="1:12" x14ac:dyDescent="0.25">
      <c r="A931" t="s">
        <v>240</v>
      </c>
      <c r="B931" t="s">
        <v>20</v>
      </c>
      <c r="C931" t="str">
        <f>IF(ISBLANK('[1]2.Diagnostic Analysis'!C931),"Unknown",'[1]2.Diagnostic Analysis'!C931)</f>
        <v>West</v>
      </c>
      <c r="D931" t="s">
        <v>40</v>
      </c>
      <c r="E931" t="s">
        <v>15</v>
      </c>
      <c r="F931">
        <f>IF(ISBLANK('[1]2.Diagnostic Analysis'!D931),'[1]2.Diagnostic Analysis'!$Q$3,'[1]2.Diagnostic Analysis'!D931)</f>
        <v>27</v>
      </c>
      <c r="G931">
        <v>800</v>
      </c>
      <c r="H931">
        <v>4</v>
      </c>
      <c r="I931">
        <v>3200</v>
      </c>
      <c r="J931">
        <v>13.94</v>
      </c>
      <c r="K931" s="2">
        <v>44960</v>
      </c>
      <c r="L931" t="str">
        <f>IF(ISBLANK('[1]2.Diagnostic Analysis'!K931),"Unknown",'[1]2.Diagnostic Analysis'!K931)</f>
        <v>In Transit</v>
      </c>
    </row>
    <row r="932" spans="1:12" x14ac:dyDescent="0.25">
      <c r="A932" t="s">
        <v>161</v>
      </c>
      <c r="B932" t="s">
        <v>20</v>
      </c>
      <c r="C932" t="str">
        <f>IF(ISBLANK('[1]2.Diagnostic Analysis'!C932),"Unknown",'[1]2.Diagnostic Analysis'!C932)</f>
        <v>West</v>
      </c>
      <c r="D932" t="s">
        <v>40</v>
      </c>
      <c r="E932" t="s">
        <v>15</v>
      </c>
      <c r="F932">
        <f>IF(ISBLANK('[1]2.Diagnostic Analysis'!D932),'[1]2.Diagnostic Analysis'!$Q$3,'[1]2.Diagnostic Analysis'!D932)</f>
        <v>65</v>
      </c>
      <c r="G932">
        <v>800</v>
      </c>
      <c r="H932">
        <v>5</v>
      </c>
      <c r="I932">
        <v>4000</v>
      </c>
      <c r="J932">
        <v>15.8</v>
      </c>
      <c r="K932" s="2">
        <v>45289</v>
      </c>
      <c r="L932" t="str">
        <f>IF(ISBLANK('[1]2.Diagnostic Analysis'!K932),"Unknown",'[1]2.Diagnostic Analysis'!K932)</f>
        <v>Returned</v>
      </c>
    </row>
    <row r="933" spans="1:12" x14ac:dyDescent="0.25">
      <c r="A933" t="s">
        <v>222</v>
      </c>
      <c r="B933" t="s">
        <v>13</v>
      </c>
      <c r="C933" t="str">
        <f>IF(ISBLANK('[1]2.Diagnostic Analysis'!C933),"Unknown",'[1]2.Diagnostic Analysis'!C933)</f>
        <v>West</v>
      </c>
      <c r="D933" t="s">
        <v>40</v>
      </c>
      <c r="E933" t="s">
        <v>15</v>
      </c>
      <c r="F933">
        <f>IF(ISBLANK('[1]2.Diagnostic Analysis'!D933),'[1]2.Diagnostic Analysis'!$Q$3,'[1]2.Diagnostic Analysis'!D933)</f>
        <v>67</v>
      </c>
      <c r="G933">
        <v>800</v>
      </c>
      <c r="H933">
        <v>3</v>
      </c>
      <c r="I933">
        <v>2400</v>
      </c>
      <c r="J933">
        <v>7.05</v>
      </c>
      <c r="K933" s="2">
        <v>45274</v>
      </c>
      <c r="L933" t="str">
        <f>IF(ISBLANK('[1]2.Diagnostic Analysis'!K933),"Unknown",'[1]2.Diagnostic Analysis'!K933)</f>
        <v>In Transit</v>
      </c>
    </row>
    <row r="934" spans="1:12" x14ac:dyDescent="0.25">
      <c r="A934" t="s">
        <v>210</v>
      </c>
      <c r="B934" t="s">
        <v>13</v>
      </c>
      <c r="C934" t="str">
        <f>IF(ISBLANK('[1]2.Diagnostic Analysis'!C934),"Unknown",'[1]2.Diagnostic Analysis'!C934)</f>
        <v>West</v>
      </c>
      <c r="D934" t="s">
        <v>30</v>
      </c>
      <c r="E934" t="s">
        <v>18</v>
      </c>
      <c r="F934">
        <f>IF(ISBLANK('[1]2.Diagnostic Analysis'!D934),'[1]2.Diagnostic Analysis'!$Q$3,'[1]2.Diagnostic Analysis'!D934)</f>
        <v>54</v>
      </c>
      <c r="G934">
        <v>30</v>
      </c>
      <c r="H934">
        <v>4</v>
      </c>
      <c r="I934">
        <v>120</v>
      </c>
      <c r="J934">
        <v>14.5</v>
      </c>
      <c r="K934" s="2">
        <v>44970</v>
      </c>
      <c r="L934" t="str">
        <f>IF(ISBLANK('[1]2.Diagnostic Analysis'!K934),"Unknown",'[1]2.Diagnostic Analysis'!K934)</f>
        <v>Delivered</v>
      </c>
    </row>
    <row r="935" spans="1:12" x14ac:dyDescent="0.25">
      <c r="A935" t="s">
        <v>222</v>
      </c>
      <c r="B935" t="s">
        <v>20</v>
      </c>
      <c r="C935" t="str">
        <f>IF(ISBLANK('[1]2.Diagnostic Analysis'!C935),"Unknown",'[1]2.Diagnostic Analysis'!C935)</f>
        <v>East</v>
      </c>
      <c r="D935" t="s">
        <v>30</v>
      </c>
      <c r="E935" t="s">
        <v>18</v>
      </c>
      <c r="F935">
        <f>IF(ISBLANK('[1]2.Diagnostic Analysis'!D935),'[1]2.Diagnostic Analysis'!$Q$3,'[1]2.Diagnostic Analysis'!D935)</f>
        <v>67</v>
      </c>
      <c r="G935">
        <v>30</v>
      </c>
      <c r="H935">
        <v>2</v>
      </c>
      <c r="I935">
        <v>60</v>
      </c>
      <c r="J935">
        <v>12.54</v>
      </c>
      <c r="K935" s="2">
        <v>45011</v>
      </c>
      <c r="L935" t="str">
        <f>IF(ISBLANK('[1]2.Diagnostic Analysis'!K935),"Unknown",'[1]2.Diagnostic Analysis'!K935)</f>
        <v>Unknown</v>
      </c>
    </row>
    <row r="936" spans="1:12" x14ac:dyDescent="0.25">
      <c r="A936" t="s">
        <v>83</v>
      </c>
      <c r="B936" t="s">
        <v>13</v>
      </c>
      <c r="C936" t="str">
        <f>IF(ISBLANK('[1]2.Diagnostic Analysis'!C936),"Unknown",'[1]2.Diagnostic Analysis'!C936)</f>
        <v>East</v>
      </c>
      <c r="D936" t="s">
        <v>40</v>
      </c>
      <c r="E936" t="s">
        <v>15</v>
      </c>
      <c r="F936">
        <f>IF(ISBLANK('[1]2.Diagnostic Analysis'!D936),'[1]2.Diagnostic Analysis'!$Q$3,'[1]2.Diagnostic Analysis'!D936)</f>
        <v>36</v>
      </c>
      <c r="G936">
        <v>800</v>
      </c>
      <c r="H936">
        <v>2</v>
      </c>
      <c r="I936">
        <v>1600</v>
      </c>
      <c r="J936">
        <v>16.62</v>
      </c>
      <c r="K936" s="2">
        <v>45141</v>
      </c>
      <c r="L936" t="str">
        <f>IF(ISBLANK('[1]2.Diagnostic Analysis'!K936),"Unknown",'[1]2.Diagnostic Analysis'!K936)</f>
        <v>In Transit</v>
      </c>
    </row>
    <row r="937" spans="1:12" x14ac:dyDescent="0.25">
      <c r="A937" t="s">
        <v>306</v>
      </c>
      <c r="B937" t="s">
        <v>13</v>
      </c>
      <c r="C937" t="str">
        <f>IF(ISBLANK('[1]2.Diagnostic Analysis'!C937),"Unknown",'[1]2.Diagnostic Analysis'!C937)</f>
        <v>South</v>
      </c>
      <c r="D937" t="s">
        <v>23</v>
      </c>
      <c r="E937" t="s">
        <v>15</v>
      </c>
      <c r="F937">
        <f>IF(ISBLANK('[1]2.Diagnostic Analysis'!D937),'[1]2.Diagnostic Analysis'!$Q$3,'[1]2.Diagnostic Analysis'!D937)</f>
        <v>44</v>
      </c>
      <c r="G937">
        <v>1500</v>
      </c>
      <c r="H937">
        <v>5</v>
      </c>
      <c r="I937">
        <v>7500</v>
      </c>
      <c r="J937">
        <v>18.670000000000002</v>
      </c>
      <c r="K937" s="2">
        <v>45181</v>
      </c>
      <c r="L937" t="str">
        <f>IF(ISBLANK('[1]2.Diagnostic Analysis'!K937),"Unknown",'[1]2.Diagnostic Analysis'!K937)</f>
        <v>Returned</v>
      </c>
    </row>
    <row r="938" spans="1:12" x14ac:dyDescent="0.25">
      <c r="A938" t="s">
        <v>44</v>
      </c>
      <c r="B938" t="s">
        <v>20</v>
      </c>
      <c r="C938" t="str">
        <f>IF(ISBLANK('[1]2.Diagnostic Analysis'!C938),"Unknown",'[1]2.Diagnostic Analysis'!C938)</f>
        <v>West</v>
      </c>
      <c r="D938" t="s">
        <v>23</v>
      </c>
      <c r="E938" t="s">
        <v>15</v>
      </c>
      <c r="F938">
        <f>IF(ISBLANK('[1]2.Diagnostic Analysis'!D938),'[1]2.Diagnostic Analysis'!$Q$3,'[1]2.Diagnostic Analysis'!D938)</f>
        <v>40</v>
      </c>
      <c r="G938">
        <v>1500</v>
      </c>
      <c r="H938">
        <v>1</v>
      </c>
      <c r="I938">
        <v>1500</v>
      </c>
      <c r="J938">
        <v>13.51</v>
      </c>
      <c r="K938" s="2">
        <v>45128</v>
      </c>
      <c r="L938" t="str">
        <f>IF(ISBLANK('[1]2.Diagnostic Analysis'!K938),"Unknown",'[1]2.Diagnostic Analysis'!K938)</f>
        <v>Delivered</v>
      </c>
    </row>
    <row r="939" spans="1:12" x14ac:dyDescent="0.25">
      <c r="A939" t="s">
        <v>143</v>
      </c>
      <c r="B939" t="s">
        <v>13</v>
      </c>
      <c r="C939" t="str">
        <f>IF(ISBLANK('[1]2.Diagnostic Analysis'!C939),"Unknown",'[1]2.Diagnostic Analysis'!C939)</f>
        <v>South</v>
      </c>
      <c r="D939" t="s">
        <v>30</v>
      </c>
      <c r="E939" t="s">
        <v>18</v>
      </c>
      <c r="F939">
        <f>IF(ISBLANK('[1]2.Diagnostic Analysis'!D939),'[1]2.Diagnostic Analysis'!$Q$3,'[1]2.Diagnostic Analysis'!D939)</f>
        <v>50</v>
      </c>
      <c r="G939">
        <v>30</v>
      </c>
      <c r="H939">
        <v>3</v>
      </c>
      <c r="I939">
        <v>90</v>
      </c>
      <c r="J939">
        <v>12.43</v>
      </c>
      <c r="K939" s="2">
        <v>44931</v>
      </c>
      <c r="L939" t="str">
        <f>IF(ISBLANK('[1]2.Diagnostic Analysis'!K939),"Unknown",'[1]2.Diagnostic Analysis'!K939)</f>
        <v>Delivered</v>
      </c>
    </row>
    <row r="940" spans="1:12" x14ac:dyDescent="0.25">
      <c r="A940" t="s">
        <v>145</v>
      </c>
      <c r="B940" t="s">
        <v>13</v>
      </c>
      <c r="C940" t="str">
        <f>IF(ISBLANK('[1]2.Diagnostic Analysis'!C940),"Unknown",'[1]2.Diagnostic Analysis'!C940)</f>
        <v>South</v>
      </c>
      <c r="D940" t="s">
        <v>25</v>
      </c>
      <c r="E940" t="s">
        <v>26</v>
      </c>
      <c r="F940">
        <f>IF(ISBLANK('[1]2.Diagnostic Analysis'!D940),'[1]2.Diagnostic Analysis'!$Q$3,'[1]2.Diagnostic Analysis'!D940)</f>
        <v>30</v>
      </c>
      <c r="G940">
        <v>200</v>
      </c>
      <c r="H940">
        <v>4</v>
      </c>
      <c r="I940">
        <v>800</v>
      </c>
      <c r="J940">
        <v>13.9</v>
      </c>
      <c r="K940" s="2">
        <v>45105</v>
      </c>
      <c r="L940" t="str">
        <f>IF(ISBLANK('[1]2.Diagnostic Analysis'!K940),"Unknown",'[1]2.Diagnostic Analysis'!K940)</f>
        <v>Returned</v>
      </c>
    </row>
    <row r="941" spans="1:12" x14ac:dyDescent="0.25">
      <c r="A941" t="s">
        <v>148</v>
      </c>
      <c r="B941" t="s">
        <v>13</v>
      </c>
      <c r="C941" t="str">
        <f>IF(ISBLANK('[1]2.Diagnostic Analysis'!C941),"Unknown",'[1]2.Diagnostic Analysis'!C941)</f>
        <v>South</v>
      </c>
      <c r="D941" t="s">
        <v>25</v>
      </c>
      <c r="E941" t="s">
        <v>26</v>
      </c>
      <c r="F941">
        <f>IF(ISBLANK('[1]2.Diagnostic Analysis'!D941),'[1]2.Diagnostic Analysis'!$Q$3,'[1]2.Diagnostic Analysis'!D941)</f>
        <v>56</v>
      </c>
      <c r="G941">
        <v>200</v>
      </c>
      <c r="H941">
        <v>3</v>
      </c>
      <c r="I941">
        <v>600</v>
      </c>
      <c r="J941">
        <v>19.03</v>
      </c>
      <c r="K941" s="2">
        <v>45294</v>
      </c>
      <c r="L941" t="str">
        <f>IF(ISBLANK('[1]2.Diagnostic Analysis'!K941),"Unknown",'[1]2.Diagnostic Analysis'!K941)</f>
        <v>In Transit</v>
      </c>
    </row>
    <row r="942" spans="1:12" x14ac:dyDescent="0.25">
      <c r="A942" t="s">
        <v>151</v>
      </c>
      <c r="B942" t="s">
        <v>20</v>
      </c>
      <c r="C942" t="str">
        <f>IF(ISBLANK('[1]2.Diagnostic Analysis'!C942),"Unknown",'[1]2.Diagnostic Analysis'!C942)</f>
        <v>North</v>
      </c>
      <c r="D942" t="s">
        <v>14</v>
      </c>
      <c r="E942" t="s">
        <v>15</v>
      </c>
      <c r="F942">
        <f>IF(ISBLANK('[1]2.Diagnostic Analysis'!D942),'[1]2.Diagnostic Analysis'!$Q$3,'[1]2.Diagnostic Analysis'!D942)</f>
        <v>66</v>
      </c>
      <c r="G942">
        <v>300</v>
      </c>
      <c r="H942">
        <v>5</v>
      </c>
      <c r="I942">
        <v>1500</v>
      </c>
      <c r="J942">
        <v>18.920000000000002</v>
      </c>
      <c r="K942" s="2">
        <v>45049</v>
      </c>
      <c r="L942" t="str">
        <f>IF(ISBLANK('[1]2.Diagnostic Analysis'!K942),"Unknown",'[1]2.Diagnostic Analysis'!K942)</f>
        <v>Delivered</v>
      </c>
    </row>
    <row r="943" spans="1:12" x14ac:dyDescent="0.25">
      <c r="A943" t="s">
        <v>141</v>
      </c>
      <c r="B943" t="s">
        <v>20</v>
      </c>
      <c r="C943" t="str">
        <f>IF(ISBLANK('[1]2.Diagnostic Analysis'!C943),"Unknown",'[1]2.Diagnostic Analysis'!C943)</f>
        <v>West</v>
      </c>
      <c r="D943" t="s">
        <v>14</v>
      </c>
      <c r="E943" t="s">
        <v>15</v>
      </c>
      <c r="F943">
        <f>IF(ISBLANK('[1]2.Diagnostic Analysis'!D943),'[1]2.Diagnostic Analysis'!$Q$3,'[1]2.Diagnostic Analysis'!D943)</f>
        <v>39</v>
      </c>
      <c r="G943">
        <v>300</v>
      </c>
      <c r="H943">
        <v>1</v>
      </c>
      <c r="I943">
        <v>300</v>
      </c>
      <c r="J943">
        <v>9.0399999999999991</v>
      </c>
      <c r="K943" s="2">
        <v>45130</v>
      </c>
      <c r="L943" t="str">
        <f>IF(ISBLANK('[1]2.Diagnostic Analysis'!K943),"Unknown",'[1]2.Diagnostic Analysis'!K943)</f>
        <v>Delivered</v>
      </c>
    </row>
    <row r="944" spans="1:12" x14ac:dyDescent="0.25">
      <c r="A944" t="s">
        <v>93</v>
      </c>
      <c r="B944" t="s">
        <v>20</v>
      </c>
      <c r="C944" t="str">
        <f>IF(ISBLANK('[1]2.Diagnostic Analysis'!C944),"Unknown",'[1]2.Diagnostic Analysis'!C944)</f>
        <v>East</v>
      </c>
      <c r="D944" t="s">
        <v>25</v>
      </c>
      <c r="E944" t="s">
        <v>26</v>
      </c>
      <c r="F944">
        <f>IF(ISBLANK('[1]2.Diagnostic Analysis'!D944),'[1]2.Diagnostic Analysis'!$Q$3,'[1]2.Diagnostic Analysis'!D944)</f>
        <v>47</v>
      </c>
      <c r="G944">
        <v>200</v>
      </c>
      <c r="H944">
        <v>1</v>
      </c>
      <c r="I944">
        <v>200</v>
      </c>
      <c r="J944">
        <v>12.27</v>
      </c>
      <c r="K944" s="2">
        <v>45273</v>
      </c>
      <c r="L944" t="str">
        <f>IF(ISBLANK('[1]2.Diagnostic Analysis'!K944),"Unknown",'[1]2.Diagnostic Analysis'!K944)</f>
        <v>In Transit</v>
      </c>
    </row>
    <row r="945" spans="1:12" x14ac:dyDescent="0.25">
      <c r="A945" t="s">
        <v>282</v>
      </c>
      <c r="B945" t="s">
        <v>13</v>
      </c>
      <c r="C945" t="str">
        <f>IF(ISBLANK('[1]2.Diagnostic Analysis'!C945),"Unknown",'[1]2.Diagnostic Analysis'!C945)</f>
        <v>South</v>
      </c>
      <c r="D945" t="s">
        <v>29</v>
      </c>
      <c r="E945" t="s">
        <v>18</v>
      </c>
      <c r="F945">
        <f>IF(ISBLANK('[1]2.Diagnostic Analysis'!D945),'[1]2.Diagnostic Analysis'!$Q$3,'[1]2.Diagnostic Analysis'!D945)</f>
        <v>46</v>
      </c>
      <c r="G945">
        <v>50</v>
      </c>
      <c r="H945">
        <v>5</v>
      </c>
      <c r="I945">
        <v>250</v>
      </c>
      <c r="J945">
        <v>19.63</v>
      </c>
      <c r="K945" s="2">
        <v>45068</v>
      </c>
      <c r="L945" t="str">
        <f>IF(ISBLANK('[1]2.Diagnostic Analysis'!K945),"Unknown",'[1]2.Diagnostic Analysis'!K945)</f>
        <v>In Transit</v>
      </c>
    </row>
    <row r="946" spans="1:12" x14ac:dyDescent="0.25">
      <c r="A946" t="s">
        <v>218</v>
      </c>
      <c r="B946" t="s">
        <v>20</v>
      </c>
      <c r="C946" t="str">
        <f>IF(ISBLANK('[1]2.Diagnostic Analysis'!C946),"Unknown",'[1]2.Diagnostic Analysis'!C946)</f>
        <v>North</v>
      </c>
      <c r="D946" t="s">
        <v>29</v>
      </c>
      <c r="E946" t="s">
        <v>18</v>
      </c>
      <c r="F946">
        <f>IF(ISBLANK('[1]2.Diagnostic Analysis'!D946),'[1]2.Diagnostic Analysis'!$Q$3,'[1]2.Diagnostic Analysis'!D946)</f>
        <v>66</v>
      </c>
      <c r="G946">
        <v>50</v>
      </c>
      <c r="H946">
        <v>3</v>
      </c>
      <c r="I946">
        <v>150</v>
      </c>
      <c r="J946">
        <v>10.210000000000001</v>
      </c>
      <c r="K946" s="2">
        <v>45272</v>
      </c>
      <c r="L946" t="str">
        <f>IF(ISBLANK('[1]2.Diagnostic Analysis'!K946),"Unknown",'[1]2.Diagnostic Analysis'!K946)</f>
        <v>Returned</v>
      </c>
    </row>
    <row r="947" spans="1:12" x14ac:dyDescent="0.25">
      <c r="A947" t="s">
        <v>126</v>
      </c>
      <c r="B947" t="s">
        <v>13</v>
      </c>
      <c r="C947" t="str">
        <f>IF(ISBLANK('[1]2.Diagnostic Analysis'!C947),"Unknown",'[1]2.Diagnostic Analysis'!C947)</f>
        <v>East</v>
      </c>
      <c r="D947" t="s">
        <v>14</v>
      </c>
      <c r="E947" t="s">
        <v>15</v>
      </c>
      <c r="F947">
        <f>IF(ISBLANK('[1]2.Diagnostic Analysis'!D947),'[1]2.Diagnostic Analysis'!$Q$3,'[1]2.Diagnostic Analysis'!D947)</f>
        <v>50</v>
      </c>
      <c r="G947">
        <v>300</v>
      </c>
      <c r="H947">
        <v>4</v>
      </c>
      <c r="I947">
        <v>1200</v>
      </c>
      <c r="J947">
        <v>14.64</v>
      </c>
      <c r="K947" s="2">
        <v>44954</v>
      </c>
      <c r="L947" t="str">
        <f>IF(ISBLANK('[1]2.Diagnostic Analysis'!K947),"Unknown",'[1]2.Diagnostic Analysis'!K947)</f>
        <v>In Transit</v>
      </c>
    </row>
    <row r="948" spans="1:12" x14ac:dyDescent="0.25">
      <c r="A948" t="s">
        <v>74</v>
      </c>
      <c r="B948" t="s">
        <v>13</v>
      </c>
      <c r="C948" t="str">
        <f>IF(ISBLANK('[1]2.Diagnostic Analysis'!C948),"Unknown",'[1]2.Diagnostic Analysis'!C948)</f>
        <v>East</v>
      </c>
      <c r="D948" t="s">
        <v>25</v>
      </c>
      <c r="E948" t="s">
        <v>26</v>
      </c>
      <c r="F948">
        <f>IF(ISBLANK('[1]2.Diagnostic Analysis'!D948),'[1]2.Diagnostic Analysis'!$Q$3,'[1]2.Diagnostic Analysis'!D948)</f>
        <v>49</v>
      </c>
      <c r="G948">
        <v>200</v>
      </c>
      <c r="H948">
        <v>3</v>
      </c>
      <c r="I948">
        <v>600</v>
      </c>
      <c r="J948">
        <v>6.36</v>
      </c>
      <c r="K948" s="2">
        <v>45258</v>
      </c>
      <c r="L948" t="str">
        <f>IF(ISBLANK('[1]2.Diagnostic Analysis'!K948),"Unknown",'[1]2.Diagnostic Analysis'!K948)</f>
        <v>Returned</v>
      </c>
    </row>
    <row r="949" spans="1:12" x14ac:dyDescent="0.25">
      <c r="A949" t="s">
        <v>122</v>
      </c>
      <c r="B949" t="s">
        <v>20</v>
      </c>
      <c r="C949" t="str">
        <f>IF(ISBLANK('[1]2.Diagnostic Analysis'!C949),"Unknown",'[1]2.Diagnostic Analysis'!C949)</f>
        <v>East</v>
      </c>
      <c r="D949" t="s">
        <v>14</v>
      </c>
      <c r="E949" t="s">
        <v>15</v>
      </c>
      <c r="F949">
        <f>IF(ISBLANK('[1]2.Diagnostic Analysis'!D949),'[1]2.Diagnostic Analysis'!$Q$3,'[1]2.Diagnostic Analysis'!D949)</f>
        <v>19</v>
      </c>
      <c r="G949">
        <v>300</v>
      </c>
      <c r="H949">
        <v>3</v>
      </c>
      <c r="I949">
        <v>900</v>
      </c>
      <c r="J949">
        <v>9.7899999999999991</v>
      </c>
      <c r="K949" s="2">
        <v>45262</v>
      </c>
      <c r="L949" t="str">
        <f>IF(ISBLANK('[1]2.Diagnostic Analysis'!K949),"Unknown",'[1]2.Diagnostic Analysis'!K949)</f>
        <v>Delivered</v>
      </c>
    </row>
    <row r="950" spans="1:12" x14ac:dyDescent="0.25">
      <c r="A950" t="s">
        <v>255</v>
      </c>
      <c r="B950" t="s">
        <v>13</v>
      </c>
      <c r="C950" t="str">
        <f>IF(ISBLANK('[1]2.Diagnostic Analysis'!C950),"Unknown",'[1]2.Diagnostic Analysis'!C950)</f>
        <v>West</v>
      </c>
      <c r="D950" t="s">
        <v>29</v>
      </c>
      <c r="E950" t="s">
        <v>18</v>
      </c>
      <c r="F950">
        <f>IF(ISBLANK('[1]2.Diagnostic Analysis'!D950),'[1]2.Diagnostic Analysis'!$Q$3,'[1]2.Diagnostic Analysis'!D950)</f>
        <v>39</v>
      </c>
      <c r="G950">
        <v>50</v>
      </c>
      <c r="H950">
        <v>1</v>
      </c>
      <c r="I950">
        <v>50</v>
      </c>
      <c r="J950">
        <v>6.14</v>
      </c>
      <c r="K950" s="2">
        <v>45075</v>
      </c>
      <c r="L950" t="str">
        <f>IF(ISBLANK('[1]2.Diagnostic Analysis'!K950),"Unknown",'[1]2.Diagnostic Analysis'!K950)</f>
        <v>Delivered</v>
      </c>
    </row>
    <row r="951" spans="1:12" x14ac:dyDescent="0.25">
      <c r="A951" t="s">
        <v>12</v>
      </c>
      <c r="B951" t="s">
        <v>13</v>
      </c>
      <c r="C951" t="str">
        <f>IF(ISBLANK('[1]2.Diagnostic Analysis'!C951),"Unknown",'[1]2.Diagnostic Analysis'!C951)</f>
        <v>East</v>
      </c>
      <c r="D951" t="s">
        <v>14</v>
      </c>
      <c r="E951" t="s">
        <v>15</v>
      </c>
      <c r="F951">
        <f>IF(ISBLANK('[1]2.Diagnostic Analysis'!D951),'[1]2.Diagnostic Analysis'!$Q$3,'[1]2.Diagnostic Analysis'!D951)</f>
        <v>21</v>
      </c>
      <c r="G951">
        <v>300</v>
      </c>
      <c r="H951">
        <v>4</v>
      </c>
      <c r="I951">
        <v>1200</v>
      </c>
      <c r="J951">
        <v>10.029999999999999</v>
      </c>
      <c r="K951" s="2">
        <v>45062</v>
      </c>
      <c r="L951" t="str">
        <f>IF(ISBLANK('[1]2.Diagnostic Analysis'!K951),"Unknown",'[1]2.Diagnostic Analysis'!K951)</f>
        <v>In Transit</v>
      </c>
    </row>
    <row r="952" spans="1:12" x14ac:dyDescent="0.25">
      <c r="A952" t="s">
        <v>136</v>
      </c>
      <c r="B952" t="s">
        <v>20</v>
      </c>
      <c r="C952" t="str">
        <f>IF(ISBLANK('[1]2.Diagnostic Analysis'!C952),"Unknown",'[1]2.Diagnostic Analysis'!C952)</f>
        <v>South</v>
      </c>
      <c r="D952" t="s">
        <v>17</v>
      </c>
      <c r="E952" t="s">
        <v>18</v>
      </c>
      <c r="F952">
        <f>IF(ISBLANK('[1]2.Diagnostic Analysis'!D952),'[1]2.Diagnostic Analysis'!$Q$3,'[1]2.Diagnostic Analysis'!D952)</f>
        <v>37</v>
      </c>
      <c r="G952">
        <v>100</v>
      </c>
      <c r="H952">
        <v>3</v>
      </c>
      <c r="I952">
        <v>300</v>
      </c>
      <c r="J952">
        <v>9.91</v>
      </c>
      <c r="K952" s="2">
        <v>45139</v>
      </c>
      <c r="L952" t="str">
        <f>IF(ISBLANK('[1]2.Diagnostic Analysis'!K952),"Unknown",'[1]2.Diagnostic Analysis'!K952)</f>
        <v>In Transit</v>
      </c>
    </row>
    <row r="953" spans="1:12" x14ac:dyDescent="0.25">
      <c r="A953" t="s">
        <v>263</v>
      </c>
      <c r="B953" t="s">
        <v>13</v>
      </c>
      <c r="C953" t="str">
        <f>IF(ISBLANK('[1]2.Diagnostic Analysis'!C953),"Unknown",'[1]2.Diagnostic Analysis'!C953)</f>
        <v>South</v>
      </c>
      <c r="D953" t="s">
        <v>30</v>
      </c>
      <c r="E953" t="s">
        <v>18</v>
      </c>
      <c r="F953">
        <f>IF(ISBLANK('[1]2.Diagnostic Analysis'!D953),'[1]2.Diagnostic Analysis'!$Q$3,'[1]2.Diagnostic Analysis'!D953)</f>
        <v>64</v>
      </c>
      <c r="G953">
        <v>30</v>
      </c>
      <c r="H953">
        <v>1</v>
      </c>
      <c r="I953">
        <v>30</v>
      </c>
      <c r="J953">
        <v>19.22</v>
      </c>
      <c r="K953" s="2">
        <v>45138</v>
      </c>
      <c r="L953" t="str">
        <f>IF(ISBLANK('[1]2.Diagnostic Analysis'!K953),"Unknown",'[1]2.Diagnostic Analysis'!K953)</f>
        <v>In Transit</v>
      </c>
    </row>
    <row r="954" spans="1:12" x14ac:dyDescent="0.25">
      <c r="A954" t="s">
        <v>226</v>
      </c>
      <c r="B954" t="s">
        <v>13</v>
      </c>
      <c r="C954" t="str">
        <f>IF(ISBLANK('[1]2.Diagnostic Analysis'!C954),"Unknown",'[1]2.Diagnostic Analysis'!C954)</f>
        <v>North</v>
      </c>
      <c r="D954" t="s">
        <v>29</v>
      </c>
      <c r="E954" t="s">
        <v>18</v>
      </c>
      <c r="F954">
        <f>IF(ISBLANK('[1]2.Diagnostic Analysis'!D954),'[1]2.Diagnostic Analysis'!$Q$3,'[1]2.Diagnostic Analysis'!D954)</f>
        <v>49</v>
      </c>
      <c r="G954">
        <v>50</v>
      </c>
      <c r="H954">
        <v>3</v>
      </c>
      <c r="I954">
        <v>150</v>
      </c>
      <c r="J954">
        <v>10.81</v>
      </c>
      <c r="K954" s="2">
        <v>45118</v>
      </c>
      <c r="L954" t="str">
        <f>IF(ISBLANK('[1]2.Diagnostic Analysis'!K954),"Unknown",'[1]2.Diagnostic Analysis'!K954)</f>
        <v>In Transit</v>
      </c>
    </row>
    <row r="955" spans="1:12" x14ac:dyDescent="0.25">
      <c r="A955" t="s">
        <v>117</v>
      </c>
      <c r="B955" t="s">
        <v>13</v>
      </c>
      <c r="C955" t="str">
        <f>IF(ISBLANK('[1]2.Diagnostic Analysis'!C955),"Unknown",'[1]2.Diagnostic Analysis'!C955)</f>
        <v>North</v>
      </c>
      <c r="D955" t="s">
        <v>23</v>
      </c>
      <c r="E955" t="s">
        <v>15</v>
      </c>
      <c r="F955">
        <f>IF(ISBLANK('[1]2.Diagnostic Analysis'!D955),'[1]2.Diagnostic Analysis'!$Q$3,'[1]2.Diagnostic Analysis'!D955)</f>
        <v>29</v>
      </c>
      <c r="G955">
        <v>1500</v>
      </c>
      <c r="H955">
        <v>2</v>
      </c>
      <c r="I955">
        <v>3000</v>
      </c>
      <c r="J955">
        <v>16.23</v>
      </c>
      <c r="K955" s="2">
        <v>44952</v>
      </c>
      <c r="L955" t="str">
        <f>IF(ISBLANK('[1]2.Diagnostic Analysis'!K955),"Unknown",'[1]2.Diagnostic Analysis'!K955)</f>
        <v>Delivered</v>
      </c>
    </row>
    <row r="956" spans="1:12" x14ac:dyDescent="0.25">
      <c r="A956" t="s">
        <v>211</v>
      </c>
      <c r="B956" t="s">
        <v>13</v>
      </c>
      <c r="C956" t="str">
        <f>IF(ISBLANK('[1]2.Diagnostic Analysis'!C956),"Unknown",'[1]2.Diagnostic Analysis'!C956)</f>
        <v>South</v>
      </c>
      <c r="D956" t="s">
        <v>40</v>
      </c>
      <c r="E956" t="s">
        <v>15</v>
      </c>
      <c r="F956">
        <f>IF(ISBLANK('[1]2.Diagnostic Analysis'!D956),'[1]2.Diagnostic Analysis'!$Q$3,'[1]2.Diagnostic Analysis'!D956)</f>
        <v>49</v>
      </c>
      <c r="G956">
        <v>800</v>
      </c>
      <c r="H956">
        <v>5</v>
      </c>
      <c r="I956">
        <v>4000</v>
      </c>
      <c r="J956">
        <v>15.97</v>
      </c>
      <c r="K956" s="2">
        <v>45244</v>
      </c>
      <c r="L956" t="str">
        <f>IF(ISBLANK('[1]2.Diagnostic Analysis'!K956),"Unknown",'[1]2.Diagnostic Analysis'!K956)</f>
        <v>Delivered</v>
      </c>
    </row>
    <row r="957" spans="1:12" x14ac:dyDescent="0.25">
      <c r="A957" t="s">
        <v>110</v>
      </c>
      <c r="B957" t="s">
        <v>13</v>
      </c>
      <c r="C957" t="str">
        <f>IF(ISBLANK('[1]2.Diagnostic Analysis'!C957),"Unknown",'[1]2.Diagnostic Analysis'!C957)</f>
        <v>South</v>
      </c>
      <c r="D957" t="s">
        <v>14</v>
      </c>
      <c r="E957" t="s">
        <v>15</v>
      </c>
      <c r="F957">
        <f>IF(ISBLANK('[1]2.Diagnostic Analysis'!D957),'[1]2.Diagnostic Analysis'!$Q$3,'[1]2.Diagnostic Analysis'!D957)</f>
        <v>38</v>
      </c>
      <c r="G957">
        <v>300</v>
      </c>
      <c r="H957">
        <v>5</v>
      </c>
      <c r="I957">
        <v>1500</v>
      </c>
      <c r="J957">
        <v>19.39</v>
      </c>
      <c r="K957" s="2">
        <v>44983</v>
      </c>
      <c r="L957" t="str">
        <f>IF(ISBLANK('[1]2.Diagnostic Analysis'!K957),"Unknown",'[1]2.Diagnostic Analysis'!K957)</f>
        <v>Returned</v>
      </c>
    </row>
    <row r="958" spans="1:12" x14ac:dyDescent="0.25">
      <c r="A958" t="s">
        <v>255</v>
      </c>
      <c r="B958" t="s">
        <v>13</v>
      </c>
      <c r="C958" t="str">
        <f>IF(ISBLANK('[1]2.Diagnostic Analysis'!C958),"Unknown",'[1]2.Diagnostic Analysis'!C958)</f>
        <v>West</v>
      </c>
      <c r="D958" t="s">
        <v>40</v>
      </c>
      <c r="E958" t="s">
        <v>15</v>
      </c>
      <c r="F958">
        <f>IF(ISBLANK('[1]2.Diagnostic Analysis'!D958),'[1]2.Diagnostic Analysis'!$Q$3,'[1]2.Diagnostic Analysis'!D958)</f>
        <v>39</v>
      </c>
      <c r="G958">
        <v>800</v>
      </c>
      <c r="H958">
        <v>3</v>
      </c>
      <c r="I958">
        <v>2400</v>
      </c>
      <c r="J958">
        <v>9.92</v>
      </c>
      <c r="K958" s="2">
        <v>45133</v>
      </c>
      <c r="L958" t="str">
        <f>IF(ISBLANK('[1]2.Diagnostic Analysis'!K958),"Unknown",'[1]2.Diagnostic Analysis'!K958)</f>
        <v>In Transit</v>
      </c>
    </row>
    <row r="959" spans="1:12" x14ac:dyDescent="0.25">
      <c r="A959" t="s">
        <v>128</v>
      </c>
      <c r="B959" t="s">
        <v>13</v>
      </c>
      <c r="C959" t="str">
        <f>IF(ISBLANK('[1]2.Diagnostic Analysis'!C959),"Unknown",'[1]2.Diagnostic Analysis'!C959)</f>
        <v>South</v>
      </c>
      <c r="D959" t="s">
        <v>25</v>
      </c>
      <c r="E959" t="s">
        <v>26</v>
      </c>
      <c r="F959">
        <f>IF(ISBLANK('[1]2.Diagnostic Analysis'!D959),'[1]2.Diagnostic Analysis'!$Q$3,'[1]2.Diagnostic Analysis'!D959)</f>
        <v>63</v>
      </c>
      <c r="G959">
        <v>200</v>
      </c>
      <c r="H959">
        <v>4</v>
      </c>
      <c r="I959">
        <v>800</v>
      </c>
      <c r="J959">
        <v>10.23</v>
      </c>
      <c r="K959" s="2">
        <v>45084</v>
      </c>
      <c r="L959" t="str">
        <f>IF(ISBLANK('[1]2.Diagnostic Analysis'!K959),"Unknown",'[1]2.Diagnostic Analysis'!K959)</f>
        <v>In Transit</v>
      </c>
    </row>
    <row r="960" spans="1:12" x14ac:dyDescent="0.25">
      <c r="A960" t="s">
        <v>188</v>
      </c>
      <c r="B960" t="s">
        <v>20</v>
      </c>
      <c r="C960" t="str">
        <f>IF(ISBLANK('[1]2.Diagnostic Analysis'!C960),"Unknown",'[1]2.Diagnostic Analysis'!C960)</f>
        <v>South</v>
      </c>
      <c r="D960" t="s">
        <v>40</v>
      </c>
      <c r="E960" t="s">
        <v>15</v>
      </c>
      <c r="F960">
        <f>IF(ISBLANK('[1]2.Diagnostic Analysis'!D960),'[1]2.Diagnostic Analysis'!$Q$3,'[1]2.Diagnostic Analysis'!D960)</f>
        <v>52</v>
      </c>
      <c r="G960">
        <v>800</v>
      </c>
      <c r="H960">
        <v>1</v>
      </c>
      <c r="I960">
        <v>800</v>
      </c>
      <c r="J960">
        <v>10.65</v>
      </c>
      <c r="K960" s="2">
        <v>45075</v>
      </c>
      <c r="L960" t="str">
        <f>IF(ISBLANK('[1]2.Diagnostic Analysis'!K960),"Unknown",'[1]2.Diagnostic Analysis'!K960)</f>
        <v>Delivered</v>
      </c>
    </row>
    <row r="961" spans="1:12" x14ac:dyDescent="0.25">
      <c r="A961" t="s">
        <v>36</v>
      </c>
      <c r="B961" t="s">
        <v>13</v>
      </c>
      <c r="C961" t="str">
        <f>IF(ISBLANK('[1]2.Diagnostic Analysis'!C961),"Unknown",'[1]2.Diagnostic Analysis'!C961)</f>
        <v>South</v>
      </c>
      <c r="D961" t="s">
        <v>14</v>
      </c>
      <c r="E961" t="s">
        <v>15</v>
      </c>
      <c r="F961">
        <f>IF(ISBLANK('[1]2.Diagnostic Analysis'!D961),'[1]2.Diagnostic Analysis'!$Q$3,'[1]2.Diagnostic Analysis'!D961)</f>
        <v>66</v>
      </c>
      <c r="G961">
        <v>300</v>
      </c>
      <c r="H961">
        <v>5</v>
      </c>
      <c r="I961">
        <v>1500</v>
      </c>
      <c r="J961">
        <v>8.06</v>
      </c>
      <c r="K961" s="2">
        <v>45088</v>
      </c>
      <c r="L961" t="str">
        <f>IF(ISBLANK('[1]2.Diagnostic Analysis'!K961),"Unknown",'[1]2.Diagnostic Analysis'!K961)</f>
        <v>Delivered</v>
      </c>
    </row>
    <row r="962" spans="1:12" x14ac:dyDescent="0.25">
      <c r="A962" t="s">
        <v>312</v>
      </c>
      <c r="B962" t="s">
        <v>13</v>
      </c>
      <c r="C962" t="str">
        <f>IF(ISBLANK('[1]2.Diagnostic Analysis'!C962),"Unknown",'[1]2.Diagnostic Analysis'!C962)</f>
        <v>North</v>
      </c>
      <c r="D962" t="s">
        <v>29</v>
      </c>
      <c r="E962" t="s">
        <v>18</v>
      </c>
      <c r="F962">
        <f>IF(ISBLANK('[1]2.Diagnostic Analysis'!D962),'[1]2.Diagnostic Analysis'!$Q$3,'[1]2.Diagnostic Analysis'!D962)</f>
        <v>63</v>
      </c>
      <c r="G962">
        <v>50</v>
      </c>
      <c r="H962">
        <v>5</v>
      </c>
      <c r="I962">
        <v>250</v>
      </c>
      <c r="J962">
        <v>5.88</v>
      </c>
      <c r="K962" s="2">
        <v>44969</v>
      </c>
      <c r="L962" t="str">
        <f>IF(ISBLANK('[1]2.Diagnostic Analysis'!K962),"Unknown",'[1]2.Diagnostic Analysis'!K962)</f>
        <v>Delivered</v>
      </c>
    </row>
    <row r="963" spans="1:12" x14ac:dyDescent="0.25">
      <c r="A963" t="s">
        <v>313</v>
      </c>
      <c r="B963" t="s">
        <v>13</v>
      </c>
      <c r="C963" t="str">
        <f>IF(ISBLANK('[1]2.Diagnostic Analysis'!C963),"Unknown",'[1]2.Diagnostic Analysis'!C963)</f>
        <v>South</v>
      </c>
      <c r="D963" t="s">
        <v>14</v>
      </c>
      <c r="E963" t="s">
        <v>15</v>
      </c>
      <c r="F963">
        <f>IF(ISBLANK('[1]2.Diagnostic Analysis'!D963),'[1]2.Diagnostic Analysis'!$Q$3,'[1]2.Diagnostic Analysis'!D963)</f>
        <v>20</v>
      </c>
      <c r="G963">
        <v>300</v>
      </c>
      <c r="H963">
        <v>1</v>
      </c>
      <c r="I963">
        <v>300</v>
      </c>
      <c r="J963">
        <v>7.32</v>
      </c>
      <c r="K963" s="2">
        <v>45278</v>
      </c>
      <c r="L963" t="str">
        <f>IF(ISBLANK('[1]2.Diagnostic Analysis'!K963),"Unknown",'[1]2.Diagnostic Analysis'!K963)</f>
        <v>Returned</v>
      </c>
    </row>
    <row r="964" spans="1:12" x14ac:dyDescent="0.25">
      <c r="A964" t="s">
        <v>171</v>
      </c>
      <c r="B964" t="s">
        <v>13</v>
      </c>
      <c r="C964" t="str">
        <f>IF(ISBLANK('[1]2.Diagnostic Analysis'!C964),"Unknown",'[1]2.Diagnostic Analysis'!C964)</f>
        <v>South</v>
      </c>
      <c r="D964" t="s">
        <v>40</v>
      </c>
      <c r="E964" t="s">
        <v>15</v>
      </c>
      <c r="F964">
        <f>IF(ISBLANK('[1]2.Diagnostic Analysis'!D964),'[1]2.Diagnostic Analysis'!$Q$3,'[1]2.Diagnostic Analysis'!D964)</f>
        <v>55</v>
      </c>
      <c r="G964">
        <v>800</v>
      </c>
      <c r="H964">
        <v>1</v>
      </c>
      <c r="I964">
        <v>800</v>
      </c>
      <c r="J964">
        <v>18.739999999999998</v>
      </c>
      <c r="K964" s="2">
        <v>45124</v>
      </c>
      <c r="L964" t="str">
        <f>IF(ISBLANK('[1]2.Diagnostic Analysis'!K964),"Unknown",'[1]2.Diagnostic Analysis'!K964)</f>
        <v>Returned</v>
      </c>
    </row>
    <row r="965" spans="1:12" x14ac:dyDescent="0.25">
      <c r="A965" t="s">
        <v>239</v>
      </c>
      <c r="B965" t="s">
        <v>13</v>
      </c>
      <c r="C965" t="str">
        <f>IF(ISBLANK('[1]2.Diagnostic Analysis'!C965),"Unknown",'[1]2.Diagnostic Analysis'!C965)</f>
        <v>East</v>
      </c>
      <c r="D965" t="s">
        <v>23</v>
      </c>
      <c r="E965" t="s">
        <v>15</v>
      </c>
      <c r="F965">
        <f>IF(ISBLANK('[1]2.Diagnostic Analysis'!D965),'[1]2.Diagnostic Analysis'!$Q$3,'[1]2.Diagnostic Analysis'!D965)</f>
        <v>56</v>
      </c>
      <c r="G965">
        <v>1500</v>
      </c>
      <c r="H965">
        <v>2</v>
      </c>
      <c r="I965">
        <v>3000</v>
      </c>
      <c r="J965">
        <v>19.05</v>
      </c>
      <c r="K965" s="2">
        <v>45066</v>
      </c>
      <c r="L965" t="str">
        <f>IF(ISBLANK('[1]2.Diagnostic Analysis'!K965),"Unknown",'[1]2.Diagnostic Analysis'!K965)</f>
        <v>Returned</v>
      </c>
    </row>
    <row r="966" spans="1:12" x14ac:dyDescent="0.25">
      <c r="A966" t="s">
        <v>228</v>
      </c>
      <c r="B966" t="s">
        <v>13</v>
      </c>
      <c r="C966" t="str">
        <f>IF(ISBLANK('[1]2.Diagnostic Analysis'!C966),"Unknown",'[1]2.Diagnostic Analysis'!C966)</f>
        <v>North</v>
      </c>
      <c r="D966" t="s">
        <v>29</v>
      </c>
      <c r="E966" t="s">
        <v>18</v>
      </c>
      <c r="F966">
        <f>IF(ISBLANK('[1]2.Diagnostic Analysis'!D966),'[1]2.Diagnostic Analysis'!$Q$3,'[1]2.Diagnostic Analysis'!D966)</f>
        <v>22</v>
      </c>
      <c r="G966">
        <v>50</v>
      </c>
      <c r="H966">
        <v>4</v>
      </c>
      <c r="I966">
        <v>200</v>
      </c>
      <c r="J966">
        <v>11.99</v>
      </c>
      <c r="K966" s="2">
        <v>44930</v>
      </c>
      <c r="L966" t="str">
        <f>IF(ISBLANK('[1]2.Diagnostic Analysis'!K966),"Unknown",'[1]2.Diagnostic Analysis'!K966)</f>
        <v>Delivered</v>
      </c>
    </row>
    <row r="967" spans="1:12" x14ac:dyDescent="0.25">
      <c r="A967" t="s">
        <v>198</v>
      </c>
      <c r="B967" t="s">
        <v>13</v>
      </c>
      <c r="C967" t="str">
        <f>IF(ISBLANK('[1]2.Diagnostic Analysis'!C967),"Unknown",'[1]2.Diagnostic Analysis'!C967)</f>
        <v>East</v>
      </c>
      <c r="D967" t="s">
        <v>14</v>
      </c>
      <c r="E967" t="s">
        <v>15</v>
      </c>
      <c r="F967">
        <f>IF(ISBLANK('[1]2.Diagnostic Analysis'!D967),'[1]2.Diagnostic Analysis'!$Q$3,'[1]2.Diagnostic Analysis'!D967)</f>
        <v>46</v>
      </c>
      <c r="G967">
        <v>300</v>
      </c>
      <c r="H967">
        <v>1</v>
      </c>
      <c r="I967">
        <v>300</v>
      </c>
      <c r="J967">
        <v>6.17</v>
      </c>
      <c r="K967" s="2">
        <v>45270</v>
      </c>
      <c r="L967" t="str">
        <f>IF(ISBLANK('[1]2.Diagnostic Analysis'!K967),"Unknown",'[1]2.Diagnostic Analysis'!K967)</f>
        <v>In Transit</v>
      </c>
    </row>
    <row r="968" spans="1:12" x14ac:dyDescent="0.25">
      <c r="A968" t="s">
        <v>69</v>
      </c>
      <c r="B968" t="s">
        <v>20</v>
      </c>
      <c r="C968" t="str">
        <f>IF(ISBLANK('[1]2.Diagnostic Analysis'!C968),"Unknown",'[1]2.Diagnostic Analysis'!C968)</f>
        <v>East</v>
      </c>
      <c r="D968" t="s">
        <v>40</v>
      </c>
      <c r="E968" t="s">
        <v>15</v>
      </c>
      <c r="F968">
        <f>IF(ISBLANK('[1]2.Diagnostic Analysis'!D968),'[1]2.Diagnostic Analysis'!$Q$3,'[1]2.Diagnostic Analysis'!D968)</f>
        <v>67</v>
      </c>
      <c r="G968">
        <v>800</v>
      </c>
      <c r="H968">
        <v>3</v>
      </c>
      <c r="I968">
        <v>2400</v>
      </c>
      <c r="J968">
        <v>7.3</v>
      </c>
      <c r="K968" s="2">
        <v>45247</v>
      </c>
      <c r="L968" t="str">
        <f>IF(ISBLANK('[1]2.Diagnostic Analysis'!K968),"Unknown",'[1]2.Diagnostic Analysis'!K968)</f>
        <v>In Transit</v>
      </c>
    </row>
    <row r="969" spans="1:12" x14ac:dyDescent="0.25">
      <c r="A969" t="s">
        <v>69</v>
      </c>
      <c r="B969" t="s">
        <v>20</v>
      </c>
      <c r="C969" t="str">
        <f>IF(ISBLANK('[1]2.Diagnostic Analysis'!C969),"Unknown",'[1]2.Diagnostic Analysis'!C969)</f>
        <v>North</v>
      </c>
      <c r="D969" t="s">
        <v>23</v>
      </c>
      <c r="E969" t="s">
        <v>15</v>
      </c>
      <c r="F969">
        <f>IF(ISBLANK('[1]2.Diagnostic Analysis'!D969),'[1]2.Diagnostic Analysis'!$Q$3,'[1]2.Diagnostic Analysis'!D969)</f>
        <v>67</v>
      </c>
      <c r="G969">
        <v>3109.5606124866499</v>
      </c>
      <c r="H969">
        <v>4</v>
      </c>
      <c r="I969">
        <v>6000</v>
      </c>
      <c r="J969">
        <v>18.27</v>
      </c>
      <c r="K969" s="2">
        <v>45164</v>
      </c>
      <c r="L969" t="str">
        <f>IF(ISBLANK('[1]2.Diagnostic Analysis'!K969),"Unknown",'[1]2.Diagnostic Analysis'!K969)</f>
        <v>Unknown</v>
      </c>
    </row>
    <row r="970" spans="1:12" x14ac:dyDescent="0.25">
      <c r="A970" t="s">
        <v>297</v>
      </c>
      <c r="B970" t="s">
        <v>20</v>
      </c>
      <c r="C970" t="str">
        <f>IF(ISBLANK('[1]2.Diagnostic Analysis'!C970),"Unknown",'[1]2.Diagnostic Analysis'!C970)</f>
        <v>Unknown</v>
      </c>
      <c r="D970" t="s">
        <v>23</v>
      </c>
      <c r="E970" t="s">
        <v>15</v>
      </c>
      <c r="F970">
        <f>IF(ISBLANK('[1]2.Diagnostic Analysis'!D970),'[1]2.Diagnostic Analysis'!$Q$3,'[1]2.Diagnostic Analysis'!D970)</f>
        <v>44</v>
      </c>
      <c r="G970">
        <v>1500</v>
      </c>
      <c r="H970">
        <v>1</v>
      </c>
      <c r="I970">
        <v>1500</v>
      </c>
      <c r="J970">
        <v>12.37</v>
      </c>
      <c r="K970" s="2">
        <v>44967</v>
      </c>
      <c r="L970" t="str">
        <f>IF(ISBLANK('[1]2.Diagnostic Analysis'!K970),"Unknown",'[1]2.Diagnostic Analysis'!K970)</f>
        <v>In Transit</v>
      </c>
    </row>
    <row r="971" spans="1:12" x14ac:dyDescent="0.25">
      <c r="A971" t="s">
        <v>172</v>
      </c>
      <c r="B971" t="s">
        <v>13</v>
      </c>
      <c r="C971" t="str">
        <f>IF(ISBLANK('[1]2.Diagnostic Analysis'!C971),"Unknown",'[1]2.Diagnostic Analysis'!C971)</f>
        <v>South</v>
      </c>
      <c r="D971" t="s">
        <v>25</v>
      </c>
      <c r="E971" t="s">
        <v>26</v>
      </c>
      <c r="F971">
        <f>IF(ISBLANK('[1]2.Diagnostic Analysis'!D971),'[1]2.Diagnostic Analysis'!$Q$3,'[1]2.Diagnostic Analysis'!D971)</f>
        <v>57</v>
      </c>
      <c r="G971">
        <v>200</v>
      </c>
      <c r="H971">
        <v>3</v>
      </c>
      <c r="I971">
        <v>600</v>
      </c>
      <c r="J971">
        <v>5.88</v>
      </c>
      <c r="K971" s="2">
        <v>44936</v>
      </c>
      <c r="L971" t="str">
        <f>IF(ISBLANK('[1]2.Diagnostic Analysis'!K971),"Unknown",'[1]2.Diagnostic Analysis'!K971)</f>
        <v>Delivered</v>
      </c>
    </row>
    <row r="972" spans="1:12" x14ac:dyDescent="0.25">
      <c r="A972" t="s">
        <v>121</v>
      </c>
      <c r="B972" t="s">
        <v>13</v>
      </c>
      <c r="C972" t="str">
        <f>IF(ISBLANK('[1]2.Diagnostic Analysis'!C972),"Unknown",'[1]2.Diagnostic Analysis'!C972)</f>
        <v>North</v>
      </c>
      <c r="D972" t="s">
        <v>29</v>
      </c>
      <c r="E972" t="s">
        <v>18</v>
      </c>
      <c r="F972">
        <f>IF(ISBLANK('[1]2.Diagnostic Analysis'!D972),'[1]2.Diagnostic Analysis'!$Q$3,'[1]2.Diagnostic Analysis'!D972)</f>
        <v>38</v>
      </c>
      <c r="G972">
        <v>50</v>
      </c>
      <c r="H972">
        <v>5</v>
      </c>
      <c r="I972">
        <v>250</v>
      </c>
      <c r="J972">
        <v>12.92</v>
      </c>
      <c r="K972" s="2">
        <v>45126</v>
      </c>
      <c r="L972" t="str">
        <f>IF(ISBLANK('[1]2.Diagnostic Analysis'!K972),"Unknown",'[1]2.Diagnostic Analysis'!K972)</f>
        <v>Returned</v>
      </c>
    </row>
    <row r="973" spans="1:12" x14ac:dyDescent="0.25">
      <c r="A973" t="s">
        <v>62</v>
      </c>
      <c r="B973" t="s">
        <v>20</v>
      </c>
      <c r="C973" t="str">
        <f>IF(ISBLANK('[1]2.Diagnostic Analysis'!C973),"Unknown",'[1]2.Diagnostic Analysis'!C973)</f>
        <v>South</v>
      </c>
      <c r="D973" t="s">
        <v>30</v>
      </c>
      <c r="E973" t="s">
        <v>18</v>
      </c>
      <c r="F973">
        <f>IF(ISBLANK('[1]2.Diagnostic Analysis'!D973),'[1]2.Diagnostic Analysis'!$Q$3,'[1]2.Diagnostic Analysis'!D973)</f>
        <v>58</v>
      </c>
      <c r="G973">
        <v>30</v>
      </c>
      <c r="H973">
        <v>2</v>
      </c>
      <c r="I973">
        <v>60</v>
      </c>
      <c r="J973">
        <v>9.7100000000000009</v>
      </c>
      <c r="K973" s="2">
        <v>45012</v>
      </c>
      <c r="L973" t="str">
        <f>IF(ISBLANK('[1]2.Diagnostic Analysis'!K973),"Unknown",'[1]2.Diagnostic Analysis'!K973)</f>
        <v>Returned</v>
      </c>
    </row>
    <row r="974" spans="1:12" x14ac:dyDescent="0.25">
      <c r="A974" t="s">
        <v>167</v>
      </c>
      <c r="B974" t="s">
        <v>13</v>
      </c>
      <c r="C974" t="str">
        <f>IF(ISBLANK('[1]2.Diagnostic Analysis'!C974),"Unknown",'[1]2.Diagnostic Analysis'!C974)</f>
        <v>Unknown</v>
      </c>
      <c r="D974" t="s">
        <v>25</v>
      </c>
      <c r="E974" t="s">
        <v>26</v>
      </c>
      <c r="F974">
        <f>IF(ISBLANK('[1]2.Diagnostic Analysis'!D974),'[1]2.Diagnostic Analysis'!$Q$3,'[1]2.Diagnostic Analysis'!D974)</f>
        <v>64</v>
      </c>
      <c r="G974">
        <v>200</v>
      </c>
      <c r="H974">
        <v>5</v>
      </c>
      <c r="I974">
        <v>1000</v>
      </c>
      <c r="J974">
        <v>19</v>
      </c>
      <c r="K974" s="2">
        <v>45158</v>
      </c>
      <c r="L974" t="str">
        <f>IF(ISBLANK('[1]2.Diagnostic Analysis'!K974),"Unknown",'[1]2.Diagnostic Analysis'!K974)</f>
        <v>Returned</v>
      </c>
    </row>
    <row r="975" spans="1:12" x14ac:dyDescent="0.25">
      <c r="A975" t="s">
        <v>222</v>
      </c>
      <c r="B975" t="s">
        <v>13</v>
      </c>
      <c r="C975" t="str">
        <f>IF(ISBLANK('[1]2.Diagnostic Analysis'!C975),"Unknown",'[1]2.Diagnostic Analysis'!C975)</f>
        <v>West</v>
      </c>
      <c r="D975" t="s">
        <v>30</v>
      </c>
      <c r="E975" t="s">
        <v>18</v>
      </c>
      <c r="F975">
        <f>IF(ISBLANK('[1]2.Diagnostic Analysis'!D975),'[1]2.Diagnostic Analysis'!$Q$3,'[1]2.Diagnostic Analysis'!D975)</f>
        <v>67</v>
      </c>
      <c r="G975">
        <v>30</v>
      </c>
      <c r="H975">
        <v>3</v>
      </c>
      <c r="I975">
        <v>90</v>
      </c>
      <c r="J975">
        <v>7.63</v>
      </c>
      <c r="K975" s="2">
        <v>45129</v>
      </c>
      <c r="L975" t="str">
        <f>IF(ISBLANK('[1]2.Diagnostic Analysis'!K975),"Unknown",'[1]2.Diagnostic Analysis'!K975)</f>
        <v>Delivered</v>
      </c>
    </row>
    <row r="976" spans="1:12" x14ac:dyDescent="0.25">
      <c r="A976" t="s">
        <v>255</v>
      </c>
      <c r="B976" t="s">
        <v>13</v>
      </c>
      <c r="C976" t="str">
        <f>IF(ISBLANK('[1]2.Diagnostic Analysis'!C976),"Unknown",'[1]2.Diagnostic Analysis'!C976)</f>
        <v>West</v>
      </c>
      <c r="D976" t="s">
        <v>30</v>
      </c>
      <c r="E976" t="s">
        <v>18</v>
      </c>
      <c r="F976">
        <f>IF(ISBLANK('[1]2.Diagnostic Analysis'!D976),'[1]2.Diagnostic Analysis'!$Q$3,'[1]2.Diagnostic Analysis'!D976)</f>
        <v>39</v>
      </c>
      <c r="G976">
        <v>30</v>
      </c>
      <c r="H976">
        <v>5</v>
      </c>
      <c r="I976">
        <v>150</v>
      </c>
      <c r="J976">
        <v>5.6</v>
      </c>
      <c r="K976" s="2">
        <v>45209</v>
      </c>
      <c r="L976" t="str">
        <f>IF(ISBLANK('[1]2.Diagnostic Analysis'!K976),"Unknown",'[1]2.Diagnostic Analysis'!K976)</f>
        <v>Returned</v>
      </c>
    </row>
    <row r="977" spans="1:12" x14ac:dyDescent="0.25">
      <c r="A977" t="s">
        <v>73</v>
      </c>
      <c r="B977" t="s">
        <v>13</v>
      </c>
      <c r="C977" t="str">
        <f>IF(ISBLANK('[1]2.Diagnostic Analysis'!C977),"Unknown",'[1]2.Diagnostic Analysis'!C977)</f>
        <v>West</v>
      </c>
      <c r="D977" t="s">
        <v>29</v>
      </c>
      <c r="E977" t="s">
        <v>18</v>
      </c>
      <c r="F977">
        <f>IF(ISBLANK('[1]2.Diagnostic Analysis'!D977),'[1]2.Diagnostic Analysis'!$Q$3,'[1]2.Diagnostic Analysis'!D977)</f>
        <v>51</v>
      </c>
      <c r="G977">
        <v>50</v>
      </c>
      <c r="H977">
        <v>4</v>
      </c>
      <c r="I977">
        <v>200</v>
      </c>
      <c r="J977">
        <v>19.420000000000002</v>
      </c>
      <c r="K977" s="2">
        <v>45076</v>
      </c>
      <c r="L977" t="str">
        <f>IF(ISBLANK('[1]2.Diagnostic Analysis'!K977),"Unknown",'[1]2.Diagnostic Analysis'!K977)</f>
        <v>In Transit</v>
      </c>
    </row>
    <row r="978" spans="1:12" x14ac:dyDescent="0.25">
      <c r="A978" t="s">
        <v>258</v>
      </c>
      <c r="B978" t="s">
        <v>20</v>
      </c>
      <c r="C978" t="str">
        <f>IF(ISBLANK('[1]2.Diagnostic Analysis'!C978),"Unknown",'[1]2.Diagnostic Analysis'!C978)</f>
        <v>East</v>
      </c>
      <c r="D978" t="s">
        <v>25</v>
      </c>
      <c r="E978" t="s">
        <v>26</v>
      </c>
      <c r="F978">
        <f>IF(ISBLANK('[1]2.Diagnostic Analysis'!D978),'[1]2.Diagnostic Analysis'!$Q$3,'[1]2.Diagnostic Analysis'!D978)</f>
        <v>55</v>
      </c>
      <c r="G978">
        <v>200</v>
      </c>
      <c r="H978">
        <v>5</v>
      </c>
      <c r="I978">
        <v>1000</v>
      </c>
      <c r="J978">
        <v>13.29</v>
      </c>
      <c r="K978" s="2">
        <v>45215</v>
      </c>
      <c r="L978" t="str">
        <f>IF(ISBLANK('[1]2.Diagnostic Analysis'!K978),"Unknown",'[1]2.Diagnostic Analysis'!K978)</f>
        <v>Delivered</v>
      </c>
    </row>
    <row r="979" spans="1:12" x14ac:dyDescent="0.25">
      <c r="A979" t="s">
        <v>271</v>
      </c>
      <c r="B979" t="s">
        <v>20</v>
      </c>
      <c r="C979" t="str">
        <f>IF(ISBLANK('[1]2.Diagnostic Analysis'!C979),"Unknown",'[1]2.Diagnostic Analysis'!C979)</f>
        <v>East</v>
      </c>
      <c r="D979" t="s">
        <v>30</v>
      </c>
      <c r="E979" t="s">
        <v>18</v>
      </c>
      <c r="F979">
        <f>IF(ISBLANK('[1]2.Diagnostic Analysis'!D979),'[1]2.Diagnostic Analysis'!$Q$3,'[1]2.Diagnostic Analysis'!D979)</f>
        <v>49</v>
      </c>
      <c r="G979">
        <v>30</v>
      </c>
      <c r="H979">
        <v>3</v>
      </c>
      <c r="I979">
        <v>90</v>
      </c>
      <c r="J979">
        <v>15.46</v>
      </c>
      <c r="K979" s="2">
        <v>45050</v>
      </c>
      <c r="L979" t="str">
        <f>IF(ISBLANK('[1]2.Diagnostic Analysis'!K979),"Unknown",'[1]2.Diagnostic Analysis'!K979)</f>
        <v>In Transit</v>
      </c>
    </row>
    <row r="980" spans="1:12" x14ac:dyDescent="0.25">
      <c r="A980" t="s">
        <v>208</v>
      </c>
      <c r="B980" t="s">
        <v>13</v>
      </c>
      <c r="C980" t="str">
        <f>IF(ISBLANK('[1]2.Diagnostic Analysis'!C980),"Unknown",'[1]2.Diagnostic Analysis'!C980)</f>
        <v>West</v>
      </c>
      <c r="D980" t="s">
        <v>30</v>
      </c>
      <c r="E980" t="s">
        <v>18</v>
      </c>
      <c r="F980">
        <f>IF(ISBLANK('[1]2.Diagnostic Analysis'!D980),'[1]2.Diagnostic Analysis'!$Q$3,'[1]2.Diagnostic Analysis'!D980)</f>
        <v>26</v>
      </c>
      <c r="G980">
        <v>30</v>
      </c>
      <c r="H980">
        <v>2</v>
      </c>
      <c r="I980">
        <v>60</v>
      </c>
      <c r="J980">
        <v>16.34</v>
      </c>
      <c r="K980" s="2">
        <v>45232</v>
      </c>
      <c r="L980" t="str">
        <f>IF(ISBLANK('[1]2.Diagnostic Analysis'!K980),"Unknown",'[1]2.Diagnostic Analysis'!K980)</f>
        <v>Returned</v>
      </c>
    </row>
    <row r="981" spans="1:12" x14ac:dyDescent="0.25">
      <c r="A981" t="s">
        <v>36</v>
      </c>
      <c r="B981" t="s">
        <v>20</v>
      </c>
      <c r="C981" t="str">
        <f>IF(ISBLANK('[1]2.Diagnostic Analysis'!C981),"Unknown",'[1]2.Diagnostic Analysis'!C981)</f>
        <v>North</v>
      </c>
      <c r="D981" t="s">
        <v>17</v>
      </c>
      <c r="E981" t="s">
        <v>18</v>
      </c>
      <c r="F981">
        <f>IF(ISBLANK('[1]2.Diagnostic Analysis'!D981),'[1]2.Diagnostic Analysis'!$Q$3,'[1]2.Diagnostic Analysis'!D981)</f>
        <v>66</v>
      </c>
      <c r="G981">
        <v>100</v>
      </c>
      <c r="H981">
        <v>4</v>
      </c>
      <c r="I981">
        <v>400</v>
      </c>
      <c r="J981">
        <v>7.41</v>
      </c>
      <c r="K981" s="2">
        <v>44935</v>
      </c>
      <c r="L981" t="str">
        <f>IF(ISBLANK('[1]2.Diagnostic Analysis'!K981),"Unknown",'[1]2.Diagnostic Analysis'!K981)</f>
        <v>Delivered</v>
      </c>
    </row>
    <row r="982" spans="1:12" x14ac:dyDescent="0.25">
      <c r="A982" t="s">
        <v>295</v>
      </c>
      <c r="B982" t="s">
        <v>20</v>
      </c>
      <c r="C982" t="str">
        <f>IF(ISBLANK('[1]2.Diagnostic Analysis'!C982),"Unknown",'[1]2.Diagnostic Analysis'!C982)</f>
        <v>West</v>
      </c>
      <c r="D982" t="s">
        <v>14</v>
      </c>
      <c r="E982" t="s">
        <v>15</v>
      </c>
      <c r="F982">
        <f>IF(ISBLANK('[1]2.Diagnostic Analysis'!D982),'[1]2.Diagnostic Analysis'!$Q$3,'[1]2.Diagnostic Analysis'!D982)</f>
        <v>39</v>
      </c>
      <c r="G982">
        <v>300</v>
      </c>
      <c r="H982">
        <v>1</v>
      </c>
      <c r="I982">
        <v>300</v>
      </c>
      <c r="J982">
        <v>13.28</v>
      </c>
      <c r="K982" s="2">
        <v>44977</v>
      </c>
      <c r="L982" t="str">
        <f>IF(ISBLANK('[1]2.Diagnostic Analysis'!K982),"Unknown",'[1]2.Diagnostic Analysis'!K982)</f>
        <v>Delivered</v>
      </c>
    </row>
    <row r="983" spans="1:12" x14ac:dyDescent="0.25">
      <c r="A983" t="s">
        <v>93</v>
      </c>
      <c r="B983" t="s">
        <v>13</v>
      </c>
      <c r="C983" t="str">
        <f>IF(ISBLANK('[1]2.Diagnostic Analysis'!C983),"Unknown",'[1]2.Diagnostic Analysis'!C983)</f>
        <v>East</v>
      </c>
      <c r="D983" t="s">
        <v>40</v>
      </c>
      <c r="E983" t="s">
        <v>15</v>
      </c>
      <c r="F983">
        <f>IF(ISBLANK('[1]2.Diagnostic Analysis'!D983),'[1]2.Diagnostic Analysis'!$Q$3,'[1]2.Diagnostic Analysis'!D983)</f>
        <v>47</v>
      </c>
      <c r="G983">
        <v>800</v>
      </c>
      <c r="H983">
        <v>4</v>
      </c>
      <c r="I983">
        <v>3200</v>
      </c>
      <c r="J983">
        <v>8.8800000000000008</v>
      </c>
      <c r="K983" s="2">
        <v>45138</v>
      </c>
      <c r="L983" t="str">
        <f>IF(ISBLANK('[1]2.Diagnostic Analysis'!K983),"Unknown",'[1]2.Diagnostic Analysis'!K983)</f>
        <v>In Transit</v>
      </c>
    </row>
    <row r="984" spans="1:12" x14ac:dyDescent="0.25">
      <c r="A984" t="s">
        <v>224</v>
      </c>
      <c r="B984" t="s">
        <v>13</v>
      </c>
      <c r="C984" t="str">
        <f>IF(ISBLANK('[1]2.Diagnostic Analysis'!C984),"Unknown",'[1]2.Diagnostic Analysis'!C984)</f>
        <v>East</v>
      </c>
      <c r="D984" t="s">
        <v>25</v>
      </c>
      <c r="E984" t="s">
        <v>26</v>
      </c>
      <c r="F984">
        <f>IF(ISBLANK('[1]2.Diagnostic Analysis'!D984),'[1]2.Diagnostic Analysis'!$Q$3,'[1]2.Diagnostic Analysis'!D984)</f>
        <v>34</v>
      </c>
      <c r="G984">
        <v>200</v>
      </c>
      <c r="H984">
        <v>3</v>
      </c>
      <c r="I984">
        <v>600</v>
      </c>
      <c r="J984">
        <v>5.87</v>
      </c>
      <c r="K984" s="2">
        <v>45102</v>
      </c>
      <c r="L984" t="str">
        <f>IF(ISBLANK('[1]2.Diagnostic Analysis'!K984),"Unknown",'[1]2.Diagnostic Analysis'!K984)</f>
        <v>Returned</v>
      </c>
    </row>
    <row r="985" spans="1:12" x14ac:dyDescent="0.25">
      <c r="A985" t="s">
        <v>139</v>
      </c>
      <c r="B985" t="s">
        <v>13</v>
      </c>
      <c r="C985" t="str">
        <f>IF(ISBLANK('[1]2.Diagnostic Analysis'!C985),"Unknown",'[1]2.Diagnostic Analysis'!C985)</f>
        <v>Unknown</v>
      </c>
      <c r="D985" t="s">
        <v>17</v>
      </c>
      <c r="E985" t="s">
        <v>18</v>
      </c>
      <c r="F985">
        <f>IF(ISBLANK('[1]2.Diagnostic Analysis'!D985),'[1]2.Diagnostic Analysis'!$Q$3,'[1]2.Diagnostic Analysis'!D985)</f>
        <v>35</v>
      </c>
      <c r="G985">
        <v>100</v>
      </c>
      <c r="H985">
        <v>4</v>
      </c>
      <c r="I985">
        <v>400</v>
      </c>
      <c r="J985">
        <v>11.97</v>
      </c>
      <c r="K985" s="2">
        <v>45000</v>
      </c>
      <c r="L985" t="str">
        <f>IF(ISBLANK('[1]2.Diagnostic Analysis'!K985),"Unknown",'[1]2.Diagnostic Analysis'!K985)</f>
        <v>In Transit</v>
      </c>
    </row>
    <row r="986" spans="1:12" x14ac:dyDescent="0.25">
      <c r="A986" t="s">
        <v>166</v>
      </c>
      <c r="B986" t="s">
        <v>13</v>
      </c>
      <c r="C986" t="str">
        <f>IF(ISBLANK('[1]2.Diagnostic Analysis'!C986),"Unknown",'[1]2.Diagnostic Analysis'!C986)</f>
        <v>West</v>
      </c>
      <c r="D986" t="s">
        <v>17</v>
      </c>
      <c r="E986" t="s">
        <v>18</v>
      </c>
      <c r="F986">
        <f>IF(ISBLANK('[1]2.Diagnostic Analysis'!D986),'[1]2.Diagnostic Analysis'!$Q$3,'[1]2.Diagnostic Analysis'!D986)</f>
        <v>43</v>
      </c>
      <c r="G986">
        <v>100</v>
      </c>
      <c r="H986">
        <v>2</v>
      </c>
      <c r="I986">
        <v>200</v>
      </c>
      <c r="J986">
        <v>15.85</v>
      </c>
      <c r="K986" s="2">
        <v>45207</v>
      </c>
      <c r="L986" t="str">
        <f>IF(ISBLANK('[1]2.Diagnostic Analysis'!K986),"Unknown",'[1]2.Diagnostic Analysis'!K986)</f>
        <v>Returned</v>
      </c>
    </row>
    <row r="987" spans="1:12" x14ac:dyDescent="0.25">
      <c r="A987" t="s">
        <v>263</v>
      </c>
      <c r="B987" t="s">
        <v>20</v>
      </c>
      <c r="C987" t="str">
        <f>IF(ISBLANK('[1]2.Diagnostic Analysis'!C987),"Unknown",'[1]2.Diagnostic Analysis'!C987)</f>
        <v>North</v>
      </c>
      <c r="D987" t="s">
        <v>29</v>
      </c>
      <c r="E987" t="s">
        <v>18</v>
      </c>
      <c r="F987">
        <f>IF(ISBLANK('[1]2.Diagnostic Analysis'!D987),'[1]2.Diagnostic Analysis'!$Q$3,'[1]2.Diagnostic Analysis'!D987)</f>
        <v>64</v>
      </c>
      <c r="G987">
        <v>50</v>
      </c>
      <c r="H987">
        <v>5</v>
      </c>
      <c r="I987">
        <v>250</v>
      </c>
      <c r="J987">
        <v>13.3</v>
      </c>
      <c r="K987" s="2">
        <v>45109</v>
      </c>
      <c r="L987" t="str">
        <f>IF(ISBLANK('[1]2.Diagnostic Analysis'!K987),"Unknown",'[1]2.Diagnostic Analysis'!K987)</f>
        <v>Returned</v>
      </c>
    </row>
    <row r="988" spans="1:12" x14ac:dyDescent="0.25">
      <c r="A988" t="s">
        <v>262</v>
      </c>
      <c r="B988" t="s">
        <v>20</v>
      </c>
      <c r="C988" t="str">
        <f>IF(ISBLANK('[1]2.Diagnostic Analysis'!C988),"Unknown",'[1]2.Diagnostic Analysis'!C988)</f>
        <v>East</v>
      </c>
      <c r="D988" t="s">
        <v>14</v>
      </c>
      <c r="E988" t="s">
        <v>15</v>
      </c>
      <c r="F988">
        <f>IF(ISBLANK('[1]2.Diagnostic Analysis'!D988),'[1]2.Diagnostic Analysis'!$Q$3,'[1]2.Diagnostic Analysis'!D988)</f>
        <v>40</v>
      </c>
      <c r="G988">
        <v>300</v>
      </c>
      <c r="H988">
        <v>4</v>
      </c>
      <c r="I988">
        <v>1200</v>
      </c>
      <c r="J988">
        <v>17.21</v>
      </c>
      <c r="K988" s="2">
        <v>45137</v>
      </c>
      <c r="L988" t="str">
        <f>IF(ISBLANK('[1]2.Diagnostic Analysis'!K988),"Unknown",'[1]2.Diagnostic Analysis'!K988)</f>
        <v>In Transit</v>
      </c>
    </row>
    <row r="989" spans="1:12" x14ac:dyDescent="0.25">
      <c r="A989" t="s">
        <v>314</v>
      </c>
      <c r="B989" t="s">
        <v>20</v>
      </c>
      <c r="C989" t="str">
        <f>IF(ISBLANK('[1]2.Diagnostic Analysis'!C989),"Unknown",'[1]2.Diagnostic Analysis'!C989)</f>
        <v>Unknown</v>
      </c>
      <c r="D989" t="s">
        <v>30</v>
      </c>
      <c r="E989" t="s">
        <v>18</v>
      </c>
      <c r="F989">
        <f>IF(ISBLANK('[1]2.Diagnostic Analysis'!D989),'[1]2.Diagnostic Analysis'!$Q$3,'[1]2.Diagnostic Analysis'!D989)</f>
        <v>54</v>
      </c>
      <c r="G989">
        <v>30</v>
      </c>
      <c r="H989">
        <v>2</v>
      </c>
      <c r="I989">
        <v>60</v>
      </c>
      <c r="J989">
        <v>19.03</v>
      </c>
      <c r="K989" s="2">
        <v>44937</v>
      </c>
      <c r="L989" t="str">
        <f>IF(ISBLANK('[1]2.Diagnostic Analysis'!K989),"Unknown",'[1]2.Diagnostic Analysis'!K989)</f>
        <v>In Transit</v>
      </c>
    </row>
    <row r="990" spans="1:12" x14ac:dyDescent="0.25">
      <c r="A990" t="s">
        <v>62</v>
      </c>
      <c r="B990" t="s">
        <v>20</v>
      </c>
      <c r="C990" t="str">
        <f>IF(ISBLANK('[1]2.Diagnostic Analysis'!C990),"Unknown",'[1]2.Diagnostic Analysis'!C990)</f>
        <v>North</v>
      </c>
      <c r="D990" t="s">
        <v>25</v>
      </c>
      <c r="E990" t="s">
        <v>26</v>
      </c>
      <c r="F990">
        <f>IF(ISBLANK('[1]2.Diagnostic Analysis'!D990),'[1]2.Diagnostic Analysis'!$Q$3,'[1]2.Diagnostic Analysis'!D990)</f>
        <v>58</v>
      </c>
      <c r="G990">
        <v>200</v>
      </c>
      <c r="H990">
        <v>4</v>
      </c>
      <c r="I990">
        <v>800</v>
      </c>
      <c r="J990">
        <v>9.43</v>
      </c>
      <c r="K990" s="2">
        <v>45141</v>
      </c>
      <c r="L990" t="str">
        <f>IF(ISBLANK('[1]2.Diagnostic Analysis'!K990),"Unknown",'[1]2.Diagnostic Analysis'!K990)</f>
        <v>Returned</v>
      </c>
    </row>
    <row r="991" spans="1:12" x14ac:dyDescent="0.25">
      <c r="A991" t="s">
        <v>241</v>
      </c>
      <c r="B991" t="s">
        <v>13</v>
      </c>
      <c r="C991" t="str">
        <f>IF(ISBLANK('[1]2.Diagnostic Analysis'!C991),"Unknown",'[1]2.Diagnostic Analysis'!C991)</f>
        <v>North</v>
      </c>
      <c r="D991" t="s">
        <v>25</v>
      </c>
      <c r="E991" t="s">
        <v>26</v>
      </c>
      <c r="F991">
        <f>IF(ISBLANK('[1]2.Diagnostic Analysis'!D991),'[1]2.Diagnostic Analysis'!$Q$3,'[1]2.Diagnostic Analysis'!D991)</f>
        <v>52</v>
      </c>
      <c r="G991">
        <v>200</v>
      </c>
      <c r="H991">
        <v>2</v>
      </c>
      <c r="I991">
        <v>400</v>
      </c>
      <c r="J991">
        <v>5.97</v>
      </c>
      <c r="K991" s="2">
        <v>45194</v>
      </c>
      <c r="L991" t="str">
        <f>IF(ISBLANK('[1]2.Diagnostic Analysis'!K991),"Unknown",'[1]2.Diagnostic Analysis'!K991)</f>
        <v>In Transit</v>
      </c>
    </row>
    <row r="992" spans="1:12" x14ac:dyDescent="0.25">
      <c r="A992" t="s">
        <v>293</v>
      </c>
      <c r="B992" t="s">
        <v>20</v>
      </c>
      <c r="C992" t="str">
        <f>IF(ISBLANK('[1]2.Diagnostic Analysis'!C992),"Unknown",'[1]2.Diagnostic Analysis'!C992)</f>
        <v>North</v>
      </c>
      <c r="D992" t="s">
        <v>23</v>
      </c>
      <c r="E992" t="s">
        <v>15</v>
      </c>
      <c r="F992">
        <f>IF(ISBLANK('[1]2.Diagnostic Analysis'!D992),'[1]2.Diagnostic Analysis'!$Q$3,'[1]2.Diagnostic Analysis'!D992)</f>
        <v>49</v>
      </c>
      <c r="G992">
        <v>1500</v>
      </c>
      <c r="H992">
        <v>5</v>
      </c>
      <c r="I992">
        <v>7500</v>
      </c>
      <c r="J992">
        <v>5.1100000000000003</v>
      </c>
      <c r="K992" s="2">
        <v>45260</v>
      </c>
      <c r="L992" t="str">
        <f>IF(ISBLANK('[1]2.Diagnostic Analysis'!K992),"Unknown",'[1]2.Diagnostic Analysis'!K992)</f>
        <v>Returned</v>
      </c>
    </row>
    <row r="993" spans="1:12" x14ac:dyDescent="0.25">
      <c r="A993" t="s">
        <v>315</v>
      </c>
      <c r="B993" t="s">
        <v>13</v>
      </c>
      <c r="C993" t="str">
        <f>IF(ISBLANK('[1]2.Diagnostic Analysis'!C993),"Unknown",'[1]2.Diagnostic Analysis'!C993)</f>
        <v>South</v>
      </c>
      <c r="D993" t="s">
        <v>30</v>
      </c>
      <c r="E993" t="s">
        <v>18</v>
      </c>
      <c r="F993">
        <f>IF(ISBLANK('[1]2.Diagnostic Analysis'!D993),'[1]2.Diagnostic Analysis'!$Q$3,'[1]2.Diagnostic Analysis'!D993)</f>
        <v>18</v>
      </c>
      <c r="G993">
        <v>30</v>
      </c>
      <c r="H993">
        <v>3</v>
      </c>
      <c r="I993">
        <v>90</v>
      </c>
      <c r="J993">
        <v>11.7</v>
      </c>
      <c r="K993" s="2">
        <v>45219</v>
      </c>
      <c r="L993" t="str">
        <f>IF(ISBLANK('[1]2.Diagnostic Analysis'!K993),"Unknown",'[1]2.Diagnostic Analysis'!K993)</f>
        <v>Unknown</v>
      </c>
    </row>
    <row r="994" spans="1:12" x14ac:dyDescent="0.25">
      <c r="A994" t="s">
        <v>158</v>
      </c>
      <c r="B994" t="s">
        <v>13</v>
      </c>
      <c r="C994" t="str">
        <f>IF(ISBLANK('[1]2.Diagnostic Analysis'!C994),"Unknown",'[1]2.Diagnostic Analysis'!C994)</f>
        <v>East</v>
      </c>
      <c r="D994" t="s">
        <v>17</v>
      </c>
      <c r="E994" t="s">
        <v>18</v>
      </c>
      <c r="F994">
        <f>IF(ISBLANK('[1]2.Diagnostic Analysis'!D994),'[1]2.Diagnostic Analysis'!$Q$3,'[1]2.Diagnostic Analysis'!D994)</f>
        <v>32</v>
      </c>
      <c r="G994">
        <v>100</v>
      </c>
      <c r="H994">
        <v>5</v>
      </c>
      <c r="I994">
        <v>500</v>
      </c>
      <c r="J994">
        <v>12.38</v>
      </c>
      <c r="K994" s="2">
        <v>44927</v>
      </c>
      <c r="L994" t="str">
        <f>IF(ISBLANK('[1]2.Diagnostic Analysis'!K994),"Unknown",'[1]2.Diagnostic Analysis'!K994)</f>
        <v>Returned</v>
      </c>
    </row>
    <row r="995" spans="1:12" x14ac:dyDescent="0.25">
      <c r="A995" t="s">
        <v>242</v>
      </c>
      <c r="B995" t="s">
        <v>20</v>
      </c>
      <c r="C995" t="str">
        <f>IF(ISBLANK('[1]2.Diagnostic Analysis'!C995),"Unknown",'[1]2.Diagnostic Analysis'!C995)</f>
        <v>North</v>
      </c>
      <c r="D995" t="s">
        <v>40</v>
      </c>
      <c r="E995" t="s">
        <v>15</v>
      </c>
      <c r="F995">
        <f>IF(ISBLANK('[1]2.Diagnostic Analysis'!D995),'[1]2.Diagnostic Analysis'!$Q$3,'[1]2.Diagnostic Analysis'!D995)</f>
        <v>68</v>
      </c>
      <c r="G995">
        <v>800</v>
      </c>
      <c r="H995">
        <v>4</v>
      </c>
      <c r="I995">
        <v>3200</v>
      </c>
      <c r="J995">
        <v>17.32</v>
      </c>
      <c r="K995" s="2">
        <v>45143</v>
      </c>
      <c r="L995" t="str">
        <f>IF(ISBLANK('[1]2.Diagnostic Analysis'!K995),"Unknown",'[1]2.Diagnostic Analysis'!K995)</f>
        <v>Returned</v>
      </c>
    </row>
    <row r="996" spans="1:12" x14ac:dyDescent="0.25">
      <c r="A996" t="s">
        <v>302</v>
      </c>
      <c r="B996" t="s">
        <v>13</v>
      </c>
      <c r="C996" t="str">
        <f>IF(ISBLANK('[1]2.Diagnostic Analysis'!C996),"Unknown",'[1]2.Diagnostic Analysis'!C996)</f>
        <v>West</v>
      </c>
      <c r="D996" t="s">
        <v>25</v>
      </c>
      <c r="E996" t="s">
        <v>26</v>
      </c>
      <c r="F996">
        <f>IF(ISBLANK('[1]2.Diagnostic Analysis'!D996),'[1]2.Diagnostic Analysis'!$Q$3,'[1]2.Diagnostic Analysis'!D996)</f>
        <v>26</v>
      </c>
      <c r="G996">
        <v>200</v>
      </c>
      <c r="H996">
        <v>2</v>
      </c>
      <c r="I996">
        <v>400</v>
      </c>
      <c r="J996">
        <v>7.14</v>
      </c>
      <c r="K996" s="2">
        <v>44930</v>
      </c>
      <c r="L996" t="str">
        <f>IF(ISBLANK('[1]2.Diagnostic Analysis'!K996),"Unknown",'[1]2.Diagnostic Analysis'!K996)</f>
        <v>Returned</v>
      </c>
    </row>
    <row r="997" spans="1:12" x14ac:dyDescent="0.25">
      <c r="A997" t="s">
        <v>32</v>
      </c>
      <c r="B997" t="s">
        <v>20</v>
      </c>
      <c r="C997" t="str">
        <f>IF(ISBLANK('[1]2.Diagnostic Analysis'!C997),"Unknown",'[1]2.Diagnostic Analysis'!C997)</f>
        <v>South</v>
      </c>
      <c r="D997" t="s">
        <v>17</v>
      </c>
      <c r="E997" t="s">
        <v>18</v>
      </c>
      <c r="F997">
        <f>IF(ISBLANK('[1]2.Diagnostic Analysis'!D997),'[1]2.Diagnostic Analysis'!$Q$3,'[1]2.Diagnostic Analysis'!D997)</f>
        <v>49</v>
      </c>
      <c r="G997">
        <v>100</v>
      </c>
      <c r="H997">
        <v>1</v>
      </c>
      <c r="I997">
        <v>100</v>
      </c>
      <c r="J997">
        <v>17.21</v>
      </c>
      <c r="K997" s="2">
        <v>44931</v>
      </c>
      <c r="L997" t="str">
        <f>IF(ISBLANK('[1]2.Diagnostic Analysis'!K997),"Unknown",'[1]2.Diagnostic Analysis'!K997)</f>
        <v>In Transit</v>
      </c>
    </row>
    <row r="998" spans="1:12" x14ac:dyDescent="0.25">
      <c r="A998" t="s">
        <v>93</v>
      </c>
      <c r="B998" t="s">
        <v>13</v>
      </c>
      <c r="C998" t="str">
        <f>IF(ISBLANK('[1]2.Diagnostic Analysis'!C998),"Unknown",'[1]2.Diagnostic Analysis'!C998)</f>
        <v>East</v>
      </c>
      <c r="D998" t="s">
        <v>23</v>
      </c>
      <c r="E998" t="s">
        <v>15</v>
      </c>
      <c r="F998">
        <f>IF(ISBLANK('[1]2.Diagnostic Analysis'!D998),'[1]2.Diagnostic Analysis'!$Q$3,'[1]2.Diagnostic Analysis'!D998)</f>
        <v>47</v>
      </c>
      <c r="G998">
        <v>1500</v>
      </c>
      <c r="H998">
        <v>1</v>
      </c>
      <c r="I998">
        <v>1500</v>
      </c>
      <c r="J998">
        <v>19.190000000000001</v>
      </c>
      <c r="K998" s="2">
        <v>45017</v>
      </c>
      <c r="L998" t="str">
        <f>IF(ISBLANK('[1]2.Diagnostic Analysis'!K998),"Unknown",'[1]2.Diagnostic Analysis'!K998)</f>
        <v>Delivered</v>
      </c>
    </row>
    <row r="999" spans="1:12" x14ac:dyDescent="0.25">
      <c r="A999" t="s">
        <v>197</v>
      </c>
      <c r="B999" t="s">
        <v>20</v>
      </c>
      <c r="C999" t="str">
        <f>IF(ISBLANK('[1]2.Diagnostic Analysis'!C999),"Unknown",'[1]2.Diagnostic Analysis'!C999)</f>
        <v>North</v>
      </c>
      <c r="D999" t="s">
        <v>30</v>
      </c>
      <c r="E999" t="s">
        <v>18</v>
      </c>
      <c r="F999">
        <f>IF(ISBLANK('[1]2.Diagnostic Analysis'!D999),'[1]2.Diagnostic Analysis'!$Q$3,'[1]2.Diagnostic Analysis'!D999)</f>
        <v>49</v>
      </c>
      <c r="G999">
        <v>30</v>
      </c>
      <c r="H999">
        <v>5</v>
      </c>
      <c r="I999">
        <v>150</v>
      </c>
      <c r="J999">
        <v>19.350000000000001</v>
      </c>
      <c r="K999" s="2">
        <v>45219</v>
      </c>
      <c r="L999" t="str">
        <f>IF(ISBLANK('[1]2.Diagnostic Analysis'!K999),"Unknown",'[1]2.Diagnostic Analysis'!K999)</f>
        <v>Delivered</v>
      </c>
    </row>
    <row r="1000" spans="1:12" x14ac:dyDescent="0.25">
      <c r="A1000" t="s">
        <v>31</v>
      </c>
      <c r="B1000" t="s">
        <v>20</v>
      </c>
      <c r="C1000" t="str">
        <f>IF(ISBLANK('[1]2.Diagnostic Analysis'!C1000),"Unknown",'[1]2.Diagnostic Analysis'!C1000)</f>
        <v>South</v>
      </c>
      <c r="D1000" t="s">
        <v>23</v>
      </c>
      <c r="E1000" t="s">
        <v>15</v>
      </c>
      <c r="F1000">
        <f>IF(ISBLANK('[1]2.Diagnostic Analysis'!D1000),'[1]2.Diagnostic Analysis'!$Q$3,'[1]2.Diagnostic Analysis'!D1000)</f>
        <v>29</v>
      </c>
      <c r="G1000">
        <v>1500</v>
      </c>
      <c r="H1000">
        <v>5</v>
      </c>
      <c r="I1000">
        <v>7500</v>
      </c>
      <c r="J1000">
        <v>10.36</v>
      </c>
      <c r="K1000" s="2">
        <v>44933</v>
      </c>
      <c r="L1000" t="str">
        <f>IF(ISBLANK('[1]2.Diagnostic Analysis'!K1000),"Unknown",'[1]2.Diagnostic Analysis'!K1000)</f>
        <v>Returned</v>
      </c>
    </row>
    <row r="1001" spans="1:12" x14ac:dyDescent="0.25">
      <c r="A1001" t="s">
        <v>311</v>
      </c>
      <c r="B1001" t="s">
        <v>13</v>
      </c>
      <c r="C1001" t="str">
        <f>IF(ISBLANK('[1]2.Diagnostic Analysis'!C1001),"Unknown",'[1]2.Diagnostic Analysis'!C1001)</f>
        <v>Unknown</v>
      </c>
      <c r="D1001" t="s">
        <v>25</v>
      </c>
      <c r="E1001" t="s">
        <v>26</v>
      </c>
      <c r="F1001">
        <f>IF(ISBLANK('[1]2.Diagnostic Analysis'!D1001),'[1]2.Diagnostic Analysis'!$Q$3,'[1]2.Diagnostic Analysis'!D1001)</f>
        <v>29</v>
      </c>
      <c r="G1001">
        <v>200</v>
      </c>
      <c r="H1001">
        <v>1</v>
      </c>
      <c r="I1001">
        <v>200</v>
      </c>
      <c r="J1001">
        <v>7.53</v>
      </c>
      <c r="K1001" s="2">
        <v>44956</v>
      </c>
      <c r="L1001" t="str">
        <f>IF(ISBLANK('[1]2.Diagnostic Analysis'!K1001),"Unknown",'[1]2.Diagnostic Analysis'!K1001)</f>
        <v>Delivered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CE22A-632B-447D-B5B8-957D25A73DC2}">
  <dimension ref="A1:I50"/>
  <sheetViews>
    <sheetView tabSelected="1" topLeftCell="A47" workbookViewId="0">
      <selection activeCell="K46" sqref="K46"/>
    </sheetView>
  </sheetViews>
  <sheetFormatPr defaultRowHeight="15" x14ac:dyDescent="0.25"/>
  <cols>
    <col min="1" max="1" width="21.140625" bestFit="1" customWidth="1"/>
    <col min="2" max="2" width="19" bestFit="1" customWidth="1"/>
    <col min="3" max="3" width="11.85546875" bestFit="1" customWidth="1"/>
    <col min="4" max="4" width="23" bestFit="1" customWidth="1"/>
    <col min="6" max="6" width="13.42578125" bestFit="1" customWidth="1"/>
    <col min="7" max="7" width="15.5703125" bestFit="1" customWidth="1"/>
  </cols>
  <sheetData>
    <row r="1" spans="1:6" x14ac:dyDescent="0.25">
      <c r="A1" s="3" t="s">
        <v>316</v>
      </c>
      <c r="B1" t="s">
        <v>318</v>
      </c>
    </row>
    <row r="2" spans="1:6" x14ac:dyDescent="0.25">
      <c r="A2" s="4" t="s">
        <v>18</v>
      </c>
      <c r="B2" s="5">
        <v>1228</v>
      </c>
      <c r="C2" s="13" t="s">
        <v>328</v>
      </c>
      <c r="D2" s="13"/>
      <c r="E2" s="13"/>
    </row>
    <row r="3" spans="1:6" x14ac:dyDescent="0.25">
      <c r="A3" s="4" t="s">
        <v>15</v>
      </c>
      <c r="B3" s="5">
        <v>1409</v>
      </c>
      <c r="C3" s="13"/>
      <c r="D3" s="13"/>
      <c r="E3" s="13"/>
    </row>
    <row r="4" spans="1:6" x14ac:dyDescent="0.25">
      <c r="A4" s="4" t="s">
        <v>26</v>
      </c>
      <c r="B4" s="5">
        <v>371</v>
      </c>
      <c r="C4" s="13"/>
      <c r="D4" s="13"/>
      <c r="E4" s="13"/>
    </row>
    <row r="5" spans="1:6" x14ac:dyDescent="0.25">
      <c r="A5" s="4" t="s">
        <v>317</v>
      </c>
      <c r="B5" s="5">
        <v>3008</v>
      </c>
      <c r="C5" s="13"/>
      <c r="D5" s="13"/>
      <c r="E5" s="13"/>
    </row>
    <row r="8" spans="1:6" x14ac:dyDescent="0.25">
      <c r="A8" s="3" t="s">
        <v>11</v>
      </c>
      <c r="B8" t="s">
        <v>319</v>
      </c>
    </row>
    <row r="10" spans="1:6" x14ac:dyDescent="0.25">
      <c r="A10" s="3" t="s">
        <v>316</v>
      </c>
      <c r="B10" t="s">
        <v>318</v>
      </c>
      <c r="C10" s="16" t="s">
        <v>320</v>
      </c>
      <c r="D10" s="16"/>
      <c r="E10" s="16"/>
      <c r="F10" s="15"/>
    </row>
    <row r="11" spans="1:6" x14ac:dyDescent="0.25">
      <c r="A11" s="4" t="s">
        <v>18</v>
      </c>
      <c r="B11" s="5">
        <v>398</v>
      </c>
      <c r="C11" s="16"/>
      <c r="D11" s="16"/>
      <c r="E11" s="16"/>
      <c r="F11" s="15"/>
    </row>
    <row r="12" spans="1:6" x14ac:dyDescent="0.25">
      <c r="A12" s="4" t="s">
        <v>15</v>
      </c>
      <c r="B12" s="5">
        <v>423</v>
      </c>
      <c r="C12" s="16"/>
      <c r="D12" s="16"/>
      <c r="E12" s="16"/>
    </row>
    <row r="13" spans="1:6" x14ac:dyDescent="0.25">
      <c r="A13" s="4" t="s">
        <v>26</v>
      </c>
      <c r="B13" s="5">
        <v>114</v>
      </c>
      <c r="C13" s="16"/>
      <c r="D13" s="16"/>
      <c r="E13" s="16"/>
    </row>
    <row r="14" spans="1:6" x14ac:dyDescent="0.25">
      <c r="A14" s="4" t="s">
        <v>317</v>
      </c>
      <c r="B14" s="5">
        <v>935</v>
      </c>
      <c r="C14" s="16"/>
      <c r="D14" s="16"/>
      <c r="E14" s="16"/>
    </row>
    <row r="15" spans="1:6" ht="15.75" thickBot="1" x14ac:dyDescent="0.3">
      <c r="C15" t="s">
        <v>321</v>
      </c>
      <c r="D15" t="s">
        <v>322</v>
      </c>
    </row>
    <row r="16" spans="1:6" ht="15.75" thickBot="1" x14ac:dyDescent="0.3">
      <c r="C16" s="6" t="s">
        <v>321</v>
      </c>
      <c r="D16" s="7">
        <f>B5-B14</f>
        <v>2073</v>
      </c>
    </row>
    <row r="17" spans="1:5" x14ac:dyDescent="0.25">
      <c r="A17" s="4" t="s">
        <v>4</v>
      </c>
      <c r="B17" t="s">
        <v>318</v>
      </c>
      <c r="C17" s="14" t="s">
        <v>321</v>
      </c>
      <c r="D17" s="14"/>
      <c r="E17" s="14"/>
    </row>
    <row r="18" spans="1:5" x14ac:dyDescent="0.25">
      <c r="A18" s="4" t="s">
        <v>18</v>
      </c>
      <c r="B18" s="12">
        <f>B2-B11</f>
        <v>830</v>
      </c>
      <c r="C18" s="14"/>
      <c r="D18" s="14"/>
      <c r="E18" s="14"/>
    </row>
    <row r="19" spans="1:5" x14ac:dyDescent="0.25">
      <c r="A19" s="4" t="s">
        <v>15</v>
      </c>
      <c r="B19" s="12">
        <f>B3-B12</f>
        <v>986</v>
      </c>
      <c r="C19" s="14"/>
      <c r="D19" s="14"/>
      <c r="E19" s="14"/>
    </row>
    <row r="20" spans="1:5" x14ac:dyDescent="0.25">
      <c r="A20" s="4" t="s">
        <v>26</v>
      </c>
      <c r="B20" s="12">
        <f>B4-B13</f>
        <v>257</v>
      </c>
      <c r="C20" s="14"/>
      <c r="D20" s="14"/>
      <c r="E20" s="14"/>
    </row>
    <row r="21" spans="1:5" ht="15.75" thickBot="1" x14ac:dyDescent="0.3"/>
    <row r="22" spans="1:5" x14ac:dyDescent="0.25">
      <c r="A22" s="8" t="s">
        <v>323</v>
      </c>
      <c r="B22" s="9">
        <v>2</v>
      </c>
    </row>
    <row r="23" spans="1:5" ht="15.75" thickBot="1" x14ac:dyDescent="0.3">
      <c r="A23" s="10" t="s">
        <v>324</v>
      </c>
      <c r="B23" s="11">
        <v>5</v>
      </c>
    </row>
    <row r="26" spans="1:5" x14ac:dyDescent="0.25">
      <c r="A26" t="s">
        <v>4</v>
      </c>
      <c r="B26" t="s">
        <v>326</v>
      </c>
    </row>
    <row r="27" spans="1:5" x14ac:dyDescent="0.25">
      <c r="A27" t="s">
        <v>18</v>
      </c>
      <c r="B27">
        <f>B2* $B$23/($B$22+$B$23)</f>
        <v>877.14285714285711</v>
      </c>
      <c r="C27" s="17" t="s">
        <v>325</v>
      </c>
      <c r="D27" s="13"/>
      <c r="E27" s="13"/>
    </row>
    <row r="28" spans="1:5" x14ac:dyDescent="0.25">
      <c r="A28" t="s">
        <v>15</v>
      </c>
      <c r="B28">
        <f t="shared" ref="B28:B29" si="0">B3* $B$23/($B$22+$B$23)</f>
        <v>1006.4285714285714</v>
      </c>
      <c r="C28" s="13"/>
      <c r="D28" s="13"/>
      <c r="E28" s="13"/>
    </row>
    <row r="29" spans="1:5" x14ac:dyDescent="0.25">
      <c r="A29" t="s">
        <v>26</v>
      </c>
      <c r="B29">
        <f t="shared" si="0"/>
        <v>265</v>
      </c>
      <c r="C29" s="13"/>
      <c r="D29" s="13"/>
      <c r="E29" s="13"/>
    </row>
    <row r="30" spans="1:5" ht="15.75" thickBot="1" x14ac:dyDescent="0.3"/>
    <row r="31" spans="1:5" ht="15.75" thickBot="1" x14ac:dyDescent="0.3">
      <c r="A31" s="6" t="s">
        <v>327</v>
      </c>
      <c r="B31" s="18">
        <f>SUM(B27:B29)</f>
        <v>2148.5714285714284</v>
      </c>
    </row>
    <row r="32" spans="1:5" ht="15.75" thickBot="1" x14ac:dyDescent="0.3"/>
    <row r="33" spans="1:9" ht="24.75" thickBot="1" x14ac:dyDescent="0.45">
      <c r="A33" s="28" t="s">
        <v>329</v>
      </c>
    </row>
    <row r="34" spans="1:9" x14ac:dyDescent="0.25">
      <c r="A34" s="19" t="s">
        <v>330</v>
      </c>
      <c r="B34" s="20"/>
      <c r="C34" s="20"/>
      <c r="D34" s="20"/>
      <c r="E34" s="20"/>
      <c r="F34" s="20"/>
      <c r="G34" s="20"/>
      <c r="H34" s="20"/>
      <c r="I34" s="21"/>
    </row>
    <row r="35" spans="1:9" x14ac:dyDescent="0.25">
      <c r="A35" s="22"/>
      <c r="B35" s="23"/>
      <c r="C35" s="23"/>
      <c r="D35" s="23"/>
      <c r="E35" s="23"/>
      <c r="F35" s="23"/>
      <c r="G35" s="23"/>
      <c r="H35" s="23"/>
      <c r="I35" s="24"/>
    </row>
    <row r="36" spans="1:9" x14ac:dyDescent="0.25">
      <c r="A36" s="22"/>
      <c r="B36" s="23"/>
      <c r="C36" s="23"/>
      <c r="D36" s="23"/>
      <c r="E36" s="23"/>
      <c r="F36" s="23"/>
      <c r="G36" s="23"/>
      <c r="H36" s="23"/>
      <c r="I36" s="24"/>
    </row>
    <row r="37" spans="1:9" x14ac:dyDescent="0.25">
      <c r="A37" s="22"/>
      <c r="B37" s="23"/>
      <c r="C37" s="23"/>
      <c r="D37" s="23"/>
      <c r="E37" s="23"/>
      <c r="F37" s="23"/>
      <c r="G37" s="23"/>
      <c r="H37" s="23"/>
      <c r="I37" s="24"/>
    </row>
    <row r="38" spans="1:9" x14ac:dyDescent="0.25">
      <c r="A38" s="22"/>
      <c r="B38" s="23"/>
      <c r="C38" s="23"/>
      <c r="D38" s="23"/>
      <c r="E38" s="23"/>
      <c r="F38" s="23"/>
      <c r="G38" s="23"/>
      <c r="H38" s="23"/>
      <c r="I38" s="24"/>
    </row>
    <row r="39" spans="1:9" x14ac:dyDescent="0.25">
      <c r="A39" s="22"/>
      <c r="B39" s="23"/>
      <c r="C39" s="23"/>
      <c r="D39" s="23"/>
      <c r="E39" s="23"/>
      <c r="F39" s="23"/>
      <c r="G39" s="23"/>
      <c r="H39" s="23"/>
      <c r="I39" s="24"/>
    </row>
    <row r="40" spans="1:9" x14ac:dyDescent="0.25">
      <c r="A40" s="22"/>
      <c r="B40" s="23"/>
      <c r="C40" s="23"/>
      <c r="D40" s="23"/>
      <c r="E40" s="23"/>
      <c r="F40" s="23"/>
      <c r="G40" s="23"/>
      <c r="H40" s="23"/>
      <c r="I40" s="24"/>
    </row>
    <row r="41" spans="1:9" x14ac:dyDescent="0.25">
      <c r="A41" s="22"/>
      <c r="B41" s="23"/>
      <c r="C41" s="23"/>
      <c r="D41" s="23"/>
      <c r="E41" s="23"/>
      <c r="F41" s="23"/>
      <c r="G41" s="23"/>
      <c r="H41" s="23"/>
      <c r="I41" s="24"/>
    </row>
    <row r="42" spans="1:9" x14ac:dyDescent="0.25">
      <c r="A42" s="22"/>
      <c r="B42" s="23"/>
      <c r="C42" s="23"/>
      <c r="D42" s="23"/>
      <c r="E42" s="23"/>
      <c r="F42" s="23"/>
      <c r="G42" s="23"/>
      <c r="H42" s="23"/>
      <c r="I42" s="24"/>
    </row>
    <row r="43" spans="1:9" x14ac:dyDescent="0.25">
      <c r="A43" s="22"/>
      <c r="B43" s="23"/>
      <c r="C43" s="23"/>
      <c r="D43" s="23"/>
      <c r="E43" s="23"/>
      <c r="F43" s="23"/>
      <c r="G43" s="23"/>
      <c r="H43" s="23"/>
      <c r="I43" s="24"/>
    </row>
    <row r="44" spans="1:9" x14ac:dyDescent="0.25">
      <c r="A44" s="22"/>
      <c r="B44" s="23"/>
      <c r="C44" s="23"/>
      <c r="D44" s="23"/>
      <c r="E44" s="23"/>
      <c r="F44" s="23"/>
      <c r="G44" s="23"/>
      <c r="H44" s="23"/>
      <c r="I44" s="24"/>
    </row>
    <row r="45" spans="1:9" x14ac:dyDescent="0.25">
      <c r="A45" s="22"/>
      <c r="B45" s="23"/>
      <c r="C45" s="23"/>
      <c r="D45" s="23"/>
      <c r="E45" s="23"/>
      <c r="F45" s="23"/>
      <c r="G45" s="23"/>
      <c r="H45" s="23"/>
      <c r="I45" s="24"/>
    </row>
    <row r="46" spans="1:9" x14ac:dyDescent="0.25">
      <c r="A46" s="22"/>
      <c r="B46" s="23"/>
      <c r="C46" s="23"/>
      <c r="D46" s="23"/>
      <c r="E46" s="23"/>
      <c r="F46" s="23"/>
      <c r="G46" s="23"/>
      <c r="H46" s="23"/>
      <c r="I46" s="24"/>
    </row>
    <row r="47" spans="1:9" x14ac:dyDescent="0.25">
      <c r="A47" s="22"/>
      <c r="B47" s="23"/>
      <c r="C47" s="23"/>
      <c r="D47" s="23"/>
      <c r="E47" s="23"/>
      <c r="F47" s="23"/>
      <c r="G47" s="23"/>
      <c r="H47" s="23"/>
      <c r="I47" s="24"/>
    </row>
    <row r="48" spans="1:9" x14ac:dyDescent="0.25">
      <c r="A48" s="22"/>
      <c r="B48" s="23"/>
      <c r="C48" s="23"/>
      <c r="D48" s="23"/>
      <c r="E48" s="23"/>
      <c r="F48" s="23"/>
      <c r="G48" s="23"/>
      <c r="H48" s="23"/>
      <c r="I48" s="24"/>
    </row>
    <row r="49" spans="1:9" x14ac:dyDescent="0.25">
      <c r="A49" s="22"/>
      <c r="B49" s="23"/>
      <c r="C49" s="23"/>
      <c r="D49" s="23"/>
      <c r="E49" s="23"/>
      <c r="F49" s="23"/>
      <c r="G49" s="23"/>
      <c r="H49" s="23"/>
      <c r="I49" s="24"/>
    </row>
    <row r="50" spans="1:9" ht="30" customHeight="1" thickBot="1" x14ac:dyDescent="0.3">
      <c r="A50" s="25"/>
      <c r="B50" s="26"/>
      <c r="C50" s="26"/>
      <c r="D50" s="26"/>
      <c r="E50" s="26"/>
      <c r="F50" s="26"/>
      <c r="G50" s="26"/>
      <c r="H50" s="26"/>
      <c r="I50" s="27"/>
    </row>
  </sheetData>
  <mergeCells count="5">
    <mergeCell ref="A34:I50"/>
    <mergeCell ref="C17:E20"/>
    <mergeCell ref="C2:E5"/>
    <mergeCell ref="C10:E14"/>
    <mergeCell ref="C27: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Prescritive-pivot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Zahid Choudhury</dc:creator>
  <cp:lastModifiedBy>Muhammad Zahid Choudhury</cp:lastModifiedBy>
  <dcterms:created xsi:type="dcterms:W3CDTF">2026-01-01T13:16:40Z</dcterms:created>
  <dcterms:modified xsi:type="dcterms:W3CDTF">2026-01-02T12:30:10Z</dcterms:modified>
</cp:coreProperties>
</file>