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admin\Desktop\Data-Analysis-Report-and-Dashboard\Common Analysis\"/>
    </mc:Choice>
  </mc:AlternateContent>
  <xr:revisionPtr revIDLastSave="0" documentId="13_ncr:1_{E9C373FF-48F3-4850-BDA1-36EE47735577}" xr6:coauthVersionLast="47" xr6:coauthVersionMax="47" xr10:uidLastSave="{00000000-0000-0000-0000-000000000000}"/>
  <bookViews>
    <workbookView xWindow="-120" yWindow="-120" windowWidth="20640" windowHeight="11160" activeTab="3" xr2:uid="{A33B48DC-0DAA-478D-B81C-A01A167E180B}"/>
  </bookViews>
  <sheets>
    <sheet name="main Data" sheetId="1" r:id="rId1"/>
    <sheet name="Descriptive" sheetId="3" r:id="rId2"/>
    <sheet name="Forcast" sheetId="10" r:id="rId3"/>
    <sheet name="Table" sheetId="2" r:id="rId4"/>
    <sheet name="Sheet11" sheetId="12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0" l="1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H2" i="10"/>
  <c r="H6" i="10"/>
  <c r="H10" i="10"/>
  <c r="H14" i="10"/>
  <c r="H18" i="10"/>
  <c r="H22" i="10"/>
  <c r="H26" i="10"/>
  <c r="H30" i="10"/>
  <c r="H34" i="10"/>
  <c r="H38" i="10"/>
  <c r="H42" i="10"/>
  <c r="H46" i="10"/>
  <c r="H50" i="10"/>
  <c r="H54" i="10"/>
  <c r="H58" i="10"/>
  <c r="H62" i="10"/>
  <c r="H66" i="10"/>
  <c r="H70" i="10"/>
  <c r="H74" i="10"/>
  <c r="H78" i="10"/>
  <c r="H82" i="10"/>
  <c r="H86" i="10"/>
  <c r="H90" i="10"/>
  <c r="H94" i="10"/>
  <c r="H98" i="10"/>
  <c r="H102" i="10"/>
  <c r="H106" i="10"/>
  <c r="H110" i="10"/>
  <c r="H114" i="10"/>
  <c r="H118" i="10"/>
  <c r="H122" i="10"/>
  <c r="H126" i="10"/>
  <c r="H130" i="10"/>
  <c r="H134" i="10"/>
  <c r="H138" i="10"/>
  <c r="H142" i="10"/>
  <c r="H146" i="10"/>
  <c r="H150" i="10"/>
  <c r="H154" i="10"/>
  <c r="H158" i="10"/>
  <c r="H162" i="10"/>
  <c r="H166" i="10"/>
  <c r="H170" i="10"/>
  <c r="H174" i="10"/>
  <c r="H178" i="10"/>
  <c r="H182" i="10"/>
  <c r="H186" i="10"/>
  <c r="H190" i="10"/>
  <c r="H194" i="10"/>
  <c r="H198" i="10"/>
  <c r="H202" i="10"/>
  <c r="H206" i="10"/>
  <c r="H210" i="10"/>
  <c r="H214" i="10"/>
  <c r="H218" i="10"/>
  <c r="H222" i="10"/>
  <c r="H226" i="10"/>
  <c r="H230" i="10"/>
  <c r="H234" i="10"/>
  <c r="H238" i="10"/>
  <c r="H242" i="10"/>
  <c r="H246" i="10"/>
  <c r="H250" i="10"/>
  <c r="H254" i="10"/>
  <c r="H258" i="10"/>
  <c r="H262" i="10"/>
  <c r="H266" i="10"/>
  <c r="H270" i="10"/>
  <c r="H274" i="10"/>
  <c r="H278" i="10"/>
  <c r="H282" i="10"/>
  <c r="H286" i="10"/>
  <c r="H290" i="10"/>
  <c r="H294" i="10"/>
  <c r="H298" i="10"/>
  <c r="H302" i="10"/>
  <c r="H306" i="10"/>
  <c r="H310" i="10"/>
  <c r="H314" i="10"/>
  <c r="H318" i="10"/>
  <c r="H322" i="10"/>
  <c r="H326" i="10"/>
  <c r="H330" i="10"/>
  <c r="H334" i="10"/>
  <c r="H338" i="10"/>
  <c r="H342" i="10"/>
  <c r="H346" i="10"/>
  <c r="H350" i="10"/>
  <c r="H354" i="10"/>
  <c r="H358" i="10"/>
  <c r="H362" i="10"/>
  <c r="H366" i="10"/>
  <c r="H370" i="10"/>
  <c r="H374" i="10"/>
  <c r="H378" i="10"/>
  <c r="H382" i="10"/>
  <c r="H386" i="10"/>
  <c r="H390" i="10"/>
  <c r="H394" i="10"/>
  <c r="H398" i="10"/>
  <c r="H402" i="10"/>
  <c r="H406" i="10"/>
  <c r="H410" i="10"/>
  <c r="H414" i="10"/>
  <c r="H418" i="10"/>
  <c r="H422" i="10"/>
  <c r="H426" i="10"/>
  <c r="H430" i="10"/>
  <c r="H434" i="10"/>
  <c r="H438" i="10"/>
  <c r="H442" i="10"/>
  <c r="H446" i="10"/>
  <c r="H450" i="10"/>
  <c r="H454" i="10"/>
  <c r="H458" i="10"/>
  <c r="H462" i="10"/>
  <c r="H466" i="10"/>
  <c r="H470" i="10"/>
  <c r="H474" i="10"/>
  <c r="H471" i="10"/>
  <c r="H4" i="10"/>
  <c r="H12" i="10"/>
  <c r="H20" i="10"/>
  <c r="H28" i="10"/>
  <c r="H36" i="10"/>
  <c r="H44" i="10"/>
  <c r="H52" i="10"/>
  <c r="H3" i="10"/>
  <c r="H7" i="10"/>
  <c r="H11" i="10"/>
  <c r="H15" i="10"/>
  <c r="H19" i="10"/>
  <c r="H23" i="10"/>
  <c r="H27" i="10"/>
  <c r="H31" i="10"/>
  <c r="H35" i="10"/>
  <c r="H39" i="10"/>
  <c r="H43" i="10"/>
  <c r="H47" i="10"/>
  <c r="H51" i="10"/>
  <c r="H55" i="10"/>
  <c r="H59" i="10"/>
  <c r="H63" i="10"/>
  <c r="H67" i="10"/>
  <c r="H71" i="10"/>
  <c r="H75" i="10"/>
  <c r="H79" i="10"/>
  <c r="H83" i="10"/>
  <c r="H87" i="10"/>
  <c r="H91" i="10"/>
  <c r="H95" i="10"/>
  <c r="H99" i="10"/>
  <c r="H103" i="10"/>
  <c r="H107" i="10"/>
  <c r="H111" i="10"/>
  <c r="H115" i="10"/>
  <c r="H119" i="10"/>
  <c r="H123" i="10"/>
  <c r="H127" i="10"/>
  <c r="H131" i="10"/>
  <c r="H135" i="10"/>
  <c r="H139" i="10"/>
  <c r="H143" i="10"/>
  <c r="H147" i="10"/>
  <c r="H151" i="10"/>
  <c r="H155" i="10"/>
  <c r="H159" i="10"/>
  <c r="H163" i="10"/>
  <c r="H167" i="10"/>
  <c r="H171" i="10"/>
  <c r="H175" i="10"/>
  <c r="H179" i="10"/>
  <c r="H183" i="10"/>
  <c r="H187" i="10"/>
  <c r="H191" i="10"/>
  <c r="H195" i="10"/>
  <c r="H199" i="10"/>
  <c r="H203" i="10"/>
  <c r="H207" i="10"/>
  <c r="H211" i="10"/>
  <c r="H215" i="10"/>
  <c r="H219" i="10"/>
  <c r="H223" i="10"/>
  <c r="H227" i="10"/>
  <c r="H231" i="10"/>
  <c r="H235" i="10"/>
  <c r="H239" i="10"/>
  <c r="H243" i="10"/>
  <c r="H247" i="10"/>
  <c r="H251" i="10"/>
  <c r="H255" i="10"/>
  <c r="H259" i="10"/>
  <c r="H263" i="10"/>
  <c r="H267" i="10"/>
  <c r="H271" i="10"/>
  <c r="H275" i="10"/>
  <c r="H279" i="10"/>
  <c r="H283" i="10"/>
  <c r="H287" i="10"/>
  <c r="H291" i="10"/>
  <c r="H295" i="10"/>
  <c r="H299" i="10"/>
  <c r="H303" i="10"/>
  <c r="H307" i="10"/>
  <c r="H311" i="10"/>
  <c r="H315" i="10"/>
  <c r="H319" i="10"/>
  <c r="H323" i="10"/>
  <c r="H327" i="10"/>
  <c r="H331" i="10"/>
  <c r="H335" i="10"/>
  <c r="H339" i="10"/>
  <c r="H343" i="10"/>
  <c r="H347" i="10"/>
  <c r="H351" i="10"/>
  <c r="H355" i="10"/>
  <c r="H359" i="10"/>
  <c r="H363" i="10"/>
  <c r="H367" i="10"/>
  <c r="H371" i="10"/>
  <c r="H375" i="10"/>
  <c r="H379" i="10"/>
  <c r="H383" i="10"/>
  <c r="H387" i="10"/>
  <c r="H391" i="10"/>
  <c r="H395" i="10"/>
  <c r="H399" i="10"/>
  <c r="H403" i="10"/>
  <c r="H407" i="10"/>
  <c r="H411" i="10"/>
  <c r="H415" i="10"/>
  <c r="H419" i="10"/>
  <c r="H423" i="10"/>
  <c r="H427" i="10"/>
  <c r="H431" i="10"/>
  <c r="H435" i="10"/>
  <c r="H439" i="10"/>
  <c r="H443" i="10"/>
  <c r="H447" i="10"/>
  <c r="H451" i="10"/>
  <c r="H455" i="10"/>
  <c r="H459" i="10"/>
  <c r="H463" i="10"/>
  <c r="H467" i="10"/>
  <c r="H475" i="10"/>
  <c r="H8" i="10"/>
  <c r="H16" i="10"/>
  <c r="H24" i="10"/>
  <c r="H32" i="10"/>
  <c r="H40" i="10"/>
  <c r="H48" i="10"/>
  <c r="H56" i="10"/>
  <c r="H5" i="10"/>
  <c r="H21" i="10"/>
  <c r="H37" i="10"/>
  <c r="H53" i="10"/>
  <c r="H64" i="10"/>
  <c r="H72" i="10"/>
  <c r="H80" i="10"/>
  <c r="H88" i="10"/>
  <c r="H96" i="10"/>
  <c r="H104" i="10"/>
  <c r="H112" i="10"/>
  <c r="H120" i="10"/>
  <c r="H128" i="10"/>
  <c r="H136" i="10"/>
  <c r="H144" i="10"/>
  <c r="H152" i="10"/>
  <c r="H160" i="10"/>
  <c r="H168" i="10"/>
  <c r="H176" i="10"/>
  <c r="H184" i="10"/>
  <c r="H192" i="10"/>
  <c r="H200" i="10"/>
  <c r="H208" i="10"/>
  <c r="H216" i="10"/>
  <c r="H224" i="10"/>
  <c r="H232" i="10"/>
  <c r="H240" i="10"/>
  <c r="H248" i="10"/>
  <c r="H256" i="10"/>
  <c r="H264" i="10"/>
  <c r="H272" i="10"/>
  <c r="H280" i="10"/>
  <c r="H288" i="10"/>
  <c r="H296" i="10"/>
  <c r="H304" i="10"/>
  <c r="H312" i="10"/>
  <c r="H320" i="10"/>
  <c r="H328" i="10"/>
  <c r="H336" i="10"/>
  <c r="H344" i="10"/>
  <c r="H352" i="10"/>
  <c r="H360" i="10"/>
  <c r="H368" i="10"/>
  <c r="H376" i="10"/>
  <c r="H384" i="10"/>
  <c r="H392" i="10"/>
  <c r="H400" i="10"/>
  <c r="H408" i="10"/>
  <c r="H416" i="10"/>
  <c r="H424" i="10"/>
  <c r="H432" i="10"/>
  <c r="H440" i="10"/>
  <c r="H448" i="10"/>
  <c r="H456" i="10"/>
  <c r="H464" i="10"/>
  <c r="H472" i="10"/>
  <c r="H9" i="10"/>
  <c r="H25" i="10"/>
  <c r="H41" i="10"/>
  <c r="H57" i="10"/>
  <c r="H65" i="10"/>
  <c r="H73" i="10"/>
  <c r="H81" i="10"/>
  <c r="H89" i="10"/>
  <c r="H97" i="10"/>
  <c r="H105" i="10"/>
  <c r="H113" i="10"/>
  <c r="H121" i="10"/>
  <c r="H129" i="10"/>
  <c r="H137" i="10"/>
  <c r="H145" i="10"/>
  <c r="H153" i="10"/>
  <c r="H161" i="10"/>
  <c r="H169" i="10"/>
  <c r="H177" i="10"/>
  <c r="H185" i="10"/>
  <c r="H193" i="10"/>
  <c r="H201" i="10"/>
  <c r="H209" i="10"/>
  <c r="H217" i="10"/>
  <c r="H225" i="10"/>
  <c r="H233" i="10"/>
  <c r="H241" i="10"/>
  <c r="H249" i="10"/>
  <c r="H257" i="10"/>
  <c r="H265" i="10"/>
  <c r="H273" i="10"/>
  <c r="H281" i="10"/>
  <c r="H289" i="10"/>
  <c r="H297" i="10"/>
  <c r="H305" i="10"/>
  <c r="H313" i="10"/>
  <c r="H321" i="10"/>
  <c r="H329" i="10"/>
  <c r="H337" i="10"/>
  <c r="H345" i="10"/>
  <c r="H353" i="10"/>
  <c r="H361" i="10"/>
  <c r="H369" i="10"/>
  <c r="H377" i="10"/>
  <c r="H385" i="10"/>
  <c r="H393" i="10"/>
  <c r="H401" i="10"/>
  <c r="H409" i="10"/>
  <c r="H417" i="10"/>
  <c r="H425" i="10"/>
  <c r="H433" i="10"/>
  <c r="H441" i="10"/>
  <c r="H449" i="10"/>
  <c r="H457" i="10"/>
  <c r="H465" i="10"/>
  <c r="H473" i="10"/>
  <c r="H13" i="10"/>
  <c r="H29" i="10"/>
  <c r="H45" i="10"/>
  <c r="H60" i="10"/>
  <c r="H68" i="10"/>
  <c r="H76" i="10"/>
  <c r="H84" i="10"/>
  <c r="H92" i="10"/>
  <c r="H100" i="10"/>
  <c r="H108" i="10"/>
  <c r="H116" i="10"/>
  <c r="H124" i="10"/>
  <c r="H132" i="10"/>
  <c r="H140" i="10"/>
  <c r="H148" i="10"/>
  <c r="H156" i="10"/>
  <c r="H164" i="10"/>
  <c r="H172" i="10"/>
  <c r="H180" i="10"/>
  <c r="H188" i="10"/>
  <c r="H196" i="10"/>
  <c r="H204" i="10"/>
  <c r="H212" i="10"/>
  <c r="H220" i="10"/>
  <c r="H228" i="10"/>
  <c r="H236" i="10"/>
  <c r="H244" i="10"/>
  <c r="H252" i="10"/>
  <c r="H260" i="10"/>
  <c r="H268" i="10"/>
  <c r="H276" i="10"/>
  <c r="H284" i="10"/>
  <c r="H292" i="10"/>
  <c r="H300" i="10"/>
  <c r="H308" i="10"/>
  <c r="H316" i="10"/>
  <c r="H324" i="10"/>
  <c r="H332" i="10"/>
  <c r="H340" i="10"/>
  <c r="H348" i="10"/>
  <c r="H356" i="10"/>
  <c r="H364" i="10"/>
  <c r="H372" i="10"/>
  <c r="H380" i="10"/>
  <c r="H388" i="10"/>
  <c r="H396" i="10"/>
  <c r="H404" i="10"/>
  <c r="H412" i="10"/>
  <c r="H420" i="10"/>
  <c r="H428" i="10"/>
  <c r="H436" i="10"/>
  <c r="H444" i="10"/>
  <c r="H452" i="10"/>
  <c r="H460" i="10"/>
  <c r="H468" i="10"/>
  <c r="H17" i="10"/>
  <c r="H33" i="10"/>
  <c r="H49" i="10"/>
  <c r="H61" i="10"/>
  <c r="H69" i="10"/>
  <c r="H77" i="10"/>
  <c r="H85" i="10"/>
  <c r="H93" i="10"/>
  <c r="H101" i="10"/>
  <c r="H109" i="10"/>
  <c r="H117" i="10"/>
  <c r="H125" i="10"/>
  <c r="H133" i="10"/>
  <c r="H141" i="10"/>
  <c r="H149" i="10"/>
  <c r="H157" i="10"/>
  <c r="H165" i="10"/>
  <c r="H173" i="10"/>
  <c r="H181" i="10"/>
  <c r="H189" i="10"/>
  <c r="H197" i="10"/>
  <c r="H205" i="10"/>
  <c r="H213" i="10"/>
  <c r="H221" i="10"/>
  <c r="H229" i="10"/>
  <c r="H237" i="10"/>
  <c r="H245" i="10"/>
  <c r="H253" i="10"/>
  <c r="H261" i="10"/>
  <c r="H269" i="10"/>
  <c r="H277" i="10"/>
  <c r="H285" i="10"/>
  <c r="H293" i="10"/>
  <c r="H301" i="10"/>
  <c r="H309" i="10"/>
  <c r="H317" i="10"/>
  <c r="H325" i="10"/>
  <c r="H333" i="10"/>
  <c r="H341" i="10"/>
  <c r="H349" i="10"/>
  <c r="H357" i="10"/>
  <c r="H365" i="10"/>
  <c r="H373" i="10"/>
  <c r="H381" i="10"/>
  <c r="H389" i="10"/>
  <c r="H397" i="10"/>
  <c r="H405" i="10"/>
  <c r="H413" i="10"/>
  <c r="H421" i="10"/>
  <c r="H429" i="10"/>
  <c r="H437" i="10"/>
  <c r="H445" i="10"/>
  <c r="H453" i="10"/>
  <c r="H461" i="10"/>
  <c r="H469" i="10"/>
  <c r="S2" i="2" l="1"/>
  <c r="T2" i="2" s="1"/>
  <c r="S3" i="2"/>
  <c r="T3" i="2" s="1"/>
  <c r="S4" i="2"/>
  <c r="T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T60" i="2" s="1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T67" i="2" s="1"/>
  <c r="S68" i="2"/>
  <c r="T68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3" i="2"/>
  <c r="T83" i="2" s="1"/>
  <c r="S84" i="2"/>
  <c r="T84" i="2" s="1"/>
  <c r="S85" i="2"/>
  <c r="T85" i="2" s="1"/>
  <c r="S86" i="2"/>
  <c r="T86" i="2" s="1"/>
  <c r="S87" i="2"/>
  <c r="T87" i="2" s="1"/>
  <c r="S88" i="2"/>
  <c r="T88" i="2" s="1"/>
  <c r="S89" i="2"/>
  <c r="T89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8" i="2"/>
  <c r="T98" i="2" s="1"/>
  <c r="S99" i="2"/>
  <c r="T99" i="2" s="1"/>
  <c r="S100" i="2"/>
  <c r="T100" i="2" s="1"/>
  <c r="S101" i="2"/>
  <c r="T101" i="2" s="1"/>
  <c r="S102" i="2"/>
  <c r="T102" i="2" s="1"/>
  <c r="S103" i="2"/>
  <c r="T103" i="2" s="1"/>
  <c r="S104" i="2"/>
  <c r="T104" i="2" s="1"/>
  <c r="S105" i="2"/>
  <c r="T105" i="2" s="1"/>
  <c r="S106" i="2"/>
  <c r="T106" i="2" s="1"/>
  <c r="S107" i="2"/>
  <c r="T107" i="2" s="1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T117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T145" i="2" s="1"/>
  <c r="S146" i="2"/>
  <c r="T146" i="2" s="1"/>
  <c r="S147" i="2"/>
  <c r="T147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160" i="2"/>
  <c r="T160" i="2" s="1"/>
  <c r="S161" i="2"/>
  <c r="T161" i="2" s="1"/>
  <c r="S162" i="2"/>
  <c r="T162" i="2" s="1"/>
  <c r="S163" i="2"/>
  <c r="T163" i="2" s="1"/>
  <c r="S164" i="2"/>
  <c r="T164" i="2" s="1"/>
  <c r="S165" i="2"/>
  <c r="T165" i="2" s="1"/>
  <c r="S166" i="2"/>
  <c r="T166" i="2" s="1"/>
  <c r="S167" i="2"/>
  <c r="T167" i="2" s="1"/>
  <c r="S168" i="2"/>
  <c r="T168" i="2" s="1"/>
  <c r="S169" i="2"/>
  <c r="T169" i="2" s="1"/>
  <c r="S170" i="2"/>
  <c r="T170" i="2" s="1"/>
  <c r="S171" i="2"/>
  <c r="T171" i="2" s="1"/>
  <c r="S172" i="2"/>
  <c r="T172" i="2" s="1"/>
  <c r="S173" i="2"/>
  <c r="T173" i="2" s="1"/>
  <c r="S174" i="2"/>
  <c r="T174" i="2" s="1"/>
  <c r="S175" i="2"/>
  <c r="T175" i="2" s="1"/>
  <c r="S176" i="2"/>
  <c r="T176" i="2" s="1"/>
  <c r="S177" i="2"/>
  <c r="T177" i="2" s="1"/>
  <c r="S178" i="2"/>
  <c r="T178" i="2" s="1"/>
  <c r="S179" i="2"/>
  <c r="T179" i="2" s="1"/>
  <c r="S180" i="2"/>
  <c r="T180" i="2" s="1"/>
  <c r="S181" i="2"/>
  <c r="T181" i="2" s="1"/>
  <c r="S182" i="2"/>
  <c r="T182" i="2" s="1"/>
  <c r="S183" i="2"/>
  <c r="T183" i="2" s="1"/>
  <c r="S184" i="2"/>
  <c r="T184" i="2" s="1"/>
  <c r="S185" i="2"/>
  <c r="T185" i="2" s="1"/>
  <c r="S186" i="2"/>
  <c r="T186" i="2" s="1"/>
  <c r="S187" i="2"/>
  <c r="T187" i="2" s="1"/>
  <c r="S188" i="2"/>
  <c r="T188" i="2" s="1"/>
  <c r="S189" i="2"/>
  <c r="T189" i="2" s="1"/>
  <c r="S190" i="2"/>
  <c r="T190" i="2" s="1"/>
  <c r="S191" i="2"/>
  <c r="T191" i="2" s="1"/>
  <c r="S192" i="2"/>
  <c r="T192" i="2" s="1"/>
  <c r="S193" i="2"/>
  <c r="T193" i="2" s="1"/>
  <c r="S194" i="2"/>
  <c r="T194" i="2" s="1"/>
  <c r="S195" i="2"/>
  <c r="T195" i="2" s="1"/>
  <c r="S196" i="2"/>
  <c r="T196" i="2" s="1"/>
  <c r="S197" i="2"/>
  <c r="T197" i="2" s="1"/>
  <c r="S198" i="2"/>
  <c r="T198" i="2" s="1"/>
  <c r="S199" i="2"/>
  <c r="T199" i="2" s="1"/>
  <c r="S200" i="2"/>
  <c r="T200" i="2" s="1"/>
  <c r="S201" i="2"/>
  <c r="T201" i="2" s="1"/>
  <c r="S202" i="2"/>
  <c r="T202" i="2" s="1"/>
  <c r="S203" i="2"/>
  <c r="T203" i="2" s="1"/>
  <c r="S204" i="2"/>
  <c r="T204" i="2" s="1"/>
  <c r="S205" i="2"/>
  <c r="T205" i="2" s="1"/>
  <c r="S206" i="2"/>
  <c r="T206" i="2" s="1"/>
  <c r="S207" i="2"/>
  <c r="T207" i="2" s="1"/>
  <c r="S208" i="2"/>
  <c r="T208" i="2" s="1"/>
  <c r="S209" i="2"/>
  <c r="T209" i="2" s="1"/>
  <c r="S210" i="2"/>
  <c r="T210" i="2" s="1"/>
  <c r="S211" i="2"/>
  <c r="T211" i="2" s="1"/>
  <c r="S212" i="2"/>
  <c r="T212" i="2" s="1"/>
  <c r="S213" i="2"/>
  <c r="T213" i="2" s="1"/>
  <c r="S214" i="2"/>
  <c r="T214" i="2" s="1"/>
  <c r="S215" i="2"/>
  <c r="T215" i="2" s="1"/>
  <c r="S216" i="2"/>
  <c r="T216" i="2" s="1"/>
  <c r="S217" i="2"/>
  <c r="T217" i="2" s="1"/>
  <c r="S218" i="2"/>
  <c r="T218" i="2" s="1"/>
  <c r="S219" i="2"/>
  <c r="T219" i="2" s="1"/>
  <c r="S220" i="2"/>
  <c r="T220" i="2" s="1"/>
  <c r="S221" i="2"/>
  <c r="T221" i="2" s="1"/>
  <c r="S222" i="2"/>
  <c r="T222" i="2" s="1"/>
  <c r="S223" i="2"/>
  <c r="T223" i="2" s="1"/>
  <c r="S224" i="2"/>
  <c r="T224" i="2" s="1"/>
  <c r="S225" i="2"/>
  <c r="T225" i="2" s="1"/>
  <c r="S226" i="2"/>
  <c r="T226" i="2" s="1"/>
  <c r="S227" i="2"/>
  <c r="T227" i="2" s="1"/>
  <c r="S228" i="2"/>
  <c r="T228" i="2" s="1"/>
  <c r="S229" i="2"/>
  <c r="T229" i="2" s="1"/>
  <c r="S230" i="2"/>
  <c r="T230" i="2" s="1"/>
  <c r="S231" i="2"/>
  <c r="T231" i="2" s="1"/>
  <c r="S232" i="2"/>
  <c r="T232" i="2" s="1"/>
  <c r="S233" i="2"/>
  <c r="T233" i="2" s="1"/>
  <c r="S234" i="2"/>
  <c r="T234" i="2" s="1"/>
  <c r="S235" i="2"/>
  <c r="T235" i="2" s="1"/>
  <c r="S236" i="2"/>
  <c r="T236" i="2" s="1"/>
  <c r="S237" i="2"/>
  <c r="T237" i="2" s="1"/>
  <c r="S238" i="2"/>
  <c r="T238" i="2" s="1"/>
  <c r="S239" i="2"/>
  <c r="T239" i="2" s="1"/>
  <c r="S240" i="2"/>
  <c r="T240" i="2" s="1"/>
  <c r="S241" i="2"/>
  <c r="T241" i="2" s="1"/>
  <c r="S242" i="2"/>
  <c r="T242" i="2" s="1"/>
  <c r="S243" i="2"/>
  <c r="T243" i="2" s="1"/>
  <c r="S244" i="2"/>
  <c r="T244" i="2" s="1"/>
  <c r="S245" i="2"/>
  <c r="T245" i="2" s="1"/>
  <c r="S246" i="2"/>
  <c r="T246" i="2" s="1"/>
  <c r="S247" i="2"/>
  <c r="T247" i="2" s="1"/>
  <c r="S248" i="2"/>
  <c r="T248" i="2" s="1"/>
  <c r="S249" i="2"/>
  <c r="T249" i="2" s="1"/>
  <c r="S250" i="2"/>
  <c r="T250" i="2" s="1"/>
  <c r="S251" i="2"/>
  <c r="T251" i="2" s="1"/>
  <c r="S252" i="2"/>
  <c r="T252" i="2" s="1"/>
  <c r="S253" i="2"/>
  <c r="T253" i="2" s="1"/>
  <c r="S254" i="2"/>
  <c r="T254" i="2" s="1"/>
  <c r="S255" i="2"/>
  <c r="T255" i="2" s="1"/>
  <c r="S256" i="2"/>
  <c r="T256" i="2" s="1"/>
  <c r="S257" i="2"/>
  <c r="T257" i="2" s="1"/>
  <c r="S258" i="2"/>
  <c r="T258" i="2" s="1"/>
  <c r="S259" i="2"/>
  <c r="T259" i="2" s="1"/>
  <c r="S260" i="2"/>
  <c r="T260" i="2" s="1"/>
  <c r="S261" i="2"/>
  <c r="T261" i="2" s="1"/>
  <c r="S262" i="2"/>
  <c r="T262" i="2" s="1"/>
  <c r="S263" i="2"/>
  <c r="T263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0" i="2"/>
  <c r="T270" i="2" s="1"/>
  <c r="S271" i="2"/>
  <c r="T271" i="2" s="1"/>
  <c r="S272" i="2"/>
  <c r="T272" i="2" s="1"/>
  <c r="S273" i="2"/>
  <c r="T273" i="2" s="1"/>
  <c r="S274" i="2"/>
  <c r="T274" i="2" s="1"/>
  <c r="S275" i="2"/>
  <c r="T275" i="2" s="1"/>
  <c r="S276" i="2"/>
  <c r="T276" i="2" s="1"/>
  <c r="S277" i="2"/>
  <c r="T277" i="2" s="1"/>
  <c r="S278" i="2"/>
  <c r="T278" i="2" s="1"/>
  <c r="S279" i="2"/>
  <c r="T279" i="2" s="1"/>
  <c r="S280" i="2"/>
  <c r="T280" i="2" s="1"/>
  <c r="S281" i="2"/>
  <c r="T281" i="2" s="1"/>
  <c r="S282" i="2"/>
  <c r="T282" i="2" s="1"/>
  <c r="S283" i="2"/>
  <c r="T283" i="2" s="1"/>
  <c r="S284" i="2"/>
  <c r="T284" i="2" s="1"/>
  <c r="S285" i="2"/>
  <c r="T285" i="2" s="1"/>
  <c r="S286" i="2"/>
  <c r="T286" i="2" s="1"/>
  <c r="S287" i="2"/>
  <c r="T287" i="2" s="1"/>
  <c r="S288" i="2"/>
  <c r="T288" i="2" s="1"/>
  <c r="S289" i="2"/>
  <c r="T289" i="2" s="1"/>
  <c r="S290" i="2"/>
  <c r="T290" i="2" s="1"/>
  <c r="S291" i="2"/>
  <c r="T291" i="2" s="1"/>
  <c r="S292" i="2"/>
  <c r="T292" i="2" s="1"/>
  <c r="S293" i="2"/>
  <c r="T293" i="2" s="1"/>
  <c r="S294" i="2"/>
  <c r="T294" i="2" s="1"/>
  <c r="S295" i="2"/>
  <c r="T295" i="2" s="1"/>
  <c r="S296" i="2"/>
  <c r="T296" i="2" s="1"/>
  <c r="S297" i="2"/>
  <c r="T297" i="2" s="1"/>
  <c r="S298" i="2"/>
  <c r="T298" i="2" s="1"/>
  <c r="S299" i="2"/>
  <c r="T299" i="2" s="1"/>
  <c r="S300" i="2"/>
  <c r="T300" i="2" s="1"/>
  <c r="S301" i="2"/>
  <c r="T301" i="2" s="1"/>
  <c r="S302" i="2"/>
  <c r="T302" i="2" s="1"/>
  <c r="S303" i="2"/>
  <c r="T303" i="2" s="1"/>
  <c r="S304" i="2"/>
  <c r="T304" i="2" s="1"/>
  <c r="S305" i="2"/>
  <c r="T305" i="2" s="1"/>
  <c r="S306" i="2"/>
  <c r="T306" i="2" s="1"/>
  <c r="S307" i="2"/>
  <c r="T307" i="2" s="1"/>
  <c r="S308" i="2"/>
  <c r="T308" i="2" s="1"/>
  <c r="S309" i="2"/>
  <c r="T309" i="2" s="1"/>
  <c r="S310" i="2"/>
  <c r="T310" i="2" s="1"/>
  <c r="S311" i="2"/>
  <c r="T311" i="2" s="1"/>
  <c r="S312" i="2"/>
  <c r="T312" i="2" s="1"/>
  <c r="S313" i="2"/>
  <c r="T313" i="2" s="1"/>
  <c r="S314" i="2"/>
  <c r="T314" i="2" s="1"/>
  <c r="S315" i="2"/>
  <c r="T315" i="2" s="1"/>
  <c r="S316" i="2"/>
  <c r="T316" i="2" s="1"/>
  <c r="S317" i="2"/>
  <c r="T317" i="2" s="1"/>
  <c r="S318" i="2"/>
  <c r="T318" i="2" s="1"/>
  <c r="S319" i="2"/>
  <c r="T319" i="2" s="1"/>
  <c r="S320" i="2"/>
  <c r="T320" i="2" s="1"/>
  <c r="S321" i="2"/>
  <c r="T321" i="2" s="1"/>
  <c r="S322" i="2"/>
  <c r="T322" i="2" s="1"/>
  <c r="S323" i="2"/>
  <c r="T323" i="2" s="1"/>
  <c r="S324" i="2"/>
  <c r="T324" i="2" s="1"/>
  <c r="S325" i="2"/>
  <c r="T325" i="2" s="1"/>
  <c r="S326" i="2"/>
  <c r="T326" i="2" s="1"/>
  <c r="S327" i="2"/>
  <c r="T327" i="2" s="1"/>
  <c r="S328" i="2"/>
  <c r="T328" i="2" s="1"/>
  <c r="S329" i="2"/>
  <c r="T329" i="2" s="1"/>
  <c r="S330" i="2"/>
  <c r="T330" i="2" s="1"/>
  <c r="S331" i="2"/>
  <c r="T331" i="2" s="1"/>
  <c r="S332" i="2"/>
  <c r="T332" i="2" s="1"/>
  <c r="S333" i="2"/>
  <c r="T333" i="2" s="1"/>
  <c r="S334" i="2"/>
  <c r="T334" i="2" s="1"/>
  <c r="S335" i="2"/>
  <c r="T335" i="2" s="1"/>
  <c r="S336" i="2"/>
  <c r="T336" i="2" s="1"/>
  <c r="S337" i="2"/>
  <c r="T337" i="2" s="1"/>
  <c r="S338" i="2"/>
  <c r="T338" i="2" s="1"/>
  <c r="S339" i="2"/>
  <c r="T339" i="2" s="1"/>
  <c r="S340" i="2"/>
  <c r="T340" i="2" s="1"/>
  <c r="S341" i="2"/>
  <c r="T341" i="2" s="1"/>
  <c r="S342" i="2"/>
  <c r="T342" i="2" s="1"/>
  <c r="S343" i="2"/>
  <c r="T343" i="2" s="1"/>
  <c r="S344" i="2"/>
  <c r="T344" i="2" s="1"/>
  <c r="S345" i="2"/>
  <c r="T345" i="2" s="1"/>
  <c r="S346" i="2"/>
  <c r="T346" i="2" s="1"/>
  <c r="S347" i="2"/>
  <c r="T347" i="2" s="1"/>
  <c r="S348" i="2"/>
  <c r="T348" i="2" s="1"/>
  <c r="S349" i="2"/>
  <c r="T349" i="2" s="1"/>
  <c r="S350" i="2"/>
  <c r="T350" i="2" s="1"/>
  <c r="S351" i="2"/>
  <c r="T351" i="2" s="1"/>
  <c r="S352" i="2"/>
  <c r="T352" i="2" s="1"/>
  <c r="S353" i="2"/>
  <c r="T353" i="2" s="1"/>
  <c r="S354" i="2"/>
  <c r="T354" i="2" s="1"/>
  <c r="S355" i="2"/>
  <c r="T355" i="2" s="1"/>
  <c r="S356" i="2"/>
  <c r="T356" i="2" s="1"/>
  <c r="S357" i="2"/>
  <c r="T357" i="2" s="1"/>
  <c r="S358" i="2"/>
  <c r="T358" i="2" s="1"/>
  <c r="S359" i="2"/>
  <c r="T359" i="2" s="1"/>
  <c r="S360" i="2"/>
  <c r="T360" i="2" s="1"/>
  <c r="S361" i="2"/>
  <c r="T361" i="2" s="1"/>
  <c r="S362" i="2"/>
  <c r="T362" i="2" s="1"/>
  <c r="S363" i="2"/>
  <c r="T363" i="2" s="1"/>
  <c r="S364" i="2"/>
  <c r="T364" i="2" s="1"/>
  <c r="S365" i="2"/>
  <c r="T365" i="2" s="1"/>
  <c r="S366" i="2"/>
  <c r="T366" i="2" s="1"/>
  <c r="S367" i="2"/>
  <c r="T367" i="2" s="1"/>
  <c r="S368" i="2"/>
  <c r="T368" i="2" s="1"/>
  <c r="S369" i="2"/>
  <c r="T369" i="2" s="1"/>
  <c r="S370" i="2"/>
  <c r="T370" i="2" s="1"/>
  <c r="S371" i="2"/>
  <c r="T371" i="2" s="1"/>
  <c r="S372" i="2"/>
  <c r="T372" i="2" s="1"/>
  <c r="S373" i="2"/>
  <c r="T373" i="2" s="1"/>
  <c r="S374" i="2"/>
  <c r="T374" i="2" s="1"/>
  <c r="S375" i="2"/>
  <c r="T375" i="2" s="1"/>
  <c r="S376" i="2"/>
  <c r="T376" i="2" s="1"/>
  <c r="S377" i="2"/>
  <c r="T377" i="2" s="1"/>
  <c r="S378" i="2"/>
  <c r="T378" i="2" s="1"/>
  <c r="S379" i="2"/>
  <c r="T379" i="2" s="1"/>
  <c r="S380" i="2"/>
  <c r="T380" i="2" s="1"/>
  <c r="S381" i="2"/>
  <c r="T381" i="2" s="1"/>
  <c r="S382" i="2"/>
  <c r="T382" i="2" s="1"/>
  <c r="S383" i="2"/>
  <c r="T383" i="2" s="1"/>
  <c r="S384" i="2"/>
  <c r="T384" i="2" s="1"/>
  <c r="S385" i="2"/>
  <c r="T385" i="2" s="1"/>
  <c r="S386" i="2"/>
  <c r="T386" i="2" s="1"/>
  <c r="S387" i="2"/>
  <c r="T387" i="2" s="1"/>
  <c r="S388" i="2"/>
  <c r="T388" i="2" s="1"/>
  <c r="S389" i="2"/>
  <c r="T389" i="2" s="1"/>
  <c r="S390" i="2"/>
  <c r="T390" i="2" s="1"/>
  <c r="S391" i="2"/>
  <c r="T391" i="2" s="1"/>
  <c r="S392" i="2"/>
  <c r="T392" i="2" s="1"/>
  <c r="S393" i="2"/>
  <c r="T393" i="2" s="1"/>
  <c r="S394" i="2"/>
  <c r="T394" i="2" s="1"/>
  <c r="S395" i="2"/>
  <c r="T395" i="2" s="1"/>
  <c r="S396" i="2"/>
  <c r="T396" i="2" s="1"/>
  <c r="S397" i="2"/>
  <c r="T397" i="2" s="1"/>
  <c r="S398" i="2"/>
  <c r="T398" i="2" s="1"/>
  <c r="S399" i="2"/>
  <c r="T399" i="2" s="1"/>
  <c r="S400" i="2"/>
  <c r="T400" i="2" s="1"/>
  <c r="S401" i="2"/>
  <c r="T401" i="2" s="1"/>
  <c r="S402" i="2"/>
  <c r="T402" i="2" s="1"/>
  <c r="S403" i="2"/>
  <c r="T403" i="2" s="1"/>
  <c r="S404" i="2"/>
  <c r="T404" i="2" s="1"/>
  <c r="S405" i="2"/>
  <c r="T405" i="2" s="1"/>
  <c r="S406" i="2"/>
  <c r="T406" i="2" s="1"/>
  <c r="S407" i="2"/>
  <c r="T407" i="2" s="1"/>
  <c r="S408" i="2"/>
  <c r="T408" i="2" s="1"/>
  <c r="S409" i="2"/>
  <c r="T409" i="2" s="1"/>
  <c r="S410" i="2"/>
  <c r="T410" i="2" s="1"/>
  <c r="S411" i="2"/>
  <c r="T411" i="2" s="1"/>
  <c r="S412" i="2"/>
  <c r="T412" i="2" s="1"/>
  <c r="S413" i="2"/>
  <c r="T413" i="2" s="1"/>
  <c r="S414" i="2"/>
  <c r="T414" i="2" s="1"/>
  <c r="S415" i="2"/>
  <c r="T415" i="2" s="1"/>
  <c r="S416" i="2"/>
  <c r="T416" i="2" s="1"/>
  <c r="S417" i="2"/>
  <c r="T417" i="2" s="1"/>
  <c r="S418" i="2"/>
  <c r="T418" i="2" s="1"/>
  <c r="S419" i="2"/>
  <c r="T419" i="2" s="1"/>
  <c r="S420" i="2"/>
  <c r="T420" i="2" s="1"/>
  <c r="S421" i="2"/>
  <c r="T421" i="2" s="1"/>
  <c r="S422" i="2"/>
  <c r="T422" i="2" s="1"/>
  <c r="S423" i="2"/>
  <c r="T423" i="2" s="1"/>
  <c r="S424" i="2"/>
  <c r="T424" i="2" s="1"/>
  <c r="S425" i="2"/>
  <c r="T425" i="2" s="1"/>
  <c r="S426" i="2"/>
  <c r="T426" i="2" s="1"/>
  <c r="S427" i="2"/>
  <c r="T427" i="2" s="1"/>
  <c r="S428" i="2"/>
  <c r="T428" i="2" s="1"/>
  <c r="S429" i="2"/>
  <c r="T429" i="2" s="1"/>
  <c r="S430" i="2"/>
  <c r="T430" i="2" s="1"/>
  <c r="S431" i="2"/>
  <c r="T431" i="2" s="1"/>
  <c r="S432" i="2"/>
  <c r="T432" i="2" s="1"/>
  <c r="S433" i="2"/>
  <c r="T433" i="2" s="1"/>
  <c r="S434" i="2"/>
  <c r="T434" i="2" s="1"/>
  <c r="S435" i="2"/>
  <c r="T435" i="2" s="1"/>
  <c r="S436" i="2"/>
  <c r="T436" i="2" s="1"/>
  <c r="S437" i="2"/>
  <c r="T437" i="2" s="1"/>
  <c r="S438" i="2"/>
  <c r="T438" i="2" s="1"/>
  <c r="S439" i="2"/>
  <c r="T439" i="2" s="1"/>
  <c r="S440" i="2"/>
  <c r="T440" i="2" s="1"/>
  <c r="S441" i="2"/>
  <c r="T441" i="2" s="1"/>
  <c r="S442" i="2"/>
  <c r="T442" i="2" s="1"/>
  <c r="S443" i="2"/>
  <c r="T443" i="2" s="1"/>
  <c r="S444" i="2"/>
  <c r="T444" i="2" s="1"/>
  <c r="S445" i="2"/>
  <c r="T445" i="2" s="1"/>
  <c r="S446" i="2"/>
  <c r="T446" i="2" s="1"/>
  <c r="S447" i="2"/>
  <c r="T447" i="2" s="1"/>
  <c r="S448" i="2"/>
  <c r="T448" i="2" s="1"/>
  <c r="S449" i="2"/>
  <c r="T449" i="2" s="1"/>
  <c r="S450" i="2"/>
  <c r="T450" i="2" s="1"/>
  <c r="S451" i="2"/>
  <c r="T451" i="2" s="1"/>
  <c r="S452" i="2"/>
  <c r="T452" i="2" s="1"/>
  <c r="S453" i="2"/>
  <c r="T453" i="2" s="1"/>
  <c r="S454" i="2"/>
  <c r="T454" i="2" s="1"/>
  <c r="S455" i="2"/>
  <c r="T455" i="2" s="1"/>
  <c r="S456" i="2"/>
  <c r="T456" i="2" s="1"/>
  <c r="S457" i="2"/>
  <c r="T457" i="2" s="1"/>
  <c r="S458" i="2"/>
  <c r="T458" i="2" s="1"/>
  <c r="S459" i="2"/>
  <c r="T459" i="2" s="1"/>
  <c r="S460" i="2"/>
  <c r="T460" i="2" s="1"/>
  <c r="S461" i="2"/>
  <c r="T461" i="2" s="1"/>
  <c r="S462" i="2"/>
  <c r="T462" i="2" s="1"/>
  <c r="S463" i="2"/>
  <c r="T463" i="2" s="1"/>
  <c r="S464" i="2"/>
  <c r="T464" i="2" s="1"/>
  <c r="S465" i="2"/>
  <c r="T465" i="2" s="1"/>
  <c r="S466" i="2"/>
  <c r="T466" i="2" s="1"/>
  <c r="S467" i="2"/>
  <c r="T467" i="2" s="1"/>
  <c r="S468" i="2"/>
  <c r="T468" i="2" s="1"/>
  <c r="S469" i="2"/>
  <c r="T469" i="2" s="1"/>
  <c r="S470" i="2"/>
  <c r="T470" i="2" s="1"/>
  <c r="S471" i="2"/>
  <c r="T471" i="2" s="1"/>
  <c r="S472" i="2"/>
  <c r="T472" i="2" s="1"/>
  <c r="S473" i="2"/>
  <c r="T473" i="2" s="1"/>
  <c r="S474" i="2"/>
  <c r="T474" i="2" s="1"/>
  <c r="S475" i="2"/>
  <c r="T475" i="2" s="1"/>
  <c r="S476" i="2"/>
  <c r="T476" i="2" s="1"/>
  <c r="S477" i="2"/>
  <c r="T477" i="2" s="1"/>
  <c r="S478" i="2"/>
  <c r="T478" i="2" s="1"/>
  <c r="S479" i="2"/>
  <c r="T479" i="2" s="1"/>
  <c r="S480" i="2"/>
  <c r="T480" i="2" s="1"/>
  <c r="S481" i="2"/>
  <c r="T481" i="2" s="1"/>
  <c r="S482" i="2"/>
  <c r="T482" i="2" s="1"/>
  <c r="S483" i="2"/>
  <c r="T483" i="2" s="1"/>
  <c r="S484" i="2"/>
  <c r="T484" i="2" s="1"/>
  <c r="S485" i="2"/>
  <c r="T485" i="2" s="1"/>
  <c r="S486" i="2"/>
  <c r="T486" i="2" s="1"/>
  <c r="S487" i="2"/>
  <c r="T487" i="2" s="1"/>
  <c r="S488" i="2"/>
  <c r="T488" i="2" s="1"/>
  <c r="S489" i="2"/>
  <c r="T489" i="2" s="1"/>
  <c r="S490" i="2"/>
  <c r="T490" i="2" s="1"/>
  <c r="S491" i="2"/>
  <c r="T491" i="2" s="1"/>
  <c r="S492" i="2"/>
  <c r="T492" i="2" s="1"/>
  <c r="S493" i="2"/>
  <c r="T493" i="2" s="1"/>
  <c r="S494" i="2"/>
  <c r="T494" i="2" s="1"/>
  <c r="S495" i="2"/>
  <c r="T495" i="2" s="1"/>
  <c r="S496" i="2"/>
  <c r="T496" i="2" s="1"/>
  <c r="S497" i="2"/>
  <c r="T497" i="2" s="1"/>
  <c r="S498" i="2"/>
  <c r="T498" i="2" s="1"/>
  <c r="S499" i="2"/>
  <c r="T499" i="2" s="1"/>
  <c r="S500" i="2"/>
  <c r="T500" i="2" s="1"/>
  <c r="S501" i="2"/>
  <c r="T501" i="2" s="1"/>
  <c r="S502" i="2"/>
  <c r="T502" i="2" s="1"/>
  <c r="S503" i="2"/>
  <c r="T503" i="2" s="1"/>
  <c r="S504" i="2"/>
  <c r="T504" i="2" s="1"/>
  <c r="S505" i="2"/>
  <c r="T505" i="2" s="1"/>
  <c r="S506" i="2"/>
  <c r="T506" i="2" s="1"/>
  <c r="S507" i="2"/>
  <c r="T507" i="2" s="1"/>
  <c r="S508" i="2"/>
  <c r="T508" i="2" s="1"/>
  <c r="S509" i="2"/>
  <c r="T509" i="2" s="1"/>
  <c r="S510" i="2"/>
  <c r="T510" i="2" s="1"/>
  <c r="S511" i="2"/>
  <c r="T511" i="2" s="1"/>
  <c r="S512" i="2"/>
  <c r="T512" i="2" s="1"/>
  <c r="S513" i="2"/>
  <c r="T513" i="2" s="1"/>
  <c r="S514" i="2"/>
  <c r="T514" i="2" s="1"/>
  <c r="S515" i="2"/>
  <c r="T515" i="2" s="1"/>
  <c r="S516" i="2"/>
  <c r="T516" i="2" s="1"/>
  <c r="S517" i="2"/>
  <c r="T517" i="2" s="1"/>
  <c r="S518" i="2"/>
  <c r="T518" i="2" s="1"/>
  <c r="S519" i="2"/>
  <c r="T519" i="2" s="1"/>
  <c r="S520" i="2"/>
  <c r="T520" i="2" s="1"/>
  <c r="S521" i="2"/>
  <c r="T521" i="2" s="1"/>
  <c r="S522" i="2"/>
  <c r="T522" i="2" s="1"/>
  <c r="S523" i="2"/>
  <c r="T523" i="2" s="1"/>
  <c r="S524" i="2"/>
  <c r="T524" i="2" s="1"/>
  <c r="S525" i="2"/>
  <c r="T525" i="2" s="1"/>
  <c r="S526" i="2"/>
  <c r="T526" i="2" s="1"/>
  <c r="S527" i="2"/>
  <c r="T527" i="2" s="1"/>
  <c r="S528" i="2"/>
  <c r="T528" i="2" s="1"/>
  <c r="S529" i="2"/>
  <c r="T529" i="2" s="1"/>
  <c r="S530" i="2"/>
  <c r="T530" i="2" s="1"/>
  <c r="S531" i="2"/>
  <c r="T531" i="2" s="1"/>
  <c r="S532" i="2"/>
  <c r="T532" i="2" s="1"/>
  <c r="S533" i="2"/>
  <c r="T533" i="2" s="1"/>
  <c r="S534" i="2"/>
  <c r="T534" i="2" s="1"/>
  <c r="S535" i="2"/>
  <c r="T535" i="2" s="1"/>
  <c r="S536" i="2"/>
  <c r="T536" i="2" s="1"/>
  <c r="S537" i="2"/>
  <c r="T537" i="2" s="1"/>
  <c r="S538" i="2"/>
  <c r="T538" i="2" s="1"/>
  <c r="S539" i="2"/>
  <c r="T539" i="2" s="1"/>
  <c r="S540" i="2"/>
  <c r="T540" i="2" s="1"/>
  <c r="S541" i="2"/>
  <c r="T541" i="2" s="1"/>
  <c r="S542" i="2"/>
  <c r="T542" i="2" s="1"/>
  <c r="S543" i="2"/>
  <c r="T543" i="2" s="1"/>
  <c r="S544" i="2"/>
  <c r="T544" i="2" s="1"/>
  <c r="S545" i="2"/>
  <c r="T545" i="2" s="1"/>
  <c r="S546" i="2"/>
  <c r="T546" i="2" s="1"/>
  <c r="S547" i="2"/>
  <c r="T547" i="2" s="1"/>
  <c r="S548" i="2"/>
  <c r="T548" i="2" s="1"/>
  <c r="S549" i="2"/>
  <c r="T549" i="2" s="1"/>
  <c r="S550" i="2"/>
  <c r="T550" i="2" s="1"/>
  <c r="S551" i="2"/>
  <c r="T551" i="2" s="1"/>
  <c r="S552" i="2"/>
  <c r="T552" i="2" s="1"/>
  <c r="S553" i="2"/>
  <c r="T553" i="2" s="1"/>
  <c r="S554" i="2"/>
  <c r="T554" i="2" s="1"/>
  <c r="S555" i="2"/>
  <c r="T555" i="2" s="1"/>
  <c r="S556" i="2"/>
  <c r="T556" i="2" s="1"/>
  <c r="S557" i="2"/>
  <c r="T557" i="2" s="1"/>
  <c r="S558" i="2"/>
  <c r="T558" i="2" s="1"/>
  <c r="S559" i="2"/>
  <c r="T559" i="2" s="1"/>
  <c r="S560" i="2"/>
  <c r="T560" i="2" s="1"/>
  <c r="S561" i="2"/>
  <c r="T561" i="2" s="1"/>
  <c r="S562" i="2"/>
  <c r="T562" i="2" s="1"/>
  <c r="S563" i="2"/>
  <c r="T563" i="2" s="1"/>
  <c r="S564" i="2"/>
  <c r="T564" i="2" s="1"/>
  <c r="S565" i="2"/>
  <c r="T565" i="2" s="1"/>
  <c r="S566" i="2"/>
  <c r="T566" i="2" s="1"/>
  <c r="S567" i="2"/>
  <c r="T567" i="2" s="1"/>
  <c r="S568" i="2"/>
  <c r="T568" i="2" s="1"/>
  <c r="S569" i="2"/>
  <c r="T569" i="2" s="1"/>
  <c r="S570" i="2"/>
  <c r="T570" i="2" s="1"/>
  <c r="S571" i="2"/>
  <c r="T571" i="2" s="1"/>
  <c r="S572" i="2"/>
  <c r="T572" i="2" s="1"/>
  <c r="S573" i="2"/>
  <c r="T573" i="2" s="1"/>
  <c r="S574" i="2"/>
  <c r="T574" i="2" s="1"/>
  <c r="S575" i="2"/>
  <c r="T575" i="2" s="1"/>
  <c r="S576" i="2"/>
  <c r="T576" i="2" s="1"/>
  <c r="S577" i="2"/>
  <c r="T577" i="2" s="1"/>
  <c r="S578" i="2"/>
  <c r="T578" i="2" s="1"/>
  <c r="S579" i="2"/>
  <c r="T579" i="2" s="1"/>
  <c r="S580" i="2"/>
  <c r="T580" i="2" s="1"/>
  <c r="S581" i="2"/>
  <c r="T581" i="2" s="1"/>
  <c r="S582" i="2"/>
  <c r="T582" i="2" s="1"/>
  <c r="S583" i="2"/>
  <c r="T583" i="2" s="1"/>
  <c r="S584" i="2"/>
  <c r="T584" i="2" s="1"/>
  <c r="S585" i="2"/>
  <c r="T585" i="2" s="1"/>
  <c r="S586" i="2"/>
  <c r="T586" i="2" s="1"/>
  <c r="S587" i="2"/>
  <c r="T587" i="2" s="1"/>
  <c r="S588" i="2"/>
  <c r="T588" i="2" s="1"/>
  <c r="S589" i="2"/>
  <c r="T589" i="2" s="1"/>
  <c r="S590" i="2"/>
  <c r="T590" i="2" s="1"/>
  <c r="S591" i="2"/>
  <c r="T591" i="2" s="1"/>
  <c r="S592" i="2"/>
  <c r="T592" i="2" s="1"/>
  <c r="S593" i="2"/>
  <c r="T593" i="2" s="1"/>
  <c r="S594" i="2"/>
  <c r="T594" i="2" s="1"/>
  <c r="S595" i="2"/>
  <c r="T595" i="2" s="1"/>
  <c r="S596" i="2"/>
  <c r="T596" i="2" s="1"/>
  <c r="S597" i="2"/>
  <c r="T597" i="2" s="1"/>
  <c r="S598" i="2"/>
  <c r="T598" i="2" s="1"/>
  <c r="S599" i="2"/>
  <c r="T599" i="2" s="1"/>
  <c r="S600" i="2"/>
  <c r="T600" i="2" s="1"/>
  <c r="S601" i="2"/>
  <c r="T601" i="2" s="1"/>
  <c r="S602" i="2"/>
  <c r="T602" i="2" s="1"/>
  <c r="S603" i="2"/>
  <c r="T603" i="2" s="1"/>
  <c r="S604" i="2"/>
  <c r="T604" i="2" s="1"/>
  <c r="S605" i="2"/>
  <c r="T605" i="2" s="1"/>
  <c r="S606" i="2"/>
  <c r="T606" i="2" s="1"/>
  <c r="S607" i="2"/>
  <c r="T607" i="2" s="1"/>
  <c r="S608" i="2"/>
  <c r="T608" i="2" s="1"/>
  <c r="S609" i="2"/>
  <c r="T609" i="2" s="1"/>
  <c r="S610" i="2"/>
  <c r="T610" i="2" s="1"/>
  <c r="S611" i="2"/>
  <c r="T611" i="2" s="1"/>
  <c r="S612" i="2"/>
  <c r="T612" i="2" s="1"/>
  <c r="S613" i="2"/>
  <c r="T613" i="2" s="1"/>
  <c r="S614" i="2"/>
  <c r="T614" i="2" s="1"/>
  <c r="S615" i="2"/>
  <c r="T615" i="2" s="1"/>
  <c r="S616" i="2"/>
  <c r="T616" i="2" s="1"/>
  <c r="S617" i="2"/>
  <c r="T617" i="2" s="1"/>
  <c r="S618" i="2"/>
  <c r="T618" i="2" s="1"/>
  <c r="S619" i="2"/>
  <c r="T619" i="2" s="1"/>
  <c r="S620" i="2"/>
  <c r="T620" i="2" s="1"/>
  <c r="S621" i="2"/>
  <c r="T621" i="2" s="1"/>
  <c r="S622" i="2"/>
  <c r="T622" i="2" s="1"/>
  <c r="S623" i="2"/>
  <c r="T623" i="2" s="1"/>
  <c r="S624" i="2"/>
  <c r="T624" i="2" s="1"/>
  <c r="S625" i="2"/>
  <c r="T625" i="2" s="1"/>
  <c r="S626" i="2"/>
  <c r="T626" i="2" s="1"/>
  <c r="S627" i="2"/>
  <c r="T627" i="2" s="1"/>
  <c r="S628" i="2"/>
  <c r="T628" i="2" s="1"/>
  <c r="S629" i="2"/>
  <c r="T629" i="2" s="1"/>
  <c r="S630" i="2"/>
  <c r="T630" i="2" s="1"/>
  <c r="S631" i="2"/>
  <c r="T631" i="2" s="1"/>
  <c r="S632" i="2"/>
  <c r="T632" i="2" s="1"/>
  <c r="S633" i="2"/>
  <c r="T633" i="2" s="1"/>
  <c r="S634" i="2"/>
  <c r="T634" i="2" s="1"/>
  <c r="S635" i="2"/>
  <c r="T635" i="2" s="1"/>
  <c r="S636" i="2"/>
  <c r="T636" i="2" s="1"/>
  <c r="S637" i="2"/>
  <c r="T637" i="2" s="1"/>
  <c r="S638" i="2"/>
  <c r="T638" i="2" s="1"/>
  <c r="S639" i="2"/>
  <c r="T639" i="2" s="1"/>
  <c r="S640" i="2"/>
  <c r="T640" i="2" s="1"/>
  <c r="S641" i="2"/>
  <c r="T641" i="2" s="1"/>
  <c r="S642" i="2"/>
  <c r="T642" i="2" s="1"/>
  <c r="S643" i="2"/>
  <c r="T643" i="2" s="1"/>
  <c r="S644" i="2"/>
  <c r="T644" i="2" s="1"/>
  <c r="S645" i="2"/>
  <c r="T645" i="2" s="1"/>
  <c r="S646" i="2"/>
  <c r="T646" i="2" s="1"/>
  <c r="S647" i="2"/>
  <c r="T647" i="2" s="1"/>
  <c r="S648" i="2"/>
  <c r="T648" i="2" s="1"/>
  <c r="S649" i="2"/>
  <c r="T649" i="2" s="1"/>
  <c r="S650" i="2"/>
  <c r="T650" i="2" s="1"/>
  <c r="S651" i="2"/>
  <c r="T651" i="2" s="1"/>
  <c r="S652" i="2"/>
  <c r="T652" i="2" s="1"/>
  <c r="S653" i="2"/>
  <c r="T653" i="2" s="1"/>
  <c r="S654" i="2"/>
  <c r="T654" i="2" s="1"/>
  <c r="S655" i="2"/>
  <c r="T655" i="2" s="1"/>
  <c r="S656" i="2"/>
  <c r="T656" i="2" s="1"/>
  <c r="S657" i="2"/>
  <c r="T657" i="2" s="1"/>
  <c r="S658" i="2"/>
  <c r="T658" i="2" s="1"/>
  <c r="S659" i="2"/>
  <c r="T659" i="2" s="1"/>
  <c r="S660" i="2"/>
  <c r="T660" i="2" s="1"/>
  <c r="S661" i="2"/>
  <c r="T661" i="2" s="1"/>
  <c r="S662" i="2"/>
  <c r="T662" i="2" s="1"/>
  <c r="S663" i="2"/>
  <c r="T663" i="2" s="1"/>
  <c r="S664" i="2"/>
  <c r="T664" i="2" s="1"/>
  <c r="S665" i="2"/>
  <c r="T665" i="2" s="1"/>
  <c r="S666" i="2"/>
  <c r="T666" i="2" s="1"/>
  <c r="S667" i="2"/>
  <c r="T667" i="2" s="1"/>
  <c r="S668" i="2"/>
  <c r="T668" i="2" s="1"/>
  <c r="S669" i="2"/>
  <c r="T669" i="2" s="1"/>
  <c r="S670" i="2"/>
  <c r="T670" i="2" s="1"/>
  <c r="S671" i="2"/>
  <c r="T671" i="2" s="1"/>
  <c r="S672" i="2"/>
  <c r="T672" i="2" s="1"/>
  <c r="S673" i="2"/>
  <c r="T673" i="2" s="1"/>
  <c r="S674" i="2"/>
  <c r="T674" i="2" s="1"/>
  <c r="S675" i="2"/>
  <c r="T675" i="2" s="1"/>
  <c r="S676" i="2"/>
  <c r="T676" i="2" s="1"/>
  <c r="S677" i="2"/>
  <c r="T677" i="2" s="1"/>
  <c r="S678" i="2"/>
  <c r="T678" i="2" s="1"/>
  <c r="S679" i="2"/>
  <c r="T679" i="2" s="1"/>
  <c r="S680" i="2"/>
  <c r="T680" i="2" s="1"/>
  <c r="S681" i="2"/>
  <c r="T681" i="2" s="1"/>
  <c r="S682" i="2"/>
  <c r="T682" i="2" s="1"/>
  <c r="S683" i="2"/>
  <c r="T683" i="2" s="1"/>
  <c r="S684" i="2"/>
  <c r="T684" i="2" s="1"/>
  <c r="S685" i="2"/>
  <c r="T685" i="2" s="1"/>
  <c r="S686" i="2"/>
  <c r="T686" i="2" s="1"/>
  <c r="S687" i="2"/>
  <c r="T687" i="2" s="1"/>
  <c r="S688" i="2"/>
  <c r="T688" i="2" s="1"/>
  <c r="S689" i="2"/>
  <c r="T689" i="2" s="1"/>
  <c r="S690" i="2"/>
  <c r="T690" i="2" s="1"/>
  <c r="S691" i="2"/>
  <c r="T691" i="2" s="1"/>
  <c r="S692" i="2"/>
  <c r="T692" i="2" s="1"/>
  <c r="S693" i="2"/>
  <c r="T693" i="2" s="1"/>
  <c r="S694" i="2"/>
  <c r="T694" i="2" s="1"/>
  <c r="S695" i="2"/>
  <c r="T695" i="2" s="1"/>
  <c r="S696" i="2"/>
  <c r="T696" i="2" s="1"/>
  <c r="S697" i="2"/>
  <c r="T697" i="2" s="1"/>
  <c r="S698" i="2"/>
  <c r="T698" i="2" s="1"/>
  <c r="S699" i="2"/>
  <c r="T699" i="2" s="1"/>
  <c r="S700" i="2"/>
  <c r="T700" i="2" s="1"/>
  <c r="S701" i="2"/>
  <c r="T701" i="2" s="1"/>
  <c r="S702" i="2"/>
  <c r="T702" i="2" s="1"/>
  <c r="S703" i="2"/>
  <c r="T703" i="2" s="1"/>
  <c r="S704" i="2"/>
  <c r="T704" i="2" s="1"/>
  <c r="S705" i="2"/>
  <c r="T705" i="2" s="1"/>
  <c r="S706" i="2"/>
  <c r="T706" i="2" s="1"/>
  <c r="S707" i="2"/>
  <c r="T707" i="2" s="1"/>
  <c r="S708" i="2"/>
  <c r="T708" i="2" s="1"/>
  <c r="S709" i="2"/>
  <c r="T709" i="2" s="1"/>
  <c r="S710" i="2"/>
  <c r="T710" i="2" s="1"/>
  <c r="S711" i="2"/>
  <c r="T711" i="2" s="1"/>
  <c r="S712" i="2"/>
  <c r="T712" i="2" s="1"/>
  <c r="S713" i="2"/>
  <c r="T713" i="2" s="1"/>
  <c r="S714" i="2"/>
  <c r="T714" i="2" s="1"/>
  <c r="S715" i="2"/>
  <c r="T715" i="2" s="1"/>
  <c r="S716" i="2"/>
  <c r="T716" i="2" s="1"/>
  <c r="S717" i="2"/>
  <c r="T717" i="2" s="1"/>
  <c r="S718" i="2"/>
  <c r="T718" i="2" s="1"/>
  <c r="S719" i="2"/>
  <c r="T719" i="2" s="1"/>
  <c r="S720" i="2"/>
  <c r="T720" i="2" s="1"/>
  <c r="S721" i="2"/>
  <c r="T721" i="2" s="1"/>
  <c r="S722" i="2"/>
  <c r="T722" i="2" s="1"/>
  <c r="S723" i="2"/>
  <c r="T723" i="2" s="1"/>
  <c r="S724" i="2"/>
  <c r="T724" i="2" s="1"/>
  <c r="S725" i="2"/>
  <c r="T725" i="2" s="1"/>
  <c r="S726" i="2"/>
  <c r="T726" i="2" s="1"/>
  <c r="S727" i="2"/>
  <c r="T727" i="2" s="1"/>
  <c r="S728" i="2"/>
  <c r="T728" i="2" s="1"/>
  <c r="S729" i="2"/>
  <c r="T729" i="2" s="1"/>
  <c r="S730" i="2"/>
  <c r="T730" i="2" s="1"/>
  <c r="S731" i="2"/>
  <c r="T731" i="2" s="1"/>
  <c r="S732" i="2"/>
  <c r="T732" i="2" s="1"/>
  <c r="S733" i="2"/>
  <c r="T733" i="2" s="1"/>
  <c r="S734" i="2"/>
  <c r="T734" i="2" s="1"/>
  <c r="S735" i="2"/>
  <c r="T735" i="2" s="1"/>
  <c r="S736" i="2"/>
  <c r="T736" i="2" s="1"/>
  <c r="S737" i="2"/>
  <c r="T737" i="2" s="1"/>
  <c r="S738" i="2"/>
  <c r="T738" i="2" s="1"/>
  <c r="S739" i="2"/>
  <c r="T739" i="2" s="1"/>
  <c r="S740" i="2"/>
  <c r="T740" i="2" s="1"/>
  <c r="S741" i="2"/>
  <c r="T741" i="2" s="1"/>
  <c r="S742" i="2"/>
  <c r="T742" i="2" s="1"/>
  <c r="S743" i="2"/>
  <c r="T743" i="2" s="1"/>
  <c r="S744" i="2"/>
  <c r="T744" i="2" s="1"/>
  <c r="S745" i="2"/>
  <c r="T745" i="2" s="1"/>
  <c r="S746" i="2"/>
  <c r="T746" i="2" s="1"/>
  <c r="S747" i="2"/>
  <c r="T747" i="2" s="1"/>
  <c r="S748" i="2"/>
  <c r="T748" i="2" s="1"/>
  <c r="S749" i="2"/>
  <c r="T749" i="2" s="1"/>
  <c r="S750" i="2"/>
  <c r="T750" i="2" s="1"/>
  <c r="S751" i="2"/>
  <c r="T751" i="2" s="1"/>
  <c r="S752" i="2"/>
  <c r="T752" i="2" s="1"/>
  <c r="S753" i="2"/>
  <c r="T753" i="2" s="1"/>
  <c r="S754" i="2"/>
  <c r="T754" i="2" s="1"/>
  <c r="S755" i="2"/>
  <c r="T755" i="2" s="1"/>
  <c r="S756" i="2"/>
  <c r="T756" i="2" s="1"/>
  <c r="S757" i="2"/>
  <c r="T757" i="2" s="1"/>
  <c r="S758" i="2"/>
  <c r="T758" i="2" s="1"/>
  <c r="S759" i="2"/>
  <c r="T759" i="2" s="1"/>
  <c r="S760" i="2"/>
  <c r="T760" i="2" s="1"/>
  <c r="S761" i="2"/>
  <c r="T761" i="2" s="1"/>
  <c r="S762" i="2"/>
  <c r="T762" i="2" s="1"/>
  <c r="S763" i="2"/>
  <c r="T763" i="2" s="1"/>
  <c r="S764" i="2"/>
  <c r="T764" i="2" s="1"/>
  <c r="S765" i="2"/>
  <c r="T765" i="2" s="1"/>
  <c r="S766" i="2"/>
  <c r="T766" i="2" s="1"/>
  <c r="S767" i="2"/>
  <c r="T767" i="2" s="1"/>
  <c r="S768" i="2"/>
  <c r="T768" i="2" s="1"/>
  <c r="S769" i="2"/>
  <c r="T769" i="2" s="1"/>
  <c r="S770" i="2"/>
  <c r="T770" i="2" s="1"/>
  <c r="S771" i="2"/>
  <c r="T771" i="2" s="1"/>
  <c r="S772" i="2"/>
  <c r="T772" i="2" s="1"/>
  <c r="S773" i="2"/>
  <c r="T773" i="2" s="1"/>
  <c r="S774" i="2"/>
  <c r="T774" i="2" s="1"/>
  <c r="S775" i="2"/>
  <c r="T775" i="2" s="1"/>
  <c r="S776" i="2"/>
  <c r="T776" i="2" s="1"/>
  <c r="S777" i="2"/>
  <c r="T777" i="2" s="1"/>
  <c r="S778" i="2"/>
  <c r="T778" i="2" s="1"/>
  <c r="S779" i="2"/>
  <c r="T779" i="2" s="1"/>
  <c r="S780" i="2"/>
  <c r="T780" i="2" s="1"/>
  <c r="S781" i="2"/>
  <c r="T781" i="2" s="1"/>
  <c r="S782" i="2"/>
  <c r="T782" i="2" s="1"/>
  <c r="S783" i="2"/>
  <c r="T783" i="2" s="1"/>
  <c r="S784" i="2"/>
  <c r="T784" i="2" s="1"/>
  <c r="S785" i="2"/>
  <c r="T785" i="2" s="1"/>
  <c r="S786" i="2"/>
  <c r="T786" i="2" s="1"/>
  <c r="S787" i="2"/>
  <c r="T787" i="2" s="1"/>
  <c r="S788" i="2"/>
  <c r="T788" i="2" s="1"/>
  <c r="S789" i="2"/>
  <c r="T789" i="2" s="1"/>
  <c r="S790" i="2"/>
  <c r="T790" i="2" s="1"/>
  <c r="S791" i="2"/>
  <c r="T791" i="2" s="1"/>
  <c r="S792" i="2"/>
  <c r="T792" i="2" s="1"/>
  <c r="S793" i="2"/>
  <c r="T793" i="2" s="1"/>
  <c r="S794" i="2"/>
  <c r="T794" i="2" s="1"/>
  <c r="S795" i="2"/>
  <c r="T795" i="2" s="1"/>
  <c r="S796" i="2"/>
  <c r="T796" i="2" s="1"/>
  <c r="S797" i="2"/>
  <c r="T797" i="2" s="1"/>
  <c r="S798" i="2"/>
  <c r="T798" i="2" s="1"/>
  <c r="S799" i="2"/>
  <c r="T799" i="2" s="1"/>
  <c r="S800" i="2"/>
  <c r="T800" i="2" s="1"/>
  <c r="S801" i="2"/>
  <c r="T801" i="2" s="1"/>
  <c r="S802" i="2"/>
  <c r="T802" i="2" s="1"/>
  <c r="S803" i="2"/>
  <c r="T803" i="2" s="1"/>
  <c r="S804" i="2"/>
  <c r="T804" i="2" s="1"/>
  <c r="S805" i="2"/>
  <c r="T805" i="2" s="1"/>
  <c r="S806" i="2"/>
  <c r="T806" i="2" s="1"/>
  <c r="S807" i="2"/>
  <c r="T807" i="2" s="1"/>
  <c r="S808" i="2"/>
  <c r="T808" i="2" s="1"/>
  <c r="S809" i="2"/>
  <c r="T809" i="2" s="1"/>
  <c r="S810" i="2"/>
  <c r="T810" i="2" s="1"/>
  <c r="S811" i="2"/>
  <c r="T811" i="2" s="1"/>
  <c r="S812" i="2"/>
  <c r="T812" i="2" s="1"/>
  <c r="S813" i="2"/>
  <c r="T813" i="2" s="1"/>
  <c r="S814" i="2"/>
  <c r="T814" i="2" s="1"/>
  <c r="S815" i="2"/>
  <c r="T815" i="2" s="1"/>
  <c r="S816" i="2"/>
  <c r="T816" i="2" s="1"/>
  <c r="S817" i="2"/>
  <c r="T817" i="2" s="1"/>
  <c r="S818" i="2"/>
  <c r="T818" i="2" s="1"/>
  <c r="S819" i="2"/>
  <c r="T819" i="2" s="1"/>
  <c r="S820" i="2"/>
  <c r="T820" i="2" s="1"/>
  <c r="S821" i="2"/>
  <c r="T821" i="2" s="1"/>
  <c r="S822" i="2"/>
  <c r="T822" i="2" s="1"/>
  <c r="S823" i="2"/>
  <c r="T823" i="2" s="1"/>
  <c r="S824" i="2"/>
  <c r="T824" i="2" s="1"/>
  <c r="S825" i="2"/>
  <c r="T825" i="2" s="1"/>
  <c r="S826" i="2"/>
  <c r="T826" i="2" s="1"/>
  <c r="S827" i="2"/>
  <c r="T827" i="2" s="1"/>
  <c r="S828" i="2"/>
  <c r="T828" i="2" s="1"/>
  <c r="S829" i="2"/>
  <c r="T829" i="2" s="1"/>
  <c r="S830" i="2"/>
  <c r="T830" i="2" s="1"/>
  <c r="S831" i="2"/>
  <c r="T831" i="2" s="1"/>
  <c r="S832" i="2"/>
  <c r="T832" i="2" s="1"/>
  <c r="S833" i="2"/>
  <c r="T833" i="2" s="1"/>
  <c r="S834" i="2"/>
  <c r="T834" i="2" s="1"/>
  <c r="S835" i="2"/>
  <c r="T835" i="2" s="1"/>
  <c r="S836" i="2"/>
  <c r="T836" i="2" s="1"/>
  <c r="S837" i="2"/>
  <c r="T837" i="2" s="1"/>
  <c r="S838" i="2"/>
  <c r="T838" i="2" s="1"/>
  <c r="S839" i="2"/>
  <c r="T839" i="2" s="1"/>
  <c r="S840" i="2"/>
  <c r="T840" i="2" s="1"/>
  <c r="S841" i="2"/>
  <c r="T841" i="2" s="1"/>
  <c r="S842" i="2"/>
  <c r="T842" i="2" s="1"/>
  <c r="S843" i="2"/>
  <c r="T843" i="2" s="1"/>
  <c r="S844" i="2"/>
  <c r="T844" i="2" s="1"/>
  <c r="S845" i="2"/>
  <c r="T845" i="2" s="1"/>
  <c r="S846" i="2"/>
  <c r="T846" i="2" s="1"/>
  <c r="S847" i="2"/>
  <c r="T847" i="2" s="1"/>
  <c r="S848" i="2"/>
  <c r="T848" i="2" s="1"/>
  <c r="S849" i="2"/>
  <c r="T849" i="2" s="1"/>
  <c r="S850" i="2"/>
  <c r="T850" i="2" s="1"/>
  <c r="S851" i="2"/>
  <c r="T851" i="2" s="1"/>
  <c r="S852" i="2"/>
  <c r="T852" i="2" s="1"/>
  <c r="S853" i="2"/>
  <c r="T853" i="2" s="1"/>
  <c r="S854" i="2"/>
  <c r="T854" i="2" s="1"/>
  <c r="S855" i="2"/>
  <c r="T855" i="2" s="1"/>
  <c r="S856" i="2"/>
  <c r="T856" i="2" s="1"/>
  <c r="S857" i="2"/>
  <c r="T857" i="2" s="1"/>
  <c r="S858" i="2"/>
  <c r="T858" i="2" s="1"/>
  <c r="S859" i="2"/>
  <c r="T859" i="2" s="1"/>
  <c r="S860" i="2"/>
  <c r="T860" i="2" s="1"/>
  <c r="S861" i="2"/>
  <c r="T861" i="2" s="1"/>
  <c r="S862" i="2"/>
  <c r="T862" i="2" s="1"/>
  <c r="S863" i="2"/>
  <c r="T863" i="2" s="1"/>
  <c r="S864" i="2"/>
  <c r="T864" i="2" s="1"/>
  <c r="S865" i="2"/>
  <c r="T865" i="2" s="1"/>
  <c r="S866" i="2"/>
  <c r="T866" i="2" s="1"/>
  <c r="S867" i="2"/>
  <c r="T867" i="2" s="1"/>
  <c r="S868" i="2"/>
  <c r="T868" i="2" s="1"/>
  <c r="S869" i="2"/>
  <c r="T869" i="2" s="1"/>
  <c r="S870" i="2"/>
  <c r="T870" i="2" s="1"/>
  <c r="S871" i="2"/>
  <c r="T871" i="2" s="1"/>
  <c r="S872" i="2"/>
  <c r="T872" i="2" s="1"/>
  <c r="S873" i="2"/>
  <c r="T873" i="2" s="1"/>
  <c r="S874" i="2"/>
  <c r="T874" i="2" s="1"/>
  <c r="S875" i="2"/>
  <c r="T875" i="2" s="1"/>
  <c r="S876" i="2"/>
  <c r="T876" i="2" s="1"/>
  <c r="S877" i="2"/>
  <c r="T877" i="2" s="1"/>
  <c r="S878" i="2"/>
  <c r="T878" i="2" s="1"/>
  <c r="S879" i="2"/>
  <c r="T879" i="2" s="1"/>
  <c r="S880" i="2"/>
  <c r="T880" i="2" s="1"/>
  <c r="S881" i="2"/>
  <c r="T881" i="2" s="1"/>
  <c r="S882" i="2"/>
  <c r="T882" i="2" s="1"/>
  <c r="S883" i="2"/>
  <c r="T883" i="2" s="1"/>
  <c r="S884" i="2"/>
  <c r="T884" i="2" s="1"/>
  <c r="S885" i="2"/>
  <c r="T885" i="2" s="1"/>
  <c r="S886" i="2"/>
  <c r="T886" i="2" s="1"/>
  <c r="S887" i="2"/>
  <c r="T887" i="2" s="1"/>
  <c r="S888" i="2"/>
  <c r="T888" i="2" s="1"/>
  <c r="S889" i="2"/>
  <c r="T889" i="2" s="1"/>
  <c r="S890" i="2"/>
  <c r="T890" i="2" s="1"/>
  <c r="S891" i="2"/>
  <c r="T891" i="2" s="1"/>
  <c r="S892" i="2"/>
  <c r="T892" i="2" s="1"/>
  <c r="S893" i="2"/>
  <c r="T893" i="2" s="1"/>
  <c r="S894" i="2"/>
  <c r="T894" i="2" s="1"/>
  <c r="S895" i="2"/>
  <c r="T895" i="2" s="1"/>
  <c r="S896" i="2"/>
  <c r="T896" i="2" s="1"/>
  <c r="S897" i="2"/>
  <c r="T897" i="2" s="1"/>
  <c r="S898" i="2"/>
  <c r="T898" i="2" s="1"/>
  <c r="S899" i="2"/>
  <c r="T899" i="2" s="1"/>
  <c r="S900" i="2"/>
  <c r="T900" i="2" s="1"/>
  <c r="S901" i="2"/>
  <c r="T901" i="2" s="1"/>
  <c r="S902" i="2"/>
  <c r="T902" i="2" s="1"/>
  <c r="S903" i="2"/>
  <c r="T903" i="2" s="1"/>
  <c r="S904" i="2"/>
  <c r="T904" i="2" s="1"/>
  <c r="S905" i="2"/>
  <c r="T905" i="2" s="1"/>
  <c r="S906" i="2"/>
  <c r="T906" i="2" s="1"/>
  <c r="S907" i="2"/>
  <c r="T907" i="2" s="1"/>
  <c r="S908" i="2"/>
  <c r="T908" i="2" s="1"/>
  <c r="S909" i="2"/>
  <c r="T909" i="2" s="1"/>
  <c r="S910" i="2"/>
  <c r="T910" i="2" s="1"/>
  <c r="S911" i="2"/>
  <c r="T911" i="2" s="1"/>
  <c r="S912" i="2"/>
  <c r="T912" i="2" s="1"/>
  <c r="S913" i="2"/>
  <c r="T913" i="2" s="1"/>
  <c r="S914" i="2"/>
  <c r="T914" i="2" s="1"/>
  <c r="S915" i="2"/>
  <c r="T915" i="2" s="1"/>
  <c r="S916" i="2"/>
  <c r="T916" i="2" s="1"/>
  <c r="S917" i="2"/>
  <c r="T917" i="2" s="1"/>
  <c r="S918" i="2"/>
  <c r="T918" i="2" s="1"/>
  <c r="S919" i="2"/>
  <c r="T919" i="2" s="1"/>
  <c r="S920" i="2"/>
  <c r="T920" i="2" s="1"/>
  <c r="S921" i="2"/>
  <c r="T921" i="2" s="1"/>
  <c r="S922" i="2"/>
  <c r="T922" i="2" s="1"/>
  <c r="S923" i="2"/>
  <c r="T923" i="2" s="1"/>
  <c r="S924" i="2"/>
  <c r="T924" i="2" s="1"/>
  <c r="S925" i="2"/>
  <c r="T925" i="2" s="1"/>
  <c r="S926" i="2"/>
  <c r="T926" i="2" s="1"/>
  <c r="S927" i="2"/>
  <c r="T927" i="2" s="1"/>
  <c r="S928" i="2"/>
  <c r="T928" i="2" s="1"/>
  <c r="S929" i="2"/>
  <c r="T929" i="2" s="1"/>
  <c r="S930" i="2"/>
  <c r="T930" i="2" s="1"/>
  <c r="S931" i="2"/>
  <c r="T931" i="2" s="1"/>
  <c r="S932" i="2"/>
  <c r="T932" i="2" s="1"/>
  <c r="S933" i="2"/>
  <c r="T933" i="2" s="1"/>
  <c r="S934" i="2"/>
  <c r="T934" i="2" s="1"/>
  <c r="S935" i="2"/>
  <c r="T935" i="2" s="1"/>
  <c r="S936" i="2"/>
  <c r="T936" i="2" s="1"/>
  <c r="S937" i="2"/>
  <c r="T937" i="2" s="1"/>
  <c r="S938" i="2"/>
  <c r="T938" i="2" s="1"/>
  <c r="S939" i="2"/>
  <c r="T939" i="2" s="1"/>
  <c r="S940" i="2"/>
  <c r="T940" i="2" s="1"/>
  <c r="S941" i="2"/>
  <c r="T941" i="2" s="1"/>
  <c r="S942" i="2"/>
  <c r="T942" i="2" s="1"/>
  <c r="S943" i="2"/>
  <c r="T943" i="2" s="1"/>
  <c r="S944" i="2"/>
  <c r="T944" i="2" s="1"/>
  <c r="S945" i="2"/>
  <c r="T945" i="2" s="1"/>
  <c r="S946" i="2"/>
  <c r="T946" i="2" s="1"/>
  <c r="S947" i="2"/>
  <c r="T947" i="2" s="1"/>
  <c r="S948" i="2"/>
  <c r="T948" i="2" s="1"/>
  <c r="S949" i="2"/>
  <c r="T949" i="2" s="1"/>
  <c r="S950" i="2"/>
  <c r="T950" i="2" s="1"/>
  <c r="S951" i="2"/>
  <c r="T951" i="2" s="1"/>
  <c r="S952" i="2"/>
  <c r="T952" i="2" s="1"/>
  <c r="S953" i="2"/>
  <c r="T953" i="2" s="1"/>
  <c r="S954" i="2"/>
  <c r="T954" i="2" s="1"/>
  <c r="S955" i="2"/>
  <c r="T955" i="2" s="1"/>
  <c r="S956" i="2"/>
  <c r="T956" i="2" s="1"/>
  <c r="S957" i="2"/>
  <c r="T957" i="2" s="1"/>
  <c r="S958" i="2"/>
  <c r="T958" i="2" s="1"/>
  <c r="S959" i="2"/>
  <c r="T959" i="2" s="1"/>
  <c r="S960" i="2"/>
  <c r="T960" i="2" s="1"/>
  <c r="S961" i="2"/>
  <c r="T961" i="2" s="1"/>
  <c r="S962" i="2"/>
  <c r="T962" i="2" s="1"/>
  <c r="S963" i="2"/>
  <c r="T963" i="2" s="1"/>
  <c r="S964" i="2"/>
  <c r="T964" i="2" s="1"/>
  <c r="S965" i="2"/>
  <c r="T965" i="2" s="1"/>
  <c r="S966" i="2"/>
  <c r="T966" i="2" s="1"/>
  <c r="S967" i="2"/>
  <c r="T967" i="2" s="1"/>
  <c r="S968" i="2"/>
  <c r="T968" i="2" s="1"/>
  <c r="S969" i="2"/>
  <c r="T969" i="2" s="1"/>
  <c r="S970" i="2"/>
  <c r="T970" i="2" s="1"/>
  <c r="S971" i="2"/>
  <c r="T971" i="2" s="1"/>
  <c r="S972" i="2"/>
  <c r="T972" i="2" s="1"/>
  <c r="S973" i="2"/>
  <c r="T973" i="2" s="1"/>
  <c r="S974" i="2"/>
  <c r="T974" i="2" s="1"/>
  <c r="S975" i="2"/>
  <c r="T975" i="2" s="1"/>
  <c r="S976" i="2"/>
  <c r="T976" i="2" s="1"/>
  <c r="S977" i="2"/>
  <c r="T977" i="2" s="1"/>
  <c r="S978" i="2"/>
  <c r="T978" i="2" s="1"/>
  <c r="S979" i="2"/>
  <c r="T979" i="2" s="1"/>
  <c r="S980" i="2"/>
  <c r="T980" i="2" s="1"/>
  <c r="S981" i="2"/>
  <c r="T981" i="2" s="1"/>
  <c r="S982" i="2"/>
  <c r="T982" i="2" s="1"/>
  <c r="S983" i="2"/>
  <c r="T983" i="2" s="1"/>
  <c r="S984" i="2"/>
  <c r="T984" i="2" s="1"/>
  <c r="S985" i="2"/>
  <c r="T985" i="2" s="1"/>
  <c r="S986" i="2"/>
  <c r="T986" i="2" s="1"/>
  <c r="S987" i="2"/>
  <c r="T987" i="2" s="1"/>
  <c r="S988" i="2"/>
  <c r="T988" i="2" s="1"/>
  <c r="S989" i="2"/>
  <c r="T989" i="2" s="1"/>
  <c r="S990" i="2"/>
  <c r="T990" i="2" s="1"/>
  <c r="S991" i="2"/>
  <c r="T991" i="2" s="1"/>
  <c r="S992" i="2"/>
  <c r="T992" i="2" s="1"/>
  <c r="S993" i="2"/>
  <c r="T993" i="2" s="1"/>
  <c r="S994" i="2"/>
  <c r="T994" i="2" s="1"/>
  <c r="S995" i="2"/>
  <c r="T995" i="2" s="1"/>
  <c r="S996" i="2"/>
  <c r="T996" i="2" s="1"/>
  <c r="S997" i="2"/>
  <c r="T997" i="2" s="1"/>
  <c r="S998" i="2"/>
  <c r="T998" i="2" s="1"/>
  <c r="S999" i="2"/>
  <c r="T999" i="2" s="1"/>
  <c r="S1000" i="2"/>
  <c r="T1000" i="2" s="1"/>
  <c r="S1001" i="2"/>
  <c r="T1001" i="2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C370" i="10"/>
  <c r="C374" i="10"/>
  <c r="C378" i="10"/>
  <c r="C382" i="10"/>
  <c r="C386" i="10"/>
  <c r="C390" i="10"/>
  <c r="C394" i="10"/>
  <c r="C398" i="10"/>
  <c r="C402" i="10"/>
  <c r="C406" i="10"/>
  <c r="C410" i="10"/>
  <c r="C414" i="10"/>
  <c r="C418" i="10"/>
  <c r="C422" i="10"/>
  <c r="C426" i="10"/>
  <c r="C430" i="10"/>
  <c r="C434" i="10"/>
  <c r="C438" i="10"/>
  <c r="C442" i="10"/>
  <c r="C446" i="10"/>
  <c r="C450" i="10"/>
  <c r="C454" i="10"/>
  <c r="C458" i="10"/>
  <c r="C462" i="10"/>
  <c r="C466" i="10"/>
  <c r="C470" i="10"/>
  <c r="C474" i="10"/>
  <c r="R4" i="10"/>
  <c r="R8" i="10"/>
  <c r="C371" i="10"/>
  <c r="C375" i="10"/>
  <c r="C379" i="10"/>
  <c r="C383" i="10"/>
  <c r="C387" i="10"/>
  <c r="C391" i="10"/>
  <c r="C395" i="10"/>
  <c r="C399" i="10"/>
  <c r="C403" i="10"/>
  <c r="C407" i="10"/>
  <c r="C411" i="10"/>
  <c r="C415" i="10"/>
  <c r="C419" i="10"/>
  <c r="C423" i="10"/>
  <c r="C427" i="10"/>
  <c r="C431" i="10"/>
  <c r="C435" i="10"/>
  <c r="C439" i="10"/>
  <c r="C443" i="10"/>
  <c r="C447" i="10"/>
  <c r="C451" i="10"/>
  <c r="C455" i="10"/>
  <c r="C459" i="10"/>
  <c r="C463" i="10"/>
  <c r="C467" i="10"/>
  <c r="C471" i="10"/>
  <c r="C475" i="10"/>
  <c r="R5" i="10"/>
  <c r="C372" i="10"/>
  <c r="C376" i="10"/>
  <c r="C380" i="10"/>
  <c r="C384" i="10"/>
  <c r="C388" i="10"/>
  <c r="C392" i="10"/>
  <c r="C396" i="10"/>
  <c r="C400" i="10"/>
  <c r="C404" i="10"/>
  <c r="C408" i="10"/>
  <c r="C412" i="10"/>
  <c r="C416" i="10"/>
  <c r="C420" i="10"/>
  <c r="C424" i="10"/>
  <c r="C428" i="10"/>
  <c r="C432" i="10"/>
  <c r="C436" i="10"/>
  <c r="C440" i="10"/>
  <c r="C444" i="10"/>
  <c r="C448" i="10"/>
  <c r="C373" i="10"/>
  <c r="C389" i="10"/>
  <c r="C405" i="10"/>
  <c r="C421" i="10"/>
  <c r="C437" i="10"/>
  <c r="C452" i="10"/>
  <c r="C460" i="10"/>
  <c r="C468" i="10"/>
  <c r="R6" i="10"/>
  <c r="C377" i="10"/>
  <c r="C381" i="10"/>
  <c r="C445" i="10"/>
  <c r="C464" i="10"/>
  <c r="R2" i="10"/>
  <c r="C401" i="10"/>
  <c r="C433" i="10"/>
  <c r="C457" i="10"/>
  <c r="C473" i="10"/>
  <c r="C393" i="10"/>
  <c r="C409" i="10"/>
  <c r="C425" i="10"/>
  <c r="C441" i="10"/>
  <c r="C453" i="10"/>
  <c r="C461" i="10"/>
  <c r="C469" i="10"/>
  <c r="R7" i="10"/>
  <c r="C397" i="10"/>
  <c r="C413" i="10"/>
  <c r="C429" i="10"/>
  <c r="C456" i="10"/>
  <c r="C472" i="10"/>
  <c r="C385" i="10"/>
  <c r="C417" i="10"/>
  <c r="C449" i="10"/>
  <c r="C465" i="10"/>
  <c r="R3" i="10"/>
  <c r="D465" i="10" l="1"/>
  <c r="D417" i="10"/>
  <c r="D472" i="10"/>
  <c r="D429" i="10"/>
  <c r="D397" i="10"/>
  <c r="D461" i="10"/>
  <c r="D441" i="10"/>
  <c r="D409" i="10"/>
  <c r="D473" i="10"/>
  <c r="D433" i="10"/>
  <c r="D464" i="10"/>
  <c r="D381" i="10"/>
  <c r="D468" i="10"/>
  <c r="D452" i="10"/>
  <c r="D421" i="10"/>
  <c r="D389" i="10"/>
  <c r="D448" i="10"/>
  <c r="D440" i="10"/>
  <c r="D432" i="10"/>
  <c r="D424" i="10"/>
  <c r="D416" i="10"/>
  <c r="D408" i="10"/>
  <c r="D400" i="10"/>
  <c r="D392" i="10"/>
  <c r="D384" i="10"/>
  <c r="D376" i="10"/>
  <c r="E475" i="10"/>
  <c r="E467" i="10"/>
  <c r="E459" i="10"/>
  <c r="E451" i="10"/>
  <c r="E443" i="10"/>
  <c r="E435" i="10"/>
  <c r="E427" i="10"/>
  <c r="E419" i="10"/>
  <c r="E411" i="10"/>
  <c r="E403" i="10"/>
  <c r="E395" i="10"/>
  <c r="E387" i="10"/>
  <c r="E379" i="10"/>
  <c r="E371" i="10"/>
  <c r="E470" i="10"/>
  <c r="E462" i="10"/>
  <c r="E454" i="10"/>
  <c r="E446" i="10"/>
  <c r="E438" i="10"/>
  <c r="E430" i="10"/>
  <c r="E422" i="10"/>
  <c r="E414" i="10"/>
  <c r="E406" i="10"/>
  <c r="E398" i="10"/>
  <c r="E390" i="10"/>
  <c r="E382" i="10"/>
  <c r="E374" i="10"/>
  <c r="E465" i="10"/>
  <c r="E417" i="10"/>
  <c r="E472" i="10"/>
  <c r="E429" i="10"/>
  <c r="E397" i="10"/>
  <c r="E461" i="10"/>
  <c r="E441" i="10"/>
  <c r="E409" i="10"/>
  <c r="E473" i="10"/>
  <c r="E433" i="10"/>
  <c r="E464" i="10"/>
  <c r="E381" i="10"/>
  <c r="E468" i="10"/>
  <c r="E452" i="10"/>
  <c r="E421" i="10"/>
  <c r="E389" i="10"/>
  <c r="E448" i="10"/>
  <c r="E440" i="10"/>
  <c r="E432" i="10"/>
  <c r="E424" i="10"/>
  <c r="E416" i="10"/>
  <c r="E408" i="10"/>
  <c r="E400" i="10"/>
  <c r="E392" i="10"/>
  <c r="E384" i="10"/>
  <c r="E376" i="10"/>
  <c r="D475" i="10"/>
  <c r="D467" i="10"/>
  <c r="D459" i="10"/>
  <c r="D451" i="10"/>
  <c r="D443" i="10"/>
  <c r="D435" i="10"/>
  <c r="D427" i="10"/>
  <c r="D419" i="10"/>
  <c r="D411" i="10"/>
  <c r="D403" i="10"/>
  <c r="D395" i="10"/>
  <c r="D387" i="10"/>
  <c r="D379" i="10"/>
  <c r="D371" i="10"/>
  <c r="D470" i="10"/>
  <c r="D462" i="10"/>
  <c r="D454" i="10"/>
  <c r="D446" i="10"/>
  <c r="D438" i="10"/>
  <c r="D430" i="10"/>
  <c r="D422" i="10"/>
  <c r="D414" i="10"/>
  <c r="D406" i="10"/>
  <c r="D398" i="10"/>
  <c r="D390" i="10"/>
  <c r="D382" i="10"/>
  <c r="D374" i="10"/>
  <c r="D449" i="10"/>
  <c r="D385" i="10"/>
  <c r="D456" i="10"/>
  <c r="D413" i="10"/>
  <c r="D469" i="10"/>
  <c r="D453" i="10"/>
  <c r="D425" i="10"/>
  <c r="D393" i="10"/>
  <c r="D457" i="10"/>
  <c r="D401" i="10"/>
  <c r="D445" i="10"/>
  <c r="D377" i="10"/>
  <c r="D460" i="10"/>
  <c r="D437" i="10"/>
  <c r="D405" i="10"/>
  <c r="D373" i="10"/>
  <c r="D444" i="10"/>
  <c r="D436" i="10"/>
  <c r="D428" i="10"/>
  <c r="D420" i="10"/>
  <c r="D412" i="10"/>
  <c r="E449" i="10"/>
  <c r="E469" i="10"/>
  <c r="E457" i="10"/>
  <c r="E460" i="10"/>
  <c r="E444" i="10"/>
  <c r="E412" i="10"/>
  <c r="E396" i="10"/>
  <c r="E380" i="10"/>
  <c r="D471" i="10"/>
  <c r="D455" i="10"/>
  <c r="D439" i="10"/>
  <c r="D423" i="10"/>
  <c r="D407" i="10"/>
  <c r="D391" i="10"/>
  <c r="D375" i="10"/>
  <c r="D466" i="10"/>
  <c r="D450" i="10"/>
  <c r="D434" i="10"/>
  <c r="D418" i="10"/>
  <c r="D402" i="10"/>
  <c r="D386" i="10"/>
  <c r="D370" i="10"/>
  <c r="D410" i="10"/>
  <c r="E413" i="10"/>
  <c r="D380" i="10"/>
  <c r="E455" i="10"/>
  <c r="E407" i="10"/>
  <c r="E375" i="10"/>
  <c r="E434" i="10"/>
  <c r="E402" i="10"/>
  <c r="E370" i="10"/>
  <c r="E385" i="10"/>
  <c r="E453" i="10"/>
  <c r="E401" i="10"/>
  <c r="E437" i="10"/>
  <c r="E436" i="10"/>
  <c r="D404" i="10"/>
  <c r="D388" i="10"/>
  <c r="D372" i="10"/>
  <c r="E463" i="10"/>
  <c r="E447" i="10"/>
  <c r="E431" i="10"/>
  <c r="E415" i="10"/>
  <c r="E399" i="10"/>
  <c r="E383" i="10"/>
  <c r="E474" i="10"/>
  <c r="E458" i="10"/>
  <c r="E442" i="10"/>
  <c r="E426" i="10"/>
  <c r="E410" i="10"/>
  <c r="E394" i="10"/>
  <c r="E378" i="10"/>
  <c r="E456" i="10"/>
  <c r="E425" i="10"/>
  <c r="E445" i="10"/>
  <c r="E405" i="10"/>
  <c r="E428" i="10"/>
  <c r="E404" i="10"/>
  <c r="E388" i="10"/>
  <c r="E372" i="10"/>
  <c r="D463" i="10"/>
  <c r="D447" i="10"/>
  <c r="D431" i="10"/>
  <c r="D415" i="10"/>
  <c r="D399" i="10"/>
  <c r="D383" i="10"/>
  <c r="D474" i="10"/>
  <c r="D458" i="10"/>
  <c r="D442" i="10"/>
  <c r="D426" i="10"/>
  <c r="D394" i="10"/>
  <c r="D378" i="10"/>
  <c r="E393" i="10"/>
  <c r="E377" i="10"/>
  <c r="E373" i="10"/>
  <c r="E420" i="10"/>
  <c r="D396" i="10"/>
  <c r="E471" i="10"/>
  <c r="E439" i="10"/>
  <c r="E423" i="10"/>
  <c r="E391" i="10"/>
  <c r="E466" i="10"/>
  <c r="E450" i="10"/>
  <c r="E418" i="10"/>
  <c r="E38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ZHD</author>
  </authors>
  <commentList>
    <comment ref="R1" authorId="0" shapeId="0" xr:uid="{03CE8B1E-E1A9-47AB-BC55-1C63E52091BA}">
      <text>
        <r>
          <rPr>
            <b/>
            <sz val="9"/>
            <color indexed="81"/>
            <rFont val="Tahoma"/>
            <family val="2"/>
          </rPr>
          <t>ZHD:</t>
        </r>
        <r>
          <rPr>
            <sz val="9"/>
            <color indexed="81"/>
            <rFont val="Tahoma"/>
            <family val="2"/>
          </rPr>
          <t xml:space="preserve">
if blank fill blannk with median
Alternative have to handle missing data
</t>
        </r>
      </text>
    </comment>
  </commentList>
</comments>
</file>

<file path=xl/sharedStrings.xml><?xml version="1.0" encoding="utf-8"?>
<sst xmlns="http://schemas.openxmlformats.org/spreadsheetml/2006/main" count="12100" uniqueCount="396">
  <si>
    <t>Customer ID</t>
  </si>
  <si>
    <t>Gender</t>
  </si>
  <si>
    <t>Region</t>
  </si>
  <si>
    <t>Product Name</t>
  </si>
  <si>
    <t>Category</t>
  </si>
  <si>
    <t>Age</t>
  </si>
  <si>
    <t>Unit Price</t>
  </si>
  <si>
    <t>Quantity</t>
  </si>
  <si>
    <t>Total Price</t>
  </si>
  <si>
    <t>Shipping Fee</t>
  </si>
  <si>
    <t>Order Date</t>
  </si>
  <si>
    <t>Shipping Status</t>
  </si>
  <si>
    <t>CUST0268</t>
  </si>
  <si>
    <t>Male</t>
  </si>
  <si>
    <t>Monitor</t>
  </si>
  <si>
    <t>Electronics</t>
  </si>
  <si>
    <t>CUST0046</t>
  </si>
  <si>
    <t>Headphones</t>
  </si>
  <si>
    <t>Accessories</t>
  </si>
  <si>
    <t>CUST0169</t>
  </si>
  <si>
    <t>Female</t>
  </si>
  <si>
    <t>CUST0002</t>
  </si>
  <si>
    <t>CUST0173</t>
  </si>
  <si>
    <t>Laptop</t>
  </si>
  <si>
    <t>CUST0147</t>
  </si>
  <si>
    <t>Smartwatch</t>
  </si>
  <si>
    <t>Wearables</t>
  </si>
  <si>
    <t>CUST0262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</si>
  <si>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</si>
  <si>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</si>
  <si>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</si>
  <si>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</si>
  <si>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</si>
  <si>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</si>
  <si>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</si>
  <si>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</si>
  <si>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</si>
  <si>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</si>
  <si>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</si>
  <si>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</si>
  <si>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</si>
  <si>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</si>
  <si>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</si>
  <si>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</si>
  <si>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</si>
  <si>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</si>
  <si>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</si>
  <si>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</si>
  <si>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</si>
  <si>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</si>
  <si>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</si>
  <si>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</si>
  <si>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</si>
  <si>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</si>
  <si>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</si>
  <si>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</si>
  <si>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</si>
  <si>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</si>
  <si>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</si>
  <si>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</si>
  <si>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</si>
  <si>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</si>
  <si>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</si>
  <si>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</si>
  <si>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</si>
  <si>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</si>
  <si>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</si>
  <si>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</si>
  <si>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</si>
  <si>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</si>
  <si>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</si>
  <si>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</si>
  <si>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</si>
  <si>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</si>
  <si>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</si>
  <si>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</si>
  <si>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</si>
  <si>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</si>
  <si>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</si>
  <si>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</si>
  <si>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</si>
  <si>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</si>
  <si>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</si>
  <si>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</si>
  <si>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</si>
  <si>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</si>
  <si>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</si>
  <si>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</si>
  <si>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</si>
  <si>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</si>
  <si>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</si>
  <si>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</si>
  <si>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</si>
  <si>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</si>
  <si>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</si>
  <si>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</si>
  <si>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</si>
  <si>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</si>
  <si>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</si>
  <si>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</si>
  <si>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</si>
  <si>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</si>
  <si>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</si>
  <si>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</si>
  <si>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</si>
  <si>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</si>
  <si>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</si>
  <si>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</si>
  <si>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</si>
  <si>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</si>
  <si>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</si>
  <si>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</si>
  <si>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</si>
  <si>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</si>
  <si>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</si>
  <si>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</si>
  <si>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</si>
  <si>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</si>
  <si>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</si>
  <si>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</si>
  <si>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</si>
  <si>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</si>
  <si>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</si>
  <si>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</si>
  <si>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</si>
  <si>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</si>
  <si>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</si>
  <si>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</si>
  <si>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</si>
  <si>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</si>
  <si>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</si>
  <si>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</si>
  <si>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</si>
  <si>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</si>
  <si>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</si>
  <si>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</si>
  <si>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</si>
  <si>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</si>
  <si>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</si>
  <si>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</si>
  <si>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</si>
  <si>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</si>
  <si>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</si>
  <si>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</si>
  <si>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</si>
  <si>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</si>
  <si>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</si>
  <si>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</si>
  <si>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</si>
  <si>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</si>
  <si>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</si>
  <si>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</si>
  <si>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</si>
  <si>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</si>
  <si>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</si>
  <si>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</si>
  <si>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</si>
  <si>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</si>
  <si>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</si>
  <si>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</si>
  <si>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</si>
  <si>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</si>
  <si>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</si>
  <si>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</si>
  <si>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</si>
  <si>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</si>
  <si>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</si>
  <si>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</si>
  <si>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</si>
  <si>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</si>
  <si>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</si>
  <si>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</si>
  <si>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</si>
  <si>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</si>
  <si>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</si>
  <si>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</si>
  <si>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</si>
  <si>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</si>
  <si>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</si>
  <si>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</si>
  <si>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</si>
  <si>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</si>
  <si>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</si>
  <si>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</si>
  <si>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</si>
  <si>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</si>
  <si>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</si>
  <si>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</si>
  <si>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</si>
  <si>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</si>
  <si>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</si>
  <si>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</si>
  <si>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</si>
  <si>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</si>
  <si>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</si>
  <si>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</si>
  <si>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</si>
  <si>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</si>
  <si>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</si>
  <si>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</si>
  <si>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</si>
  <si>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</si>
  <si>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</si>
  <si>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</si>
  <si>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</si>
  <si>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</si>
  <si>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</si>
  <si>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</si>
  <si>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</si>
  <si>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</si>
  <si>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</si>
  <si>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</si>
  <si>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</si>
  <si>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</si>
  <si>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</si>
  <si>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</si>
  <si>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</si>
  <si>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</si>
  <si>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</si>
  <si>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</si>
  <si>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</si>
  <si>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</si>
  <si>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</si>
  <si>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</si>
  <si>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</si>
  <si>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</si>
  <si>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</si>
  <si>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</si>
  <si>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</si>
  <si>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</si>
  <si>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</si>
  <si>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</si>
  <si>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</si>
  <si>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</si>
  <si>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</si>
  <si>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</si>
  <si>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</si>
  <si>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</si>
  <si>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</si>
  <si>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</si>
  <si>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</si>
  <si>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</si>
  <si>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</si>
  <si>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</si>
  <si>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</si>
  <si>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</si>
  <si>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</si>
  <si>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</si>
  <si>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</si>
  <si>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</si>
  <si>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</si>
  <si>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</si>
  <si>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</si>
  <si>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</si>
  <si>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</si>
  <si>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</si>
  <si>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</si>
  <si>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</si>
  <si>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</si>
  <si>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</si>
  <si>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</si>
  <si>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</si>
  <si>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</si>
  <si>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</si>
  <si>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</si>
  <si>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</si>
  <si>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</si>
  <si>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</si>
  <si>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</si>
  <si>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</si>
  <si>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</si>
  <si>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</si>
  <si>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</si>
  <si>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</si>
  <si>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</si>
  <si>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</si>
  <si>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</si>
  <si>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</si>
  <si>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</si>
  <si>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</si>
  <si>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</si>
  <si>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</si>
  <si>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</si>
  <si>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</si>
  <si>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</si>
  <si>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</si>
  <si>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</si>
  <si>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</si>
  <si>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</si>
  <si>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</si>
  <si>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</si>
  <si>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</si>
  <si>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</si>
  <si>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</si>
  <si>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</si>
  <si>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</si>
  <si>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</si>
  <si>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</si>
  <si>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</si>
  <si>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</si>
  <si>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</si>
  <si>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</si>
  <si>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</si>
  <si>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</si>
  <si>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</si>
  <si>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</si>
  <si>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</si>
  <si>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</si>
  <si>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</si>
  <si>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</si>
  <si>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</si>
  <si>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</si>
  <si>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</si>
  <si>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</si>
  <si>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</si>
  <si>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</si>
  <si>
    <t>Returned</t>
  </si>
  <si>
    <t>In Transit</t>
  </si>
  <si>
    <t>Delivered</t>
  </si>
  <si>
    <t>Unknown</t>
  </si>
  <si>
    <t>North</t>
  </si>
  <si>
    <t>West</t>
  </si>
  <si>
    <t>South</t>
  </si>
  <si>
    <t>East</t>
  </si>
  <si>
    <t>Revenue</t>
  </si>
  <si>
    <t>Year</t>
  </si>
  <si>
    <t>YYYY-MM'</t>
  </si>
  <si>
    <t>Median Quantity'</t>
  </si>
  <si>
    <t xml:space="preserve">Weeks     </t>
  </si>
  <si>
    <t>Row Labels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</si>
  <si>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</si>
  <si>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</si>
  <si>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</si>
  <si>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</si>
  <si>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</si>
  <si>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</si>
  <si>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</si>
  <si>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</si>
  <si>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</si>
  <si>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</si>
  <si>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</si>
  <si>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</si>
  <si>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</si>
  <si>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Grand Total</t>
  </si>
  <si>
    <t>Sum of Quantity</t>
  </si>
  <si>
    <t>(All)</t>
  </si>
  <si>
    <t>Trend</t>
  </si>
  <si>
    <t>RowIdx</t>
  </si>
  <si>
    <t xml:space="preserve">Median Quantity   </t>
  </si>
  <si>
    <t xml:space="preserve">Flag 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</si>
  <si>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</si>
  <si>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</si>
  <si>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</si>
  <si>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</si>
  <si>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</si>
  <si>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</si>
  <si>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</si>
  <si>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</si>
  <si>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</si>
  <si>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Forecast(Quantity)</t>
  </si>
  <si>
    <t>Lower Confidence Bound(Quantity)</t>
  </si>
  <si>
    <t>Upper Confidence Bound(Quantity)</t>
  </si>
  <si>
    <t>Forcast Date</t>
  </si>
  <si>
    <t>Forcast Value</t>
  </si>
  <si>
    <t>Forcast Date samle</t>
  </si>
  <si>
    <t>Percentile</t>
  </si>
  <si>
    <t>Standard Residuals</t>
  </si>
  <si>
    <t>Residuals</t>
  </si>
  <si>
    <t>Observation</t>
  </si>
  <si>
    <t>PROBABILITY OUTPUT</t>
  </si>
  <si>
    <t>RESIDUAL OUTPUT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</si>
  <si>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</si>
  <si>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</si>
  <si>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</si>
  <si>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</si>
  <si>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</si>
  <si>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</si>
  <si>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</si>
  <si>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</si>
  <si>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</si>
  <si>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</si>
  <si>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</si>
  <si>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</si>
  <si>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</si>
  <si>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</si>
  <si>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</si>
  <si>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</si>
  <si>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</si>
  <si>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</si>
  <si>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</si>
  <si>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</si>
  <si>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</si>
  <si>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</si>
  <si>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</si>
  <si>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</si>
  <si>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Predicted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</si>
</sst>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14" fontId="0" fillId="0" borderId="0" xfId="0" applyNumberFormat="1"/>
    <xf numFmtId="0" fontId="0" fillId="2" borderId="2" xfId="0" applyFill="1" applyBorder="1"/>
    <xf numFmtId="14" fontId="0" fillId="2" borderId="2" xfId="0" applyNumberFormat="1" applyFill="1" applyBorder="1"/>
    <xf numFmtId="14" fontId="0" fillId="2" borderId="1" xfId="0" applyNumberFormat="1" applyFill="1" applyBorder="1"/>
    <xf numFmtId="0" fontId="1" fillId="0" borderId="0" xfId="0" applyFont="1"/>
    <xf numFmtId="0" fontId="0" fillId="0" borderId="0" xfId="0" applyNumberFormat="1"/>
    <xf numFmtId="0" fontId="0" fillId="2" borderId="2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right"/>
    </xf>
    <xf numFmtId="0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2" fontId="0" fillId="0" borderId="0" xfId="0" applyNumberFormat="1"/>
    <xf numFmtId="4" fontId="0" fillId="0" borderId="0" xfId="0" applyNumberFormat="1"/>
    <xf numFmtId="0" fontId="0" fillId="4" borderId="0" xfId="0" applyFill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Continuous"/>
    </xf>
  </cellXfs>
  <cellStyles count="1">
    <cellStyle name="Normal" xfId="0" builtinId="0"/>
  </cellStyles>
  <dxfs count="19"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4" formatCode="#,##0.00"/>
    </dxf>
    <dxf>
      <numFmt numFmtId="0" formatCode="General"/>
      <alignment vertical="top" textRotation="0" wrapText="0" indent="0" justifyLastLine="0" shrinkToFit="0" readingOrder="0"/>
    </dxf>
    <dxf>
      <numFmt numFmtId="0" formatCode="General"/>
    </dxf>
    <dxf>
      <font>
        <b/>
      </font>
      <numFmt numFmtId="0" formatCode="General"/>
      <alignment horizontal="right" vertical="top" textRotation="0" wrapText="0" indent="0" justifyLastLine="0" shrinkToFit="0" readingOrder="0"/>
    </dxf>
    <dxf>
      <font>
        <b/>
      </font>
      <numFmt numFmtId="0" formatCode="General"/>
      <alignment horizontal="right" vertical="top" textRotation="0" wrapText="0" indent="0" justifyLastLine="0" shrinkToFit="0" readingOrder="0"/>
    </dxf>
    <dxf>
      <font>
        <b/>
      </font>
      <numFmt numFmtId="0" formatCode="General"/>
      <alignment horizontal="right" vertical="bottom" textRotation="0" wrapText="0" indent="0" justifyLastLine="0" shrinkToFit="0" readingOrder="0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19" formatCode="m/d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Forcast!$B$1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Forcast!$B$2:$B$475</c:f>
              <c:numCache>
                <c:formatCode>General</c:formatCode>
                <c:ptCount val="474"/>
                <c:pt idx="0">
                  <c:v>4.5</c:v>
                </c:pt>
                <c:pt idx="1">
                  <c:v>2.6666666666666665</c:v>
                </c:pt>
                <c:pt idx="2">
                  <c:v>2.8</c:v>
                </c:pt>
                <c:pt idx="3">
                  <c:v>4</c:v>
                </c:pt>
                <c:pt idx="4">
                  <c:v>3.25</c:v>
                </c:pt>
                <c:pt idx="5">
                  <c:v>5</c:v>
                </c:pt>
                <c:pt idx="6">
                  <c:v>4.25</c:v>
                </c:pt>
                <c:pt idx="7">
                  <c:v>3</c:v>
                </c:pt>
                <c:pt idx="8">
                  <c:v>2.6666666666666665</c:v>
                </c:pt>
                <c:pt idx="9">
                  <c:v>2.6</c:v>
                </c:pt>
                <c:pt idx="10">
                  <c:v>3.25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3.6666666666666665</c:v>
                </c:pt>
                <c:pt idx="16">
                  <c:v>3</c:v>
                </c:pt>
                <c:pt idx="17">
                  <c:v>3.25</c:v>
                </c:pt>
                <c:pt idx="18">
                  <c:v>2.75</c:v>
                </c:pt>
                <c:pt idx="19">
                  <c:v>4</c:v>
                </c:pt>
                <c:pt idx="20">
                  <c:v>1</c:v>
                </c:pt>
                <c:pt idx="21">
                  <c:v>3.5</c:v>
                </c:pt>
                <c:pt idx="22">
                  <c:v>2.25</c:v>
                </c:pt>
                <c:pt idx="23">
                  <c:v>3.3333333333333335</c:v>
                </c:pt>
                <c:pt idx="24">
                  <c:v>4</c:v>
                </c:pt>
                <c:pt idx="25">
                  <c:v>3.6666666666666665</c:v>
                </c:pt>
                <c:pt idx="26">
                  <c:v>5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2.6666666666666665</c:v>
                </c:pt>
                <c:pt idx="32">
                  <c:v>3.4</c:v>
                </c:pt>
                <c:pt idx="33">
                  <c:v>3.75</c:v>
                </c:pt>
                <c:pt idx="34">
                  <c:v>3</c:v>
                </c:pt>
                <c:pt idx="35">
                  <c:v>2.25</c:v>
                </c:pt>
                <c:pt idx="36">
                  <c:v>1.5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2.3333333333333335</c:v>
                </c:pt>
                <c:pt idx="42">
                  <c:v>3.5</c:v>
                </c:pt>
                <c:pt idx="43">
                  <c:v>2.5</c:v>
                </c:pt>
                <c:pt idx="44">
                  <c:v>3.3333333333333335</c:v>
                </c:pt>
                <c:pt idx="45">
                  <c:v>1.5</c:v>
                </c:pt>
                <c:pt idx="46">
                  <c:v>3</c:v>
                </c:pt>
                <c:pt idx="47">
                  <c:v>2.6666666666666665</c:v>
                </c:pt>
                <c:pt idx="48">
                  <c:v>3</c:v>
                </c:pt>
                <c:pt idx="49">
                  <c:v>3.3333333333333335</c:v>
                </c:pt>
                <c:pt idx="50">
                  <c:v>3</c:v>
                </c:pt>
                <c:pt idx="51">
                  <c:v>3.2</c:v>
                </c:pt>
                <c:pt idx="52">
                  <c:v>2</c:v>
                </c:pt>
                <c:pt idx="53">
                  <c:v>1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1.6666666666666667</c:v>
                </c:pt>
                <c:pt idx="58">
                  <c:v>2.25</c:v>
                </c:pt>
                <c:pt idx="59">
                  <c:v>3.625</c:v>
                </c:pt>
                <c:pt idx="60">
                  <c:v>5</c:v>
                </c:pt>
                <c:pt idx="61">
                  <c:v>3.6</c:v>
                </c:pt>
                <c:pt idx="62">
                  <c:v>5</c:v>
                </c:pt>
                <c:pt idx="63">
                  <c:v>3</c:v>
                </c:pt>
                <c:pt idx="64">
                  <c:v>3</c:v>
                </c:pt>
                <c:pt idx="65">
                  <c:v>4.333333333333333</c:v>
                </c:pt>
                <c:pt idx="66">
                  <c:v>1.5</c:v>
                </c:pt>
                <c:pt idx="67">
                  <c:v>3.3333333333333335</c:v>
                </c:pt>
                <c:pt idx="68">
                  <c:v>2</c:v>
                </c:pt>
                <c:pt idx="69">
                  <c:v>3.5</c:v>
                </c:pt>
                <c:pt idx="70">
                  <c:v>2.3333333333333335</c:v>
                </c:pt>
                <c:pt idx="71">
                  <c:v>3</c:v>
                </c:pt>
                <c:pt idx="72">
                  <c:v>2</c:v>
                </c:pt>
                <c:pt idx="73">
                  <c:v>4.666666666666667</c:v>
                </c:pt>
                <c:pt idx="74">
                  <c:v>2.5</c:v>
                </c:pt>
                <c:pt idx="75">
                  <c:v>4</c:v>
                </c:pt>
                <c:pt idx="76">
                  <c:v>3</c:v>
                </c:pt>
                <c:pt idx="77">
                  <c:v>3.5</c:v>
                </c:pt>
                <c:pt idx="78">
                  <c:v>2.6666666666666665</c:v>
                </c:pt>
                <c:pt idx="79">
                  <c:v>3.5</c:v>
                </c:pt>
                <c:pt idx="80">
                  <c:v>3.3333333333333335</c:v>
                </c:pt>
                <c:pt idx="81">
                  <c:v>2.666666666666667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2.8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2.5</c:v>
                </c:pt>
                <c:pt idx="93">
                  <c:v>4.5</c:v>
                </c:pt>
                <c:pt idx="94">
                  <c:v>1</c:v>
                </c:pt>
                <c:pt idx="95">
                  <c:v>3</c:v>
                </c:pt>
                <c:pt idx="96">
                  <c:v>3.6666666666666665</c:v>
                </c:pt>
                <c:pt idx="97">
                  <c:v>3.6666666666666665</c:v>
                </c:pt>
                <c:pt idx="98">
                  <c:v>2</c:v>
                </c:pt>
                <c:pt idx="99">
                  <c:v>3.25</c:v>
                </c:pt>
                <c:pt idx="100">
                  <c:v>3.5</c:v>
                </c:pt>
                <c:pt idx="101">
                  <c:v>3</c:v>
                </c:pt>
                <c:pt idx="102">
                  <c:v>2</c:v>
                </c:pt>
                <c:pt idx="103">
                  <c:v>2.3333333333333335</c:v>
                </c:pt>
                <c:pt idx="104">
                  <c:v>2</c:v>
                </c:pt>
                <c:pt idx="105">
                  <c:v>2</c:v>
                </c:pt>
                <c:pt idx="106">
                  <c:v>2.5</c:v>
                </c:pt>
                <c:pt idx="107">
                  <c:v>3</c:v>
                </c:pt>
                <c:pt idx="108">
                  <c:v>1</c:v>
                </c:pt>
                <c:pt idx="109">
                  <c:v>2.6666666666666665</c:v>
                </c:pt>
                <c:pt idx="110">
                  <c:v>3</c:v>
                </c:pt>
                <c:pt idx="111">
                  <c:v>3.1</c:v>
                </c:pt>
                <c:pt idx="112">
                  <c:v>3.2</c:v>
                </c:pt>
                <c:pt idx="113">
                  <c:v>2.5</c:v>
                </c:pt>
                <c:pt idx="114">
                  <c:v>2.6666666666666665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4</c:v>
                </c:pt>
                <c:pt idx="119">
                  <c:v>3.5</c:v>
                </c:pt>
                <c:pt idx="120">
                  <c:v>3</c:v>
                </c:pt>
                <c:pt idx="121">
                  <c:v>5</c:v>
                </c:pt>
                <c:pt idx="122">
                  <c:v>4</c:v>
                </c:pt>
                <c:pt idx="123">
                  <c:v>3.3333333333333335</c:v>
                </c:pt>
                <c:pt idx="124">
                  <c:v>2.5</c:v>
                </c:pt>
                <c:pt idx="125">
                  <c:v>4.25</c:v>
                </c:pt>
                <c:pt idx="126">
                  <c:v>2.4285714285714284</c:v>
                </c:pt>
                <c:pt idx="127">
                  <c:v>3</c:v>
                </c:pt>
                <c:pt idx="128">
                  <c:v>3.5</c:v>
                </c:pt>
                <c:pt idx="129">
                  <c:v>3</c:v>
                </c:pt>
                <c:pt idx="130">
                  <c:v>3</c:v>
                </c:pt>
                <c:pt idx="131">
                  <c:v>5</c:v>
                </c:pt>
                <c:pt idx="132">
                  <c:v>4.5</c:v>
                </c:pt>
                <c:pt idx="133">
                  <c:v>4</c:v>
                </c:pt>
                <c:pt idx="134">
                  <c:v>3</c:v>
                </c:pt>
                <c:pt idx="135">
                  <c:v>4.2</c:v>
                </c:pt>
                <c:pt idx="136">
                  <c:v>2</c:v>
                </c:pt>
                <c:pt idx="137">
                  <c:v>3.4</c:v>
                </c:pt>
                <c:pt idx="138">
                  <c:v>3.1166666666666667</c:v>
                </c:pt>
                <c:pt idx="139">
                  <c:v>2.8333333333333335</c:v>
                </c:pt>
                <c:pt idx="140">
                  <c:v>2</c:v>
                </c:pt>
                <c:pt idx="141">
                  <c:v>3.1666666666666665</c:v>
                </c:pt>
                <c:pt idx="142">
                  <c:v>2.5</c:v>
                </c:pt>
                <c:pt idx="143">
                  <c:v>2.5</c:v>
                </c:pt>
                <c:pt idx="144">
                  <c:v>1</c:v>
                </c:pt>
                <c:pt idx="145">
                  <c:v>2.3333333333333335</c:v>
                </c:pt>
                <c:pt idx="146">
                  <c:v>2.6666666666666665</c:v>
                </c:pt>
                <c:pt idx="147">
                  <c:v>3</c:v>
                </c:pt>
                <c:pt idx="148">
                  <c:v>2.4</c:v>
                </c:pt>
                <c:pt idx="149">
                  <c:v>2.5</c:v>
                </c:pt>
                <c:pt idx="150">
                  <c:v>2.333333333333333</c:v>
                </c:pt>
                <c:pt idx="151">
                  <c:v>2.1666666666666665</c:v>
                </c:pt>
                <c:pt idx="152">
                  <c:v>3.5</c:v>
                </c:pt>
                <c:pt idx="153">
                  <c:v>3</c:v>
                </c:pt>
                <c:pt idx="154">
                  <c:v>2</c:v>
                </c:pt>
                <c:pt idx="155">
                  <c:v>2</c:v>
                </c:pt>
                <c:pt idx="156">
                  <c:v>3.2857142857142856</c:v>
                </c:pt>
                <c:pt idx="157">
                  <c:v>3.3333333333333335</c:v>
                </c:pt>
                <c:pt idx="158">
                  <c:v>3.6</c:v>
                </c:pt>
                <c:pt idx="159">
                  <c:v>3</c:v>
                </c:pt>
                <c:pt idx="160">
                  <c:v>2.3333333333333335</c:v>
                </c:pt>
                <c:pt idx="161">
                  <c:v>3</c:v>
                </c:pt>
                <c:pt idx="162">
                  <c:v>3.25</c:v>
                </c:pt>
                <c:pt idx="163">
                  <c:v>2.25</c:v>
                </c:pt>
                <c:pt idx="164">
                  <c:v>3.3333333333333335</c:v>
                </c:pt>
                <c:pt idx="165">
                  <c:v>3.25</c:v>
                </c:pt>
                <c:pt idx="166">
                  <c:v>1</c:v>
                </c:pt>
                <c:pt idx="167">
                  <c:v>3.6666666666666665</c:v>
                </c:pt>
                <c:pt idx="168">
                  <c:v>4</c:v>
                </c:pt>
                <c:pt idx="169">
                  <c:v>3.25</c:v>
                </c:pt>
                <c:pt idx="170">
                  <c:v>2.5</c:v>
                </c:pt>
                <c:pt idx="171">
                  <c:v>3.3333333333333335</c:v>
                </c:pt>
                <c:pt idx="172">
                  <c:v>2.5</c:v>
                </c:pt>
                <c:pt idx="173">
                  <c:v>5</c:v>
                </c:pt>
                <c:pt idx="174">
                  <c:v>1</c:v>
                </c:pt>
                <c:pt idx="175">
                  <c:v>3</c:v>
                </c:pt>
                <c:pt idx="176">
                  <c:v>2</c:v>
                </c:pt>
                <c:pt idx="177">
                  <c:v>2.5</c:v>
                </c:pt>
                <c:pt idx="178">
                  <c:v>4.333333333333333</c:v>
                </c:pt>
                <c:pt idx="179">
                  <c:v>3.6</c:v>
                </c:pt>
                <c:pt idx="180">
                  <c:v>4.666666666666667</c:v>
                </c:pt>
                <c:pt idx="181">
                  <c:v>5</c:v>
                </c:pt>
                <c:pt idx="182">
                  <c:v>3</c:v>
                </c:pt>
                <c:pt idx="183">
                  <c:v>5</c:v>
                </c:pt>
                <c:pt idx="184">
                  <c:v>2</c:v>
                </c:pt>
                <c:pt idx="185">
                  <c:v>1</c:v>
                </c:pt>
                <c:pt idx="186">
                  <c:v>3</c:v>
                </c:pt>
                <c:pt idx="187">
                  <c:v>2.666666666666667</c:v>
                </c:pt>
                <c:pt idx="188">
                  <c:v>2.3333333333333335</c:v>
                </c:pt>
                <c:pt idx="189">
                  <c:v>3.6666666666666665</c:v>
                </c:pt>
                <c:pt idx="190">
                  <c:v>3</c:v>
                </c:pt>
                <c:pt idx="191">
                  <c:v>3</c:v>
                </c:pt>
                <c:pt idx="192">
                  <c:v>4.5</c:v>
                </c:pt>
                <c:pt idx="193">
                  <c:v>1.5</c:v>
                </c:pt>
                <c:pt idx="194">
                  <c:v>2.6</c:v>
                </c:pt>
                <c:pt idx="195">
                  <c:v>2</c:v>
                </c:pt>
                <c:pt idx="196">
                  <c:v>2.5</c:v>
                </c:pt>
                <c:pt idx="197">
                  <c:v>1.5</c:v>
                </c:pt>
                <c:pt idx="198">
                  <c:v>5</c:v>
                </c:pt>
                <c:pt idx="199">
                  <c:v>3.5</c:v>
                </c:pt>
                <c:pt idx="200">
                  <c:v>3.6666666666666665</c:v>
                </c:pt>
                <c:pt idx="201">
                  <c:v>2.5</c:v>
                </c:pt>
                <c:pt idx="202">
                  <c:v>3.25</c:v>
                </c:pt>
                <c:pt idx="203">
                  <c:v>2.6</c:v>
                </c:pt>
                <c:pt idx="204">
                  <c:v>2</c:v>
                </c:pt>
                <c:pt idx="205">
                  <c:v>2.6666666666666665</c:v>
                </c:pt>
                <c:pt idx="206">
                  <c:v>3</c:v>
                </c:pt>
                <c:pt idx="207">
                  <c:v>2.375</c:v>
                </c:pt>
                <c:pt idx="208">
                  <c:v>1.75</c:v>
                </c:pt>
                <c:pt idx="209">
                  <c:v>2</c:v>
                </c:pt>
                <c:pt idx="210">
                  <c:v>4.5</c:v>
                </c:pt>
                <c:pt idx="211">
                  <c:v>3.3333333333333335</c:v>
                </c:pt>
                <c:pt idx="212">
                  <c:v>2.5714285714285716</c:v>
                </c:pt>
                <c:pt idx="213">
                  <c:v>3</c:v>
                </c:pt>
                <c:pt idx="214">
                  <c:v>2.8</c:v>
                </c:pt>
                <c:pt idx="215">
                  <c:v>2.9</c:v>
                </c:pt>
                <c:pt idx="216">
                  <c:v>3</c:v>
                </c:pt>
                <c:pt idx="217">
                  <c:v>1.5</c:v>
                </c:pt>
                <c:pt idx="218">
                  <c:v>4</c:v>
                </c:pt>
                <c:pt idx="219">
                  <c:v>3</c:v>
                </c:pt>
                <c:pt idx="220">
                  <c:v>2.833333333333333</c:v>
                </c:pt>
                <c:pt idx="221">
                  <c:v>2.6666666666666665</c:v>
                </c:pt>
                <c:pt idx="222">
                  <c:v>2.75</c:v>
                </c:pt>
                <c:pt idx="223">
                  <c:v>3</c:v>
                </c:pt>
                <c:pt idx="224">
                  <c:v>2.4</c:v>
                </c:pt>
                <c:pt idx="225">
                  <c:v>2.6666666666666665</c:v>
                </c:pt>
                <c:pt idx="226">
                  <c:v>4</c:v>
                </c:pt>
                <c:pt idx="227">
                  <c:v>2.2000000000000002</c:v>
                </c:pt>
                <c:pt idx="228">
                  <c:v>4</c:v>
                </c:pt>
                <c:pt idx="229">
                  <c:v>4</c:v>
                </c:pt>
                <c:pt idx="230">
                  <c:v>2.5</c:v>
                </c:pt>
                <c:pt idx="231">
                  <c:v>3.8</c:v>
                </c:pt>
                <c:pt idx="232">
                  <c:v>4</c:v>
                </c:pt>
                <c:pt idx="233">
                  <c:v>4</c:v>
                </c:pt>
                <c:pt idx="234">
                  <c:v>3</c:v>
                </c:pt>
                <c:pt idx="235">
                  <c:v>2.5</c:v>
                </c:pt>
                <c:pt idx="236">
                  <c:v>3.25</c:v>
                </c:pt>
                <c:pt idx="237">
                  <c:v>4</c:v>
                </c:pt>
                <c:pt idx="238">
                  <c:v>2.5</c:v>
                </c:pt>
                <c:pt idx="239">
                  <c:v>2.5</c:v>
                </c:pt>
                <c:pt idx="240">
                  <c:v>2.25</c:v>
                </c:pt>
                <c:pt idx="241">
                  <c:v>2</c:v>
                </c:pt>
                <c:pt idx="242">
                  <c:v>2.25</c:v>
                </c:pt>
                <c:pt idx="243">
                  <c:v>3.3333333333333335</c:v>
                </c:pt>
                <c:pt idx="244">
                  <c:v>2.6666666666666665</c:v>
                </c:pt>
                <c:pt idx="245">
                  <c:v>4</c:v>
                </c:pt>
                <c:pt idx="246">
                  <c:v>3.3333333333333335</c:v>
                </c:pt>
                <c:pt idx="247">
                  <c:v>2</c:v>
                </c:pt>
                <c:pt idx="248">
                  <c:v>2.25</c:v>
                </c:pt>
                <c:pt idx="249">
                  <c:v>1.625</c:v>
                </c:pt>
                <c:pt idx="250">
                  <c:v>1</c:v>
                </c:pt>
                <c:pt idx="251">
                  <c:v>3.5</c:v>
                </c:pt>
                <c:pt idx="252">
                  <c:v>1</c:v>
                </c:pt>
                <c:pt idx="253">
                  <c:v>3.5</c:v>
                </c:pt>
                <c:pt idx="254">
                  <c:v>4</c:v>
                </c:pt>
                <c:pt idx="255">
                  <c:v>3.2857142857142856</c:v>
                </c:pt>
                <c:pt idx="256">
                  <c:v>2</c:v>
                </c:pt>
                <c:pt idx="257">
                  <c:v>1</c:v>
                </c:pt>
                <c:pt idx="258">
                  <c:v>2</c:v>
                </c:pt>
                <c:pt idx="259">
                  <c:v>4.333333333333333</c:v>
                </c:pt>
                <c:pt idx="260">
                  <c:v>4</c:v>
                </c:pt>
                <c:pt idx="261">
                  <c:v>2.8571428571428572</c:v>
                </c:pt>
                <c:pt idx="262">
                  <c:v>2.4285714285714288</c:v>
                </c:pt>
                <c:pt idx="263">
                  <c:v>2</c:v>
                </c:pt>
                <c:pt idx="264">
                  <c:v>3</c:v>
                </c:pt>
                <c:pt idx="265">
                  <c:v>2.8</c:v>
                </c:pt>
                <c:pt idx="266">
                  <c:v>2.25</c:v>
                </c:pt>
                <c:pt idx="267">
                  <c:v>2.6666666666666665</c:v>
                </c:pt>
                <c:pt idx="268">
                  <c:v>2.8</c:v>
                </c:pt>
                <c:pt idx="269">
                  <c:v>5</c:v>
                </c:pt>
                <c:pt idx="270">
                  <c:v>3.75</c:v>
                </c:pt>
                <c:pt idx="271">
                  <c:v>3.3333333333333335</c:v>
                </c:pt>
                <c:pt idx="272">
                  <c:v>2.25</c:v>
                </c:pt>
                <c:pt idx="273">
                  <c:v>4.5</c:v>
                </c:pt>
                <c:pt idx="274">
                  <c:v>3</c:v>
                </c:pt>
                <c:pt idx="275">
                  <c:v>1.5</c:v>
                </c:pt>
                <c:pt idx="276">
                  <c:v>2.583333333333333</c:v>
                </c:pt>
                <c:pt idx="277">
                  <c:v>3.6666666666666665</c:v>
                </c:pt>
                <c:pt idx="278">
                  <c:v>1</c:v>
                </c:pt>
                <c:pt idx="279">
                  <c:v>2.6666666666666665</c:v>
                </c:pt>
                <c:pt idx="280">
                  <c:v>2.5</c:v>
                </c:pt>
                <c:pt idx="281">
                  <c:v>3</c:v>
                </c:pt>
                <c:pt idx="282">
                  <c:v>2.5</c:v>
                </c:pt>
                <c:pt idx="283">
                  <c:v>2.5</c:v>
                </c:pt>
                <c:pt idx="284">
                  <c:v>3</c:v>
                </c:pt>
                <c:pt idx="285">
                  <c:v>3.1666666666666665</c:v>
                </c:pt>
                <c:pt idx="286">
                  <c:v>3.3333333333333335</c:v>
                </c:pt>
                <c:pt idx="287">
                  <c:v>3.5</c:v>
                </c:pt>
                <c:pt idx="288">
                  <c:v>3.8</c:v>
                </c:pt>
                <c:pt idx="289">
                  <c:v>3.8</c:v>
                </c:pt>
                <c:pt idx="290">
                  <c:v>3</c:v>
                </c:pt>
                <c:pt idx="291">
                  <c:v>2.5</c:v>
                </c:pt>
                <c:pt idx="292">
                  <c:v>3.4</c:v>
                </c:pt>
                <c:pt idx="293">
                  <c:v>2.2000000000000002</c:v>
                </c:pt>
                <c:pt idx="294">
                  <c:v>5</c:v>
                </c:pt>
                <c:pt idx="295">
                  <c:v>2.25</c:v>
                </c:pt>
                <c:pt idx="296">
                  <c:v>4.75</c:v>
                </c:pt>
                <c:pt idx="297">
                  <c:v>3.25</c:v>
                </c:pt>
                <c:pt idx="298">
                  <c:v>1.3333333333333333</c:v>
                </c:pt>
                <c:pt idx="299">
                  <c:v>2</c:v>
                </c:pt>
                <c:pt idx="300">
                  <c:v>3.375</c:v>
                </c:pt>
                <c:pt idx="301">
                  <c:v>3.3125</c:v>
                </c:pt>
                <c:pt idx="302">
                  <c:v>3.25</c:v>
                </c:pt>
                <c:pt idx="303">
                  <c:v>4</c:v>
                </c:pt>
                <c:pt idx="304">
                  <c:v>3</c:v>
                </c:pt>
                <c:pt idx="305">
                  <c:v>2.5</c:v>
                </c:pt>
                <c:pt idx="306">
                  <c:v>3</c:v>
                </c:pt>
                <c:pt idx="307">
                  <c:v>1</c:v>
                </c:pt>
                <c:pt idx="308">
                  <c:v>4</c:v>
                </c:pt>
                <c:pt idx="309">
                  <c:v>3.8</c:v>
                </c:pt>
                <c:pt idx="310">
                  <c:v>4.166666666666667</c:v>
                </c:pt>
                <c:pt idx="311">
                  <c:v>4.2</c:v>
                </c:pt>
                <c:pt idx="312">
                  <c:v>3</c:v>
                </c:pt>
                <c:pt idx="313">
                  <c:v>3.5</c:v>
                </c:pt>
                <c:pt idx="314">
                  <c:v>3.5</c:v>
                </c:pt>
                <c:pt idx="315">
                  <c:v>4</c:v>
                </c:pt>
                <c:pt idx="316">
                  <c:v>3</c:v>
                </c:pt>
                <c:pt idx="317">
                  <c:v>5</c:v>
                </c:pt>
                <c:pt idx="318">
                  <c:v>3</c:v>
                </c:pt>
                <c:pt idx="319">
                  <c:v>1.75</c:v>
                </c:pt>
                <c:pt idx="320">
                  <c:v>2.6</c:v>
                </c:pt>
                <c:pt idx="321">
                  <c:v>3.3333333333333335</c:v>
                </c:pt>
                <c:pt idx="322">
                  <c:v>4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2.3333333333333335</c:v>
                </c:pt>
                <c:pt idx="327">
                  <c:v>4</c:v>
                </c:pt>
                <c:pt idx="328">
                  <c:v>2.3333333333333335</c:v>
                </c:pt>
                <c:pt idx="329">
                  <c:v>3.5</c:v>
                </c:pt>
                <c:pt idx="330">
                  <c:v>2</c:v>
                </c:pt>
                <c:pt idx="331">
                  <c:v>2.3333333333333335</c:v>
                </c:pt>
                <c:pt idx="332">
                  <c:v>3.5</c:v>
                </c:pt>
                <c:pt idx="333">
                  <c:v>4</c:v>
                </c:pt>
                <c:pt idx="334">
                  <c:v>4.333333333333333</c:v>
                </c:pt>
                <c:pt idx="335">
                  <c:v>2</c:v>
                </c:pt>
                <c:pt idx="336">
                  <c:v>5</c:v>
                </c:pt>
                <c:pt idx="337">
                  <c:v>2.2000000000000002</c:v>
                </c:pt>
                <c:pt idx="338">
                  <c:v>2.6</c:v>
                </c:pt>
                <c:pt idx="339">
                  <c:v>3</c:v>
                </c:pt>
                <c:pt idx="340">
                  <c:v>2.7142857142857144</c:v>
                </c:pt>
                <c:pt idx="341">
                  <c:v>2.875</c:v>
                </c:pt>
                <c:pt idx="342">
                  <c:v>3.5</c:v>
                </c:pt>
                <c:pt idx="343">
                  <c:v>2.5</c:v>
                </c:pt>
                <c:pt idx="344">
                  <c:v>2.916666666666667</c:v>
                </c:pt>
                <c:pt idx="345">
                  <c:v>3.3333333333333335</c:v>
                </c:pt>
                <c:pt idx="346">
                  <c:v>3</c:v>
                </c:pt>
                <c:pt idx="347">
                  <c:v>2</c:v>
                </c:pt>
                <c:pt idx="348">
                  <c:v>2.666666666666667</c:v>
                </c:pt>
                <c:pt idx="349">
                  <c:v>3.3333333333333335</c:v>
                </c:pt>
                <c:pt idx="350">
                  <c:v>5</c:v>
                </c:pt>
                <c:pt idx="351">
                  <c:v>1.3333333333333333</c:v>
                </c:pt>
                <c:pt idx="352">
                  <c:v>5</c:v>
                </c:pt>
                <c:pt idx="353">
                  <c:v>4.75</c:v>
                </c:pt>
                <c:pt idx="354">
                  <c:v>4.5</c:v>
                </c:pt>
                <c:pt idx="355">
                  <c:v>4</c:v>
                </c:pt>
                <c:pt idx="356">
                  <c:v>2</c:v>
                </c:pt>
                <c:pt idx="357">
                  <c:v>5</c:v>
                </c:pt>
                <c:pt idx="358">
                  <c:v>3</c:v>
                </c:pt>
                <c:pt idx="359">
                  <c:v>2.25</c:v>
                </c:pt>
                <c:pt idx="360">
                  <c:v>3</c:v>
                </c:pt>
                <c:pt idx="361">
                  <c:v>2.5</c:v>
                </c:pt>
                <c:pt idx="362">
                  <c:v>4.5</c:v>
                </c:pt>
                <c:pt idx="363">
                  <c:v>3.3333333333333335</c:v>
                </c:pt>
                <c:pt idx="364">
                  <c:v>3.5</c:v>
                </c:pt>
                <c:pt idx="365">
                  <c:v>3.3333333333333335</c:v>
                </c:pt>
                <c:pt idx="366">
                  <c:v>3.1666666666666665</c:v>
                </c:pt>
                <c:pt idx="3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D-4287-B9B5-29EF476F8835}"/>
            </c:ext>
          </c:extLst>
        </c:ser>
        <c:ser>
          <c:idx val="1"/>
          <c:order val="1"/>
          <c:tx>
            <c:strRef>
              <c:f>Forcast!$C$1</c:f>
              <c:strCache>
                <c:ptCount val="1"/>
                <c:pt idx="0">
                  <c:v>Forecast(Quantity)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Forcast!$A$2:$A$475</c:f>
              <c:numCache>
                <c:formatCode>m/d/yyyy</c:formatCode>
                <c:ptCount val="47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</c:numCache>
            </c:numRef>
          </c:cat>
          <c:val>
            <c:numRef>
              <c:f>Forcast!$C$2:$C$475</c:f>
              <c:numCache>
                <c:formatCode>General</c:formatCode>
                <c:ptCount val="474"/>
                <c:pt idx="367">
                  <c:v>3</c:v>
                </c:pt>
                <c:pt idx="368">
                  <c:v>3.4259110131689954</c:v>
                </c:pt>
                <c:pt idx="369">
                  <c:v>3.4002686750103761</c:v>
                </c:pt>
                <c:pt idx="370">
                  <c:v>3.1081348378704119</c:v>
                </c:pt>
                <c:pt idx="371">
                  <c:v>2.7393340987175314</c:v>
                </c:pt>
                <c:pt idx="372">
                  <c:v>4.0116861618612578</c:v>
                </c:pt>
                <c:pt idx="373">
                  <c:v>2.9067688895199657</c:v>
                </c:pt>
                <c:pt idx="374">
                  <c:v>3.878299448088149</c:v>
                </c:pt>
                <c:pt idx="375">
                  <c:v>2.8802803415194571</c:v>
                </c:pt>
                <c:pt idx="376">
                  <c:v>3.4656214989469407</c:v>
                </c:pt>
                <c:pt idx="377">
                  <c:v>3.9285334926330102</c:v>
                </c:pt>
                <c:pt idx="378">
                  <c:v>3.4067386774442521</c:v>
                </c:pt>
                <c:pt idx="379">
                  <c:v>3.8835393423360811</c:v>
                </c:pt>
                <c:pt idx="380">
                  <c:v>4.7405213156796151</c:v>
                </c:pt>
                <c:pt idx="381">
                  <c:v>3.8229706528092358</c:v>
                </c:pt>
                <c:pt idx="382">
                  <c:v>3.5841883220563946</c:v>
                </c:pt>
                <c:pt idx="383">
                  <c:v>4.4589682002229178</c:v>
                </c:pt>
                <c:pt idx="384">
                  <c:v>3.0832867515451006</c:v>
                </c:pt>
                <c:pt idx="385">
                  <c:v>4.3488641207019851</c:v>
                </c:pt>
                <c:pt idx="386">
                  <c:v>3.2421913367933115</c:v>
                </c:pt>
                <c:pt idx="387">
                  <c:v>4.0733416506732718</c:v>
                </c:pt>
                <c:pt idx="388">
                  <c:v>3.138113383951763</c:v>
                </c:pt>
                <c:pt idx="389">
                  <c:v>3.2517552688941938</c:v>
                </c:pt>
                <c:pt idx="390">
                  <c:v>4.1149807831691643</c:v>
                </c:pt>
                <c:pt idx="391">
                  <c:v>4.1470793294452548</c:v>
                </c:pt>
                <c:pt idx="392">
                  <c:v>3.9745605993538389</c:v>
                </c:pt>
                <c:pt idx="393">
                  <c:v>4.7496973519607391</c:v>
                </c:pt>
                <c:pt idx="394">
                  <c:v>3.5928106864089537</c:v>
                </c:pt>
                <c:pt idx="395">
                  <c:v>4.4212662524045516</c:v>
                </c:pt>
                <c:pt idx="396">
                  <c:v>4.3425161457723025</c:v>
                </c:pt>
                <c:pt idx="397">
                  <c:v>4.8940401703682941</c:v>
                </c:pt>
                <c:pt idx="398">
                  <c:v>3.6888545277037195</c:v>
                </c:pt>
                <c:pt idx="399">
                  <c:v>3.4658195099159004</c:v>
                </c:pt>
                <c:pt idx="400">
                  <c:v>3.3184789473531069</c:v>
                </c:pt>
                <c:pt idx="401">
                  <c:v>3.250909060386959</c:v>
                </c:pt>
                <c:pt idx="402">
                  <c:v>3.2846100124235447</c:v>
                </c:pt>
                <c:pt idx="403">
                  <c:v>3.7010923730686827</c:v>
                </c:pt>
                <c:pt idx="404">
                  <c:v>4.131739142204669</c:v>
                </c:pt>
                <c:pt idx="405">
                  <c:v>3.2749988449302081</c:v>
                </c:pt>
                <c:pt idx="406">
                  <c:v>3.0855569710344746</c:v>
                </c:pt>
                <c:pt idx="407">
                  <c:v>3.2795822557026688</c:v>
                </c:pt>
                <c:pt idx="408">
                  <c:v>2.4477972561483154</c:v>
                </c:pt>
                <c:pt idx="409">
                  <c:v>2.609829969254243</c:v>
                </c:pt>
                <c:pt idx="410">
                  <c:v>3.2250669306454633</c:v>
                </c:pt>
                <c:pt idx="411">
                  <c:v>3.6528752948226089</c:v>
                </c:pt>
                <c:pt idx="412">
                  <c:v>2.7233939316522497</c:v>
                </c:pt>
                <c:pt idx="413">
                  <c:v>3.572306763661155</c:v>
                </c:pt>
                <c:pt idx="414">
                  <c:v>3.4970431220175078</c:v>
                </c:pt>
                <c:pt idx="415">
                  <c:v>3.7211590531110437</c:v>
                </c:pt>
                <c:pt idx="416">
                  <c:v>2.4954729719295456</c:v>
                </c:pt>
                <c:pt idx="417">
                  <c:v>3.8473553812129286</c:v>
                </c:pt>
                <c:pt idx="418">
                  <c:v>3.6475177063093884</c:v>
                </c:pt>
                <c:pt idx="419">
                  <c:v>3.2546598083695941</c:v>
                </c:pt>
                <c:pt idx="420">
                  <c:v>3.0344505161767161</c:v>
                </c:pt>
                <c:pt idx="421">
                  <c:v>3.4603615293457115</c:v>
                </c:pt>
                <c:pt idx="422">
                  <c:v>3.4347191911870922</c:v>
                </c:pt>
                <c:pt idx="423">
                  <c:v>3.142585354047128</c:v>
                </c:pt>
                <c:pt idx="424">
                  <c:v>2.773784614894248</c:v>
                </c:pt>
                <c:pt idx="425">
                  <c:v>4.0461366780379739</c:v>
                </c:pt>
                <c:pt idx="426">
                  <c:v>2.9412194056966818</c:v>
                </c:pt>
                <c:pt idx="427">
                  <c:v>3.9127499642648651</c:v>
                </c:pt>
                <c:pt idx="428">
                  <c:v>2.9147308576961732</c:v>
                </c:pt>
                <c:pt idx="429">
                  <c:v>3.5000720151236573</c:v>
                </c:pt>
                <c:pt idx="430">
                  <c:v>3.9629840088097263</c:v>
                </c:pt>
                <c:pt idx="431">
                  <c:v>3.4411891936209682</c:v>
                </c:pt>
                <c:pt idx="432">
                  <c:v>3.9179898585127977</c:v>
                </c:pt>
                <c:pt idx="433">
                  <c:v>4.7749718318563303</c:v>
                </c:pt>
                <c:pt idx="434">
                  <c:v>3.8574211689859519</c:v>
                </c:pt>
                <c:pt idx="435">
                  <c:v>3.6186388382331107</c:v>
                </c:pt>
                <c:pt idx="436">
                  <c:v>4.4934187163996349</c:v>
                </c:pt>
                <c:pt idx="437">
                  <c:v>3.1177372677218171</c:v>
                </c:pt>
                <c:pt idx="438">
                  <c:v>4.3833146368787013</c:v>
                </c:pt>
                <c:pt idx="439">
                  <c:v>3.2766418529700276</c:v>
                </c:pt>
                <c:pt idx="440">
                  <c:v>4.1077921668499879</c:v>
                </c:pt>
                <c:pt idx="441">
                  <c:v>3.1725639001284791</c:v>
                </c:pt>
                <c:pt idx="442">
                  <c:v>3.2862057850709103</c:v>
                </c:pt>
                <c:pt idx="443">
                  <c:v>4.1494312993458804</c:v>
                </c:pt>
                <c:pt idx="444">
                  <c:v>4.1815298456219709</c:v>
                </c:pt>
                <c:pt idx="445">
                  <c:v>4.009011115530555</c:v>
                </c:pt>
                <c:pt idx="446">
                  <c:v>4.7841478681374552</c:v>
                </c:pt>
                <c:pt idx="447">
                  <c:v>3.6272612025856703</c:v>
                </c:pt>
                <c:pt idx="448">
                  <c:v>4.4557167685812678</c:v>
                </c:pt>
                <c:pt idx="449">
                  <c:v>4.3769666619490186</c:v>
                </c:pt>
                <c:pt idx="450">
                  <c:v>4.9284906865450102</c:v>
                </c:pt>
                <c:pt idx="451">
                  <c:v>3.7233050438804356</c:v>
                </c:pt>
                <c:pt idx="452">
                  <c:v>3.5002700260926169</c:v>
                </c:pt>
                <c:pt idx="453">
                  <c:v>3.352929463529823</c:v>
                </c:pt>
                <c:pt idx="454">
                  <c:v>3.2853595765636752</c:v>
                </c:pt>
                <c:pt idx="455">
                  <c:v>3.3190605286002612</c:v>
                </c:pt>
                <c:pt idx="456">
                  <c:v>3.7355428892453988</c:v>
                </c:pt>
                <c:pt idx="457">
                  <c:v>4.166189658381386</c:v>
                </c:pt>
                <c:pt idx="458">
                  <c:v>3.3094493611069242</c:v>
                </c:pt>
                <c:pt idx="459">
                  <c:v>3.1200074872111907</c:v>
                </c:pt>
                <c:pt idx="460">
                  <c:v>3.3140327718793854</c:v>
                </c:pt>
                <c:pt idx="461">
                  <c:v>2.4822477723250316</c:v>
                </c:pt>
                <c:pt idx="462">
                  <c:v>2.6442804854309592</c:v>
                </c:pt>
                <c:pt idx="463">
                  <c:v>3.2595174468221795</c:v>
                </c:pt>
                <c:pt idx="464">
                  <c:v>3.687325810999325</c:v>
                </c:pt>
                <c:pt idx="465">
                  <c:v>2.7578444478289663</c:v>
                </c:pt>
                <c:pt idx="466">
                  <c:v>3.6067572798378711</c:v>
                </c:pt>
                <c:pt idx="467">
                  <c:v>3.5314936381942239</c:v>
                </c:pt>
                <c:pt idx="468">
                  <c:v>3.7556095692877598</c:v>
                </c:pt>
                <c:pt idx="469">
                  <c:v>2.5299234881062618</c:v>
                </c:pt>
                <c:pt idx="470">
                  <c:v>3.8818058973896452</c:v>
                </c:pt>
                <c:pt idx="471">
                  <c:v>3.6819682224861046</c:v>
                </c:pt>
                <c:pt idx="472">
                  <c:v>3.2891103245463102</c:v>
                </c:pt>
                <c:pt idx="473">
                  <c:v>3.0689010323534323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D-4287-B9B5-29EF476F8835}"/>
            </c:ext>
          </c:extLst>
        </c:ser>
        <c:ser>
          <c:idx val="2"/>
          <c:order val="2"/>
          <c:tx>
            <c:strRef>
              <c:f>Forcast!$D$1</c:f>
              <c:strCache>
                <c:ptCount val="1"/>
                <c:pt idx="0">
                  <c:v>Lower Confidence Bound(Quantity)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Forcast!$A$2:$A$475</c:f>
              <c:numCache>
                <c:formatCode>m/d/yyyy</c:formatCode>
                <c:ptCount val="47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</c:numCache>
            </c:numRef>
          </c:cat>
          <c:val>
            <c:numRef>
              <c:f>Forcast!$D$2:$D$475</c:f>
              <c:numCache>
                <c:formatCode>General</c:formatCode>
                <c:ptCount val="474"/>
                <c:pt idx="367" formatCode="0.00">
                  <c:v>3</c:v>
                </c:pt>
                <c:pt idx="368" formatCode="0.00">
                  <c:v>1.4803779800589005</c:v>
                </c:pt>
                <c:pt idx="369" formatCode="0.00">
                  <c:v>1.4391086506390032</c:v>
                </c:pt>
                <c:pt idx="370" formatCode="0.00">
                  <c:v>1.1312272275730244</c:v>
                </c:pt>
                <c:pt idx="371" formatCode="0.00">
                  <c:v>0.74655926735841849</c:v>
                </c:pt>
                <c:pt idx="372" formatCode="0.00">
                  <c:v>2.0029254250063846</c:v>
                </c:pt>
                <c:pt idx="373" formatCode="0.00">
                  <c:v>0.88190450439599699</c:v>
                </c:pt>
                <c:pt idx="374" formatCode="0.00">
                  <c:v>1.8372146043501161</c:v>
                </c:pt>
                <c:pt idx="375" formatCode="0.00">
                  <c:v>0.82285915184821556</c:v>
                </c:pt>
                <c:pt idx="376" formatCode="0.00">
                  <c:v>1.3917489894964716</c:v>
                </c:pt>
                <c:pt idx="377" formatCode="0.00">
                  <c:v>1.8380955933465599</c:v>
                </c:pt>
                <c:pt idx="378" formatCode="0.00">
                  <c:v>1.2996222122572694</c:v>
                </c:pt>
                <c:pt idx="379" formatCode="0.00">
                  <c:v>1.75963201928294</c:v>
                </c:pt>
                <c:pt idx="380" formatCode="0.00">
                  <c:v>2.5997117169201331</c:v>
                </c:pt>
                <c:pt idx="381" formatCode="0.00">
                  <c:v>1.6651482245900868</c:v>
                </c:pt>
                <c:pt idx="382" formatCode="0.00">
                  <c:v>1.4092433646216409</c:v>
                </c:pt>
                <c:pt idx="383" formatCode="0.00">
                  <c:v>2.2667918576870014</c:v>
                </c:pt>
                <c:pt idx="384" formatCode="0.00">
                  <c:v>0.87377100174085909</c:v>
                </c:pt>
                <c:pt idx="385" formatCode="0.00">
                  <c:v>2.1219017650154366</c:v>
                </c:pt>
                <c:pt idx="386" formatCode="0.00">
                  <c:v>0.99767598999622065</c:v>
                </c:pt>
                <c:pt idx="387" formatCode="0.00">
                  <c:v>1.8111677307637946</c:v>
                </c:pt>
                <c:pt idx="388" formatCode="0.00">
                  <c:v>0.85817610201276473</c:v>
                </c:pt>
                <c:pt idx="389" formatCode="0.00">
                  <c:v>0.9539506189782001</c:v>
                </c:pt>
                <c:pt idx="390" formatCode="0.00">
                  <c:v>1.7992055322182656</c:v>
                </c:pt>
                <c:pt idx="391" formatCode="0.00">
                  <c:v>1.8132310072536941</c:v>
                </c:pt>
                <c:pt idx="392" formatCode="0.00">
                  <c:v>1.622537488580452</c:v>
                </c:pt>
                <c:pt idx="393" formatCode="0.00">
                  <c:v>2.3793984781978672</c:v>
                </c:pt>
                <c:pt idx="394" formatCode="0.00">
                  <c:v>1.20413580831395</c:v>
                </c:pt>
                <c:pt idx="395" formatCode="0.00">
                  <c:v>2.0141158518995033</c:v>
                </c:pt>
                <c:pt idx="396" formatCode="0.00">
                  <c:v>1.9167914183171435</c:v>
                </c:pt>
                <c:pt idx="397" formatCode="0.00">
                  <c:v>2.4496430153120379</c:v>
                </c:pt>
                <c:pt idx="398" formatCode="0.00">
                  <c:v>1.2256875387181321</c:v>
                </c:pt>
                <c:pt idx="399" formatCode="0.00">
                  <c:v>0.98378596551554676</c:v>
                </c:pt>
                <c:pt idx="400" formatCode="0.00">
                  <c:v>0.81748280150532437</c:v>
                </c:pt>
                <c:pt idx="401" formatCode="0.00">
                  <c:v>0.73085493321497985</c:v>
                </c:pt>
                <c:pt idx="402" formatCode="0.00">
                  <c:v>0.74540318100564207</c:v>
                </c:pt>
                <c:pt idx="403" formatCode="0.00">
                  <c:v>1.1426387623359258</c:v>
                </c:pt>
                <c:pt idx="404" formatCode="0.00">
                  <c:v>1.5539453159395618</c:v>
                </c:pt>
                <c:pt idx="405" formatCode="0.00">
                  <c:v>0.67777199686822742</c:v>
                </c:pt>
                <c:pt idx="406" formatCode="0.00">
                  <c:v>0.46880491607025698</c:v>
                </c:pt>
                <c:pt idx="407" formatCode="0.00">
                  <c:v>0.64321342120235903</c:v>
                </c:pt>
                <c:pt idx="408" formatCode="0.00">
                  <c:v>-0.20827932663064042</c:v>
                </c:pt>
                <c:pt idx="409" formatCode="0.00">
                  <c:v>-6.6044735126301379E-2</c:v>
                </c:pt>
                <c:pt idx="410" formatCode="0.00">
                  <c:v>0.52930431839770264</c:v>
                </c:pt>
                <c:pt idx="411" formatCode="0.00">
                  <c:v>0.93713556724709557</c:v>
                </c:pt>
                <c:pt idx="412" formatCode="0.00">
                  <c:v>-1.2411548048085752E-2</c:v>
                </c:pt>
                <c:pt idx="413" formatCode="0.00">
                  <c:v>0.8163474576717098</c:v>
                </c:pt>
                <c:pt idx="414" formatCode="0.00">
                  <c:v>0.72084247028791726</c:v>
                </c:pt>
                <c:pt idx="415" formatCode="0.00">
                  <c:v>0.92463008309519701</c:v>
                </c:pt>
                <c:pt idx="416" formatCode="0.00">
                  <c:v>-0.32147074971092371</c:v>
                </c:pt>
                <c:pt idx="417" formatCode="0.00">
                  <c:v>1.0099110062309875</c:v>
                </c:pt>
                <c:pt idx="418" formatCode="0.00">
                  <c:v>0.78948730041506465</c:v>
                </c:pt>
                <c:pt idx="419" formatCode="0.00">
                  <c:v>0.37595851077259423</c:v>
                </c:pt>
                <c:pt idx="420" formatCode="0.00">
                  <c:v>0.13499397561178306</c:v>
                </c:pt>
                <c:pt idx="421" formatCode="0.00">
                  <c:v>0.53983324987443426</c:v>
                </c:pt>
                <c:pt idx="422" formatCode="0.00">
                  <c:v>0.49327012112686885</c:v>
                </c:pt>
                <c:pt idx="423" formatCode="0.00">
                  <c:v>0.18013261130413571</c:v>
                </c:pt>
                <c:pt idx="424" formatCode="0.00">
                  <c:v>-0.20975420085308594</c:v>
                </c:pt>
                <c:pt idx="425" formatCode="0.00">
                  <c:v>1.041429864018959</c:v>
                </c:pt>
                <c:pt idx="426" formatCode="0.00">
                  <c:v>-8.473686342006248E-2</c:v>
                </c:pt>
                <c:pt idx="427" formatCode="0.00">
                  <c:v>0.86546324515679096</c:v>
                </c:pt>
                <c:pt idx="428" formatCode="0.00">
                  <c:v>-0.15396685077014594</c:v>
                </c:pt>
                <c:pt idx="429" formatCode="0.00">
                  <c:v>0.40988322715511982</c:v>
                </c:pt>
                <c:pt idx="430" formatCode="0.00">
                  <c:v>0.85122449421511792</c:v>
                </c:pt>
                <c:pt idx="431" formatCode="0.00">
                  <c:v>0.30777974219352178</c:v>
                </c:pt>
                <c:pt idx="432" formatCode="0.00">
                  <c:v>0.76285169095842642</c:v>
                </c:pt>
                <c:pt idx="433" formatCode="0.00">
                  <c:v>1.598026593886662</c:v>
                </c:pt>
                <c:pt idx="434" formatCode="0.00">
                  <c:v>0.65859092550759391</c:v>
                </c:pt>
                <c:pt idx="435" formatCode="0.00">
                  <c:v>0.39784606763192043</c:v>
                </c:pt>
                <c:pt idx="436" formatCode="0.00">
                  <c:v>1.2505863049187447</c:v>
                </c:pt>
                <c:pt idx="437" formatCode="0.00">
                  <c:v>-0.1472114960678379</c:v>
                </c:pt>
                <c:pt idx="438" formatCode="0.00">
                  <c:v>1.0961732062407754</c:v>
                </c:pt>
                <c:pt idx="439" formatCode="0.00">
                  <c:v>-3.2768167514408031E-2</c:v>
                </c:pt>
                <c:pt idx="440" formatCode="0.00">
                  <c:v>0.77603801980244658</c:v>
                </c:pt>
                <c:pt idx="441" formatCode="0.00">
                  <c:v>-0.18160952908936734</c:v>
                </c:pt>
                <c:pt idx="442" formatCode="0.00">
                  <c:v>-9.0461705901203171E-2</c:v>
                </c:pt>
                <c:pt idx="443" formatCode="0.00">
                  <c:v>0.75019533805740846</c:v>
                </c:pt>
                <c:pt idx="444" formatCode="0.00">
                  <c:v>0.75965137155905715</c:v>
                </c:pt>
                <c:pt idx="445" formatCode="0.00">
                  <c:v>0.56441644750347475</c:v>
                </c:pt>
                <c:pt idx="446" formatCode="0.00">
                  <c:v>1.3167636814701202</c:v>
                </c:pt>
                <c:pt idx="447" formatCode="0.00">
                  <c:v>0.13701452444055384</c:v>
                </c:pt>
                <c:pt idx="448" formatCode="0.00">
                  <c:v>0.94253497336270575</c:v>
                </c:pt>
                <c:pt idx="449" formatCode="0.00">
                  <c:v>0.84077746678361187</c:v>
                </c:pt>
                <c:pt idx="450" formatCode="0.00">
                  <c:v>1.3692221468378794</c:v>
                </c:pt>
                <c:pt idx="451" formatCode="0.00">
                  <c:v>0.14088554894607341</c:v>
                </c:pt>
                <c:pt idx="452" formatCode="0.00">
                  <c:v>-0.10537170514090333</c:v>
                </c:pt>
                <c:pt idx="453" formatCode="0.00">
                  <c:v>-0.27600545968485957</c:v>
                </c:pt>
                <c:pt idx="454" formatCode="0.00">
                  <c:v>-0.36693917307699797</c:v>
                </c:pt>
                <c:pt idx="455" formatCode="0.00">
                  <c:v>-0.35667236475709485</c:v>
                </c:pt>
                <c:pt idx="456" formatCode="0.00">
                  <c:v>3.6305848020281584E-2</c:v>
                </c:pt>
                <c:pt idx="457" formatCode="0.00">
                  <c:v>0.44337877432985318</c:v>
                </c:pt>
                <c:pt idx="458" formatCode="0.00">
                  <c:v>-0.43700475541827233</c:v>
                </c:pt>
                <c:pt idx="459" formatCode="0.00">
                  <c:v>-0.65015894993951306</c:v>
                </c:pt>
                <c:pt idx="460" formatCode="0.00">
                  <c:v>-0.47991477630538659</c:v>
                </c:pt>
                <c:pt idx="461" formatCode="0.00">
                  <c:v>-1.3355493832484533</c:v>
                </c:pt>
                <c:pt idx="462" formatCode="0.00">
                  <c:v>-1.1974344834596851</c:v>
                </c:pt>
                <c:pt idx="463" formatCode="0.00">
                  <c:v>-0.60618325445503718</c:v>
                </c:pt>
                <c:pt idx="464" formatCode="0.00">
                  <c:v>-0.20242825838253298</c:v>
                </c:pt>
                <c:pt idx="465" formatCode="0.00">
                  <c:v>-1.1560303454735328</c:v>
                </c:pt>
                <c:pt idx="466" formatCode="0.00">
                  <c:v>-0.33130531669111329</c:v>
                </c:pt>
                <c:pt idx="467" formatCode="0.00">
                  <c:v>-0.43082356769251051</c:v>
                </c:pt>
                <c:pt idx="468" formatCode="0.00">
                  <c:v>-0.23102878219367495</c:v>
                </c:pt>
                <c:pt idx="469" formatCode="0.00">
                  <c:v>-1.4811022785384531</c:v>
                </c:pt>
                <c:pt idx="470" formatCode="0.00">
                  <c:v>-0.15367329049117817</c:v>
                </c:pt>
                <c:pt idx="471" formatCode="0.00">
                  <c:v>-0.37803013232815807</c:v>
                </c:pt>
                <c:pt idx="472" formatCode="0.00">
                  <c:v>-0.79547268559207085</c:v>
                </c:pt>
                <c:pt idx="473" formatCode="0.00">
                  <c:v>-1.0403318672114796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AD-4287-B9B5-29EF476F8835}"/>
            </c:ext>
          </c:extLst>
        </c:ser>
        <c:ser>
          <c:idx val="3"/>
          <c:order val="3"/>
          <c:tx>
            <c:strRef>
              <c:f>Forcast!$E$1</c:f>
              <c:strCache>
                <c:ptCount val="1"/>
                <c:pt idx="0">
                  <c:v>Upper Confidence Bound(Quantity)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Forcast!$A$2:$A$475</c:f>
              <c:numCache>
                <c:formatCode>m/d/yyyy</c:formatCode>
                <c:ptCount val="47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</c:numCache>
            </c:numRef>
          </c:cat>
          <c:val>
            <c:numRef>
              <c:f>Forcast!$E$2:$E$475</c:f>
              <c:numCache>
                <c:formatCode>General</c:formatCode>
                <c:ptCount val="474"/>
                <c:pt idx="367" formatCode="0.00">
                  <c:v>3</c:v>
                </c:pt>
                <c:pt idx="368" formatCode="0.00">
                  <c:v>5.3714440462790902</c:v>
                </c:pt>
                <c:pt idx="369" formatCode="0.00">
                  <c:v>5.361428699381749</c:v>
                </c:pt>
                <c:pt idx="370" formatCode="0.00">
                  <c:v>5.0850424481677994</c:v>
                </c:pt>
                <c:pt idx="371" formatCode="0.00">
                  <c:v>4.7321089300766443</c:v>
                </c:pt>
                <c:pt idx="372" formatCode="0.00">
                  <c:v>6.0204468987161306</c:v>
                </c:pt>
                <c:pt idx="373" formatCode="0.00">
                  <c:v>4.931633274643934</c:v>
                </c:pt>
                <c:pt idx="374" formatCode="0.00">
                  <c:v>5.9193842918261819</c:v>
                </c:pt>
                <c:pt idx="375" formatCode="0.00">
                  <c:v>4.9377015311906991</c:v>
                </c:pt>
                <c:pt idx="376" formatCode="0.00">
                  <c:v>5.5394940083974102</c:v>
                </c:pt>
                <c:pt idx="377" formatCode="0.00">
                  <c:v>6.018971391919461</c:v>
                </c:pt>
                <c:pt idx="378" formatCode="0.00">
                  <c:v>5.5138551426312343</c:v>
                </c:pt>
                <c:pt idx="379" formatCode="0.00">
                  <c:v>6.0074466653892227</c:v>
                </c:pt>
                <c:pt idx="380" formatCode="0.00">
                  <c:v>6.8813309144390971</c:v>
                </c:pt>
                <c:pt idx="381" formatCode="0.00">
                  <c:v>5.9807930810283843</c:v>
                </c:pt>
                <c:pt idx="382" formatCode="0.00">
                  <c:v>5.7591332794911487</c:v>
                </c:pt>
                <c:pt idx="383" formatCode="0.00">
                  <c:v>6.6511445427588338</c:v>
                </c:pt>
                <c:pt idx="384" formatCode="0.00">
                  <c:v>5.2928025013493425</c:v>
                </c:pt>
                <c:pt idx="385" formatCode="0.00">
                  <c:v>6.5758264763885332</c:v>
                </c:pt>
                <c:pt idx="386" formatCode="0.00">
                  <c:v>5.4867066835904019</c:v>
                </c:pt>
                <c:pt idx="387" formatCode="0.00">
                  <c:v>6.3355155705827491</c:v>
                </c:pt>
                <c:pt idx="388" formatCode="0.00">
                  <c:v>5.4180506658907612</c:v>
                </c:pt>
                <c:pt idx="389" formatCode="0.00">
                  <c:v>5.5495599188101874</c:v>
                </c:pt>
                <c:pt idx="390" formatCode="0.00">
                  <c:v>6.4307560341200629</c:v>
                </c:pt>
                <c:pt idx="391" formatCode="0.00">
                  <c:v>6.4809276516368151</c:v>
                </c:pt>
                <c:pt idx="392" formatCode="0.00">
                  <c:v>6.3265837101272258</c:v>
                </c:pt>
                <c:pt idx="393" formatCode="0.00">
                  <c:v>7.1199962257236109</c:v>
                </c:pt>
                <c:pt idx="394" formatCode="0.00">
                  <c:v>5.9814855645039575</c:v>
                </c:pt>
                <c:pt idx="395" formatCode="0.00">
                  <c:v>6.8284166529096</c:v>
                </c:pt>
                <c:pt idx="396" formatCode="0.00">
                  <c:v>6.7682408732274615</c:v>
                </c:pt>
                <c:pt idx="397" formatCode="0.00">
                  <c:v>7.3384373254245503</c:v>
                </c:pt>
                <c:pt idx="398" formatCode="0.00">
                  <c:v>6.1520215166893069</c:v>
                </c:pt>
                <c:pt idx="399" formatCode="0.00">
                  <c:v>5.947853054316254</c:v>
                </c:pt>
                <c:pt idx="400" formatCode="0.00">
                  <c:v>5.8194750932008894</c:v>
                </c:pt>
                <c:pt idx="401" formatCode="0.00">
                  <c:v>5.7709631875589382</c:v>
                </c:pt>
                <c:pt idx="402" formatCode="0.00">
                  <c:v>5.8238168438414473</c:v>
                </c:pt>
                <c:pt idx="403" formatCode="0.00">
                  <c:v>6.2595459838014396</c:v>
                </c:pt>
                <c:pt idx="404" formatCode="0.00">
                  <c:v>6.7095329684697766</c:v>
                </c:pt>
                <c:pt idx="405" formatCode="0.00">
                  <c:v>5.8722256929921883</c:v>
                </c:pt>
                <c:pt idx="406" formatCode="0.00">
                  <c:v>5.7023090259986926</c:v>
                </c:pt>
                <c:pt idx="407" formatCode="0.00">
                  <c:v>5.915951090202979</c:v>
                </c:pt>
                <c:pt idx="408" formatCode="0.00">
                  <c:v>5.1038738389272709</c:v>
                </c:pt>
                <c:pt idx="409" formatCode="0.00">
                  <c:v>5.2857046736347879</c:v>
                </c:pt>
                <c:pt idx="410" formatCode="0.00">
                  <c:v>5.9208295428932241</c:v>
                </c:pt>
                <c:pt idx="411" formatCode="0.00">
                  <c:v>6.3686150223981226</c:v>
                </c:pt>
                <c:pt idx="412" formatCode="0.00">
                  <c:v>5.4591994113525857</c:v>
                </c:pt>
                <c:pt idx="413" formatCode="0.00">
                  <c:v>6.3282660696506001</c:v>
                </c:pt>
                <c:pt idx="414" formatCode="0.00">
                  <c:v>6.2732437737470983</c:v>
                </c:pt>
                <c:pt idx="415" formatCode="0.00">
                  <c:v>6.5176880231268903</c:v>
                </c:pt>
                <c:pt idx="416" formatCode="0.00">
                  <c:v>5.3124166935700146</c:v>
                </c:pt>
                <c:pt idx="417" formatCode="0.00">
                  <c:v>6.6847997561948702</c:v>
                </c:pt>
                <c:pt idx="418" formatCode="0.00">
                  <c:v>6.5055481122037122</c:v>
                </c:pt>
                <c:pt idx="419" formatCode="0.00">
                  <c:v>6.1333611059665945</c:v>
                </c:pt>
                <c:pt idx="420" formatCode="0.00">
                  <c:v>5.9339070567416492</c:v>
                </c:pt>
                <c:pt idx="421" formatCode="0.00">
                  <c:v>6.3808898088169883</c:v>
                </c:pt>
                <c:pt idx="422" formatCode="0.00">
                  <c:v>6.3761682612473152</c:v>
                </c:pt>
                <c:pt idx="423" formatCode="0.00">
                  <c:v>6.1050380967901203</c:v>
                </c:pt>
                <c:pt idx="424" formatCode="0.00">
                  <c:v>5.7573234306415824</c:v>
                </c:pt>
                <c:pt idx="425" formatCode="0.00">
                  <c:v>7.0508434920569893</c:v>
                </c:pt>
                <c:pt idx="426" formatCode="0.00">
                  <c:v>5.9671756748134257</c:v>
                </c:pt>
                <c:pt idx="427" formatCode="0.00">
                  <c:v>6.9600366833729392</c:v>
                </c:pt>
                <c:pt idx="428" formatCode="0.00">
                  <c:v>5.9834285661624929</c:v>
                </c:pt>
                <c:pt idx="429" formatCode="0.00">
                  <c:v>6.5902608030921943</c:v>
                </c:pt>
                <c:pt idx="430" formatCode="0.00">
                  <c:v>7.0747435234043348</c:v>
                </c:pt>
                <c:pt idx="431" formatCode="0.00">
                  <c:v>6.5745986450484146</c:v>
                </c:pt>
                <c:pt idx="432" formatCode="0.00">
                  <c:v>7.0731280260671685</c:v>
                </c:pt>
                <c:pt idx="433" formatCode="0.00">
                  <c:v>7.9519170698259991</c:v>
                </c:pt>
                <c:pt idx="434" formatCode="0.00">
                  <c:v>7.0562514124643094</c:v>
                </c:pt>
                <c:pt idx="435" formatCode="0.00">
                  <c:v>6.8394316088343015</c:v>
                </c:pt>
                <c:pt idx="436" formatCode="0.00">
                  <c:v>7.736251127880525</c:v>
                </c:pt>
                <c:pt idx="437" formatCode="0.00">
                  <c:v>6.3826860315114722</c:v>
                </c:pt>
                <c:pt idx="438" formatCode="0.00">
                  <c:v>7.6704560675166267</c:v>
                </c:pt>
                <c:pt idx="439" formatCode="0.00">
                  <c:v>6.5860518734544637</c:v>
                </c:pt>
                <c:pt idx="440" formatCode="0.00">
                  <c:v>7.4395463138975293</c:v>
                </c:pt>
                <c:pt idx="441" formatCode="0.00">
                  <c:v>6.5267373293463251</c:v>
                </c:pt>
                <c:pt idx="442" formatCode="0.00">
                  <c:v>6.6628732760430243</c:v>
                </c:pt>
                <c:pt idx="443" formatCode="0.00">
                  <c:v>7.5486672606343523</c:v>
                </c:pt>
                <c:pt idx="444" formatCode="0.00">
                  <c:v>7.6034083196848847</c:v>
                </c:pt>
                <c:pt idx="445" formatCode="0.00">
                  <c:v>7.4536057835576353</c:v>
                </c:pt>
                <c:pt idx="446" formatCode="0.00">
                  <c:v>8.251532054804791</c:v>
                </c:pt>
                <c:pt idx="447" formatCode="0.00">
                  <c:v>7.1175078807307868</c:v>
                </c:pt>
                <c:pt idx="448" formatCode="0.00">
                  <c:v>7.9688985637998293</c:v>
                </c:pt>
                <c:pt idx="449" formatCode="0.00">
                  <c:v>7.9131558571144254</c:v>
                </c:pt>
                <c:pt idx="450" formatCode="0.00">
                  <c:v>8.4877592262521411</c:v>
                </c:pt>
                <c:pt idx="451" formatCode="0.00">
                  <c:v>7.3057245388147978</c:v>
                </c:pt>
                <c:pt idx="452" formatCode="0.00">
                  <c:v>7.1059117573261368</c:v>
                </c:pt>
                <c:pt idx="453" formatCode="0.00">
                  <c:v>6.9818643867445056</c:v>
                </c:pt>
                <c:pt idx="454" formatCode="0.00">
                  <c:v>6.9376583262043479</c:v>
                </c:pt>
                <c:pt idx="455" formatCode="0.00">
                  <c:v>6.9947934219576169</c:v>
                </c:pt>
                <c:pt idx="456" formatCode="0.00">
                  <c:v>7.4347799304705156</c:v>
                </c:pt>
                <c:pt idx="457" formatCode="0.00">
                  <c:v>7.8890005424329193</c:v>
                </c:pt>
                <c:pt idx="458" formatCode="0.00">
                  <c:v>7.0559034776321212</c:v>
                </c:pt>
                <c:pt idx="459" formatCode="0.00">
                  <c:v>6.8901739243618945</c:v>
                </c:pt>
                <c:pt idx="460" formatCode="0.00">
                  <c:v>7.1079803200641578</c:v>
                </c:pt>
                <c:pt idx="461" formatCode="0.00">
                  <c:v>6.3000449278985169</c:v>
                </c:pt>
                <c:pt idx="462" formatCode="0.00">
                  <c:v>6.4859954543216034</c:v>
                </c:pt>
                <c:pt idx="463" formatCode="0.00">
                  <c:v>7.1252181480993961</c:v>
                </c:pt>
                <c:pt idx="464" formatCode="0.00">
                  <c:v>7.5770798803811825</c:v>
                </c:pt>
                <c:pt idx="465" formatCode="0.00">
                  <c:v>6.6717192411314654</c:v>
                </c:pt>
                <c:pt idx="466" formatCode="0.00">
                  <c:v>7.544819876366855</c:v>
                </c:pt>
                <c:pt idx="467" formatCode="0.00">
                  <c:v>7.4938108440809579</c:v>
                </c:pt>
                <c:pt idx="468" formatCode="0.00">
                  <c:v>7.742247920769195</c:v>
                </c:pt>
                <c:pt idx="469" formatCode="0.00">
                  <c:v>6.5409492547509771</c:v>
                </c:pt>
                <c:pt idx="470" formatCode="0.00">
                  <c:v>7.9172850852704686</c:v>
                </c:pt>
                <c:pt idx="471" formatCode="0.00">
                  <c:v>7.7419665773003672</c:v>
                </c:pt>
                <c:pt idx="472" formatCode="0.00">
                  <c:v>7.3736933346846918</c:v>
                </c:pt>
                <c:pt idx="473" formatCode="0.00">
                  <c:v>7.1781339319183441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AD-4287-B9B5-29EF476F8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767919"/>
        <c:axId val="1099768879"/>
      </c:lineChart>
      <c:catAx>
        <c:axId val="10997679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68879"/>
        <c:crosses val="autoZero"/>
        <c:auto val="1"/>
        <c:lblAlgn val="ctr"/>
        <c:lblOffset val="100"/>
        <c:noMultiLvlLbl val="0"/>
      </c:catAx>
      <c:valAx>
        <c:axId val="109976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6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45268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Table!$K$3:$K$1001</c:f>
              <c:numCache>
                <c:formatCode>m/d/yyyy</c:formatCode>
                <c:ptCount val="999"/>
                <c:pt idx="0">
                  <c:v>45025</c:v>
                </c:pt>
                <c:pt idx="1">
                  <c:v>45166</c:v>
                </c:pt>
                <c:pt idx="2">
                  <c:v>44944</c:v>
                </c:pt>
                <c:pt idx="3">
                  <c:v>44945</c:v>
                </c:pt>
                <c:pt idx="4">
                  <c:v>44937</c:v>
                </c:pt>
                <c:pt idx="5">
                  <c:v>45222</c:v>
                </c:pt>
                <c:pt idx="6">
                  <c:v>45092</c:v>
                </c:pt>
                <c:pt idx="7">
                  <c:v>44982</c:v>
                </c:pt>
                <c:pt idx="8">
                  <c:v>45039</c:v>
                </c:pt>
                <c:pt idx="9">
                  <c:v>45078</c:v>
                </c:pt>
                <c:pt idx="10">
                  <c:v>45182</c:v>
                </c:pt>
                <c:pt idx="11">
                  <c:v>44974</c:v>
                </c:pt>
                <c:pt idx="12">
                  <c:v>45270</c:v>
                </c:pt>
                <c:pt idx="13">
                  <c:v>45106</c:v>
                </c:pt>
                <c:pt idx="14">
                  <c:v>45121</c:v>
                </c:pt>
                <c:pt idx="15">
                  <c:v>45059</c:v>
                </c:pt>
                <c:pt idx="16">
                  <c:v>45086</c:v>
                </c:pt>
                <c:pt idx="17">
                  <c:v>45098</c:v>
                </c:pt>
                <c:pt idx="18">
                  <c:v>45256</c:v>
                </c:pt>
                <c:pt idx="19">
                  <c:v>45238</c:v>
                </c:pt>
                <c:pt idx="20">
                  <c:v>45287</c:v>
                </c:pt>
                <c:pt idx="21">
                  <c:v>45083</c:v>
                </c:pt>
                <c:pt idx="22">
                  <c:v>45227</c:v>
                </c:pt>
                <c:pt idx="23">
                  <c:v>45290</c:v>
                </c:pt>
                <c:pt idx="24">
                  <c:v>45264</c:v>
                </c:pt>
                <c:pt idx="25">
                  <c:v>44958</c:v>
                </c:pt>
                <c:pt idx="26">
                  <c:v>45152</c:v>
                </c:pt>
                <c:pt idx="27">
                  <c:v>45267</c:v>
                </c:pt>
                <c:pt idx="28">
                  <c:v>45105</c:v>
                </c:pt>
                <c:pt idx="29">
                  <c:v>45247</c:v>
                </c:pt>
                <c:pt idx="30">
                  <c:v>44951</c:v>
                </c:pt>
                <c:pt idx="31">
                  <c:v>45174</c:v>
                </c:pt>
                <c:pt idx="32">
                  <c:v>45186</c:v>
                </c:pt>
                <c:pt idx="33">
                  <c:v>45285</c:v>
                </c:pt>
                <c:pt idx="34">
                  <c:v>44940</c:v>
                </c:pt>
                <c:pt idx="35">
                  <c:v>45139</c:v>
                </c:pt>
                <c:pt idx="36">
                  <c:v>44969</c:v>
                </c:pt>
                <c:pt idx="37">
                  <c:v>45064</c:v>
                </c:pt>
                <c:pt idx="38">
                  <c:v>45202</c:v>
                </c:pt>
                <c:pt idx="39">
                  <c:v>45168</c:v>
                </c:pt>
                <c:pt idx="40">
                  <c:v>45184</c:v>
                </c:pt>
                <c:pt idx="41">
                  <c:v>44971</c:v>
                </c:pt>
                <c:pt idx="42">
                  <c:v>44984</c:v>
                </c:pt>
                <c:pt idx="43">
                  <c:v>45151</c:v>
                </c:pt>
                <c:pt idx="44">
                  <c:v>45055</c:v>
                </c:pt>
                <c:pt idx="45">
                  <c:v>45283</c:v>
                </c:pt>
                <c:pt idx="46">
                  <c:v>45227</c:v>
                </c:pt>
                <c:pt idx="47">
                  <c:v>45170</c:v>
                </c:pt>
                <c:pt idx="48">
                  <c:v>45032</c:v>
                </c:pt>
                <c:pt idx="49">
                  <c:v>45273</c:v>
                </c:pt>
                <c:pt idx="50">
                  <c:v>45012</c:v>
                </c:pt>
                <c:pt idx="51">
                  <c:v>45246</c:v>
                </c:pt>
                <c:pt idx="52">
                  <c:v>45091</c:v>
                </c:pt>
                <c:pt idx="53">
                  <c:v>44952</c:v>
                </c:pt>
                <c:pt idx="54">
                  <c:v>45285</c:v>
                </c:pt>
                <c:pt idx="55">
                  <c:v>45198</c:v>
                </c:pt>
                <c:pt idx="56">
                  <c:v>44999</c:v>
                </c:pt>
                <c:pt idx="57">
                  <c:v>45274</c:v>
                </c:pt>
                <c:pt idx="58">
                  <c:v>45186</c:v>
                </c:pt>
                <c:pt idx="59">
                  <c:v>45146</c:v>
                </c:pt>
                <c:pt idx="60">
                  <c:v>45028</c:v>
                </c:pt>
                <c:pt idx="61">
                  <c:v>44978</c:v>
                </c:pt>
                <c:pt idx="62">
                  <c:v>45233</c:v>
                </c:pt>
                <c:pt idx="63">
                  <c:v>44942</c:v>
                </c:pt>
                <c:pt idx="64">
                  <c:v>45294</c:v>
                </c:pt>
                <c:pt idx="65">
                  <c:v>44962</c:v>
                </c:pt>
                <c:pt idx="66">
                  <c:v>44964</c:v>
                </c:pt>
                <c:pt idx="67">
                  <c:v>45019</c:v>
                </c:pt>
                <c:pt idx="68">
                  <c:v>45222</c:v>
                </c:pt>
                <c:pt idx="69">
                  <c:v>45132</c:v>
                </c:pt>
                <c:pt idx="70">
                  <c:v>45200</c:v>
                </c:pt>
                <c:pt idx="71">
                  <c:v>45004</c:v>
                </c:pt>
                <c:pt idx="72">
                  <c:v>45204</c:v>
                </c:pt>
                <c:pt idx="73">
                  <c:v>45027</c:v>
                </c:pt>
                <c:pt idx="74">
                  <c:v>45180</c:v>
                </c:pt>
                <c:pt idx="75">
                  <c:v>45227</c:v>
                </c:pt>
                <c:pt idx="76">
                  <c:v>45001</c:v>
                </c:pt>
                <c:pt idx="77">
                  <c:v>45251</c:v>
                </c:pt>
                <c:pt idx="78">
                  <c:v>45263</c:v>
                </c:pt>
                <c:pt idx="79">
                  <c:v>44965</c:v>
                </c:pt>
                <c:pt idx="80">
                  <c:v>45282</c:v>
                </c:pt>
                <c:pt idx="81">
                  <c:v>45223</c:v>
                </c:pt>
                <c:pt idx="82">
                  <c:v>45158</c:v>
                </c:pt>
                <c:pt idx="83">
                  <c:v>45066</c:v>
                </c:pt>
                <c:pt idx="84">
                  <c:v>44975</c:v>
                </c:pt>
                <c:pt idx="85">
                  <c:v>45294</c:v>
                </c:pt>
                <c:pt idx="86">
                  <c:v>45140</c:v>
                </c:pt>
                <c:pt idx="87">
                  <c:v>45035</c:v>
                </c:pt>
                <c:pt idx="88">
                  <c:v>45106</c:v>
                </c:pt>
                <c:pt idx="89">
                  <c:v>44993</c:v>
                </c:pt>
                <c:pt idx="90">
                  <c:v>45111</c:v>
                </c:pt>
                <c:pt idx="91">
                  <c:v>45039</c:v>
                </c:pt>
                <c:pt idx="92">
                  <c:v>45009</c:v>
                </c:pt>
                <c:pt idx="93">
                  <c:v>45180</c:v>
                </c:pt>
                <c:pt idx="94">
                  <c:v>44959</c:v>
                </c:pt>
                <c:pt idx="95">
                  <c:v>45151</c:v>
                </c:pt>
                <c:pt idx="96">
                  <c:v>45069</c:v>
                </c:pt>
                <c:pt idx="97">
                  <c:v>45150</c:v>
                </c:pt>
                <c:pt idx="98">
                  <c:v>44950</c:v>
                </c:pt>
                <c:pt idx="99">
                  <c:v>45268</c:v>
                </c:pt>
                <c:pt idx="100">
                  <c:v>45183</c:v>
                </c:pt>
                <c:pt idx="101">
                  <c:v>45242</c:v>
                </c:pt>
                <c:pt idx="102">
                  <c:v>45098</c:v>
                </c:pt>
                <c:pt idx="103">
                  <c:v>45294</c:v>
                </c:pt>
                <c:pt idx="104">
                  <c:v>45294</c:v>
                </c:pt>
                <c:pt idx="105">
                  <c:v>45052</c:v>
                </c:pt>
                <c:pt idx="106">
                  <c:v>44929</c:v>
                </c:pt>
                <c:pt idx="107">
                  <c:v>45211</c:v>
                </c:pt>
                <c:pt idx="108">
                  <c:v>45103</c:v>
                </c:pt>
                <c:pt idx="109">
                  <c:v>45072</c:v>
                </c:pt>
                <c:pt idx="110">
                  <c:v>45238</c:v>
                </c:pt>
                <c:pt idx="111">
                  <c:v>45267</c:v>
                </c:pt>
                <c:pt idx="112">
                  <c:v>45113</c:v>
                </c:pt>
                <c:pt idx="113">
                  <c:v>45097</c:v>
                </c:pt>
                <c:pt idx="114">
                  <c:v>44968</c:v>
                </c:pt>
                <c:pt idx="115">
                  <c:v>44959</c:v>
                </c:pt>
                <c:pt idx="116">
                  <c:v>45007</c:v>
                </c:pt>
                <c:pt idx="117">
                  <c:v>45179</c:v>
                </c:pt>
                <c:pt idx="118">
                  <c:v>44979</c:v>
                </c:pt>
                <c:pt idx="119">
                  <c:v>45066</c:v>
                </c:pt>
                <c:pt idx="120">
                  <c:v>45103</c:v>
                </c:pt>
                <c:pt idx="121">
                  <c:v>45028</c:v>
                </c:pt>
                <c:pt idx="122">
                  <c:v>45209</c:v>
                </c:pt>
                <c:pt idx="123">
                  <c:v>45075</c:v>
                </c:pt>
                <c:pt idx="124">
                  <c:v>45078</c:v>
                </c:pt>
                <c:pt idx="125">
                  <c:v>45160</c:v>
                </c:pt>
                <c:pt idx="126">
                  <c:v>45056</c:v>
                </c:pt>
                <c:pt idx="127">
                  <c:v>45236</c:v>
                </c:pt>
                <c:pt idx="128">
                  <c:v>44963</c:v>
                </c:pt>
                <c:pt idx="129">
                  <c:v>45248</c:v>
                </c:pt>
                <c:pt idx="130">
                  <c:v>44939</c:v>
                </c:pt>
                <c:pt idx="131">
                  <c:v>45037</c:v>
                </c:pt>
                <c:pt idx="132">
                  <c:v>45140</c:v>
                </c:pt>
                <c:pt idx="133">
                  <c:v>44959</c:v>
                </c:pt>
                <c:pt idx="134">
                  <c:v>45001</c:v>
                </c:pt>
                <c:pt idx="135">
                  <c:v>45233</c:v>
                </c:pt>
                <c:pt idx="136">
                  <c:v>45081</c:v>
                </c:pt>
                <c:pt idx="137">
                  <c:v>45264</c:v>
                </c:pt>
                <c:pt idx="138">
                  <c:v>45195</c:v>
                </c:pt>
                <c:pt idx="139">
                  <c:v>44944</c:v>
                </c:pt>
                <c:pt idx="140">
                  <c:v>45253</c:v>
                </c:pt>
                <c:pt idx="141">
                  <c:v>45049</c:v>
                </c:pt>
                <c:pt idx="142">
                  <c:v>45165</c:v>
                </c:pt>
                <c:pt idx="143">
                  <c:v>44942</c:v>
                </c:pt>
                <c:pt idx="144">
                  <c:v>45132</c:v>
                </c:pt>
                <c:pt idx="145">
                  <c:v>45248</c:v>
                </c:pt>
                <c:pt idx="146">
                  <c:v>45267</c:v>
                </c:pt>
                <c:pt idx="147">
                  <c:v>45061</c:v>
                </c:pt>
                <c:pt idx="148">
                  <c:v>45062</c:v>
                </c:pt>
                <c:pt idx="149">
                  <c:v>45003</c:v>
                </c:pt>
                <c:pt idx="150">
                  <c:v>44993</c:v>
                </c:pt>
                <c:pt idx="151">
                  <c:v>45188</c:v>
                </c:pt>
                <c:pt idx="152">
                  <c:v>45194</c:v>
                </c:pt>
                <c:pt idx="153">
                  <c:v>45227</c:v>
                </c:pt>
                <c:pt idx="154">
                  <c:v>44978</c:v>
                </c:pt>
                <c:pt idx="155">
                  <c:v>45166</c:v>
                </c:pt>
                <c:pt idx="156">
                  <c:v>45227</c:v>
                </c:pt>
                <c:pt idx="157">
                  <c:v>45238</c:v>
                </c:pt>
                <c:pt idx="158">
                  <c:v>45053</c:v>
                </c:pt>
                <c:pt idx="159">
                  <c:v>45202</c:v>
                </c:pt>
                <c:pt idx="160">
                  <c:v>44931</c:v>
                </c:pt>
                <c:pt idx="161">
                  <c:v>45160</c:v>
                </c:pt>
                <c:pt idx="162">
                  <c:v>45237</c:v>
                </c:pt>
                <c:pt idx="163">
                  <c:v>45101</c:v>
                </c:pt>
                <c:pt idx="164">
                  <c:v>45083</c:v>
                </c:pt>
                <c:pt idx="165">
                  <c:v>45106</c:v>
                </c:pt>
                <c:pt idx="166">
                  <c:v>44944</c:v>
                </c:pt>
                <c:pt idx="167">
                  <c:v>44989</c:v>
                </c:pt>
                <c:pt idx="168">
                  <c:v>45180</c:v>
                </c:pt>
                <c:pt idx="169">
                  <c:v>44984</c:v>
                </c:pt>
                <c:pt idx="170">
                  <c:v>45246</c:v>
                </c:pt>
                <c:pt idx="171">
                  <c:v>45126</c:v>
                </c:pt>
                <c:pt idx="172">
                  <c:v>45040</c:v>
                </c:pt>
                <c:pt idx="173">
                  <c:v>45047</c:v>
                </c:pt>
                <c:pt idx="174">
                  <c:v>45103</c:v>
                </c:pt>
                <c:pt idx="175">
                  <c:v>45294</c:v>
                </c:pt>
                <c:pt idx="176">
                  <c:v>44945</c:v>
                </c:pt>
                <c:pt idx="177">
                  <c:v>45049</c:v>
                </c:pt>
                <c:pt idx="178">
                  <c:v>45128</c:v>
                </c:pt>
                <c:pt idx="179">
                  <c:v>45210</c:v>
                </c:pt>
                <c:pt idx="180">
                  <c:v>45092</c:v>
                </c:pt>
                <c:pt idx="181">
                  <c:v>45154</c:v>
                </c:pt>
                <c:pt idx="182">
                  <c:v>45030</c:v>
                </c:pt>
                <c:pt idx="183">
                  <c:v>45223</c:v>
                </c:pt>
                <c:pt idx="184">
                  <c:v>45121</c:v>
                </c:pt>
                <c:pt idx="185">
                  <c:v>45266</c:v>
                </c:pt>
                <c:pt idx="186">
                  <c:v>45169</c:v>
                </c:pt>
                <c:pt idx="187">
                  <c:v>45171</c:v>
                </c:pt>
                <c:pt idx="188">
                  <c:v>45022</c:v>
                </c:pt>
                <c:pt idx="189">
                  <c:v>45289</c:v>
                </c:pt>
                <c:pt idx="190">
                  <c:v>45086</c:v>
                </c:pt>
                <c:pt idx="191">
                  <c:v>45091</c:v>
                </c:pt>
                <c:pt idx="192">
                  <c:v>45121</c:v>
                </c:pt>
                <c:pt idx="193">
                  <c:v>45039</c:v>
                </c:pt>
                <c:pt idx="194">
                  <c:v>45220</c:v>
                </c:pt>
                <c:pt idx="195">
                  <c:v>45208</c:v>
                </c:pt>
                <c:pt idx="196">
                  <c:v>45073</c:v>
                </c:pt>
                <c:pt idx="197">
                  <c:v>44958</c:v>
                </c:pt>
                <c:pt idx="198">
                  <c:v>45053</c:v>
                </c:pt>
                <c:pt idx="199">
                  <c:v>44997</c:v>
                </c:pt>
                <c:pt idx="200">
                  <c:v>45237</c:v>
                </c:pt>
                <c:pt idx="201">
                  <c:v>45183</c:v>
                </c:pt>
                <c:pt idx="202">
                  <c:v>45004</c:v>
                </c:pt>
                <c:pt idx="203">
                  <c:v>45204</c:v>
                </c:pt>
                <c:pt idx="204">
                  <c:v>45095</c:v>
                </c:pt>
                <c:pt idx="205">
                  <c:v>45001</c:v>
                </c:pt>
                <c:pt idx="206">
                  <c:v>45069</c:v>
                </c:pt>
                <c:pt idx="207">
                  <c:v>45254</c:v>
                </c:pt>
                <c:pt idx="208">
                  <c:v>45143</c:v>
                </c:pt>
                <c:pt idx="209">
                  <c:v>44949</c:v>
                </c:pt>
                <c:pt idx="210">
                  <c:v>45139</c:v>
                </c:pt>
                <c:pt idx="211">
                  <c:v>45030</c:v>
                </c:pt>
                <c:pt idx="212">
                  <c:v>45099</c:v>
                </c:pt>
                <c:pt idx="213">
                  <c:v>45034</c:v>
                </c:pt>
                <c:pt idx="214">
                  <c:v>44954</c:v>
                </c:pt>
                <c:pt idx="215">
                  <c:v>45054</c:v>
                </c:pt>
                <c:pt idx="216">
                  <c:v>45084</c:v>
                </c:pt>
                <c:pt idx="217">
                  <c:v>44981</c:v>
                </c:pt>
                <c:pt idx="218">
                  <c:v>44973</c:v>
                </c:pt>
                <c:pt idx="219">
                  <c:v>45145</c:v>
                </c:pt>
                <c:pt idx="220">
                  <c:v>45020</c:v>
                </c:pt>
                <c:pt idx="221">
                  <c:v>45047</c:v>
                </c:pt>
                <c:pt idx="222">
                  <c:v>45197</c:v>
                </c:pt>
                <c:pt idx="223">
                  <c:v>45285</c:v>
                </c:pt>
                <c:pt idx="224">
                  <c:v>45052</c:v>
                </c:pt>
                <c:pt idx="225">
                  <c:v>45159</c:v>
                </c:pt>
                <c:pt idx="226">
                  <c:v>44998</c:v>
                </c:pt>
                <c:pt idx="227">
                  <c:v>44985</c:v>
                </c:pt>
                <c:pt idx="228">
                  <c:v>45133</c:v>
                </c:pt>
                <c:pt idx="229">
                  <c:v>45109</c:v>
                </c:pt>
                <c:pt idx="230">
                  <c:v>45216</c:v>
                </c:pt>
                <c:pt idx="231">
                  <c:v>45217</c:v>
                </c:pt>
                <c:pt idx="232">
                  <c:v>45022</c:v>
                </c:pt>
                <c:pt idx="233">
                  <c:v>45127</c:v>
                </c:pt>
                <c:pt idx="234">
                  <c:v>45024</c:v>
                </c:pt>
                <c:pt idx="235">
                  <c:v>44934</c:v>
                </c:pt>
                <c:pt idx="236">
                  <c:v>45059</c:v>
                </c:pt>
                <c:pt idx="237">
                  <c:v>45153</c:v>
                </c:pt>
                <c:pt idx="238">
                  <c:v>45187</c:v>
                </c:pt>
                <c:pt idx="239">
                  <c:v>44972</c:v>
                </c:pt>
                <c:pt idx="240">
                  <c:v>45258</c:v>
                </c:pt>
                <c:pt idx="241">
                  <c:v>45136</c:v>
                </c:pt>
                <c:pt idx="242">
                  <c:v>45117</c:v>
                </c:pt>
                <c:pt idx="243">
                  <c:v>45224</c:v>
                </c:pt>
                <c:pt idx="244">
                  <c:v>45089</c:v>
                </c:pt>
                <c:pt idx="245">
                  <c:v>45129</c:v>
                </c:pt>
                <c:pt idx="246">
                  <c:v>45102</c:v>
                </c:pt>
                <c:pt idx="247">
                  <c:v>45259</c:v>
                </c:pt>
                <c:pt idx="248">
                  <c:v>45202</c:v>
                </c:pt>
                <c:pt idx="249">
                  <c:v>44963</c:v>
                </c:pt>
                <c:pt idx="250">
                  <c:v>45063</c:v>
                </c:pt>
                <c:pt idx="251">
                  <c:v>45192</c:v>
                </c:pt>
                <c:pt idx="252">
                  <c:v>45285</c:v>
                </c:pt>
                <c:pt idx="253">
                  <c:v>44976</c:v>
                </c:pt>
                <c:pt idx="254">
                  <c:v>45182</c:v>
                </c:pt>
                <c:pt idx="255">
                  <c:v>45235</c:v>
                </c:pt>
                <c:pt idx="256">
                  <c:v>44941</c:v>
                </c:pt>
                <c:pt idx="257">
                  <c:v>44984</c:v>
                </c:pt>
                <c:pt idx="258">
                  <c:v>45057</c:v>
                </c:pt>
                <c:pt idx="259">
                  <c:v>45032</c:v>
                </c:pt>
                <c:pt idx="260">
                  <c:v>45002</c:v>
                </c:pt>
                <c:pt idx="261">
                  <c:v>45027</c:v>
                </c:pt>
                <c:pt idx="262">
                  <c:v>45215</c:v>
                </c:pt>
                <c:pt idx="263">
                  <c:v>45215</c:v>
                </c:pt>
                <c:pt idx="264">
                  <c:v>44979</c:v>
                </c:pt>
                <c:pt idx="265">
                  <c:v>45124</c:v>
                </c:pt>
                <c:pt idx="266">
                  <c:v>45107</c:v>
                </c:pt>
                <c:pt idx="267">
                  <c:v>45116</c:v>
                </c:pt>
                <c:pt idx="268">
                  <c:v>45053</c:v>
                </c:pt>
                <c:pt idx="269">
                  <c:v>45007</c:v>
                </c:pt>
                <c:pt idx="270">
                  <c:v>45166</c:v>
                </c:pt>
                <c:pt idx="271">
                  <c:v>44943</c:v>
                </c:pt>
                <c:pt idx="272">
                  <c:v>45215</c:v>
                </c:pt>
                <c:pt idx="273">
                  <c:v>44936</c:v>
                </c:pt>
                <c:pt idx="274">
                  <c:v>45010</c:v>
                </c:pt>
                <c:pt idx="275">
                  <c:v>44955</c:v>
                </c:pt>
                <c:pt idx="276">
                  <c:v>44945</c:v>
                </c:pt>
                <c:pt idx="277">
                  <c:v>45185</c:v>
                </c:pt>
                <c:pt idx="278">
                  <c:v>45128</c:v>
                </c:pt>
                <c:pt idx="279">
                  <c:v>45006</c:v>
                </c:pt>
                <c:pt idx="280">
                  <c:v>45049</c:v>
                </c:pt>
                <c:pt idx="281">
                  <c:v>44950</c:v>
                </c:pt>
                <c:pt idx="282">
                  <c:v>45294</c:v>
                </c:pt>
                <c:pt idx="283">
                  <c:v>45261</c:v>
                </c:pt>
                <c:pt idx="284">
                  <c:v>45062</c:v>
                </c:pt>
                <c:pt idx="285">
                  <c:v>45053</c:v>
                </c:pt>
                <c:pt idx="286">
                  <c:v>45078</c:v>
                </c:pt>
                <c:pt idx="287">
                  <c:v>44953</c:v>
                </c:pt>
                <c:pt idx="288">
                  <c:v>45173</c:v>
                </c:pt>
                <c:pt idx="289">
                  <c:v>45236</c:v>
                </c:pt>
                <c:pt idx="290">
                  <c:v>45193</c:v>
                </c:pt>
                <c:pt idx="291">
                  <c:v>45177</c:v>
                </c:pt>
                <c:pt idx="292">
                  <c:v>45166</c:v>
                </c:pt>
                <c:pt idx="293">
                  <c:v>45003</c:v>
                </c:pt>
                <c:pt idx="294">
                  <c:v>44959</c:v>
                </c:pt>
                <c:pt idx="295">
                  <c:v>45000</c:v>
                </c:pt>
                <c:pt idx="296">
                  <c:v>45294</c:v>
                </c:pt>
                <c:pt idx="297">
                  <c:v>45287</c:v>
                </c:pt>
                <c:pt idx="298">
                  <c:v>45192</c:v>
                </c:pt>
                <c:pt idx="299">
                  <c:v>45085</c:v>
                </c:pt>
                <c:pt idx="300">
                  <c:v>45182</c:v>
                </c:pt>
                <c:pt idx="301">
                  <c:v>44929</c:v>
                </c:pt>
                <c:pt idx="302">
                  <c:v>45130</c:v>
                </c:pt>
                <c:pt idx="303">
                  <c:v>45207</c:v>
                </c:pt>
                <c:pt idx="304">
                  <c:v>44963</c:v>
                </c:pt>
                <c:pt idx="305">
                  <c:v>45220</c:v>
                </c:pt>
                <c:pt idx="306">
                  <c:v>45071</c:v>
                </c:pt>
                <c:pt idx="307">
                  <c:v>45044</c:v>
                </c:pt>
                <c:pt idx="308">
                  <c:v>45202</c:v>
                </c:pt>
                <c:pt idx="309">
                  <c:v>45231</c:v>
                </c:pt>
                <c:pt idx="310">
                  <c:v>45107</c:v>
                </c:pt>
                <c:pt idx="311">
                  <c:v>45141</c:v>
                </c:pt>
                <c:pt idx="312">
                  <c:v>45072</c:v>
                </c:pt>
                <c:pt idx="313">
                  <c:v>45188</c:v>
                </c:pt>
                <c:pt idx="314">
                  <c:v>45095</c:v>
                </c:pt>
                <c:pt idx="315">
                  <c:v>44988</c:v>
                </c:pt>
                <c:pt idx="316">
                  <c:v>45248</c:v>
                </c:pt>
                <c:pt idx="317">
                  <c:v>45143</c:v>
                </c:pt>
                <c:pt idx="318">
                  <c:v>45230</c:v>
                </c:pt>
                <c:pt idx="319">
                  <c:v>45149</c:v>
                </c:pt>
                <c:pt idx="320">
                  <c:v>45255</c:v>
                </c:pt>
                <c:pt idx="321">
                  <c:v>45251</c:v>
                </c:pt>
                <c:pt idx="322">
                  <c:v>45012</c:v>
                </c:pt>
                <c:pt idx="323">
                  <c:v>45219</c:v>
                </c:pt>
                <c:pt idx="324">
                  <c:v>45257</c:v>
                </c:pt>
                <c:pt idx="325">
                  <c:v>45221</c:v>
                </c:pt>
                <c:pt idx="326">
                  <c:v>44967</c:v>
                </c:pt>
                <c:pt idx="327">
                  <c:v>45149</c:v>
                </c:pt>
                <c:pt idx="328">
                  <c:v>45151</c:v>
                </c:pt>
                <c:pt idx="329">
                  <c:v>45067</c:v>
                </c:pt>
                <c:pt idx="330">
                  <c:v>45238</c:v>
                </c:pt>
                <c:pt idx="331">
                  <c:v>45094</c:v>
                </c:pt>
                <c:pt idx="332">
                  <c:v>45094</c:v>
                </c:pt>
                <c:pt idx="333">
                  <c:v>45015</c:v>
                </c:pt>
                <c:pt idx="334">
                  <c:v>45231</c:v>
                </c:pt>
                <c:pt idx="335">
                  <c:v>45206</c:v>
                </c:pt>
                <c:pt idx="336">
                  <c:v>45220</c:v>
                </c:pt>
                <c:pt idx="337">
                  <c:v>45232</c:v>
                </c:pt>
                <c:pt idx="338">
                  <c:v>44949</c:v>
                </c:pt>
                <c:pt idx="339">
                  <c:v>45217</c:v>
                </c:pt>
                <c:pt idx="340">
                  <c:v>45145</c:v>
                </c:pt>
                <c:pt idx="341">
                  <c:v>44931</c:v>
                </c:pt>
                <c:pt idx="342">
                  <c:v>45132</c:v>
                </c:pt>
                <c:pt idx="343">
                  <c:v>45255</c:v>
                </c:pt>
                <c:pt idx="344">
                  <c:v>45064</c:v>
                </c:pt>
                <c:pt idx="345">
                  <c:v>45215</c:v>
                </c:pt>
                <c:pt idx="346">
                  <c:v>45012</c:v>
                </c:pt>
                <c:pt idx="347">
                  <c:v>45224</c:v>
                </c:pt>
                <c:pt idx="348">
                  <c:v>45190</c:v>
                </c:pt>
                <c:pt idx="349">
                  <c:v>45294</c:v>
                </c:pt>
                <c:pt idx="350">
                  <c:v>44979</c:v>
                </c:pt>
                <c:pt idx="351">
                  <c:v>45161</c:v>
                </c:pt>
                <c:pt idx="352">
                  <c:v>45139</c:v>
                </c:pt>
                <c:pt idx="353">
                  <c:v>45144</c:v>
                </c:pt>
                <c:pt idx="354">
                  <c:v>44927</c:v>
                </c:pt>
                <c:pt idx="355">
                  <c:v>45201</c:v>
                </c:pt>
                <c:pt idx="356">
                  <c:v>45045</c:v>
                </c:pt>
                <c:pt idx="357">
                  <c:v>45131</c:v>
                </c:pt>
                <c:pt idx="358">
                  <c:v>45186</c:v>
                </c:pt>
                <c:pt idx="359">
                  <c:v>45195</c:v>
                </c:pt>
                <c:pt idx="360">
                  <c:v>45084</c:v>
                </c:pt>
                <c:pt idx="361">
                  <c:v>44997</c:v>
                </c:pt>
                <c:pt idx="362">
                  <c:v>45223</c:v>
                </c:pt>
                <c:pt idx="363">
                  <c:v>45261</c:v>
                </c:pt>
                <c:pt idx="364">
                  <c:v>45154</c:v>
                </c:pt>
                <c:pt idx="365">
                  <c:v>44970</c:v>
                </c:pt>
                <c:pt idx="366">
                  <c:v>45258</c:v>
                </c:pt>
                <c:pt idx="367">
                  <c:v>45099</c:v>
                </c:pt>
                <c:pt idx="368">
                  <c:v>45100</c:v>
                </c:pt>
                <c:pt idx="369">
                  <c:v>45135</c:v>
                </c:pt>
                <c:pt idx="370">
                  <c:v>45229</c:v>
                </c:pt>
                <c:pt idx="371">
                  <c:v>45240</c:v>
                </c:pt>
                <c:pt idx="372">
                  <c:v>45294</c:v>
                </c:pt>
                <c:pt idx="373">
                  <c:v>45080</c:v>
                </c:pt>
                <c:pt idx="374">
                  <c:v>45106</c:v>
                </c:pt>
                <c:pt idx="375">
                  <c:v>45205</c:v>
                </c:pt>
                <c:pt idx="376">
                  <c:v>45139</c:v>
                </c:pt>
                <c:pt idx="377">
                  <c:v>45064</c:v>
                </c:pt>
                <c:pt idx="378">
                  <c:v>45048</c:v>
                </c:pt>
                <c:pt idx="379">
                  <c:v>45250</c:v>
                </c:pt>
                <c:pt idx="380">
                  <c:v>45148</c:v>
                </c:pt>
                <c:pt idx="381">
                  <c:v>45021</c:v>
                </c:pt>
                <c:pt idx="382">
                  <c:v>45035</c:v>
                </c:pt>
                <c:pt idx="383">
                  <c:v>45290</c:v>
                </c:pt>
                <c:pt idx="384">
                  <c:v>45240</c:v>
                </c:pt>
                <c:pt idx="385">
                  <c:v>44940</c:v>
                </c:pt>
                <c:pt idx="386">
                  <c:v>45112</c:v>
                </c:pt>
                <c:pt idx="387">
                  <c:v>45294</c:v>
                </c:pt>
                <c:pt idx="388">
                  <c:v>45236</c:v>
                </c:pt>
                <c:pt idx="389">
                  <c:v>44946</c:v>
                </c:pt>
                <c:pt idx="390">
                  <c:v>45052</c:v>
                </c:pt>
                <c:pt idx="391">
                  <c:v>45220</c:v>
                </c:pt>
                <c:pt idx="392">
                  <c:v>45290</c:v>
                </c:pt>
                <c:pt idx="393">
                  <c:v>45117</c:v>
                </c:pt>
                <c:pt idx="394">
                  <c:v>45294</c:v>
                </c:pt>
                <c:pt idx="395">
                  <c:v>44962</c:v>
                </c:pt>
                <c:pt idx="396">
                  <c:v>44960</c:v>
                </c:pt>
                <c:pt idx="397">
                  <c:v>45252</c:v>
                </c:pt>
                <c:pt idx="398">
                  <c:v>45080</c:v>
                </c:pt>
                <c:pt idx="399">
                  <c:v>45042</c:v>
                </c:pt>
                <c:pt idx="400">
                  <c:v>44998</c:v>
                </c:pt>
                <c:pt idx="401">
                  <c:v>44937</c:v>
                </c:pt>
                <c:pt idx="402">
                  <c:v>45026</c:v>
                </c:pt>
                <c:pt idx="403">
                  <c:v>44992</c:v>
                </c:pt>
                <c:pt idx="404">
                  <c:v>45169</c:v>
                </c:pt>
                <c:pt idx="405">
                  <c:v>44928</c:v>
                </c:pt>
                <c:pt idx="406">
                  <c:v>45218</c:v>
                </c:pt>
                <c:pt idx="407">
                  <c:v>44936</c:v>
                </c:pt>
                <c:pt idx="408">
                  <c:v>44942</c:v>
                </c:pt>
                <c:pt idx="409">
                  <c:v>45130</c:v>
                </c:pt>
                <c:pt idx="410">
                  <c:v>45264</c:v>
                </c:pt>
                <c:pt idx="411">
                  <c:v>45025</c:v>
                </c:pt>
                <c:pt idx="412">
                  <c:v>45041</c:v>
                </c:pt>
                <c:pt idx="413">
                  <c:v>44985</c:v>
                </c:pt>
                <c:pt idx="414">
                  <c:v>45055</c:v>
                </c:pt>
                <c:pt idx="415">
                  <c:v>45268</c:v>
                </c:pt>
                <c:pt idx="416">
                  <c:v>45231</c:v>
                </c:pt>
                <c:pt idx="417">
                  <c:v>45088</c:v>
                </c:pt>
                <c:pt idx="418">
                  <c:v>45208</c:v>
                </c:pt>
                <c:pt idx="419">
                  <c:v>45192</c:v>
                </c:pt>
                <c:pt idx="420">
                  <c:v>45022</c:v>
                </c:pt>
                <c:pt idx="421">
                  <c:v>45247</c:v>
                </c:pt>
                <c:pt idx="422">
                  <c:v>44964</c:v>
                </c:pt>
                <c:pt idx="423">
                  <c:v>45199</c:v>
                </c:pt>
                <c:pt idx="424">
                  <c:v>45156</c:v>
                </c:pt>
                <c:pt idx="425">
                  <c:v>44936</c:v>
                </c:pt>
                <c:pt idx="426">
                  <c:v>45001</c:v>
                </c:pt>
                <c:pt idx="427">
                  <c:v>45171</c:v>
                </c:pt>
                <c:pt idx="428">
                  <c:v>45023</c:v>
                </c:pt>
                <c:pt idx="429">
                  <c:v>45154</c:v>
                </c:pt>
                <c:pt idx="430">
                  <c:v>45000</c:v>
                </c:pt>
                <c:pt idx="431">
                  <c:v>44988</c:v>
                </c:pt>
                <c:pt idx="432">
                  <c:v>44988</c:v>
                </c:pt>
                <c:pt idx="433">
                  <c:v>45148</c:v>
                </c:pt>
                <c:pt idx="434">
                  <c:v>44951</c:v>
                </c:pt>
                <c:pt idx="435">
                  <c:v>45188</c:v>
                </c:pt>
                <c:pt idx="436">
                  <c:v>45182</c:v>
                </c:pt>
                <c:pt idx="437">
                  <c:v>45236</c:v>
                </c:pt>
                <c:pt idx="438">
                  <c:v>45070</c:v>
                </c:pt>
                <c:pt idx="439">
                  <c:v>44972</c:v>
                </c:pt>
                <c:pt idx="440">
                  <c:v>45218</c:v>
                </c:pt>
                <c:pt idx="441">
                  <c:v>45135</c:v>
                </c:pt>
                <c:pt idx="442">
                  <c:v>44978</c:v>
                </c:pt>
                <c:pt idx="443">
                  <c:v>45274</c:v>
                </c:pt>
                <c:pt idx="444">
                  <c:v>44992</c:v>
                </c:pt>
                <c:pt idx="445">
                  <c:v>45071</c:v>
                </c:pt>
                <c:pt idx="446">
                  <c:v>44966</c:v>
                </c:pt>
                <c:pt idx="447">
                  <c:v>45294</c:v>
                </c:pt>
                <c:pt idx="448">
                  <c:v>45158</c:v>
                </c:pt>
                <c:pt idx="449">
                  <c:v>44987</c:v>
                </c:pt>
                <c:pt idx="450">
                  <c:v>45053</c:v>
                </c:pt>
                <c:pt idx="451">
                  <c:v>44940</c:v>
                </c:pt>
                <c:pt idx="452">
                  <c:v>45061</c:v>
                </c:pt>
                <c:pt idx="453">
                  <c:v>45151</c:v>
                </c:pt>
                <c:pt idx="454">
                  <c:v>45158</c:v>
                </c:pt>
                <c:pt idx="455">
                  <c:v>45141</c:v>
                </c:pt>
                <c:pt idx="456">
                  <c:v>45255</c:v>
                </c:pt>
                <c:pt idx="457">
                  <c:v>45229</c:v>
                </c:pt>
                <c:pt idx="458">
                  <c:v>44994</c:v>
                </c:pt>
                <c:pt idx="459">
                  <c:v>44933</c:v>
                </c:pt>
                <c:pt idx="460">
                  <c:v>45146</c:v>
                </c:pt>
                <c:pt idx="461">
                  <c:v>45276</c:v>
                </c:pt>
                <c:pt idx="462">
                  <c:v>45075</c:v>
                </c:pt>
                <c:pt idx="463">
                  <c:v>45173</c:v>
                </c:pt>
                <c:pt idx="464">
                  <c:v>45168</c:v>
                </c:pt>
                <c:pt idx="465">
                  <c:v>44959</c:v>
                </c:pt>
                <c:pt idx="466">
                  <c:v>45181</c:v>
                </c:pt>
                <c:pt idx="467">
                  <c:v>45281</c:v>
                </c:pt>
                <c:pt idx="468">
                  <c:v>45206</c:v>
                </c:pt>
                <c:pt idx="469">
                  <c:v>45246</c:v>
                </c:pt>
                <c:pt idx="470">
                  <c:v>45229</c:v>
                </c:pt>
                <c:pt idx="471">
                  <c:v>44978</c:v>
                </c:pt>
                <c:pt idx="472">
                  <c:v>44997</c:v>
                </c:pt>
                <c:pt idx="473">
                  <c:v>45216</c:v>
                </c:pt>
                <c:pt idx="474">
                  <c:v>45082</c:v>
                </c:pt>
                <c:pt idx="475">
                  <c:v>44988</c:v>
                </c:pt>
                <c:pt idx="476">
                  <c:v>45119</c:v>
                </c:pt>
                <c:pt idx="477">
                  <c:v>44962</c:v>
                </c:pt>
                <c:pt idx="478">
                  <c:v>45191</c:v>
                </c:pt>
                <c:pt idx="479">
                  <c:v>45119</c:v>
                </c:pt>
                <c:pt idx="480">
                  <c:v>45236</c:v>
                </c:pt>
                <c:pt idx="481">
                  <c:v>45151</c:v>
                </c:pt>
                <c:pt idx="482">
                  <c:v>44949</c:v>
                </c:pt>
                <c:pt idx="483">
                  <c:v>45206</c:v>
                </c:pt>
                <c:pt idx="484">
                  <c:v>45245</c:v>
                </c:pt>
                <c:pt idx="485">
                  <c:v>45286</c:v>
                </c:pt>
                <c:pt idx="486">
                  <c:v>45241</c:v>
                </c:pt>
                <c:pt idx="487">
                  <c:v>45037</c:v>
                </c:pt>
                <c:pt idx="488">
                  <c:v>45064</c:v>
                </c:pt>
                <c:pt idx="489">
                  <c:v>45062</c:v>
                </c:pt>
                <c:pt idx="490">
                  <c:v>45180</c:v>
                </c:pt>
                <c:pt idx="491">
                  <c:v>45089</c:v>
                </c:pt>
                <c:pt idx="492">
                  <c:v>45294</c:v>
                </c:pt>
                <c:pt idx="493">
                  <c:v>45195</c:v>
                </c:pt>
                <c:pt idx="494">
                  <c:v>45252</c:v>
                </c:pt>
                <c:pt idx="495">
                  <c:v>45117</c:v>
                </c:pt>
                <c:pt idx="496">
                  <c:v>45253</c:v>
                </c:pt>
                <c:pt idx="497">
                  <c:v>45227</c:v>
                </c:pt>
                <c:pt idx="498">
                  <c:v>44931</c:v>
                </c:pt>
                <c:pt idx="499">
                  <c:v>45245</c:v>
                </c:pt>
                <c:pt idx="500">
                  <c:v>44996</c:v>
                </c:pt>
                <c:pt idx="501">
                  <c:v>45169</c:v>
                </c:pt>
                <c:pt idx="502">
                  <c:v>45272</c:v>
                </c:pt>
                <c:pt idx="503">
                  <c:v>44948</c:v>
                </c:pt>
                <c:pt idx="504">
                  <c:v>45291</c:v>
                </c:pt>
                <c:pt idx="505">
                  <c:v>45291</c:v>
                </c:pt>
                <c:pt idx="506">
                  <c:v>45156</c:v>
                </c:pt>
                <c:pt idx="507">
                  <c:v>45102</c:v>
                </c:pt>
                <c:pt idx="508">
                  <c:v>45220</c:v>
                </c:pt>
                <c:pt idx="509">
                  <c:v>45251</c:v>
                </c:pt>
                <c:pt idx="510">
                  <c:v>45039</c:v>
                </c:pt>
                <c:pt idx="511">
                  <c:v>45178</c:v>
                </c:pt>
                <c:pt idx="512">
                  <c:v>45031</c:v>
                </c:pt>
                <c:pt idx="513">
                  <c:v>45103</c:v>
                </c:pt>
                <c:pt idx="514">
                  <c:v>45080</c:v>
                </c:pt>
                <c:pt idx="515">
                  <c:v>45066</c:v>
                </c:pt>
                <c:pt idx="516">
                  <c:v>45023</c:v>
                </c:pt>
                <c:pt idx="517">
                  <c:v>45248</c:v>
                </c:pt>
                <c:pt idx="518">
                  <c:v>45047</c:v>
                </c:pt>
                <c:pt idx="519">
                  <c:v>45073</c:v>
                </c:pt>
                <c:pt idx="520">
                  <c:v>44949</c:v>
                </c:pt>
                <c:pt idx="521">
                  <c:v>45207</c:v>
                </c:pt>
                <c:pt idx="522">
                  <c:v>45259</c:v>
                </c:pt>
                <c:pt idx="523">
                  <c:v>45198</c:v>
                </c:pt>
                <c:pt idx="524">
                  <c:v>45237</c:v>
                </c:pt>
                <c:pt idx="525">
                  <c:v>45219</c:v>
                </c:pt>
                <c:pt idx="526">
                  <c:v>45187</c:v>
                </c:pt>
                <c:pt idx="527">
                  <c:v>45130</c:v>
                </c:pt>
                <c:pt idx="528">
                  <c:v>45048</c:v>
                </c:pt>
                <c:pt idx="529">
                  <c:v>45264</c:v>
                </c:pt>
                <c:pt idx="530">
                  <c:v>45165</c:v>
                </c:pt>
                <c:pt idx="531">
                  <c:v>45085</c:v>
                </c:pt>
                <c:pt idx="532">
                  <c:v>45225</c:v>
                </c:pt>
                <c:pt idx="533">
                  <c:v>44933</c:v>
                </c:pt>
                <c:pt idx="534">
                  <c:v>45039</c:v>
                </c:pt>
                <c:pt idx="535">
                  <c:v>45181</c:v>
                </c:pt>
                <c:pt idx="536">
                  <c:v>44954</c:v>
                </c:pt>
                <c:pt idx="537">
                  <c:v>45123</c:v>
                </c:pt>
                <c:pt idx="538">
                  <c:v>44930</c:v>
                </c:pt>
                <c:pt idx="539">
                  <c:v>45024</c:v>
                </c:pt>
                <c:pt idx="540">
                  <c:v>45049</c:v>
                </c:pt>
                <c:pt idx="541">
                  <c:v>45122</c:v>
                </c:pt>
                <c:pt idx="542">
                  <c:v>45197</c:v>
                </c:pt>
                <c:pt idx="543">
                  <c:v>45068</c:v>
                </c:pt>
                <c:pt idx="544">
                  <c:v>45015</c:v>
                </c:pt>
                <c:pt idx="545">
                  <c:v>45140</c:v>
                </c:pt>
                <c:pt idx="546">
                  <c:v>45066</c:v>
                </c:pt>
                <c:pt idx="547">
                  <c:v>45277</c:v>
                </c:pt>
                <c:pt idx="548">
                  <c:v>45231</c:v>
                </c:pt>
                <c:pt idx="549">
                  <c:v>45294</c:v>
                </c:pt>
                <c:pt idx="550">
                  <c:v>44934</c:v>
                </c:pt>
                <c:pt idx="551">
                  <c:v>45194</c:v>
                </c:pt>
                <c:pt idx="552">
                  <c:v>45034</c:v>
                </c:pt>
                <c:pt idx="553">
                  <c:v>44976</c:v>
                </c:pt>
                <c:pt idx="554">
                  <c:v>45078</c:v>
                </c:pt>
                <c:pt idx="555">
                  <c:v>45105</c:v>
                </c:pt>
                <c:pt idx="556">
                  <c:v>45040</c:v>
                </c:pt>
                <c:pt idx="557">
                  <c:v>45268</c:v>
                </c:pt>
                <c:pt idx="558">
                  <c:v>45234</c:v>
                </c:pt>
                <c:pt idx="559">
                  <c:v>45034</c:v>
                </c:pt>
                <c:pt idx="560">
                  <c:v>45193</c:v>
                </c:pt>
                <c:pt idx="561">
                  <c:v>45243</c:v>
                </c:pt>
                <c:pt idx="562">
                  <c:v>45209</c:v>
                </c:pt>
                <c:pt idx="563">
                  <c:v>44974</c:v>
                </c:pt>
                <c:pt idx="564">
                  <c:v>45005</c:v>
                </c:pt>
                <c:pt idx="565">
                  <c:v>45227</c:v>
                </c:pt>
                <c:pt idx="566">
                  <c:v>44942</c:v>
                </c:pt>
                <c:pt idx="567">
                  <c:v>44968</c:v>
                </c:pt>
                <c:pt idx="568">
                  <c:v>45278</c:v>
                </c:pt>
                <c:pt idx="569">
                  <c:v>45170</c:v>
                </c:pt>
                <c:pt idx="570">
                  <c:v>45127</c:v>
                </c:pt>
                <c:pt idx="571">
                  <c:v>45192</c:v>
                </c:pt>
                <c:pt idx="572">
                  <c:v>45121</c:v>
                </c:pt>
                <c:pt idx="573">
                  <c:v>45091</c:v>
                </c:pt>
                <c:pt idx="574">
                  <c:v>45083</c:v>
                </c:pt>
                <c:pt idx="575">
                  <c:v>44935</c:v>
                </c:pt>
                <c:pt idx="576">
                  <c:v>45136</c:v>
                </c:pt>
                <c:pt idx="577">
                  <c:v>45143</c:v>
                </c:pt>
                <c:pt idx="578">
                  <c:v>44978</c:v>
                </c:pt>
                <c:pt idx="579">
                  <c:v>45051</c:v>
                </c:pt>
                <c:pt idx="580">
                  <c:v>44942</c:v>
                </c:pt>
                <c:pt idx="581">
                  <c:v>45103</c:v>
                </c:pt>
                <c:pt idx="582">
                  <c:v>45036</c:v>
                </c:pt>
                <c:pt idx="583">
                  <c:v>45229</c:v>
                </c:pt>
                <c:pt idx="584">
                  <c:v>45173</c:v>
                </c:pt>
                <c:pt idx="585">
                  <c:v>44975</c:v>
                </c:pt>
                <c:pt idx="586">
                  <c:v>44933</c:v>
                </c:pt>
                <c:pt idx="587">
                  <c:v>45207</c:v>
                </c:pt>
                <c:pt idx="588">
                  <c:v>45279</c:v>
                </c:pt>
                <c:pt idx="589">
                  <c:v>45026</c:v>
                </c:pt>
                <c:pt idx="590">
                  <c:v>45078</c:v>
                </c:pt>
                <c:pt idx="591">
                  <c:v>45110</c:v>
                </c:pt>
                <c:pt idx="592">
                  <c:v>45214</c:v>
                </c:pt>
                <c:pt idx="593">
                  <c:v>45087</c:v>
                </c:pt>
                <c:pt idx="594">
                  <c:v>45172</c:v>
                </c:pt>
                <c:pt idx="595">
                  <c:v>44989</c:v>
                </c:pt>
                <c:pt idx="596">
                  <c:v>44950</c:v>
                </c:pt>
                <c:pt idx="597">
                  <c:v>45193</c:v>
                </c:pt>
                <c:pt idx="598">
                  <c:v>45097</c:v>
                </c:pt>
                <c:pt idx="599">
                  <c:v>45245</c:v>
                </c:pt>
                <c:pt idx="600">
                  <c:v>45044</c:v>
                </c:pt>
                <c:pt idx="601">
                  <c:v>45068</c:v>
                </c:pt>
                <c:pt idx="602">
                  <c:v>45018</c:v>
                </c:pt>
                <c:pt idx="603">
                  <c:v>45245</c:v>
                </c:pt>
                <c:pt idx="604">
                  <c:v>45204</c:v>
                </c:pt>
                <c:pt idx="605">
                  <c:v>45160</c:v>
                </c:pt>
                <c:pt idx="606">
                  <c:v>45123</c:v>
                </c:pt>
                <c:pt idx="607">
                  <c:v>44953</c:v>
                </c:pt>
                <c:pt idx="608">
                  <c:v>45175</c:v>
                </c:pt>
                <c:pt idx="609">
                  <c:v>45052</c:v>
                </c:pt>
                <c:pt idx="610">
                  <c:v>44940</c:v>
                </c:pt>
                <c:pt idx="611">
                  <c:v>45044</c:v>
                </c:pt>
                <c:pt idx="612">
                  <c:v>44928</c:v>
                </c:pt>
                <c:pt idx="613">
                  <c:v>45239</c:v>
                </c:pt>
                <c:pt idx="614">
                  <c:v>45110</c:v>
                </c:pt>
                <c:pt idx="615">
                  <c:v>44940</c:v>
                </c:pt>
                <c:pt idx="616">
                  <c:v>44980</c:v>
                </c:pt>
                <c:pt idx="617">
                  <c:v>45088</c:v>
                </c:pt>
                <c:pt idx="618">
                  <c:v>45062</c:v>
                </c:pt>
                <c:pt idx="619">
                  <c:v>45001</c:v>
                </c:pt>
                <c:pt idx="620">
                  <c:v>44929</c:v>
                </c:pt>
                <c:pt idx="621">
                  <c:v>45079</c:v>
                </c:pt>
                <c:pt idx="622">
                  <c:v>45083</c:v>
                </c:pt>
                <c:pt idx="623">
                  <c:v>45227</c:v>
                </c:pt>
                <c:pt idx="624">
                  <c:v>44957</c:v>
                </c:pt>
                <c:pt idx="625">
                  <c:v>45044</c:v>
                </c:pt>
                <c:pt idx="626">
                  <c:v>45129</c:v>
                </c:pt>
                <c:pt idx="627">
                  <c:v>45089</c:v>
                </c:pt>
                <c:pt idx="628">
                  <c:v>45005</c:v>
                </c:pt>
                <c:pt idx="629">
                  <c:v>45030</c:v>
                </c:pt>
                <c:pt idx="630">
                  <c:v>45050</c:v>
                </c:pt>
                <c:pt idx="631">
                  <c:v>45197</c:v>
                </c:pt>
                <c:pt idx="632">
                  <c:v>45139</c:v>
                </c:pt>
                <c:pt idx="633">
                  <c:v>45195</c:v>
                </c:pt>
                <c:pt idx="634">
                  <c:v>45244</c:v>
                </c:pt>
                <c:pt idx="635">
                  <c:v>45231</c:v>
                </c:pt>
                <c:pt idx="636">
                  <c:v>45107</c:v>
                </c:pt>
                <c:pt idx="637">
                  <c:v>45209</c:v>
                </c:pt>
                <c:pt idx="638">
                  <c:v>45188</c:v>
                </c:pt>
                <c:pt idx="639">
                  <c:v>45294</c:v>
                </c:pt>
                <c:pt idx="640">
                  <c:v>44935</c:v>
                </c:pt>
                <c:pt idx="641">
                  <c:v>45149</c:v>
                </c:pt>
                <c:pt idx="642">
                  <c:v>45132</c:v>
                </c:pt>
                <c:pt idx="643">
                  <c:v>45199</c:v>
                </c:pt>
                <c:pt idx="644">
                  <c:v>45225</c:v>
                </c:pt>
                <c:pt idx="645">
                  <c:v>45282</c:v>
                </c:pt>
                <c:pt idx="646">
                  <c:v>45182</c:v>
                </c:pt>
                <c:pt idx="647">
                  <c:v>45286</c:v>
                </c:pt>
                <c:pt idx="648">
                  <c:v>45175</c:v>
                </c:pt>
                <c:pt idx="649">
                  <c:v>45244</c:v>
                </c:pt>
                <c:pt idx="650">
                  <c:v>45041</c:v>
                </c:pt>
                <c:pt idx="651">
                  <c:v>45133</c:v>
                </c:pt>
                <c:pt idx="652">
                  <c:v>45092</c:v>
                </c:pt>
                <c:pt idx="653">
                  <c:v>45068</c:v>
                </c:pt>
                <c:pt idx="654">
                  <c:v>45267</c:v>
                </c:pt>
                <c:pt idx="655">
                  <c:v>44985</c:v>
                </c:pt>
                <c:pt idx="656">
                  <c:v>45294</c:v>
                </c:pt>
                <c:pt idx="657">
                  <c:v>45050</c:v>
                </c:pt>
                <c:pt idx="658">
                  <c:v>45165</c:v>
                </c:pt>
                <c:pt idx="659">
                  <c:v>45244</c:v>
                </c:pt>
                <c:pt idx="660">
                  <c:v>45175</c:v>
                </c:pt>
                <c:pt idx="661">
                  <c:v>44929</c:v>
                </c:pt>
                <c:pt idx="662">
                  <c:v>44977</c:v>
                </c:pt>
                <c:pt idx="663">
                  <c:v>45029</c:v>
                </c:pt>
                <c:pt idx="664">
                  <c:v>44931</c:v>
                </c:pt>
                <c:pt idx="665">
                  <c:v>45068</c:v>
                </c:pt>
                <c:pt idx="666">
                  <c:v>45148</c:v>
                </c:pt>
                <c:pt idx="667">
                  <c:v>45088</c:v>
                </c:pt>
                <c:pt idx="668">
                  <c:v>44982</c:v>
                </c:pt>
                <c:pt idx="669">
                  <c:v>45082</c:v>
                </c:pt>
                <c:pt idx="670">
                  <c:v>45216</c:v>
                </c:pt>
                <c:pt idx="671">
                  <c:v>44951</c:v>
                </c:pt>
                <c:pt idx="672">
                  <c:v>44936</c:v>
                </c:pt>
                <c:pt idx="673">
                  <c:v>45287</c:v>
                </c:pt>
                <c:pt idx="674">
                  <c:v>45233</c:v>
                </c:pt>
                <c:pt idx="675">
                  <c:v>45026</c:v>
                </c:pt>
                <c:pt idx="676">
                  <c:v>45287</c:v>
                </c:pt>
                <c:pt idx="677">
                  <c:v>45282</c:v>
                </c:pt>
                <c:pt idx="678">
                  <c:v>45238</c:v>
                </c:pt>
                <c:pt idx="679">
                  <c:v>45267</c:v>
                </c:pt>
                <c:pt idx="680">
                  <c:v>44991</c:v>
                </c:pt>
                <c:pt idx="681">
                  <c:v>45053</c:v>
                </c:pt>
                <c:pt idx="682">
                  <c:v>45267</c:v>
                </c:pt>
                <c:pt idx="683">
                  <c:v>45182</c:v>
                </c:pt>
                <c:pt idx="684">
                  <c:v>45291</c:v>
                </c:pt>
                <c:pt idx="685">
                  <c:v>45036</c:v>
                </c:pt>
                <c:pt idx="686">
                  <c:v>45016</c:v>
                </c:pt>
                <c:pt idx="687">
                  <c:v>45250</c:v>
                </c:pt>
                <c:pt idx="688">
                  <c:v>45269</c:v>
                </c:pt>
                <c:pt idx="689">
                  <c:v>45083</c:v>
                </c:pt>
                <c:pt idx="690">
                  <c:v>45272</c:v>
                </c:pt>
                <c:pt idx="691">
                  <c:v>45137</c:v>
                </c:pt>
                <c:pt idx="692">
                  <c:v>45223</c:v>
                </c:pt>
                <c:pt idx="693">
                  <c:v>45224</c:v>
                </c:pt>
                <c:pt idx="694">
                  <c:v>45120</c:v>
                </c:pt>
                <c:pt idx="695">
                  <c:v>45074</c:v>
                </c:pt>
                <c:pt idx="696">
                  <c:v>45294</c:v>
                </c:pt>
                <c:pt idx="697">
                  <c:v>45210</c:v>
                </c:pt>
                <c:pt idx="698">
                  <c:v>44985</c:v>
                </c:pt>
                <c:pt idx="699">
                  <c:v>45034</c:v>
                </c:pt>
                <c:pt idx="700">
                  <c:v>45241</c:v>
                </c:pt>
                <c:pt idx="701">
                  <c:v>45170</c:v>
                </c:pt>
                <c:pt idx="702">
                  <c:v>45152</c:v>
                </c:pt>
                <c:pt idx="703">
                  <c:v>44960</c:v>
                </c:pt>
                <c:pt idx="704">
                  <c:v>44962</c:v>
                </c:pt>
                <c:pt idx="705">
                  <c:v>44946</c:v>
                </c:pt>
                <c:pt idx="706">
                  <c:v>44975</c:v>
                </c:pt>
                <c:pt idx="707">
                  <c:v>45136</c:v>
                </c:pt>
                <c:pt idx="708">
                  <c:v>45132</c:v>
                </c:pt>
                <c:pt idx="709">
                  <c:v>45276</c:v>
                </c:pt>
                <c:pt idx="710">
                  <c:v>45015</c:v>
                </c:pt>
                <c:pt idx="711">
                  <c:v>44948</c:v>
                </c:pt>
                <c:pt idx="712">
                  <c:v>44945</c:v>
                </c:pt>
                <c:pt idx="713">
                  <c:v>45273</c:v>
                </c:pt>
                <c:pt idx="714">
                  <c:v>45113</c:v>
                </c:pt>
                <c:pt idx="715">
                  <c:v>45129</c:v>
                </c:pt>
                <c:pt idx="716">
                  <c:v>45083</c:v>
                </c:pt>
                <c:pt idx="717">
                  <c:v>45141</c:v>
                </c:pt>
                <c:pt idx="718">
                  <c:v>44938</c:v>
                </c:pt>
                <c:pt idx="719">
                  <c:v>45136</c:v>
                </c:pt>
                <c:pt idx="720">
                  <c:v>45158</c:v>
                </c:pt>
                <c:pt idx="721">
                  <c:v>44994</c:v>
                </c:pt>
                <c:pt idx="722">
                  <c:v>45248</c:v>
                </c:pt>
                <c:pt idx="723">
                  <c:v>45169</c:v>
                </c:pt>
                <c:pt idx="724">
                  <c:v>45155</c:v>
                </c:pt>
                <c:pt idx="725">
                  <c:v>45145</c:v>
                </c:pt>
                <c:pt idx="726">
                  <c:v>45247</c:v>
                </c:pt>
                <c:pt idx="727">
                  <c:v>45016</c:v>
                </c:pt>
                <c:pt idx="728">
                  <c:v>45127</c:v>
                </c:pt>
                <c:pt idx="729">
                  <c:v>45089</c:v>
                </c:pt>
                <c:pt idx="730">
                  <c:v>45085</c:v>
                </c:pt>
                <c:pt idx="731">
                  <c:v>45268</c:v>
                </c:pt>
                <c:pt idx="732">
                  <c:v>45237</c:v>
                </c:pt>
                <c:pt idx="733">
                  <c:v>45262</c:v>
                </c:pt>
                <c:pt idx="734">
                  <c:v>45230</c:v>
                </c:pt>
                <c:pt idx="735">
                  <c:v>45175</c:v>
                </c:pt>
                <c:pt idx="736">
                  <c:v>44990</c:v>
                </c:pt>
                <c:pt idx="737">
                  <c:v>45053</c:v>
                </c:pt>
                <c:pt idx="738">
                  <c:v>45219</c:v>
                </c:pt>
                <c:pt idx="739">
                  <c:v>45001</c:v>
                </c:pt>
                <c:pt idx="740">
                  <c:v>45120</c:v>
                </c:pt>
                <c:pt idx="741">
                  <c:v>44947</c:v>
                </c:pt>
                <c:pt idx="742">
                  <c:v>45157</c:v>
                </c:pt>
                <c:pt idx="743">
                  <c:v>45199</c:v>
                </c:pt>
                <c:pt idx="744">
                  <c:v>45230</c:v>
                </c:pt>
                <c:pt idx="745">
                  <c:v>45006</c:v>
                </c:pt>
                <c:pt idx="746">
                  <c:v>45116</c:v>
                </c:pt>
                <c:pt idx="747">
                  <c:v>45267</c:v>
                </c:pt>
                <c:pt idx="748">
                  <c:v>45079</c:v>
                </c:pt>
                <c:pt idx="749">
                  <c:v>45076</c:v>
                </c:pt>
                <c:pt idx="750">
                  <c:v>45078</c:v>
                </c:pt>
                <c:pt idx="751">
                  <c:v>45261</c:v>
                </c:pt>
                <c:pt idx="752">
                  <c:v>45222</c:v>
                </c:pt>
                <c:pt idx="753">
                  <c:v>45094</c:v>
                </c:pt>
                <c:pt idx="754">
                  <c:v>45235</c:v>
                </c:pt>
                <c:pt idx="755">
                  <c:v>45268</c:v>
                </c:pt>
                <c:pt idx="756">
                  <c:v>45185</c:v>
                </c:pt>
                <c:pt idx="757">
                  <c:v>45178</c:v>
                </c:pt>
                <c:pt idx="758">
                  <c:v>44994</c:v>
                </c:pt>
                <c:pt idx="759">
                  <c:v>45139</c:v>
                </c:pt>
                <c:pt idx="760">
                  <c:v>45054</c:v>
                </c:pt>
                <c:pt idx="761">
                  <c:v>45281</c:v>
                </c:pt>
                <c:pt idx="762">
                  <c:v>45268</c:v>
                </c:pt>
                <c:pt idx="763">
                  <c:v>45106</c:v>
                </c:pt>
                <c:pt idx="764">
                  <c:v>45193</c:v>
                </c:pt>
                <c:pt idx="765">
                  <c:v>45068</c:v>
                </c:pt>
                <c:pt idx="766">
                  <c:v>45136</c:v>
                </c:pt>
                <c:pt idx="767">
                  <c:v>45218</c:v>
                </c:pt>
                <c:pt idx="768">
                  <c:v>45171</c:v>
                </c:pt>
                <c:pt idx="769">
                  <c:v>45098</c:v>
                </c:pt>
                <c:pt idx="770">
                  <c:v>45090</c:v>
                </c:pt>
                <c:pt idx="771">
                  <c:v>45288</c:v>
                </c:pt>
                <c:pt idx="772">
                  <c:v>45113</c:v>
                </c:pt>
                <c:pt idx="773">
                  <c:v>45090</c:v>
                </c:pt>
                <c:pt idx="774">
                  <c:v>45005</c:v>
                </c:pt>
                <c:pt idx="775">
                  <c:v>44977</c:v>
                </c:pt>
                <c:pt idx="776">
                  <c:v>45165</c:v>
                </c:pt>
                <c:pt idx="777">
                  <c:v>44960</c:v>
                </c:pt>
                <c:pt idx="778">
                  <c:v>45196</c:v>
                </c:pt>
                <c:pt idx="779">
                  <c:v>45003</c:v>
                </c:pt>
                <c:pt idx="780">
                  <c:v>44943</c:v>
                </c:pt>
                <c:pt idx="781">
                  <c:v>45057</c:v>
                </c:pt>
                <c:pt idx="782">
                  <c:v>44995</c:v>
                </c:pt>
                <c:pt idx="783">
                  <c:v>45104</c:v>
                </c:pt>
                <c:pt idx="784">
                  <c:v>45237</c:v>
                </c:pt>
                <c:pt idx="785">
                  <c:v>45024</c:v>
                </c:pt>
                <c:pt idx="786">
                  <c:v>45226</c:v>
                </c:pt>
                <c:pt idx="787">
                  <c:v>44958</c:v>
                </c:pt>
                <c:pt idx="788">
                  <c:v>45073</c:v>
                </c:pt>
                <c:pt idx="789">
                  <c:v>45200</c:v>
                </c:pt>
                <c:pt idx="790">
                  <c:v>45051</c:v>
                </c:pt>
                <c:pt idx="791">
                  <c:v>45282</c:v>
                </c:pt>
                <c:pt idx="792">
                  <c:v>45090</c:v>
                </c:pt>
                <c:pt idx="793">
                  <c:v>44937</c:v>
                </c:pt>
                <c:pt idx="794">
                  <c:v>44964</c:v>
                </c:pt>
                <c:pt idx="795">
                  <c:v>45121</c:v>
                </c:pt>
                <c:pt idx="796">
                  <c:v>45023</c:v>
                </c:pt>
                <c:pt idx="797">
                  <c:v>45278</c:v>
                </c:pt>
                <c:pt idx="798">
                  <c:v>45247</c:v>
                </c:pt>
                <c:pt idx="799">
                  <c:v>45286</c:v>
                </c:pt>
                <c:pt idx="800">
                  <c:v>45264</c:v>
                </c:pt>
                <c:pt idx="801">
                  <c:v>45085</c:v>
                </c:pt>
                <c:pt idx="802">
                  <c:v>45152</c:v>
                </c:pt>
                <c:pt idx="803">
                  <c:v>45243</c:v>
                </c:pt>
                <c:pt idx="804">
                  <c:v>45216</c:v>
                </c:pt>
                <c:pt idx="805">
                  <c:v>45130</c:v>
                </c:pt>
                <c:pt idx="806">
                  <c:v>45092</c:v>
                </c:pt>
                <c:pt idx="807">
                  <c:v>45125</c:v>
                </c:pt>
                <c:pt idx="808">
                  <c:v>45058</c:v>
                </c:pt>
                <c:pt idx="809">
                  <c:v>44976</c:v>
                </c:pt>
                <c:pt idx="810">
                  <c:v>45216</c:v>
                </c:pt>
                <c:pt idx="811">
                  <c:v>45199</c:v>
                </c:pt>
                <c:pt idx="812">
                  <c:v>45066</c:v>
                </c:pt>
                <c:pt idx="813">
                  <c:v>45043</c:v>
                </c:pt>
                <c:pt idx="814">
                  <c:v>45012</c:v>
                </c:pt>
                <c:pt idx="815">
                  <c:v>45138</c:v>
                </c:pt>
                <c:pt idx="816">
                  <c:v>44968</c:v>
                </c:pt>
                <c:pt idx="817">
                  <c:v>44930</c:v>
                </c:pt>
                <c:pt idx="818">
                  <c:v>45168</c:v>
                </c:pt>
                <c:pt idx="819">
                  <c:v>44991</c:v>
                </c:pt>
                <c:pt idx="820">
                  <c:v>44983</c:v>
                </c:pt>
                <c:pt idx="821">
                  <c:v>44982</c:v>
                </c:pt>
                <c:pt idx="822">
                  <c:v>44929</c:v>
                </c:pt>
                <c:pt idx="823">
                  <c:v>45288</c:v>
                </c:pt>
                <c:pt idx="824">
                  <c:v>45248</c:v>
                </c:pt>
                <c:pt idx="825">
                  <c:v>44996</c:v>
                </c:pt>
                <c:pt idx="826">
                  <c:v>45188</c:v>
                </c:pt>
                <c:pt idx="827">
                  <c:v>45061</c:v>
                </c:pt>
                <c:pt idx="828">
                  <c:v>45222</c:v>
                </c:pt>
                <c:pt idx="829">
                  <c:v>44992</c:v>
                </c:pt>
                <c:pt idx="830">
                  <c:v>44942</c:v>
                </c:pt>
                <c:pt idx="831">
                  <c:v>45026</c:v>
                </c:pt>
                <c:pt idx="832">
                  <c:v>45182</c:v>
                </c:pt>
                <c:pt idx="833">
                  <c:v>45195</c:v>
                </c:pt>
                <c:pt idx="834">
                  <c:v>45253</c:v>
                </c:pt>
                <c:pt idx="835">
                  <c:v>45150</c:v>
                </c:pt>
                <c:pt idx="836">
                  <c:v>45273</c:v>
                </c:pt>
                <c:pt idx="837">
                  <c:v>45115</c:v>
                </c:pt>
                <c:pt idx="838">
                  <c:v>45132</c:v>
                </c:pt>
                <c:pt idx="839">
                  <c:v>45115</c:v>
                </c:pt>
                <c:pt idx="840">
                  <c:v>45135</c:v>
                </c:pt>
                <c:pt idx="841">
                  <c:v>45188</c:v>
                </c:pt>
                <c:pt idx="842">
                  <c:v>44944</c:v>
                </c:pt>
                <c:pt idx="843">
                  <c:v>44932</c:v>
                </c:pt>
                <c:pt idx="844">
                  <c:v>45116</c:v>
                </c:pt>
                <c:pt idx="845">
                  <c:v>45108</c:v>
                </c:pt>
                <c:pt idx="846">
                  <c:v>45214</c:v>
                </c:pt>
                <c:pt idx="847">
                  <c:v>45294</c:v>
                </c:pt>
                <c:pt idx="848">
                  <c:v>45246</c:v>
                </c:pt>
                <c:pt idx="849">
                  <c:v>45157</c:v>
                </c:pt>
                <c:pt idx="850">
                  <c:v>45268</c:v>
                </c:pt>
                <c:pt idx="851">
                  <c:v>45269</c:v>
                </c:pt>
                <c:pt idx="852">
                  <c:v>45224</c:v>
                </c:pt>
                <c:pt idx="853">
                  <c:v>45276</c:v>
                </c:pt>
                <c:pt idx="854">
                  <c:v>45144</c:v>
                </c:pt>
                <c:pt idx="855">
                  <c:v>45042</c:v>
                </c:pt>
                <c:pt idx="856">
                  <c:v>45104</c:v>
                </c:pt>
                <c:pt idx="857">
                  <c:v>44952</c:v>
                </c:pt>
                <c:pt idx="858">
                  <c:v>45225</c:v>
                </c:pt>
                <c:pt idx="859">
                  <c:v>44956</c:v>
                </c:pt>
                <c:pt idx="860">
                  <c:v>45075</c:v>
                </c:pt>
                <c:pt idx="861">
                  <c:v>45201</c:v>
                </c:pt>
                <c:pt idx="862">
                  <c:v>45083</c:v>
                </c:pt>
                <c:pt idx="863">
                  <c:v>44957</c:v>
                </c:pt>
                <c:pt idx="864">
                  <c:v>45291</c:v>
                </c:pt>
                <c:pt idx="865">
                  <c:v>44931</c:v>
                </c:pt>
                <c:pt idx="866">
                  <c:v>45087</c:v>
                </c:pt>
                <c:pt idx="867">
                  <c:v>45072</c:v>
                </c:pt>
                <c:pt idx="868">
                  <c:v>45205</c:v>
                </c:pt>
                <c:pt idx="869">
                  <c:v>45032</c:v>
                </c:pt>
                <c:pt idx="870">
                  <c:v>44943</c:v>
                </c:pt>
                <c:pt idx="871">
                  <c:v>45007</c:v>
                </c:pt>
                <c:pt idx="872">
                  <c:v>45250</c:v>
                </c:pt>
                <c:pt idx="873">
                  <c:v>45128</c:v>
                </c:pt>
                <c:pt idx="874">
                  <c:v>45133</c:v>
                </c:pt>
                <c:pt idx="875">
                  <c:v>45064</c:v>
                </c:pt>
                <c:pt idx="876">
                  <c:v>45294</c:v>
                </c:pt>
                <c:pt idx="877">
                  <c:v>45150</c:v>
                </c:pt>
                <c:pt idx="878">
                  <c:v>45154</c:v>
                </c:pt>
                <c:pt idx="879">
                  <c:v>45149</c:v>
                </c:pt>
                <c:pt idx="880">
                  <c:v>44928</c:v>
                </c:pt>
                <c:pt idx="881">
                  <c:v>45135</c:v>
                </c:pt>
                <c:pt idx="882">
                  <c:v>45043</c:v>
                </c:pt>
                <c:pt idx="883">
                  <c:v>45154</c:v>
                </c:pt>
                <c:pt idx="884">
                  <c:v>45221</c:v>
                </c:pt>
                <c:pt idx="885">
                  <c:v>45162</c:v>
                </c:pt>
                <c:pt idx="886">
                  <c:v>45226</c:v>
                </c:pt>
                <c:pt idx="887">
                  <c:v>45256</c:v>
                </c:pt>
                <c:pt idx="888">
                  <c:v>44974</c:v>
                </c:pt>
                <c:pt idx="889">
                  <c:v>45239</c:v>
                </c:pt>
                <c:pt idx="890">
                  <c:v>45087</c:v>
                </c:pt>
                <c:pt idx="891">
                  <c:v>45029</c:v>
                </c:pt>
                <c:pt idx="892">
                  <c:v>45041</c:v>
                </c:pt>
                <c:pt idx="893">
                  <c:v>44988</c:v>
                </c:pt>
                <c:pt idx="894">
                  <c:v>44999</c:v>
                </c:pt>
                <c:pt idx="895">
                  <c:v>45019</c:v>
                </c:pt>
                <c:pt idx="896">
                  <c:v>45018</c:v>
                </c:pt>
                <c:pt idx="897">
                  <c:v>45115</c:v>
                </c:pt>
                <c:pt idx="898">
                  <c:v>45036</c:v>
                </c:pt>
                <c:pt idx="899">
                  <c:v>45218</c:v>
                </c:pt>
                <c:pt idx="900">
                  <c:v>45060</c:v>
                </c:pt>
                <c:pt idx="901">
                  <c:v>45198</c:v>
                </c:pt>
                <c:pt idx="902">
                  <c:v>45286</c:v>
                </c:pt>
                <c:pt idx="903">
                  <c:v>45085</c:v>
                </c:pt>
                <c:pt idx="904">
                  <c:v>45080</c:v>
                </c:pt>
                <c:pt idx="905">
                  <c:v>45260</c:v>
                </c:pt>
                <c:pt idx="906">
                  <c:v>44971</c:v>
                </c:pt>
                <c:pt idx="907">
                  <c:v>45109</c:v>
                </c:pt>
                <c:pt idx="908">
                  <c:v>45090</c:v>
                </c:pt>
                <c:pt idx="909">
                  <c:v>45013</c:v>
                </c:pt>
                <c:pt idx="910">
                  <c:v>45284</c:v>
                </c:pt>
                <c:pt idx="911">
                  <c:v>45070</c:v>
                </c:pt>
                <c:pt idx="912">
                  <c:v>45067</c:v>
                </c:pt>
                <c:pt idx="913">
                  <c:v>44931</c:v>
                </c:pt>
                <c:pt idx="914">
                  <c:v>45249</c:v>
                </c:pt>
                <c:pt idx="915">
                  <c:v>45140</c:v>
                </c:pt>
                <c:pt idx="916">
                  <c:v>45093</c:v>
                </c:pt>
                <c:pt idx="917">
                  <c:v>44963</c:v>
                </c:pt>
                <c:pt idx="918">
                  <c:v>45197</c:v>
                </c:pt>
                <c:pt idx="919">
                  <c:v>45237</c:v>
                </c:pt>
                <c:pt idx="920">
                  <c:v>45020</c:v>
                </c:pt>
                <c:pt idx="921">
                  <c:v>45254</c:v>
                </c:pt>
                <c:pt idx="922">
                  <c:v>45188</c:v>
                </c:pt>
                <c:pt idx="923">
                  <c:v>44971</c:v>
                </c:pt>
                <c:pt idx="924">
                  <c:v>44998</c:v>
                </c:pt>
                <c:pt idx="925">
                  <c:v>45162</c:v>
                </c:pt>
                <c:pt idx="926">
                  <c:v>45047</c:v>
                </c:pt>
                <c:pt idx="927">
                  <c:v>45192</c:v>
                </c:pt>
                <c:pt idx="928">
                  <c:v>44960</c:v>
                </c:pt>
                <c:pt idx="929">
                  <c:v>45289</c:v>
                </c:pt>
                <c:pt idx="930">
                  <c:v>45274</c:v>
                </c:pt>
                <c:pt idx="931">
                  <c:v>44970</c:v>
                </c:pt>
                <c:pt idx="932">
                  <c:v>45011</c:v>
                </c:pt>
                <c:pt idx="933">
                  <c:v>45141</c:v>
                </c:pt>
                <c:pt idx="934">
                  <c:v>45181</c:v>
                </c:pt>
                <c:pt idx="935">
                  <c:v>45128</c:v>
                </c:pt>
                <c:pt idx="936">
                  <c:v>44931</c:v>
                </c:pt>
                <c:pt idx="937">
                  <c:v>45105</c:v>
                </c:pt>
                <c:pt idx="938">
                  <c:v>45294</c:v>
                </c:pt>
                <c:pt idx="939">
                  <c:v>45049</c:v>
                </c:pt>
                <c:pt idx="940">
                  <c:v>45130</c:v>
                </c:pt>
                <c:pt idx="941">
                  <c:v>45273</c:v>
                </c:pt>
                <c:pt idx="942">
                  <c:v>45068</c:v>
                </c:pt>
                <c:pt idx="943">
                  <c:v>45272</c:v>
                </c:pt>
                <c:pt idx="944">
                  <c:v>44954</c:v>
                </c:pt>
                <c:pt idx="945">
                  <c:v>45258</c:v>
                </c:pt>
                <c:pt idx="946">
                  <c:v>45262</c:v>
                </c:pt>
                <c:pt idx="947">
                  <c:v>45075</c:v>
                </c:pt>
                <c:pt idx="948">
                  <c:v>45062</c:v>
                </c:pt>
                <c:pt idx="949">
                  <c:v>45139</c:v>
                </c:pt>
                <c:pt idx="950">
                  <c:v>45138</c:v>
                </c:pt>
                <c:pt idx="951">
                  <c:v>45118</c:v>
                </c:pt>
                <c:pt idx="952">
                  <c:v>44952</c:v>
                </c:pt>
                <c:pt idx="953">
                  <c:v>45244</c:v>
                </c:pt>
                <c:pt idx="954">
                  <c:v>44983</c:v>
                </c:pt>
                <c:pt idx="955">
                  <c:v>45133</c:v>
                </c:pt>
                <c:pt idx="956">
                  <c:v>45084</c:v>
                </c:pt>
                <c:pt idx="957">
                  <c:v>45075</c:v>
                </c:pt>
                <c:pt idx="958">
                  <c:v>45088</c:v>
                </c:pt>
                <c:pt idx="959">
                  <c:v>44969</c:v>
                </c:pt>
                <c:pt idx="960">
                  <c:v>45278</c:v>
                </c:pt>
                <c:pt idx="961">
                  <c:v>45124</c:v>
                </c:pt>
                <c:pt idx="962">
                  <c:v>45066</c:v>
                </c:pt>
                <c:pt idx="963">
                  <c:v>44930</c:v>
                </c:pt>
                <c:pt idx="964">
                  <c:v>45270</c:v>
                </c:pt>
                <c:pt idx="965">
                  <c:v>45247</c:v>
                </c:pt>
                <c:pt idx="966">
                  <c:v>45164</c:v>
                </c:pt>
                <c:pt idx="967">
                  <c:v>44967</c:v>
                </c:pt>
                <c:pt idx="968">
                  <c:v>44936</c:v>
                </c:pt>
                <c:pt idx="969">
                  <c:v>45126</c:v>
                </c:pt>
                <c:pt idx="970">
                  <c:v>45012</c:v>
                </c:pt>
                <c:pt idx="971">
                  <c:v>45158</c:v>
                </c:pt>
                <c:pt idx="972">
                  <c:v>45129</c:v>
                </c:pt>
                <c:pt idx="973">
                  <c:v>45209</c:v>
                </c:pt>
                <c:pt idx="974">
                  <c:v>45076</c:v>
                </c:pt>
                <c:pt idx="975">
                  <c:v>45215</c:v>
                </c:pt>
                <c:pt idx="976">
                  <c:v>45050</c:v>
                </c:pt>
                <c:pt idx="977">
                  <c:v>45232</c:v>
                </c:pt>
                <c:pt idx="978">
                  <c:v>44935</c:v>
                </c:pt>
                <c:pt idx="979">
                  <c:v>44977</c:v>
                </c:pt>
                <c:pt idx="980">
                  <c:v>45138</c:v>
                </c:pt>
                <c:pt idx="981">
                  <c:v>45102</c:v>
                </c:pt>
                <c:pt idx="982">
                  <c:v>45000</c:v>
                </c:pt>
                <c:pt idx="983">
                  <c:v>45207</c:v>
                </c:pt>
                <c:pt idx="984">
                  <c:v>45109</c:v>
                </c:pt>
                <c:pt idx="985">
                  <c:v>45137</c:v>
                </c:pt>
                <c:pt idx="986">
                  <c:v>44937</c:v>
                </c:pt>
                <c:pt idx="987">
                  <c:v>45141</c:v>
                </c:pt>
                <c:pt idx="988">
                  <c:v>45194</c:v>
                </c:pt>
                <c:pt idx="989">
                  <c:v>45260</c:v>
                </c:pt>
                <c:pt idx="990">
                  <c:v>45219</c:v>
                </c:pt>
                <c:pt idx="991">
                  <c:v>44927</c:v>
                </c:pt>
                <c:pt idx="992">
                  <c:v>45143</c:v>
                </c:pt>
                <c:pt idx="993">
                  <c:v>44930</c:v>
                </c:pt>
                <c:pt idx="994">
                  <c:v>44931</c:v>
                </c:pt>
                <c:pt idx="995">
                  <c:v>45017</c:v>
                </c:pt>
                <c:pt idx="996">
                  <c:v>45219</c:v>
                </c:pt>
                <c:pt idx="997">
                  <c:v>44933</c:v>
                </c:pt>
                <c:pt idx="998">
                  <c:v>44956</c:v>
                </c:pt>
              </c:numCache>
            </c:numRef>
          </c:xVal>
          <c:yVal>
            <c:numRef>
              <c:f>Sheet11!$C$25:$C$1023</c:f>
              <c:numCache>
                <c:formatCode>General</c:formatCode>
                <c:ptCount val="999"/>
                <c:pt idx="0">
                  <c:v>-1.0000473857818899</c:v>
                </c:pt>
                <c:pt idx="1">
                  <c:v>-2.0094423148523006</c:v>
                </c:pt>
                <c:pt idx="2">
                  <c:v>2.0053497011308989</c:v>
                </c:pt>
                <c:pt idx="3">
                  <c:v>5.2830704282720298E-3</c:v>
                </c:pt>
                <c:pt idx="4">
                  <c:v>-0.99418388395071178</c:v>
                </c:pt>
                <c:pt idx="5">
                  <c:v>-2.0131736341994144</c:v>
                </c:pt>
                <c:pt idx="6">
                  <c:v>-1.0045116428579006</c:v>
                </c:pt>
                <c:pt idx="7">
                  <c:v>-1.9971822655689278</c:v>
                </c:pt>
                <c:pt idx="8">
                  <c:v>-9.802156186684563E-4</c:v>
                </c:pt>
                <c:pt idx="9">
                  <c:v>-1.0035788130211225</c:v>
                </c:pt>
                <c:pt idx="10">
                  <c:v>-1.0508406094333456E-2</c:v>
                </c:pt>
                <c:pt idx="11">
                  <c:v>2.0033507800520884</c:v>
                </c:pt>
                <c:pt idx="12">
                  <c:v>0.98362809207448842</c:v>
                </c:pt>
                <c:pt idx="13">
                  <c:v>-2.0054444726946792</c:v>
                </c:pt>
                <c:pt idx="14">
                  <c:v>-6.4439332340846533E-3</c:v>
                </c:pt>
                <c:pt idx="15">
                  <c:v>0.99768717032879106</c:v>
                </c:pt>
                <c:pt idx="16">
                  <c:v>-1.0041118586421387</c:v>
                </c:pt>
                <c:pt idx="17">
                  <c:v>1.995088572926337</c:v>
                </c:pt>
                <c:pt idx="18">
                  <c:v>0.98456092191126654</c:v>
                </c:pt>
                <c:pt idx="19">
                  <c:v>1.9857602745585532</c:v>
                </c:pt>
                <c:pt idx="20">
                  <c:v>-1.7504629870171318E-2</c:v>
                </c:pt>
                <c:pt idx="21">
                  <c:v>-3.9119665342575161E-3</c:v>
                </c:pt>
                <c:pt idx="22">
                  <c:v>-1.0135067877125494</c:v>
                </c:pt>
                <c:pt idx="23">
                  <c:v>0.98229547802194794</c:v>
                </c:pt>
                <c:pt idx="24">
                  <c:v>-2.0159721237097497</c:v>
                </c:pt>
                <c:pt idx="25">
                  <c:v>-0.99558312870587917</c:v>
                </c:pt>
                <c:pt idx="26">
                  <c:v>-2.0085094850155225</c:v>
                </c:pt>
                <c:pt idx="27">
                  <c:v>-2.0161720158176304</c:v>
                </c:pt>
                <c:pt idx="28">
                  <c:v>0.99462215800794773</c:v>
                </c:pt>
                <c:pt idx="29">
                  <c:v>-1.0148394017650899</c:v>
                </c:pt>
                <c:pt idx="30">
                  <c:v>1.0048832862125101</c:v>
                </c:pt>
                <c:pt idx="31">
                  <c:v>-1.0099753604733173</c:v>
                </c:pt>
                <c:pt idx="32">
                  <c:v>1.9892250710951584</c:v>
                </c:pt>
                <c:pt idx="33">
                  <c:v>-1.7371368464917047E-2</c:v>
                </c:pt>
                <c:pt idx="34">
                  <c:v>1.0056162239414075</c:v>
                </c:pt>
                <c:pt idx="35">
                  <c:v>-2.0076432858813713</c:v>
                </c:pt>
                <c:pt idx="36">
                  <c:v>-0.99631606643477655</c:v>
                </c:pt>
                <c:pt idx="37">
                  <c:v>-1.0026459831843439</c:v>
                </c:pt>
                <c:pt idx="38">
                  <c:v>-1.0118410201468739</c:v>
                </c:pt>
                <c:pt idx="39">
                  <c:v>-1.0095755762575549</c:v>
                </c:pt>
                <c:pt idx="40">
                  <c:v>-2.0106416674995873</c:v>
                </c:pt>
                <c:pt idx="41">
                  <c:v>1.0035506721599696</c:v>
                </c:pt>
                <c:pt idx="42">
                  <c:v>2.6844730258179794E-3</c:v>
                </c:pt>
                <c:pt idx="43">
                  <c:v>-2.0084428543128956</c:v>
                </c:pt>
                <c:pt idx="44">
                  <c:v>-1.0020463068607008</c:v>
                </c:pt>
                <c:pt idx="45">
                  <c:v>-1.0172381070596628</c:v>
                </c:pt>
                <c:pt idx="46">
                  <c:v>-1.3506787712549428E-2</c:v>
                </c:pt>
                <c:pt idx="47">
                  <c:v>0.99029116233719128</c:v>
                </c:pt>
                <c:pt idx="48">
                  <c:v>-5.1380070027917668E-4</c:v>
                </c:pt>
                <c:pt idx="49">
                  <c:v>-1.0165718000333928</c:v>
                </c:pt>
                <c:pt idx="50">
                  <c:v>1.0008188133522613</c:v>
                </c:pt>
                <c:pt idx="51">
                  <c:v>-1.014772771062463</c:v>
                </c:pt>
                <c:pt idx="52">
                  <c:v>-1.0044450121552737</c:v>
                </c:pt>
                <c:pt idx="53">
                  <c:v>2.0048166555098828</c:v>
                </c:pt>
                <c:pt idx="54">
                  <c:v>0.98262863153508295</c:v>
                </c:pt>
                <c:pt idx="55">
                  <c:v>0.98842550266363416</c:v>
                </c:pt>
                <c:pt idx="56">
                  <c:v>-1.9983149875135875</c:v>
                </c:pt>
                <c:pt idx="57">
                  <c:v>-1.0166384307360197</c:v>
                </c:pt>
                <c:pt idx="58">
                  <c:v>1.9892250710951584</c:v>
                </c:pt>
                <c:pt idx="59">
                  <c:v>0.99189029920023986</c:v>
                </c:pt>
                <c:pt idx="60">
                  <c:v>0.99975272211022892</c:v>
                </c:pt>
                <c:pt idx="61">
                  <c:v>3.084257241580346E-3</c:v>
                </c:pt>
                <c:pt idx="62">
                  <c:v>-1.0139065719283118</c:v>
                </c:pt>
                <c:pt idx="63">
                  <c:v>2.0054829625361532</c:v>
                </c:pt>
                <c:pt idx="64">
                  <c:v>-2.0179710447885602</c:v>
                </c:pt>
                <c:pt idx="65">
                  <c:v>-0.99584965151638727</c:v>
                </c:pt>
                <c:pt idx="66">
                  <c:v>1.0040170870783585</c:v>
                </c:pt>
                <c:pt idx="67">
                  <c:v>1.000352398433872</c:v>
                </c:pt>
                <c:pt idx="68">
                  <c:v>-2.0131736341994144</c:v>
                </c:pt>
                <c:pt idx="69">
                  <c:v>-1.007176870962982</c:v>
                </c:pt>
                <c:pt idx="70">
                  <c:v>1.9882922412583803</c:v>
                </c:pt>
                <c:pt idx="71">
                  <c:v>2.0013518589732775</c:v>
                </c:pt>
                <c:pt idx="72">
                  <c:v>0.98802571844787224</c:v>
                </c:pt>
                <c:pt idx="73">
                  <c:v>-1.8064718714416728E-4</c:v>
                </c:pt>
                <c:pt idx="74">
                  <c:v>-2.0103751446890792</c:v>
                </c:pt>
                <c:pt idx="75">
                  <c:v>-2.0135067877125494</c:v>
                </c:pt>
                <c:pt idx="76">
                  <c:v>-0.99844824891884132</c:v>
                </c:pt>
                <c:pt idx="77">
                  <c:v>-1.015105924575598</c:v>
                </c:pt>
                <c:pt idx="78">
                  <c:v>1.9840945069928777</c:v>
                </c:pt>
                <c:pt idx="79">
                  <c:v>3.9504563757315481E-3</c:v>
                </c:pt>
                <c:pt idx="80">
                  <c:v>1.9828285236429641</c:v>
                </c:pt>
                <c:pt idx="81">
                  <c:v>1.9867597350979587</c:v>
                </c:pt>
                <c:pt idx="82">
                  <c:v>-1.0089092692312844</c:v>
                </c:pt>
                <c:pt idx="83">
                  <c:v>0.99722075541040178</c:v>
                </c:pt>
                <c:pt idx="84">
                  <c:v>3.2841493494615293E-3</c:v>
                </c:pt>
                <c:pt idx="85">
                  <c:v>0.98202895521143985</c:v>
                </c:pt>
                <c:pt idx="86">
                  <c:v>-2.0077099165839982</c:v>
                </c:pt>
                <c:pt idx="87">
                  <c:v>-2.0007136928081604</c:v>
                </c:pt>
                <c:pt idx="88">
                  <c:v>1.9945555273053208</c:v>
                </c:pt>
                <c:pt idx="89">
                  <c:v>-1.9979152032978251</c:v>
                </c:pt>
                <c:pt idx="90">
                  <c:v>-1.0057776262078142</c:v>
                </c:pt>
                <c:pt idx="91">
                  <c:v>-2.0009802156186685</c:v>
                </c:pt>
                <c:pt idx="92">
                  <c:v>-0.99898129453985751</c:v>
                </c:pt>
                <c:pt idx="93">
                  <c:v>1.9896248553109208</c:v>
                </c:pt>
                <c:pt idx="94">
                  <c:v>-0.99564975940850609</c:v>
                </c:pt>
                <c:pt idx="95">
                  <c:v>-2.0084428543128956</c:v>
                </c:pt>
                <c:pt idx="96">
                  <c:v>0.9970208633025206</c:v>
                </c:pt>
                <c:pt idx="97">
                  <c:v>0.99162377638973176</c:v>
                </c:pt>
                <c:pt idx="98">
                  <c:v>1.004949916915137</c:v>
                </c:pt>
                <c:pt idx="99">
                  <c:v>-1.0162386465202577</c:v>
                </c:pt>
                <c:pt idx="100">
                  <c:v>-1.0105750367969604</c:v>
                </c:pt>
                <c:pt idx="101">
                  <c:v>0.9854937517480451</c:v>
                </c:pt>
                <c:pt idx="102">
                  <c:v>-2.004911427073663</c:v>
                </c:pt>
                <c:pt idx="103">
                  <c:v>1.9820289552114398</c:v>
                </c:pt>
                <c:pt idx="104">
                  <c:v>-1.7971044788560153E-2</c:v>
                </c:pt>
                <c:pt idx="105">
                  <c:v>-1.8464147528196584E-3</c:v>
                </c:pt>
                <c:pt idx="106">
                  <c:v>-1.9936508383296956</c:v>
                </c:pt>
                <c:pt idx="107">
                  <c:v>-1.2440696470517043E-2</c:v>
                </c:pt>
                <c:pt idx="108">
                  <c:v>-5.2445805867979978E-3</c:v>
                </c:pt>
                <c:pt idx="109">
                  <c:v>-1.0031790288053601</c:v>
                </c:pt>
                <c:pt idx="110">
                  <c:v>1.9857602745585532</c:v>
                </c:pt>
                <c:pt idx="111">
                  <c:v>-1.6172015817630392E-2</c:v>
                </c:pt>
                <c:pt idx="112">
                  <c:v>1.9940891123869315</c:v>
                </c:pt>
                <c:pt idx="113">
                  <c:v>-4.8447963710360753E-3</c:v>
                </c:pt>
                <c:pt idx="114">
                  <c:v>-1.9962494357321496</c:v>
                </c:pt>
                <c:pt idx="115">
                  <c:v>2.0043502405914939</c:v>
                </c:pt>
                <c:pt idx="116">
                  <c:v>1.1519668653963144E-3</c:v>
                </c:pt>
                <c:pt idx="117">
                  <c:v>-2.0103085139864523</c:v>
                </c:pt>
                <c:pt idx="118">
                  <c:v>-1.9969823734610466</c:v>
                </c:pt>
                <c:pt idx="119">
                  <c:v>-2.7792445895982176E-3</c:v>
                </c:pt>
                <c:pt idx="120">
                  <c:v>-1.005244580586798</c:v>
                </c:pt>
                <c:pt idx="121">
                  <c:v>-1.0002472778897711</c:v>
                </c:pt>
                <c:pt idx="122">
                  <c:v>-1.0123074350652628</c:v>
                </c:pt>
                <c:pt idx="123">
                  <c:v>-3.3789209132413234E-3</c:v>
                </c:pt>
                <c:pt idx="124">
                  <c:v>-3.5788130211225067E-3</c:v>
                </c:pt>
                <c:pt idx="125">
                  <c:v>1.9909574693634613</c:v>
                </c:pt>
                <c:pt idx="126">
                  <c:v>-2.1129375633277547E-3</c:v>
                </c:pt>
                <c:pt idx="127">
                  <c:v>1.9858935359638075</c:v>
                </c:pt>
                <c:pt idx="128">
                  <c:v>-1.9959162822190142</c:v>
                </c:pt>
                <c:pt idx="129">
                  <c:v>1.9850939675322827</c:v>
                </c:pt>
                <c:pt idx="130">
                  <c:v>-1.9943171453559656</c:v>
                </c:pt>
                <c:pt idx="131">
                  <c:v>-2.0008469542134142</c:v>
                </c:pt>
                <c:pt idx="132">
                  <c:v>-2.0077099165839982</c:v>
                </c:pt>
                <c:pt idx="133">
                  <c:v>-0.99564975940850609</c:v>
                </c:pt>
                <c:pt idx="134">
                  <c:v>1.551751081158681E-3</c:v>
                </c:pt>
                <c:pt idx="135">
                  <c:v>-1.0139065719283118</c:v>
                </c:pt>
                <c:pt idx="136">
                  <c:v>-1.0037787051290037</c:v>
                </c:pt>
                <c:pt idx="137">
                  <c:v>-2.0159721237097497</c:v>
                </c:pt>
                <c:pt idx="138">
                  <c:v>1.9886253947715153</c:v>
                </c:pt>
                <c:pt idx="139">
                  <c:v>-0.99465029886910106</c:v>
                </c:pt>
                <c:pt idx="140">
                  <c:v>-2.0152391859808523</c:v>
                </c:pt>
                <c:pt idx="141">
                  <c:v>0.99835347735506152</c:v>
                </c:pt>
                <c:pt idx="142">
                  <c:v>0.99062431585032629</c:v>
                </c:pt>
                <c:pt idx="143">
                  <c:v>2.0054829625361532</c:v>
                </c:pt>
                <c:pt idx="144">
                  <c:v>1.992823129037018</c:v>
                </c:pt>
                <c:pt idx="145">
                  <c:v>-2.0149060324677173</c:v>
                </c:pt>
                <c:pt idx="146">
                  <c:v>-1.6172015817630392E-2</c:v>
                </c:pt>
                <c:pt idx="147">
                  <c:v>-2.4460910764632082E-3</c:v>
                </c:pt>
                <c:pt idx="148">
                  <c:v>0.99748727822090988</c:v>
                </c:pt>
                <c:pt idx="149">
                  <c:v>1.4184896759044108E-3</c:v>
                </c:pt>
                <c:pt idx="150">
                  <c:v>-0.99791520329782513</c:v>
                </c:pt>
                <c:pt idx="151">
                  <c:v>-1.0908190310095378E-2</c:v>
                </c:pt>
                <c:pt idx="152">
                  <c:v>-1.0113079745258577</c:v>
                </c:pt>
                <c:pt idx="153">
                  <c:v>-1.3506787712549428E-2</c:v>
                </c:pt>
                <c:pt idx="154">
                  <c:v>3.084257241580346E-3</c:v>
                </c:pt>
                <c:pt idx="155">
                  <c:v>-1.0094423148523006</c:v>
                </c:pt>
                <c:pt idx="156">
                  <c:v>1.9864932122874506</c:v>
                </c:pt>
                <c:pt idx="157">
                  <c:v>1.9857602745585532</c:v>
                </c:pt>
                <c:pt idx="158">
                  <c:v>-2.0019130454554466</c:v>
                </c:pt>
                <c:pt idx="159">
                  <c:v>-2.0118410201468739</c:v>
                </c:pt>
                <c:pt idx="160">
                  <c:v>6.215900265050589E-3</c:v>
                </c:pt>
                <c:pt idx="161">
                  <c:v>-1.0090425306365387</c:v>
                </c:pt>
                <c:pt idx="162">
                  <c:v>-1.4173094738819891E-2</c:v>
                </c:pt>
                <c:pt idx="163">
                  <c:v>-2.0051113191815442</c:v>
                </c:pt>
                <c:pt idx="164">
                  <c:v>1.9960880334657425</c:v>
                </c:pt>
                <c:pt idx="165">
                  <c:v>0.99455552730532082</c:v>
                </c:pt>
                <c:pt idx="166">
                  <c:v>1.0053497011308989</c:v>
                </c:pt>
                <c:pt idx="167">
                  <c:v>2.002351319512683</c:v>
                </c:pt>
                <c:pt idx="168">
                  <c:v>-1.0375144689079185E-2</c:v>
                </c:pt>
                <c:pt idx="169">
                  <c:v>-1.997315526974182</c:v>
                </c:pt>
                <c:pt idx="170">
                  <c:v>-2.014772771062463</c:v>
                </c:pt>
                <c:pt idx="171">
                  <c:v>-1.0067770867472197</c:v>
                </c:pt>
                <c:pt idx="172">
                  <c:v>0.99895315367870463</c:v>
                </c:pt>
                <c:pt idx="173">
                  <c:v>1.9984867387603154</c:v>
                </c:pt>
                <c:pt idx="174">
                  <c:v>-2.005244580586798</c:v>
                </c:pt>
                <c:pt idx="175">
                  <c:v>-1.0179710447885602</c:v>
                </c:pt>
                <c:pt idx="176">
                  <c:v>-1.994716929571728</c:v>
                </c:pt>
                <c:pt idx="177">
                  <c:v>-2.0016465226449385</c:v>
                </c:pt>
                <c:pt idx="178">
                  <c:v>-6.910348152473933E-3</c:v>
                </c:pt>
                <c:pt idx="179">
                  <c:v>0.98762593423210987</c:v>
                </c:pt>
                <c:pt idx="180">
                  <c:v>-4.5116428579006218E-3</c:v>
                </c:pt>
                <c:pt idx="181">
                  <c:v>-1.0086427464207763</c:v>
                </c:pt>
                <c:pt idx="182">
                  <c:v>-2.0003805392950254</c:v>
                </c:pt>
                <c:pt idx="183">
                  <c:v>1.9867597350979587</c:v>
                </c:pt>
                <c:pt idx="184">
                  <c:v>1.9935560667659153</c:v>
                </c:pt>
                <c:pt idx="185">
                  <c:v>-1.6105385115003479E-2</c:v>
                </c:pt>
                <c:pt idx="186">
                  <c:v>-1.0096422069601818</c:v>
                </c:pt>
                <c:pt idx="187">
                  <c:v>-2.0097754683654361</c:v>
                </c:pt>
                <c:pt idx="188">
                  <c:v>1.0001525063259908</c:v>
                </c:pt>
                <c:pt idx="189">
                  <c:v>0.98236210872457486</c:v>
                </c:pt>
                <c:pt idx="190">
                  <c:v>0.9958881413578613</c:v>
                </c:pt>
                <c:pt idx="191">
                  <c:v>0.99555498784472629</c:v>
                </c:pt>
                <c:pt idx="192">
                  <c:v>-2.0064439332340847</c:v>
                </c:pt>
                <c:pt idx="193">
                  <c:v>1.9990197843813315</c:v>
                </c:pt>
                <c:pt idx="194">
                  <c:v>-1.3040372794160149E-2</c:v>
                </c:pt>
                <c:pt idx="195">
                  <c:v>-1.0122408043626359</c:v>
                </c:pt>
                <c:pt idx="196">
                  <c:v>-2.0032456595079875</c:v>
                </c:pt>
                <c:pt idx="197">
                  <c:v>-1.9955831287058792</c:v>
                </c:pt>
                <c:pt idx="198">
                  <c:v>1.9980869545445534</c:v>
                </c:pt>
                <c:pt idx="199">
                  <c:v>-1.9981817261083332</c:v>
                </c:pt>
                <c:pt idx="200">
                  <c:v>1.9858269052611801</c:v>
                </c:pt>
                <c:pt idx="201">
                  <c:v>-1.0105750367969604</c:v>
                </c:pt>
                <c:pt idx="202">
                  <c:v>-0.9986481410267225</c:v>
                </c:pt>
                <c:pt idx="203">
                  <c:v>1.9880257184478722</c:v>
                </c:pt>
                <c:pt idx="204">
                  <c:v>1.9952884650342182</c:v>
                </c:pt>
                <c:pt idx="205">
                  <c:v>-0.99844824891884132</c:v>
                </c:pt>
                <c:pt idx="206">
                  <c:v>-2.0029791366974794</c:v>
                </c:pt>
                <c:pt idx="207">
                  <c:v>-1.530581668347919E-2</c:v>
                </c:pt>
                <c:pt idx="208">
                  <c:v>1.9920901913081206</c:v>
                </c:pt>
                <c:pt idx="209">
                  <c:v>-0.99498345238223607</c:v>
                </c:pt>
                <c:pt idx="210">
                  <c:v>-7.6432858813713089E-3</c:v>
                </c:pt>
                <c:pt idx="211">
                  <c:v>-1.0003805392950254</c:v>
                </c:pt>
                <c:pt idx="212">
                  <c:v>-4.9780577762899014E-3</c:v>
                </c:pt>
                <c:pt idx="213">
                  <c:v>-2.0006470621055334</c:v>
                </c:pt>
                <c:pt idx="214">
                  <c:v>-1.9953166058953711</c:v>
                </c:pt>
                <c:pt idx="215">
                  <c:v>0.99802032384192607</c:v>
                </c:pt>
                <c:pt idx="216">
                  <c:v>-1.0039785972368844</c:v>
                </c:pt>
                <c:pt idx="217">
                  <c:v>2.0028843651336992</c:v>
                </c:pt>
                <c:pt idx="218">
                  <c:v>3.4174107547153554E-3</c:v>
                </c:pt>
                <c:pt idx="219">
                  <c:v>-8.0430700971332314E-3</c:v>
                </c:pt>
                <c:pt idx="220">
                  <c:v>1.0002857677312451</c:v>
                </c:pt>
                <c:pt idx="221">
                  <c:v>-2.0015132612396846</c:v>
                </c:pt>
                <c:pt idx="222">
                  <c:v>-1.1507866633738484E-2</c:v>
                </c:pt>
                <c:pt idx="223">
                  <c:v>-1.017371368464917</c:v>
                </c:pt>
                <c:pt idx="224">
                  <c:v>0.99815358524718034</c:v>
                </c:pt>
                <c:pt idx="225">
                  <c:v>0.99102410006608821</c:v>
                </c:pt>
                <c:pt idx="226">
                  <c:v>1.7516431890398643E-3</c:v>
                </c:pt>
                <c:pt idx="227">
                  <c:v>-1.9973821576768089</c:v>
                </c:pt>
                <c:pt idx="228">
                  <c:v>0.99275649833439106</c:v>
                </c:pt>
                <c:pt idx="229">
                  <c:v>-1.0056443648025604</c:v>
                </c:pt>
                <c:pt idx="230">
                  <c:v>1.9872261500163479</c:v>
                </c:pt>
                <c:pt idx="231">
                  <c:v>-1.284048068627941E-2</c:v>
                </c:pt>
                <c:pt idx="232">
                  <c:v>1.5250632599084213E-4</c:v>
                </c:pt>
                <c:pt idx="233">
                  <c:v>-6.8437174498465758E-3</c:v>
                </c:pt>
                <c:pt idx="234">
                  <c:v>-1.999980755079263</c:v>
                </c:pt>
                <c:pt idx="235">
                  <c:v>6.0160081571694057E-3</c:v>
                </c:pt>
                <c:pt idx="236">
                  <c:v>1.9976871703287911</c:v>
                </c:pt>
                <c:pt idx="237">
                  <c:v>0.99142388428185058</c:v>
                </c:pt>
                <c:pt idx="238">
                  <c:v>0.98915844039253153</c:v>
                </c:pt>
                <c:pt idx="239">
                  <c:v>-1.9965159585426577</c:v>
                </c:pt>
                <c:pt idx="240">
                  <c:v>-1.0155723394939873</c:v>
                </c:pt>
                <c:pt idx="241">
                  <c:v>-7.4433937734901257E-3</c:v>
                </c:pt>
                <c:pt idx="242">
                  <c:v>0.99382258957642344</c:v>
                </c:pt>
                <c:pt idx="243">
                  <c:v>-1.3306895604668245E-2</c:v>
                </c:pt>
                <c:pt idx="244">
                  <c:v>-4.3117507500198826E-3</c:v>
                </c:pt>
                <c:pt idx="245">
                  <c:v>1.9930230211448992</c:v>
                </c:pt>
                <c:pt idx="246">
                  <c:v>1.9948220501158289</c:v>
                </c:pt>
                <c:pt idx="247">
                  <c:v>-1.5638970196614199E-2</c:v>
                </c:pt>
                <c:pt idx="248">
                  <c:v>-2.0118410201468739</c:v>
                </c:pt>
                <c:pt idx="249">
                  <c:v>-1.9959162822190142</c:v>
                </c:pt>
                <c:pt idx="250">
                  <c:v>-1.002579352481717</c:v>
                </c:pt>
                <c:pt idx="251">
                  <c:v>-1.0111747131206035</c:v>
                </c:pt>
                <c:pt idx="252">
                  <c:v>-1.7371368464917047E-2</c:v>
                </c:pt>
                <c:pt idx="253">
                  <c:v>2.0032175186468342</c:v>
                </c:pt>
                <c:pt idx="254">
                  <c:v>-2.0105084060943335</c:v>
                </c:pt>
                <c:pt idx="255">
                  <c:v>0.98596016666643438</c:v>
                </c:pt>
                <c:pt idx="256">
                  <c:v>5.5495932387801261E-3</c:v>
                </c:pt>
                <c:pt idx="257">
                  <c:v>-1.997315526974182</c:v>
                </c:pt>
                <c:pt idx="258">
                  <c:v>-1.0021795682659551</c:v>
                </c:pt>
                <c:pt idx="259">
                  <c:v>-2.0005138007002792</c:v>
                </c:pt>
                <c:pt idx="260">
                  <c:v>1.0014851203785318</c:v>
                </c:pt>
                <c:pt idx="261">
                  <c:v>0.99981935281285583</c:v>
                </c:pt>
                <c:pt idx="262">
                  <c:v>0.98729278071897486</c:v>
                </c:pt>
                <c:pt idx="263">
                  <c:v>0.98729278071897486</c:v>
                </c:pt>
                <c:pt idx="264">
                  <c:v>1.0030176265389534</c:v>
                </c:pt>
                <c:pt idx="265">
                  <c:v>-1.0066438253419658</c:v>
                </c:pt>
                <c:pt idx="266">
                  <c:v>1.9944888966026939</c:v>
                </c:pt>
                <c:pt idx="267">
                  <c:v>-6.1107797209496439E-3</c:v>
                </c:pt>
                <c:pt idx="268">
                  <c:v>0.99808695454455343</c:v>
                </c:pt>
                <c:pt idx="269">
                  <c:v>1.0011519668653963</c:v>
                </c:pt>
                <c:pt idx="270">
                  <c:v>-1.0094423148523006</c:v>
                </c:pt>
                <c:pt idx="271">
                  <c:v>5.4163318335263E-3</c:v>
                </c:pt>
                <c:pt idx="272">
                  <c:v>0.98729278071897486</c:v>
                </c:pt>
                <c:pt idx="273">
                  <c:v>-1.9941172532480844</c:v>
                </c:pt>
                <c:pt idx="274">
                  <c:v>9.5207475751557524E-4</c:v>
                </c:pt>
                <c:pt idx="275">
                  <c:v>4.616763402002011E-3</c:v>
                </c:pt>
                <c:pt idx="276">
                  <c:v>2.005283070428272</c:v>
                </c:pt>
                <c:pt idx="277">
                  <c:v>-2.0107082982022142</c:v>
                </c:pt>
                <c:pt idx="278">
                  <c:v>-2.0069103481524739</c:v>
                </c:pt>
                <c:pt idx="279">
                  <c:v>2.0012185975680237</c:v>
                </c:pt>
                <c:pt idx="280">
                  <c:v>1.9983534773550615</c:v>
                </c:pt>
                <c:pt idx="281">
                  <c:v>1.004949916915137</c:v>
                </c:pt>
                <c:pt idx="282">
                  <c:v>0.98202895521143985</c:v>
                </c:pt>
                <c:pt idx="283">
                  <c:v>1.9842277683981315</c:v>
                </c:pt>
                <c:pt idx="284">
                  <c:v>1.9974872782209099</c:v>
                </c:pt>
                <c:pt idx="285">
                  <c:v>-1.0019130454554466</c:v>
                </c:pt>
                <c:pt idx="286">
                  <c:v>-1.0035788130211225</c:v>
                </c:pt>
                <c:pt idx="287">
                  <c:v>2.0047500248072558</c:v>
                </c:pt>
                <c:pt idx="288">
                  <c:v>-1.0099087297706899</c:v>
                </c:pt>
                <c:pt idx="289">
                  <c:v>1.9858935359638075</c:v>
                </c:pt>
                <c:pt idx="290">
                  <c:v>-2.0112413438232304</c:v>
                </c:pt>
                <c:pt idx="291">
                  <c:v>-2.010175252581198</c:v>
                </c:pt>
                <c:pt idx="292">
                  <c:v>1.9905576851476994</c:v>
                </c:pt>
                <c:pt idx="293">
                  <c:v>1.0014184896759044</c:v>
                </c:pt>
                <c:pt idx="294">
                  <c:v>2.0043502405914939</c:v>
                </c:pt>
                <c:pt idx="295">
                  <c:v>2.0016183817837856</c:v>
                </c:pt>
                <c:pt idx="296">
                  <c:v>-1.7971044788560153E-2</c:v>
                </c:pt>
                <c:pt idx="297">
                  <c:v>-1.0175046298701713</c:v>
                </c:pt>
                <c:pt idx="298">
                  <c:v>-2.0111747131206035</c:v>
                </c:pt>
                <c:pt idx="299">
                  <c:v>1.9959547720604882</c:v>
                </c:pt>
                <c:pt idx="300">
                  <c:v>0.98949159390566654</c:v>
                </c:pt>
                <c:pt idx="301">
                  <c:v>6.3491616703044151E-3</c:v>
                </c:pt>
                <c:pt idx="302">
                  <c:v>-2.0070436095577278</c:v>
                </c:pt>
                <c:pt idx="303">
                  <c:v>-1.0121741736600089</c:v>
                </c:pt>
                <c:pt idx="304">
                  <c:v>-1.9959162822190142</c:v>
                </c:pt>
                <c:pt idx="305">
                  <c:v>-1.3040372794160149E-2</c:v>
                </c:pt>
                <c:pt idx="306">
                  <c:v>-2.0031123981027332</c:v>
                </c:pt>
                <c:pt idx="307">
                  <c:v>-2.0013133691318035</c:v>
                </c:pt>
                <c:pt idx="308">
                  <c:v>-1.0118410201468739</c:v>
                </c:pt>
                <c:pt idx="309">
                  <c:v>1.9862266894769425</c:v>
                </c:pt>
                <c:pt idx="310">
                  <c:v>0.99448889660269391</c:v>
                </c:pt>
                <c:pt idx="311">
                  <c:v>-1.0077765472866251</c:v>
                </c:pt>
                <c:pt idx="312">
                  <c:v>-2.0031790288053601</c:v>
                </c:pt>
                <c:pt idx="313">
                  <c:v>1.9890918096899046</c:v>
                </c:pt>
                <c:pt idx="314">
                  <c:v>-4.7115349657818051E-3</c:v>
                </c:pt>
                <c:pt idx="315">
                  <c:v>2.0024179502153099</c:v>
                </c:pt>
                <c:pt idx="316">
                  <c:v>-1.4906032467717267E-2</c:v>
                </c:pt>
                <c:pt idx="317">
                  <c:v>-2.0079098086918794</c:v>
                </c:pt>
                <c:pt idx="318">
                  <c:v>0.98629332017956939</c:v>
                </c:pt>
                <c:pt idx="319">
                  <c:v>1.9916904070923587</c:v>
                </c:pt>
                <c:pt idx="320">
                  <c:v>-2.0153724473861061</c:v>
                </c:pt>
                <c:pt idx="321">
                  <c:v>1.984894075424402</c:v>
                </c:pt>
                <c:pt idx="322">
                  <c:v>8.1881335226130503E-4</c:v>
                </c:pt>
                <c:pt idx="323">
                  <c:v>-2.0129737420915332</c:v>
                </c:pt>
                <c:pt idx="324">
                  <c:v>-1.0155057087913604</c:v>
                </c:pt>
                <c:pt idx="325">
                  <c:v>1.9868929965032125</c:v>
                </c:pt>
                <c:pt idx="326">
                  <c:v>3.8171949704777219E-3</c:v>
                </c:pt>
                <c:pt idx="327">
                  <c:v>-1.0083095929076413</c:v>
                </c:pt>
                <c:pt idx="328">
                  <c:v>-2.0084428543128956</c:v>
                </c:pt>
                <c:pt idx="329">
                  <c:v>-2.0028458752922251</c:v>
                </c:pt>
                <c:pt idx="330">
                  <c:v>0.9857602745585532</c:v>
                </c:pt>
                <c:pt idx="331">
                  <c:v>0.99535509573684511</c:v>
                </c:pt>
                <c:pt idx="332">
                  <c:v>-4.644904263154892E-3</c:v>
                </c:pt>
                <c:pt idx="333">
                  <c:v>-1.9993810787556199</c:v>
                </c:pt>
                <c:pt idx="334">
                  <c:v>-2.0137733105230575</c:v>
                </c:pt>
                <c:pt idx="335">
                  <c:v>-1.2107542957382034E-2</c:v>
                </c:pt>
                <c:pt idx="336">
                  <c:v>-1.0130403727941601</c:v>
                </c:pt>
                <c:pt idx="337">
                  <c:v>-1.3839941225684438E-2</c:v>
                </c:pt>
                <c:pt idx="338">
                  <c:v>-1.9949834523822361</c:v>
                </c:pt>
                <c:pt idx="339">
                  <c:v>-1.284048068627941E-2</c:v>
                </c:pt>
                <c:pt idx="340">
                  <c:v>0.99195692990286677</c:v>
                </c:pt>
                <c:pt idx="341">
                  <c:v>2.0062159002650506</c:v>
                </c:pt>
                <c:pt idx="342">
                  <c:v>-1.007176870962982</c:v>
                </c:pt>
                <c:pt idx="343">
                  <c:v>-1.5372447386106103E-2</c:v>
                </c:pt>
                <c:pt idx="344">
                  <c:v>-2.6459831843439474E-3</c:v>
                </c:pt>
                <c:pt idx="345">
                  <c:v>-1.0127072192810251</c:v>
                </c:pt>
                <c:pt idx="346">
                  <c:v>8.1881335226130503E-4</c:v>
                </c:pt>
                <c:pt idx="347">
                  <c:v>0.98669310439533175</c:v>
                </c:pt>
                <c:pt idx="348">
                  <c:v>-1.0110414517153496</c:v>
                </c:pt>
                <c:pt idx="349">
                  <c:v>-1.7971044788560153E-2</c:v>
                </c:pt>
                <c:pt idx="350">
                  <c:v>-1.9969823734610466</c:v>
                </c:pt>
                <c:pt idx="351">
                  <c:v>-9.1091613391656168E-3</c:v>
                </c:pt>
                <c:pt idx="352">
                  <c:v>-1.0076432858813713</c:v>
                </c:pt>
                <c:pt idx="353">
                  <c:v>-1.0079764393945063</c:v>
                </c:pt>
                <c:pt idx="354">
                  <c:v>1.0064824230755587</c:v>
                </c:pt>
                <c:pt idx="355">
                  <c:v>0.98822561055575342</c:v>
                </c:pt>
                <c:pt idx="356">
                  <c:v>0.99862000016556962</c:v>
                </c:pt>
                <c:pt idx="357">
                  <c:v>-1.0071102402603547</c:v>
                </c:pt>
                <c:pt idx="358">
                  <c:v>-1.0774928904841552E-2</c:v>
                </c:pt>
                <c:pt idx="359">
                  <c:v>0.98862539477151534</c:v>
                </c:pt>
                <c:pt idx="360">
                  <c:v>0.99602140276311557</c:v>
                </c:pt>
                <c:pt idx="361">
                  <c:v>-1.9981817261083332</c:v>
                </c:pt>
                <c:pt idx="362">
                  <c:v>0.98675973509795867</c:v>
                </c:pt>
                <c:pt idx="363">
                  <c:v>1.9842277683981315</c:v>
                </c:pt>
                <c:pt idx="364">
                  <c:v>-2.0086427464207763</c:v>
                </c:pt>
                <c:pt idx="365">
                  <c:v>-1.9963826971374035</c:v>
                </c:pt>
                <c:pt idx="366">
                  <c:v>-1.0155723394939873</c:v>
                </c:pt>
                <c:pt idx="367">
                  <c:v>-1.0049780577762899</c:v>
                </c:pt>
                <c:pt idx="368">
                  <c:v>1.9949553115210827</c:v>
                </c:pt>
                <c:pt idx="369">
                  <c:v>-7.3767630708632126E-3</c:v>
                </c:pt>
                <c:pt idx="370">
                  <c:v>-2.0136400491178037</c:v>
                </c:pt>
                <c:pt idx="371">
                  <c:v>-1.4372986846700631E-2</c:v>
                </c:pt>
                <c:pt idx="372">
                  <c:v>-1.7971044788560153E-2</c:v>
                </c:pt>
                <c:pt idx="373">
                  <c:v>-3.7120744263763328E-3</c:v>
                </c:pt>
                <c:pt idx="374">
                  <c:v>0.99455552730532082</c:v>
                </c:pt>
                <c:pt idx="375">
                  <c:v>-2.0120409122547547</c:v>
                </c:pt>
                <c:pt idx="376">
                  <c:v>-7.6432858813713089E-3</c:v>
                </c:pt>
                <c:pt idx="377">
                  <c:v>-1.0026459831843439</c:v>
                </c:pt>
                <c:pt idx="378">
                  <c:v>1.9984201080576884</c:v>
                </c:pt>
                <c:pt idx="379">
                  <c:v>-2.0150392938729711</c:v>
                </c:pt>
                <c:pt idx="380">
                  <c:v>-1.0082429622050144</c:v>
                </c:pt>
                <c:pt idx="381">
                  <c:v>-1.9997808629713818</c:v>
                </c:pt>
                <c:pt idx="382">
                  <c:v>-2.0007136928081604</c:v>
                </c:pt>
                <c:pt idx="383">
                  <c:v>-1.7704521978052057E-2</c:v>
                </c:pt>
                <c:pt idx="384">
                  <c:v>0.98562701315329937</c:v>
                </c:pt>
                <c:pt idx="385">
                  <c:v>-1.9943837760585925</c:v>
                </c:pt>
                <c:pt idx="386">
                  <c:v>-2.0058442569104415</c:v>
                </c:pt>
                <c:pt idx="387">
                  <c:v>-1.7971044788560153E-2</c:v>
                </c:pt>
                <c:pt idx="388">
                  <c:v>0.98589353596380747</c:v>
                </c:pt>
                <c:pt idx="389">
                  <c:v>2.0052164397256451</c:v>
                </c:pt>
                <c:pt idx="390">
                  <c:v>1.9981535852471803</c:v>
                </c:pt>
                <c:pt idx="391">
                  <c:v>-1.0130403727941601</c:v>
                </c:pt>
                <c:pt idx="392">
                  <c:v>-1.7704521978052057E-2</c:v>
                </c:pt>
                <c:pt idx="393">
                  <c:v>-2.0061774104235766</c:v>
                </c:pt>
                <c:pt idx="394">
                  <c:v>-1.0179710447885602</c:v>
                </c:pt>
                <c:pt idx="395">
                  <c:v>1.0041503484836127</c:v>
                </c:pt>
                <c:pt idx="396">
                  <c:v>4.2836098888665575E-3</c:v>
                </c:pt>
                <c:pt idx="397">
                  <c:v>1.9848274447217746</c:v>
                </c:pt>
                <c:pt idx="398">
                  <c:v>-3.7120744263763328E-3</c:v>
                </c:pt>
                <c:pt idx="399">
                  <c:v>-1.1801077265496396E-3</c:v>
                </c:pt>
                <c:pt idx="400">
                  <c:v>1.7516431890398643E-3</c:v>
                </c:pt>
                <c:pt idx="401">
                  <c:v>2.0058161160492882</c:v>
                </c:pt>
                <c:pt idx="402">
                  <c:v>1.9998859835154827</c:v>
                </c:pt>
                <c:pt idx="403">
                  <c:v>2.0021514274048018</c:v>
                </c:pt>
                <c:pt idx="404">
                  <c:v>-2.0096422069601818</c:v>
                </c:pt>
                <c:pt idx="405">
                  <c:v>-0.99358420762706823</c:v>
                </c:pt>
                <c:pt idx="406">
                  <c:v>-1.0129071113889063</c:v>
                </c:pt>
                <c:pt idx="407">
                  <c:v>-0.99411725324808442</c:v>
                </c:pt>
                <c:pt idx="408">
                  <c:v>5.4829625361532131E-3</c:v>
                </c:pt>
                <c:pt idx="409">
                  <c:v>-7.0436095577277591E-3</c:v>
                </c:pt>
                <c:pt idx="410">
                  <c:v>1.9840278762902503</c:v>
                </c:pt>
                <c:pt idx="411">
                  <c:v>-1.0000473857818899</c:v>
                </c:pt>
                <c:pt idx="412">
                  <c:v>-1.0011134770239223</c:v>
                </c:pt>
                <c:pt idx="413">
                  <c:v>1.0026178423231911</c:v>
                </c:pt>
                <c:pt idx="414">
                  <c:v>1.9979536931392992</c:v>
                </c:pt>
                <c:pt idx="415">
                  <c:v>1.9837613534797423</c:v>
                </c:pt>
                <c:pt idx="416">
                  <c:v>-1.0137733105230575</c:v>
                </c:pt>
                <c:pt idx="417">
                  <c:v>-1.0042451200473925</c:v>
                </c:pt>
                <c:pt idx="418">
                  <c:v>0.98775919563736414</c:v>
                </c:pt>
                <c:pt idx="419">
                  <c:v>0.98882528687939653</c:v>
                </c:pt>
                <c:pt idx="420">
                  <c:v>-0.99984749367400916</c:v>
                </c:pt>
                <c:pt idx="421">
                  <c:v>-1.483940176508991E-2</c:v>
                </c:pt>
                <c:pt idx="422">
                  <c:v>-1.9959829129216415</c:v>
                </c:pt>
                <c:pt idx="423">
                  <c:v>-1.1641128038992754E-2</c:v>
                </c:pt>
                <c:pt idx="424">
                  <c:v>-8.7760078260306074E-3</c:v>
                </c:pt>
                <c:pt idx="425">
                  <c:v>2.0058827467519156</c:v>
                </c:pt>
                <c:pt idx="426">
                  <c:v>1.551751081158681E-3</c:v>
                </c:pt>
                <c:pt idx="427">
                  <c:v>-1.0097754683654361</c:v>
                </c:pt>
                <c:pt idx="428">
                  <c:v>8.5875623363929066E-5</c:v>
                </c:pt>
                <c:pt idx="429">
                  <c:v>-2.0086427464207763</c:v>
                </c:pt>
                <c:pt idx="430">
                  <c:v>2.0016183817837856</c:v>
                </c:pt>
                <c:pt idx="431">
                  <c:v>-1.9975820497846901</c:v>
                </c:pt>
                <c:pt idx="432">
                  <c:v>1.0024179502153099</c:v>
                </c:pt>
                <c:pt idx="433">
                  <c:v>-8.2429622050144147E-3</c:v>
                </c:pt>
                <c:pt idx="434">
                  <c:v>4.8832862125101073E-3</c:v>
                </c:pt>
                <c:pt idx="435">
                  <c:v>-1.0109081903100954</c:v>
                </c:pt>
                <c:pt idx="436">
                  <c:v>0.98949159390566654</c:v>
                </c:pt>
                <c:pt idx="437">
                  <c:v>0.98589353596380747</c:v>
                </c:pt>
                <c:pt idx="438">
                  <c:v>-2.0030457674001063</c:v>
                </c:pt>
                <c:pt idx="439">
                  <c:v>-0.99651595854265773</c:v>
                </c:pt>
                <c:pt idx="440">
                  <c:v>-1.0129071113889063</c:v>
                </c:pt>
                <c:pt idx="441">
                  <c:v>-2.0073767630708632</c:v>
                </c:pt>
                <c:pt idx="442">
                  <c:v>-0.99691574275841965</c:v>
                </c:pt>
                <c:pt idx="443">
                  <c:v>-2.0166384307360197</c:v>
                </c:pt>
                <c:pt idx="444">
                  <c:v>2.1514274048017867E-3</c:v>
                </c:pt>
                <c:pt idx="445">
                  <c:v>-2.0031123981027332</c:v>
                </c:pt>
                <c:pt idx="446">
                  <c:v>3.883825673104635E-3</c:v>
                </c:pt>
                <c:pt idx="447">
                  <c:v>-1.7971044788560153E-2</c:v>
                </c:pt>
                <c:pt idx="448">
                  <c:v>0.99109073076871557</c:v>
                </c:pt>
                <c:pt idx="449">
                  <c:v>2.0024845809179368</c:v>
                </c:pt>
                <c:pt idx="450">
                  <c:v>-1.9130454554465715E-3</c:v>
                </c:pt>
                <c:pt idx="451">
                  <c:v>-1.9943837760585925</c:v>
                </c:pt>
                <c:pt idx="452">
                  <c:v>-2.0024460910764632</c:v>
                </c:pt>
                <c:pt idx="453">
                  <c:v>0.9915571456871044</c:v>
                </c:pt>
                <c:pt idx="454">
                  <c:v>0.99109073076871557</c:v>
                </c:pt>
                <c:pt idx="455">
                  <c:v>-2.0077765472866251</c:v>
                </c:pt>
                <c:pt idx="456">
                  <c:v>-1.5372447386106103E-2</c:v>
                </c:pt>
                <c:pt idx="457">
                  <c:v>-1.0136400491178037</c:v>
                </c:pt>
                <c:pt idx="458">
                  <c:v>2.002018165999548</c:v>
                </c:pt>
                <c:pt idx="459">
                  <c:v>-0.99391736114020368</c:v>
                </c:pt>
                <c:pt idx="460">
                  <c:v>-1.0081097007997601</c:v>
                </c:pt>
                <c:pt idx="461">
                  <c:v>1.9832283078587261</c:v>
                </c:pt>
                <c:pt idx="462">
                  <c:v>-3.3789209132413234E-3</c:v>
                </c:pt>
                <c:pt idx="463">
                  <c:v>0.99009127022931009</c:v>
                </c:pt>
                <c:pt idx="464">
                  <c:v>-2.0095755762575549</c:v>
                </c:pt>
                <c:pt idx="465">
                  <c:v>4.3502405914939146E-3</c:v>
                </c:pt>
                <c:pt idx="466">
                  <c:v>0.9895582246082939</c:v>
                </c:pt>
                <c:pt idx="467">
                  <c:v>0.98289515434559105</c:v>
                </c:pt>
                <c:pt idx="468">
                  <c:v>-2.012107542957382</c:v>
                </c:pt>
                <c:pt idx="469">
                  <c:v>-1.014772771062463</c:v>
                </c:pt>
                <c:pt idx="470">
                  <c:v>1.9863599508821963</c:v>
                </c:pt>
                <c:pt idx="471">
                  <c:v>2.0030842572415803</c:v>
                </c:pt>
                <c:pt idx="472">
                  <c:v>2.0018182738916668</c:v>
                </c:pt>
                <c:pt idx="473">
                  <c:v>1.9872261500163479</c:v>
                </c:pt>
                <c:pt idx="474">
                  <c:v>-1.0038453358316306</c:v>
                </c:pt>
                <c:pt idx="475">
                  <c:v>1.0024179502153099</c:v>
                </c:pt>
                <c:pt idx="476">
                  <c:v>1.9936893281711696</c:v>
                </c:pt>
                <c:pt idx="477">
                  <c:v>-1.9958496515163873</c:v>
                </c:pt>
                <c:pt idx="478">
                  <c:v>-1.1108082417976561E-2</c:v>
                </c:pt>
                <c:pt idx="479">
                  <c:v>0.99368932817116962</c:v>
                </c:pt>
                <c:pt idx="480">
                  <c:v>-2.0141064640361925</c:v>
                </c:pt>
                <c:pt idx="481">
                  <c:v>1.9915571456871044</c:v>
                </c:pt>
                <c:pt idx="482">
                  <c:v>1.0050165476177639</c:v>
                </c:pt>
                <c:pt idx="483">
                  <c:v>0.98789245704261797</c:v>
                </c:pt>
                <c:pt idx="484">
                  <c:v>-2.0147061403598361</c:v>
                </c:pt>
                <c:pt idx="485">
                  <c:v>-1.7437999167543961E-2</c:v>
                </c:pt>
                <c:pt idx="486">
                  <c:v>1.985560382450672</c:v>
                </c:pt>
                <c:pt idx="487">
                  <c:v>1.9991530457865858</c:v>
                </c:pt>
                <c:pt idx="488">
                  <c:v>1.9973540168156561</c:v>
                </c:pt>
                <c:pt idx="489">
                  <c:v>1.9974872782209099</c:v>
                </c:pt>
                <c:pt idx="490">
                  <c:v>1.9896248553109208</c:v>
                </c:pt>
                <c:pt idx="491">
                  <c:v>1.9956882492499801</c:v>
                </c:pt>
                <c:pt idx="492">
                  <c:v>0.98202895521143985</c:v>
                </c:pt>
                <c:pt idx="493">
                  <c:v>-2.0113746052284847</c:v>
                </c:pt>
                <c:pt idx="494">
                  <c:v>-2.0151725552782254</c:v>
                </c:pt>
                <c:pt idx="495">
                  <c:v>0.99382258957642344</c:v>
                </c:pt>
                <c:pt idx="496">
                  <c:v>-1.0152391859808523</c:v>
                </c:pt>
                <c:pt idx="497">
                  <c:v>-1.3506787712549428E-2</c:v>
                </c:pt>
                <c:pt idx="498">
                  <c:v>1.0062159002650506</c:v>
                </c:pt>
                <c:pt idx="499">
                  <c:v>1.9852938596401639</c:v>
                </c:pt>
                <c:pt idx="500">
                  <c:v>1.0018849045942937</c:v>
                </c:pt>
                <c:pt idx="501">
                  <c:v>-2.0096422069601818</c:v>
                </c:pt>
                <c:pt idx="502">
                  <c:v>-1.0165051693307658</c:v>
                </c:pt>
                <c:pt idx="503">
                  <c:v>2.0050831783203908</c:v>
                </c:pt>
                <c:pt idx="504">
                  <c:v>1.9822288473193206</c:v>
                </c:pt>
                <c:pt idx="505">
                  <c:v>1.9822288473193206</c:v>
                </c:pt>
                <c:pt idx="506">
                  <c:v>1.9912239921739694</c:v>
                </c:pt>
                <c:pt idx="507">
                  <c:v>-2.0051779498841711</c:v>
                </c:pt>
                <c:pt idx="508">
                  <c:v>-2.0130403727941601</c:v>
                </c:pt>
                <c:pt idx="509">
                  <c:v>-1.015105924575598</c:v>
                </c:pt>
                <c:pt idx="510">
                  <c:v>-1.0009802156186685</c:v>
                </c:pt>
                <c:pt idx="511">
                  <c:v>0.98975811671617464</c:v>
                </c:pt>
                <c:pt idx="512">
                  <c:v>-1.0004471699976523</c:v>
                </c:pt>
                <c:pt idx="513">
                  <c:v>-5.2445805867979978E-3</c:v>
                </c:pt>
                <c:pt idx="514">
                  <c:v>-1.0037120744263763</c:v>
                </c:pt>
                <c:pt idx="515">
                  <c:v>-2.0027792445895982</c:v>
                </c:pt>
                <c:pt idx="516">
                  <c:v>8.5875623363929066E-5</c:v>
                </c:pt>
                <c:pt idx="517">
                  <c:v>1.9850939675322827</c:v>
                </c:pt>
                <c:pt idx="518">
                  <c:v>-1.513261239684649E-3</c:v>
                </c:pt>
                <c:pt idx="519">
                  <c:v>-3.2456595079874972E-3</c:v>
                </c:pt>
                <c:pt idx="520">
                  <c:v>-0.99498345238223607</c:v>
                </c:pt>
                <c:pt idx="521">
                  <c:v>0.98782582633999105</c:v>
                </c:pt>
                <c:pt idx="522">
                  <c:v>0.9843610298033858</c:v>
                </c:pt>
                <c:pt idx="523">
                  <c:v>-1.1574497336365841E-2</c:v>
                </c:pt>
                <c:pt idx="524">
                  <c:v>0.98582690526118011</c:v>
                </c:pt>
                <c:pt idx="525">
                  <c:v>1.9870262579084668</c:v>
                </c:pt>
                <c:pt idx="526">
                  <c:v>0.98915844039253153</c:v>
                </c:pt>
                <c:pt idx="527">
                  <c:v>0.99295639044227224</c:v>
                </c:pt>
                <c:pt idx="528">
                  <c:v>1.9984201080576884</c:v>
                </c:pt>
                <c:pt idx="529">
                  <c:v>-2.0159721237097497</c:v>
                </c:pt>
                <c:pt idx="530">
                  <c:v>-2.0093756841496737</c:v>
                </c:pt>
                <c:pt idx="531">
                  <c:v>1.9959547720604882</c:v>
                </c:pt>
                <c:pt idx="532">
                  <c:v>-2.0133735263072956</c:v>
                </c:pt>
                <c:pt idx="533">
                  <c:v>2.0060826388597963</c:v>
                </c:pt>
                <c:pt idx="534">
                  <c:v>1.9990197843813315</c:v>
                </c:pt>
                <c:pt idx="535">
                  <c:v>-1.0441775391706098E-2</c:v>
                </c:pt>
                <c:pt idx="536">
                  <c:v>-1.9953166058953711</c:v>
                </c:pt>
                <c:pt idx="537">
                  <c:v>-6.5771946393384795E-3</c:v>
                </c:pt>
                <c:pt idx="538">
                  <c:v>2.0062825309676775</c:v>
                </c:pt>
                <c:pt idx="539">
                  <c:v>2.000019244920737</c:v>
                </c:pt>
                <c:pt idx="540">
                  <c:v>1.9983534773550615</c:v>
                </c:pt>
                <c:pt idx="541">
                  <c:v>-1.0065105639367116</c:v>
                </c:pt>
                <c:pt idx="542">
                  <c:v>0.98849213336626152</c:v>
                </c:pt>
                <c:pt idx="543">
                  <c:v>0.99708749400514796</c:v>
                </c:pt>
                <c:pt idx="544">
                  <c:v>6.1892124438012175E-4</c:v>
                </c:pt>
                <c:pt idx="545">
                  <c:v>1.9922900834160018</c:v>
                </c:pt>
                <c:pt idx="546">
                  <c:v>-2.7792445895982176E-3</c:v>
                </c:pt>
                <c:pt idx="547">
                  <c:v>1.9831616771560991</c:v>
                </c:pt>
                <c:pt idx="548">
                  <c:v>-1.3773310523057525E-2</c:v>
                </c:pt>
                <c:pt idx="549">
                  <c:v>-1.0179710447885602</c:v>
                </c:pt>
                <c:pt idx="550">
                  <c:v>6.0160081571694057E-3</c:v>
                </c:pt>
                <c:pt idx="551">
                  <c:v>0.98869202547414226</c:v>
                </c:pt>
                <c:pt idx="552">
                  <c:v>-6.470621055334469E-4</c:v>
                </c:pt>
                <c:pt idx="553">
                  <c:v>-1.9967824813531658</c:v>
                </c:pt>
                <c:pt idx="554">
                  <c:v>-2.0035788130211225</c:v>
                </c:pt>
                <c:pt idx="555">
                  <c:v>1.9946221580079477</c:v>
                </c:pt>
                <c:pt idx="556">
                  <c:v>-2.0010468463212954</c:v>
                </c:pt>
                <c:pt idx="557">
                  <c:v>-1.0162386465202577</c:v>
                </c:pt>
                <c:pt idx="558">
                  <c:v>-2.0139732026309387</c:v>
                </c:pt>
                <c:pt idx="559">
                  <c:v>1.9993529378944666</c:v>
                </c:pt>
                <c:pt idx="560">
                  <c:v>-1.0112413438232304</c:v>
                </c:pt>
                <c:pt idx="561">
                  <c:v>-1.0145728789545818</c:v>
                </c:pt>
                <c:pt idx="562">
                  <c:v>-2.0123074350652628</c:v>
                </c:pt>
                <c:pt idx="563">
                  <c:v>-1.9966492199479116</c:v>
                </c:pt>
                <c:pt idx="564">
                  <c:v>1.2852282706505846E-3</c:v>
                </c:pt>
                <c:pt idx="565">
                  <c:v>1.9864932122874506</c:v>
                </c:pt>
                <c:pt idx="566">
                  <c:v>2.0054829625361532</c:v>
                </c:pt>
                <c:pt idx="567">
                  <c:v>-0.99624943573214964</c:v>
                </c:pt>
                <c:pt idx="568">
                  <c:v>-1.0169049535465278</c:v>
                </c:pt>
                <c:pt idx="569">
                  <c:v>1.9902911623371913</c:v>
                </c:pt>
                <c:pt idx="570">
                  <c:v>1.9931562825501534</c:v>
                </c:pt>
                <c:pt idx="571">
                  <c:v>-1.0111747131206035</c:v>
                </c:pt>
                <c:pt idx="572">
                  <c:v>-1.0064439332340847</c:v>
                </c:pt>
                <c:pt idx="573">
                  <c:v>0.99555498784472629</c:v>
                </c:pt>
                <c:pt idx="574">
                  <c:v>0.99608803346574248</c:v>
                </c:pt>
                <c:pt idx="575">
                  <c:v>-0.99405062254545751</c:v>
                </c:pt>
                <c:pt idx="576">
                  <c:v>-1.0074433937734901</c:v>
                </c:pt>
                <c:pt idx="577">
                  <c:v>-1.0079098086918794</c:v>
                </c:pt>
                <c:pt idx="578">
                  <c:v>3.084257241580346E-3</c:v>
                </c:pt>
                <c:pt idx="579">
                  <c:v>-1.0017797840501927</c:v>
                </c:pt>
                <c:pt idx="580">
                  <c:v>5.4829625361532131E-3</c:v>
                </c:pt>
                <c:pt idx="581">
                  <c:v>-2.005244580586798</c:v>
                </c:pt>
                <c:pt idx="582">
                  <c:v>-2.0007803235107873</c:v>
                </c:pt>
                <c:pt idx="583">
                  <c:v>1.9863599508821963</c:v>
                </c:pt>
                <c:pt idx="584">
                  <c:v>0.99009127022931009</c:v>
                </c:pt>
                <c:pt idx="585">
                  <c:v>3.2841493494615293E-3</c:v>
                </c:pt>
                <c:pt idx="586">
                  <c:v>2.0060826388597963</c:v>
                </c:pt>
                <c:pt idx="587">
                  <c:v>-1.0121741736600089</c:v>
                </c:pt>
                <c:pt idx="588">
                  <c:v>1.9830284157508453</c:v>
                </c:pt>
                <c:pt idx="589">
                  <c:v>-1.1401648451725421E-4</c:v>
                </c:pt>
                <c:pt idx="590">
                  <c:v>-3.5788130211225067E-3</c:v>
                </c:pt>
                <c:pt idx="591">
                  <c:v>1.9942890044948127</c:v>
                </c:pt>
                <c:pt idx="592">
                  <c:v>-1.2640588578398226E-2</c:v>
                </c:pt>
                <c:pt idx="593">
                  <c:v>0.99582151065523439</c:v>
                </c:pt>
                <c:pt idx="594">
                  <c:v>0.99015790093193701</c:v>
                </c:pt>
                <c:pt idx="595">
                  <c:v>2.002351319512683</c:v>
                </c:pt>
                <c:pt idx="596">
                  <c:v>-0.99505008308486298</c:v>
                </c:pt>
                <c:pt idx="597">
                  <c:v>0.98875865617676961</c:v>
                </c:pt>
                <c:pt idx="598">
                  <c:v>-1.0048447963710361</c:v>
                </c:pt>
                <c:pt idx="599">
                  <c:v>0.98529385964016392</c:v>
                </c:pt>
                <c:pt idx="600">
                  <c:v>1.9986866308681965</c:v>
                </c:pt>
                <c:pt idx="601">
                  <c:v>-2.9125059948520438E-3</c:v>
                </c:pt>
                <c:pt idx="602">
                  <c:v>4.1902913649893847E-4</c:v>
                </c:pt>
                <c:pt idx="603">
                  <c:v>-1.0147061403598361</c:v>
                </c:pt>
                <c:pt idx="604">
                  <c:v>-1.0119742815521278</c:v>
                </c:pt>
                <c:pt idx="605">
                  <c:v>1.9909574693634613</c:v>
                </c:pt>
                <c:pt idx="606">
                  <c:v>-1.0065771946393385</c:v>
                </c:pt>
                <c:pt idx="607">
                  <c:v>2.0047500248072558</c:v>
                </c:pt>
                <c:pt idx="608">
                  <c:v>-2.0100419911759442</c:v>
                </c:pt>
                <c:pt idx="609">
                  <c:v>1.9981535852471803</c:v>
                </c:pt>
                <c:pt idx="610">
                  <c:v>2.0056162239414075</c:v>
                </c:pt>
                <c:pt idx="611">
                  <c:v>0.99868663086819653</c:v>
                </c:pt>
                <c:pt idx="612">
                  <c:v>1.0064157923729318</c:v>
                </c:pt>
                <c:pt idx="613">
                  <c:v>-1.4306356144073717E-2</c:v>
                </c:pt>
                <c:pt idx="614">
                  <c:v>1.9942890044948127</c:v>
                </c:pt>
                <c:pt idx="615">
                  <c:v>1.0056162239414075</c:v>
                </c:pt>
                <c:pt idx="616">
                  <c:v>-1.9970490041636739</c:v>
                </c:pt>
                <c:pt idx="617">
                  <c:v>-2.0042451200473925</c:v>
                </c:pt>
                <c:pt idx="618">
                  <c:v>-2.5127217790901213E-3</c:v>
                </c:pt>
                <c:pt idx="619">
                  <c:v>-1.9984482489188413</c:v>
                </c:pt>
                <c:pt idx="620">
                  <c:v>2.0063491616703044</c:v>
                </c:pt>
                <c:pt idx="621">
                  <c:v>-1.0036454437237494</c:v>
                </c:pt>
                <c:pt idx="622">
                  <c:v>-1.0039119665342575</c:v>
                </c:pt>
                <c:pt idx="623">
                  <c:v>1.9864932122874506</c:v>
                </c:pt>
                <c:pt idx="624">
                  <c:v>1.0044835019967477</c:v>
                </c:pt>
                <c:pt idx="625">
                  <c:v>0.99868663086819653</c:v>
                </c:pt>
                <c:pt idx="626">
                  <c:v>0.99302302114489915</c:v>
                </c:pt>
                <c:pt idx="627">
                  <c:v>-2.0043117507500199</c:v>
                </c:pt>
                <c:pt idx="628">
                  <c:v>1.0012852282706506</c:v>
                </c:pt>
                <c:pt idx="629">
                  <c:v>0.99961946070497465</c:v>
                </c:pt>
                <c:pt idx="630">
                  <c:v>-1.0017131533475658</c:v>
                </c:pt>
                <c:pt idx="631">
                  <c:v>1.9884921333662615</c:v>
                </c:pt>
                <c:pt idx="632">
                  <c:v>-1.0076432858813713</c:v>
                </c:pt>
                <c:pt idx="633">
                  <c:v>-2.0113746052284847</c:v>
                </c:pt>
                <c:pt idx="634">
                  <c:v>1.9853604903427913</c:v>
                </c:pt>
                <c:pt idx="635">
                  <c:v>0.98622668947694248</c:v>
                </c:pt>
                <c:pt idx="636">
                  <c:v>1.9944888966026939</c:v>
                </c:pt>
                <c:pt idx="637">
                  <c:v>-1.0123074350652628</c:v>
                </c:pt>
                <c:pt idx="638">
                  <c:v>-1.0908190310095378E-2</c:v>
                </c:pt>
                <c:pt idx="639">
                  <c:v>-2.0179710447885602</c:v>
                </c:pt>
                <c:pt idx="640">
                  <c:v>-0.99405062254545751</c:v>
                </c:pt>
                <c:pt idx="641">
                  <c:v>-2.0083095929076413</c:v>
                </c:pt>
                <c:pt idx="642">
                  <c:v>-2.007176870962982</c:v>
                </c:pt>
                <c:pt idx="643">
                  <c:v>-2.0116411280389928</c:v>
                </c:pt>
                <c:pt idx="644">
                  <c:v>-1.0133735263072956</c:v>
                </c:pt>
                <c:pt idx="645">
                  <c:v>0.98282852364296414</c:v>
                </c:pt>
                <c:pt idx="646">
                  <c:v>0.98949159390566654</c:v>
                </c:pt>
                <c:pt idx="647">
                  <c:v>0.98256200083245604</c:v>
                </c:pt>
                <c:pt idx="648">
                  <c:v>-1.0100419911759442</c:v>
                </c:pt>
                <c:pt idx="649">
                  <c:v>1.9853604903427913</c:v>
                </c:pt>
                <c:pt idx="650">
                  <c:v>-1.1134770239222824E-3</c:v>
                </c:pt>
                <c:pt idx="651">
                  <c:v>-2.0072435016656089</c:v>
                </c:pt>
                <c:pt idx="652">
                  <c:v>-4.5116428579006218E-3</c:v>
                </c:pt>
                <c:pt idx="653">
                  <c:v>-2.9125059948520438E-3</c:v>
                </c:pt>
                <c:pt idx="654">
                  <c:v>-1.6172015817630392E-2</c:v>
                </c:pt>
                <c:pt idx="655">
                  <c:v>-1.9973821576768089</c:v>
                </c:pt>
                <c:pt idx="656">
                  <c:v>0.98202895521143985</c:v>
                </c:pt>
                <c:pt idx="657">
                  <c:v>1.9982868466524342</c:v>
                </c:pt>
                <c:pt idx="658">
                  <c:v>-2.0093756841496737</c:v>
                </c:pt>
                <c:pt idx="659">
                  <c:v>1.9853604903427913</c:v>
                </c:pt>
                <c:pt idx="660">
                  <c:v>-2.0100419911759442</c:v>
                </c:pt>
                <c:pt idx="661">
                  <c:v>-1.9936508383296956</c:v>
                </c:pt>
                <c:pt idx="662">
                  <c:v>1.0031508879442073</c:v>
                </c:pt>
                <c:pt idx="663">
                  <c:v>-2.000313908592398</c:v>
                </c:pt>
                <c:pt idx="664">
                  <c:v>1.0062159002650506</c:v>
                </c:pt>
                <c:pt idx="665">
                  <c:v>-2.002912505994852</c:v>
                </c:pt>
                <c:pt idx="666">
                  <c:v>-8.2429622050144147E-3</c:v>
                </c:pt>
                <c:pt idx="667">
                  <c:v>0.99575487995260747</c:v>
                </c:pt>
                <c:pt idx="668">
                  <c:v>1.0028177344310722</c:v>
                </c:pt>
                <c:pt idx="669">
                  <c:v>-1.0038453358316306</c:v>
                </c:pt>
                <c:pt idx="670">
                  <c:v>-1.2773849983652052E-2</c:v>
                </c:pt>
                <c:pt idx="671">
                  <c:v>2.0048832862125101</c:v>
                </c:pt>
                <c:pt idx="672">
                  <c:v>-0.99411725324808442</c:v>
                </c:pt>
                <c:pt idx="673">
                  <c:v>-1.7504629870171318E-2</c:v>
                </c:pt>
                <c:pt idx="674">
                  <c:v>1.9860934280716882</c:v>
                </c:pt>
                <c:pt idx="675">
                  <c:v>-1.0001140164845173</c:v>
                </c:pt>
                <c:pt idx="676">
                  <c:v>0.98249537012982868</c:v>
                </c:pt>
                <c:pt idx="677">
                  <c:v>-1.7171476357035864E-2</c:v>
                </c:pt>
                <c:pt idx="678">
                  <c:v>-1.0142397254414468</c:v>
                </c:pt>
                <c:pt idx="679">
                  <c:v>-1.6172015817630392E-2</c:v>
                </c:pt>
                <c:pt idx="680">
                  <c:v>-1.9977819418925713</c:v>
                </c:pt>
                <c:pt idx="681">
                  <c:v>-2.0019130454554466</c:v>
                </c:pt>
                <c:pt idx="682">
                  <c:v>1.9838279841823696</c:v>
                </c:pt>
                <c:pt idx="683">
                  <c:v>0.98949159390566654</c:v>
                </c:pt>
                <c:pt idx="684">
                  <c:v>-1.7771152680679414E-2</c:v>
                </c:pt>
                <c:pt idx="685">
                  <c:v>-1.0007803235107873</c:v>
                </c:pt>
                <c:pt idx="686">
                  <c:v>1.0005522905417532</c:v>
                </c:pt>
                <c:pt idx="687">
                  <c:v>0.98496070612702891</c:v>
                </c:pt>
                <c:pt idx="688">
                  <c:v>-1.6305277222884662E-2</c:v>
                </c:pt>
                <c:pt idx="689">
                  <c:v>-2.0039119665342575</c:v>
                </c:pt>
                <c:pt idx="690">
                  <c:v>1.9834948306692342</c:v>
                </c:pt>
                <c:pt idx="691">
                  <c:v>1.992489975523883</c:v>
                </c:pt>
                <c:pt idx="692">
                  <c:v>1.9867597350979587</c:v>
                </c:pt>
                <c:pt idx="693">
                  <c:v>1.9866931043953318</c:v>
                </c:pt>
                <c:pt idx="694">
                  <c:v>-1.0063773025314577</c:v>
                </c:pt>
                <c:pt idx="695">
                  <c:v>-3.3122902106144103E-3</c:v>
                </c:pt>
                <c:pt idx="696">
                  <c:v>1.9820289552114398</c:v>
                </c:pt>
                <c:pt idx="697">
                  <c:v>-2.0123740657678901</c:v>
                </c:pt>
                <c:pt idx="698">
                  <c:v>2.6178423231910664E-3</c:v>
                </c:pt>
                <c:pt idx="699">
                  <c:v>-6.470621055334469E-4</c:v>
                </c:pt>
                <c:pt idx="700">
                  <c:v>-1.014439617549328</c:v>
                </c:pt>
                <c:pt idx="701">
                  <c:v>-2.0097088376628087</c:v>
                </c:pt>
                <c:pt idx="702">
                  <c:v>-8.509485015522511E-3</c:v>
                </c:pt>
                <c:pt idx="703">
                  <c:v>4.2836098888665575E-3</c:v>
                </c:pt>
                <c:pt idx="704">
                  <c:v>-0.99584965151638727</c:v>
                </c:pt>
                <c:pt idx="705">
                  <c:v>5.2164397256451167E-3</c:v>
                </c:pt>
                <c:pt idx="706">
                  <c:v>3.2841493494615293E-3</c:v>
                </c:pt>
                <c:pt idx="707">
                  <c:v>-2.0074433937734901</c:v>
                </c:pt>
                <c:pt idx="708">
                  <c:v>-7.1768709629820293E-3</c:v>
                </c:pt>
                <c:pt idx="709">
                  <c:v>-1.6771692141273942E-2</c:v>
                </c:pt>
                <c:pt idx="710">
                  <c:v>-0.99938107875561988</c:v>
                </c:pt>
                <c:pt idx="711">
                  <c:v>-0.99491682167960915</c:v>
                </c:pt>
                <c:pt idx="712">
                  <c:v>-0.99471692957172797</c:v>
                </c:pt>
                <c:pt idx="713">
                  <c:v>0.98342819996660724</c:v>
                </c:pt>
                <c:pt idx="714">
                  <c:v>-2.0059108876130685</c:v>
                </c:pt>
                <c:pt idx="715">
                  <c:v>-2.0069769788551008</c:v>
                </c:pt>
                <c:pt idx="716">
                  <c:v>0.99608803346574248</c:v>
                </c:pt>
                <c:pt idx="717">
                  <c:v>1.9922234527133749</c:v>
                </c:pt>
                <c:pt idx="718">
                  <c:v>-0.99425051465333869</c:v>
                </c:pt>
                <c:pt idx="719">
                  <c:v>-2.0074433937734901</c:v>
                </c:pt>
                <c:pt idx="720">
                  <c:v>0.99109073076871557</c:v>
                </c:pt>
                <c:pt idx="721">
                  <c:v>1.002018165999548</c:v>
                </c:pt>
                <c:pt idx="722">
                  <c:v>-1.4906032467717267E-2</c:v>
                </c:pt>
                <c:pt idx="723">
                  <c:v>1.9903577930398182</c:v>
                </c:pt>
                <c:pt idx="724">
                  <c:v>0.99129062287659631</c:v>
                </c:pt>
                <c:pt idx="725">
                  <c:v>1.9919569299028668</c:v>
                </c:pt>
                <c:pt idx="726">
                  <c:v>-1.483940176508991E-2</c:v>
                </c:pt>
                <c:pt idx="727">
                  <c:v>1.0005522905417532</c:v>
                </c:pt>
                <c:pt idx="728">
                  <c:v>-6.8437174498465758E-3</c:v>
                </c:pt>
                <c:pt idx="729">
                  <c:v>0.99568824924998012</c:v>
                </c:pt>
                <c:pt idx="730">
                  <c:v>1.9959547720604882</c:v>
                </c:pt>
                <c:pt idx="731">
                  <c:v>0.98376135347974225</c:v>
                </c:pt>
                <c:pt idx="732">
                  <c:v>1.9858269052611801</c:v>
                </c:pt>
                <c:pt idx="733">
                  <c:v>-2.0158388623044954</c:v>
                </c:pt>
                <c:pt idx="734">
                  <c:v>-1.3706679820430612E-2</c:v>
                </c:pt>
                <c:pt idx="735">
                  <c:v>1.9899580088240558</c:v>
                </c:pt>
                <c:pt idx="736">
                  <c:v>2.284688810056057E-3</c:v>
                </c:pt>
                <c:pt idx="737">
                  <c:v>-2.0019130454554466</c:v>
                </c:pt>
                <c:pt idx="738">
                  <c:v>-1.2973742091533236E-2</c:v>
                </c:pt>
                <c:pt idx="739">
                  <c:v>1.0015517510811587</c:v>
                </c:pt>
                <c:pt idx="740">
                  <c:v>-2.0063773025314577</c:v>
                </c:pt>
                <c:pt idx="741">
                  <c:v>-1.9948501909769818</c:v>
                </c:pt>
                <c:pt idx="742">
                  <c:v>-8.8426385286575204E-3</c:v>
                </c:pt>
                <c:pt idx="743">
                  <c:v>-1.0116411280389928</c:v>
                </c:pt>
                <c:pt idx="744">
                  <c:v>1.9862933201795694</c:v>
                </c:pt>
                <c:pt idx="745">
                  <c:v>-0.99878140243197633</c:v>
                </c:pt>
                <c:pt idx="746">
                  <c:v>0.99388922027905036</c:v>
                </c:pt>
                <c:pt idx="747">
                  <c:v>-2.0161720158176304</c:v>
                </c:pt>
                <c:pt idx="748">
                  <c:v>1.9963545562762506</c:v>
                </c:pt>
                <c:pt idx="749">
                  <c:v>-2.0034455516158682</c:v>
                </c:pt>
                <c:pt idx="750">
                  <c:v>-1.0035788130211225</c:v>
                </c:pt>
                <c:pt idx="751">
                  <c:v>-1.5772231601868469E-2</c:v>
                </c:pt>
                <c:pt idx="752">
                  <c:v>-1.3173634199414419E-2</c:v>
                </c:pt>
                <c:pt idx="753">
                  <c:v>0.99535509573684511</c:v>
                </c:pt>
                <c:pt idx="754">
                  <c:v>0.98596016666643438</c:v>
                </c:pt>
                <c:pt idx="755">
                  <c:v>-1.0162386465202577</c:v>
                </c:pt>
                <c:pt idx="756">
                  <c:v>-1.0708298202214195E-2</c:v>
                </c:pt>
                <c:pt idx="757">
                  <c:v>-1.0241883283825359E-2</c:v>
                </c:pt>
                <c:pt idx="758">
                  <c:v>-1.997981834000452</c:v>
                </c:pt>
                <c:pt idx="759">
                  <c:v>0.99235671411862869</c:v>
                </c:pt>
                <c:pt idx="760">
                  <c:v>-1.0019796761580739</c:v>
                </c:pt>
                <c:pt idx="761">
                  <c:v>1.982895154345591</c:v>
                </c:pt>
                <c:pt idx="762">
                  <c:v>-2.0162386465202577</c:v>
                </c:pt>
                <c:pt idx="763">
                  <c:v>0.99455552730532082</c:v>
                </c:pt>
                <c:pt idx="764">
                  <c:v>-1.0112413438232304</c:v>
                </c:pt>
                <c:pt idx="765">
                  <c:v>-2.9125059948520438E-3</c:v>
                </c:pt>
                <c:pt idx="766">
                  <c:v>-7.4433937734901257E-3</c:v>
                </c:pt>
                <c:pt idx="767">
                  <c:v>0.98709288861109368</c:v>
                </c:pt>
                <c:pt idx="768">
                  <c:v>1.9902245316345639</c:v>
                </c:pt>
                <c:pt idx="769">
                  <c:v>0.99508857292633701</c:v>
                </c:pt>
                <c:pt idx="770">
                  <c:v>-1.0043783814526468</c:v>
                </c:pt>
                <c:pt idx="771">
                  <c:v>-2.0175712605727982</c:v>
                </c:pt>
                <c:pt idx="772">
                  <c:v>-5.9108876130684607E-3</c:v>
                </c:pt>
                <c:pt idx="773">
                  <c:v>0.9956216185473532</c:v>
                </c:pt>
                <c:pt idx="774">
                  <c:v>-1.9987147717293494</c:v>
                </c:pt>
                <c:pt idx="775">
                  <c:v>1.0031508879442073</c:v>
                </c:pt>
                <c:pt idx="776">
                  <c:v>0.99062431585032629</c:v>
                </c:pt>
                <c:pt idx="777">
                  <c:v>2.0042836098888666</c:v>
                </c:pt>
                <c:pt idx="778">
                  <c:v>1.9885587640688884</c:v>
                </c:pt>
                <c:pt idx="779">
                  <c:v>-0.99858151032409559</c:v>
                </c:pt>
                <c:pt idx="780">
                  <c:v>-0.9945836681664737</c:v>
                </c:pt>
                <c:pt idx="781">
                  <c:v>0.99782043173404489</c:v>
                </c:pt>
                <c:pt idx="782">
                  <c:v>-0.9980484647030794</c:v>
                </c:pt>
                <c:pt idx="783">
                  <c:v>-2.0053112112894254</c:v>
                </c:pt>
                <c:pt idx="784">
                  <c:v>0.98582690526118011</c:v>
                </c:pt>
                <c:pt idx="785">
                  <c:v>2.000019244920737</c:v>
                </c:pt>
                <c:pt idx="786">
                  <c:v>-1.0134401570099225</c:v>
                </c:pt>
                <c:pt idx="787">
                  <c:v>2.0044168712941208</c:v>
                </c:pt>
                <c:pt idx="788">
                  <c:v>0.9967543404920125</c:v>
                </c:pt>
                <c:pt idx="789">
                  <c:v>0.98829224125838033</c:v>
                </c:pt>
                <c:pt idx="790">
                  <c:v>-1.7797840501927453E-3</c:v>
                </c:pt>
                <c:pt idx="791">
                  <c:v>0.98282852364296414</c:v>
                </c:pt>
                <c:pt idx="792">
                  <c:v>-1.0043783814526468</c:v>
                </c:pt>
                <c:pt idx="793">
                  <c:v>1.0058161160492882</c:v>
                </c:pt>
                <c:pt idx="794">
                  <c:v>-1.9959829129216415</c:v>
                </c:pt>
                <c:pt idx="795">
                  <c:v>-1.0064439332340847</c:v>
                </c:pt>
                <c:pt idx="796">
                  <c:v>2.0000858756233639</c:v>
                </c:pt>
                <c:pt idx="797">
                  <c:v>-2.0169049535465278</c:v>
                </c:pt>
                <c:pt idx="798">
                  <c:v>-1.0148394017650899</c:v>
                </c:pt>
                <c:pt idx="799">
                  <c:v>-2.017437999167544</c:v>
                </c:pt>
                <c:pt idx="800">
                  <c:v>-1.5972123709749653E-2</c:v>
                </c:pt>
                <c:pt idx="801">
                  <c:v>-1.0040452279395118</c:v>
                </c:pt>
                <c:pt idx="802">
                  <c:v>0.99149051498447749</c:v>
                </c:pt>
                <c:pt idx="803">
                  <c:v>0.98542712104541819</c:v>
                </c:pt>
                <c:pt idx="804">
                  <c:v>-1.0127738499836521</c:v>
                </c:pt>
                <c:pt idx="805">
                  <c:v>0.99295639044227224</c:v>
                </c:pt>
                <c:pt idx="806">
                  <c:v>1.9954883571420994</c:v>
                </c:pt>
                <c:pt idx="807">
                  <c:v>1.9932895439554073</c:v>
                </c:pt>
                <c:pt idx="808">
                  <c:v>1.997753801031418</c:v>
                </c:pt>
                <c:pt idx="809">
                  <c:v>1.0032175186468342</c:v>
                </c:pt>
                <c:pt idx="810">
                  <c:v>0.98722615001634795</c:v>
                </c:pt>
                <c:pt idx="811">
                  <c:v>-1.1641128038992754E-2</c:v>
                </c:pt>
                <c:pt idx="812">
                  <c:v>0.99722075541040178</c:v>
                </c:pt>
                <c:pt idx="813">
                  <c:v>0.99875326157082345</c:v>
                </c:pt>
                <c:pt idx="814">
                  <c:v>-0.99918118664773869</c:v>
                </c:pt>
                <c:pt idx="815">
                  <c:v>1.992423344821256</c:v>
                </c:pt>
                <c:pt idx="816">
                  <c:v>1.0037505642678504</c:v>
                </c:pt>
                <c:pt idx="817">
                  <c:v>2.0062825309676775</c:v>
                </c:pt>
                <c:pt idx="818">
                  <c:v>-9.5755762575548964E-3</c:v>
                </c:pt>
                <c:pt idx="819">
                  <c:v>2.0022180581074287</c:v>
                </c:pt>
                <c:pt idx="820">
                  <c:v>2.7511037284448925E-3</c:v>
                </c:pt>
                <c:pt idx="821">
                  <c:v>1.0028177344310722</c:v>
                </c:pt>
                <c:pt idx="822">
                  <c:v>1.0063491616703044</c:v>
                </c:pt>
                <c:pt idx="823">
                  <c:v>0.98242873942720177</c:v>
                </c:pt>
                <c:pt idx="824">
                  <c:v>-1.4906032467717267E-2</c:v>
                </c:pt>
                <c:pt idx="825">
                  <c:v>1.8849045942936904E-3</c:v>
                </c:pt>
                <c:pt idx="826">
                  <c:v>0.98909180968990462</c:v>
                </c:pt>
                <c:pt idx="827">
                  <c:v>1.9975539089235368</c:v>
                </c:pt>
                <c:pt idx="828">
                  <c:v>0.98682636580058558</c:v>
                </c:pt>
                <c:pt idx="829">
                  <c:v>2.0021514274048018</c:v>
                </c:pt>
                <c:pt idx="830">
                  <c:v>-1.9945170374638468</c:v>
                </c:pt>
                <c:pt idx="831">
                  <c:v>-1.1401648451725421E-4</c:v>
                </c:pt>
                <c:pt idx="832">
                  <c:v>-1.0508406094333456E-2</c:v>
                </c:pt>
                <c:pt idx="833">
                  <c:v>-1.1374605228484658E-2</c:v>
                </c:pt>
                <c:pt idx="834">
                  <c:v>0.98476081401914772</c:v>
                </c:pt>
                <c:pt idx="835">
                  <c:v>-8.3762236102682408E-3</c:v>
                </c:pt>
                <c:pt idx="836">
                  <c:v>1.9834281999666072</c:v>
                </c:pt>
                <c:pt idx="837">
                  <c:v>-2.0060441490183223</c:v>
                </c:pt>
                <c:pt idx="838">
                  <c:v>-7.1768709629820293E-3</c:v>
                </c:pt>
                <c:pt idx="839">
                  <c:v>-2.0060441490183223</c:v>
                </c:pt>
                <c:pt idx="840">
                  <c:v>-2.0073767630708632</c:v>
                </c:pt>
                <c:pt idx="841">
                  <c:v>-2.0109081903100954</c:v>
                </c:pt>
                <c:pt idx="842">
                  <c:v>-0.99465029886910106</c:v>
                </c:pt>
                <c:pt idx="843">
                  <c:v>2.0061492695624237</c:v>
                </c:pt>
                <c:pt idx="844">
                  <c:v>0.99388922027905036</c:v>
                </c:pt>
                <c:pt idx="845">
                  <c:v>1.9944222659000665</c:v>
                </c:pt>
                <c:pt idx="846">
                  <c:v>0.98735941142160177</c:v>
                </c:pt>
                <c:pt idx="847">
                  <c:v>-1.7971044788560153E-2</c:v>
                </c:pt>
                <c:pt idx="848">
                  <c:v>-1.014772771062463</c:v>
                </c:pt>
                <c:pt idx="849">
                  <c:v>-1.0088426385286575</c:v>
                </c:pt>
                <c:pt idx="850">
                  <c:v>-1.0162386465202577</c:v>
                </c:pt>
                <c:pt idx="851">
                  <c:v>0.98369472277711534</c:v>
                </c:pt>
                <c:pt idx="852">
                  <c:v>-2.0133068956046682</c:v>
                </c:pt>
                <c:pt idx="853">
                  <c:v>-1.0167716921412739</c:v>
                </c:pt>
                <c:pt idx="854">
                  <c:v>-2.0079764393945063</c:v>
                </c:pt>
                <c:pt idx="855">
                  <c:v>0.99881989227345036</c:v>
                </c:pt>
                <c:pt idx="856">
                  <c:v>0.99468878871057465</c:v>
                </c:pt>
                <c:pt idx="857">
                  <c:v>1.0048166555098828</c:v>
                </c:pt>
                <c:pt idx="858">
                  <c:v>-2.0133735263072956</c:v>
                </c:pt>
                <c:pt idx="859">
                  <c:v>4.5501326993746538E-3</c:v>
                </c:pt>
                <c:pt idx="860">
                  <c:v>0.99662107908675868</c:v>
                </c:pt>
                <c:pt idx="861">
                  <c:v>-1.0117743894442466</c:v>
                </c:pt>
                <c:pt idx="862">
                  <c:v>0.99608803346574248</c:v>
                </c:pt>
                <c:pt idx="863">
                  <c:v>-0.99551649800325226</c:v>
                </c:pt>
                <c:pt idx="864">
                  <c:v>-2.0177711526806794</c:v>
                </c:pt>
                <c:pt idx="865">
                  <c:v>-1.9937840997349494</c:v>
                </c:pt>
                <c:pt idx="866">
                  <c:v>-1.0041784893447656</c:v>
                </c:pt>
                <c:pt idx="867">
                  <c:v>0.99682097119463986</c:v>
                </c:pt>
                <c:pt idx="868">
                  <c:v>-2.0120409122547547</c:v>
                </c:pt>
                <c:pt idx="869">
                  <c:v>-1.0005138007002792</c:v>
                </c:pt>
                <c:pt idx="870">
                  <c:v>1.0054163318335263</c:v>
                </c:pt>
                <c:pt idx="871">
                  <c:v>1.1519668653963144E-3</c:v>
                </c:pt>
                <c:pt idx="872">
                  <c:v>-2.0150392938729711</c:v>
                </c:pt>
                <c:pt idx="873">
                  <c:v>1.9930896518475261</c:v>
                </c:pt>
                <c:pt idx="874">
                  <c:v>0.99275649833439106</c:v>
                </c:pt>
                <c:pt idx="875">
                  <c:v>1.9973540168156561</c:v>
                </c:pt>
                <c:pt idx="876">
                  <c:v>-1.0179710447885602</c:v>
                </c:pt>
                <c:pt idx="877">
                  <c:v>-1.0083762236102682</c:v>
                </c:pt>
                <c:pt idx="878">
                  <c:v>1.9913572535792237</c:v>
                </c:pt>
                <c:pt idx="879">
                  <c:v>-8.3095929076413277E-3</c:v>
                </c:pt>
                <c:pt idx="880">
                  <c:v>-0.99358420762706823</c:v>
                </c:pt>
                <c:pt idx="881">
                  <c:v>-1.0073767630708632</c:v>
                </c:pt>
                <c:pt idx="882">
                  <c:v>-1.2467384291765526E-3</c:v>
                </c:pt>
                <c:pt idx="883">
                  <c:v>-1.0086427464207763</c:v>
                </c:pt>
                <c:pt idx="884">
                  <c:v>1.9868929965032125</c:v>
                </c:pt>
                <c:pt idx="885">
                  <c:v>0.99082420795820747</c:v>
                </c:pt>
                <c:pt idx="886">
                  <c:v>-1.0134401570099225</c:v>
                </c:pt>
                <c:pt idx="887">
                  <c:v>-1.543907808873346E-2</c:v>
                </c:pt>
                <c:pt idx="888">
                  <c:v>-0.99664921994791156</c:v>
                </c:pt>
                <c:pt idx="889">
                  <c:v>-1.4306356144073717E-2</c:v>
                </c:pt>
                <c:pt idx="890">
                  <c:v>-2.0041784893447656</c:v>
                </c:pt>
                <c:pt idx="891">
                  <c:v>-3.139085923979934E-4</c:v>
                </c:pt>
                <c:pt idx="892">
                  <c:v>-1.1134770239222824E-3</c:v>
                </c:pt>
                <c:pt idx="893">
                  <c:v>1.0024179502153099</c:v>
                </c:pt>
                <c:pt idx="894">
                  <c:v>1.6850124864125071E-3</c:v>
                </c:pt>
                <c:pt idx="895">
                  <c:v>-1.999647601566128</c:v>
                </c:pt>
                <c:pt idx="896">
                  <c:v>-1.9995809708635011</c:v>
                </c:pt>
                <c:pt idx="897">
                  <c:v>1.9939558509816777</c:v>
                </c:pt>
                <c:pt idx="898">
                  <c:v>1.9992196764892127</c:v>
                </c:pt>
                <c:pt idx="899">
                  <c:v>-1.0129071113889063</c:v>
                </c:pt>
                <c:pt idx="900">
                  <c:v>0.99762053962616415</c:v>
                </c:pt>
                <c:pt idx="901">
                  <c:v>-1.1574497336365841E-2</c:v>
                </c:pt>
                <c:pt idx="902">
                  <c:v>-2.017437999167544</c:v>
                </c:pt>
                <c:pt idx="903">
                  <c:v>-2.0040452279395118</c:v>
                </c:pt>
                <c:pt idx="904">
                  <c:v>0.99628792557362367</c:v>
                </c:pt>
                <c:pt idx="905">
                  <c:v>-1.5705600899241556E-2</c:v>
                </c:pt>
                <c:pt idx="906">
                  <c:v>3.5506721599696256E-3</c:v>
                </c:pt>
                <c:pt idx="907">
                  <c:v>-1.0056443648025604</c:v>
                </c:pt>
                <c:pt idx="908">
                  <c:v>-2.0043783814526468</c:v>
                </c:pt>
                <c:pt idx="909">
                  <c:v>1.0007521826496344</c:v>
                </c:pt>
                <c:pt idx="910">
                  <c:v>1.9826952622377099</c:v>
                </c:pt>
                <c:pt idx="911">
                  <c:v>0.99695423259989369</c:v>
                </c:pt>
                <c:pt idx="912">
                  <c:v>-2.8458752922251307E-3</c:v>
                </c:pt>
                <c:pt idx="913">
                  <c:v>2.0062159002650506</c:v>
                </c:pt>
                <c:pt idx="914">
                  <c:v>0.98502733682965582</c:v>
                </c:pt>
                <c:pt idx="915">
                  <c:v>1.9922900834160018</c:v>
                </c:pt>
                <c:pt idx="916">
                  <c:v>-2.004578273560528</c:v>
                </c:pt>
                <c:pt idx="917">
                  <c:v>4.0837177809858183E-3</c:v>
                </c:pt>
                <c:pt idx="918">
                  <c:v>-1.1507866633738484E-2</c:v>
                </c:pt>
                <c:pt idx="919">
                  <c:v>0.98582690526118011</c:v>
                </c:pt>
                <c:pt idx="920">
                  <c:v>2.0002857677312451</c:v>
                </c:pt>
                <c:pt idx="921">
                  <c:v>1.9846941833165208</c:v>
                </c:pt>
                <c:pt idx="922">
                  <c:v>-1.0109081903100954</c:v>
                </c:pt>
                <c:pt idx="923">
                  <c:v>3.5506721599696256E-3</c:v>
                </c:pt>
                <c:pt idx="924">
                  <c:v>1.7516431890398643E-3</c:v>
                </c:pt>
                <c:pt idx="925">
                  <c:v>-2.0091757920417925</c:v>
                </c:pt>
                <c:pt idx="926">
                  <c:v>-1.513261239684649E-3</c:v>
                </c:pt>
                <c:pt idx="927">
                  <c:v>1.9888252868793965</c:v>
                </c:pt>
                <c:pt idx="928">
                  <c:v>1.0042836098888666</c:v>
                </c:pt>
                <c:pt idx="929">
                  <c:v>1.9823621087245749</c:v>
                </c:pt>
                <c:pt idx="930">
                  <c:v>-1.6638430736019671E-2</c:v>
                </c:pt>
                <c:pt idx="931">
                  <c:v>1.0036173028625965</c:v>
                </c:pt>
                <c:pt idx="932">
                  <c:v>-0.99911455594511178</c:v>
                </c:pt>
                <c:pt idx="933">
                  <c:v>-1.0077765472866251</c:v>
                </c:pt>
                <c:pt idx="934">
                  <c:v>1.9895582246082939</c:v>
                </c:pt>
                <c:pt idx="935">
                  <c:v>-2.0069103481524739</c:v>
                </c:pt>
                <c:pt idx="936">
                  <c:v>6.215900265050589E-3</c:v>
                </c:pt>
                <c:pt idx="937">
                  <c:v>0.99462215800794773</c:v>
                </c:pt>
                <c:pt idx="938">
                  <c:v>-1.7971044788560153E-2</c:v>
                </c:pt>
                <c:pt idx="939">
                  <c:v>1.9983534773550615</c:v>
                </c:pt>
                <c:pt idx="940">
                  <c:v>-2.0070436095577278</c:v>
                </c:pt>
                <c:pt idx="941">
                  <c:v>-2.0165718000333928</c:v>
                </c:pt>
                <c:pt idx="942">
                  <c:v>1.997087494005148</c:v>
                </c:pt>
                <c:pt idx="943">
                  <c:v>-1.6505169330765845E-2</c:v>
                </c:pt>
                <c:pt idx="944">
                  <c:v>1.0046833941046289</c:v>
                </c:pt>
                <c:pt idx="945">
                  <c:v>-1.5572339493987286E-2</c:v>
                </c:pt>
                <c:pt idx="946">
                  <c:v>-1.5838862304495382E-2</c:v>
                </c:pt>
                <c:pt idx="947">
                  <c:v>-2.0033789209132413</c:v>
                </c:pt>
                <c:pt idx="948">
                  <c:v>0.99748727822090988</c:v>
                </c:pt>
                <c:pt idx="949">
                  <c:v>-7.6432858813713089E-3</c:v>
                </c:pt>
                <c:pt idx="950">
                  <c:v>-2.007576655178744</c:v>
                </c:pt>
                <c:pt idx="951">
                  <c:v>-6.2440411262034701E-3</c:v>
                </c:pt>
                <c:pt idx="952">
                  <c:v>-0.99518334449011725</c:v>
                </c:pt>
                <c:pt idx="953">
                  <c:v>1.9853604903427913</c:v>
                </c:pt>
                <c:pt idx="954">
                  <c:v>2.0027511037284449</c:v>
                </c:pt>
                <c:pt idx="955">
                  <c:v>-7.2435016656089424E-3</c:v>
                </c:pt>
                <c:pt idx="956">
                  <c:v>0.99602140276311557</c:v>
                </c:pt>
                <c:pt idx="957">
                  <c:v>-2.0033789209132413</c:v>
                </c:pt>
                <c:pt idx="958">
                  <c:v>1.9957548799526075</c:v>
                </c:pt>
                <c:pt idx="959">
                  <c:v>2.0036839335652235</c:v>
                </c:pt>
                <c:pt idx="960">
                  <c:v>-2.0169049535465278</c:v>
                </c:pt>
                <c:pt idx="961">
                  <c:v>-2.0066438253419658</c:v>
                </c:pt>
                <c:pt idx="962">
                  <c:v>-1.0027792445895982</c:v>
                </c:pt>
                <c:pt idx="963">
                  <c:v>1.0062825309676775</c:v>
                </c:pt>
                <c:pt idx="964">
                  <c:v>-2.0163719079255116</c:v>
                </c:pt>
                <c:pt idx="965">
                  <c:v>-1.483940176508991E-2</c:v>
                </c:pt>
                <c:pt idx="966">
                  <c:v>0.9906909465529532</c:v>
                </c:pt>
                <c:pt idx="967">
                  <c:v>-1.9961828050295223</c:v>
                </c:pt>
                <c:pt idx="968">
                  <c:v>5.8827467519155796E-3</c:v>
                </c:pt>
                <c:pt idx="969">
                  <c:v>1.9932229132527803</c:v>
                </c:pt>
                <c:pt idx="970">
                  <c:v>-0.99918118664773869</c:v>
                </c:pt>
                <c:pt idx="971">
                  <c:v>1.9910907307687156</c:v>
                </c:pt>
                <c:pt idx="972">
                  <c:v>-6.976978855100846E-3</c:v>
                </c:pt>
                <c:pt idx="973">
                  <c:v>1.9876925649347372</c:v>
                </c:pt>
                <c:pt idx="974">
                  <c:v>0.99655444838413176</c:v>
                </c:pt>
                <c:pt idx="975">
                  <c:v>1.9872927807189749</c:v>
                </c:pt>
                <c:pt idx="976">
                  <c:v>-1.7131533475658323E-3</c:v>
                </c:pt>
                <c:pt idx="977">
                  <c:v>-1.0138399412256844</c:v>
                </c:pt>
                <c:pt idx="978">
                  <c:v>1.0059493774545425</c:v>
                </c:pt>
                <c:pt idx="979">
                  <c:v>-1.9968491120557927</c:v>
                </c:pt>
                <c:pt idx="980">
                  <c:v>0.99242334482125605</c:v>
                </c:pt>
                <c:pt idx="981">
                  <c:v>-5.1779498841710847E-3</c:v>
                </c:pt>
                <c:pt idx="982">
                  <c:v>1.0016183817837856</c:v>
                </c:pt>
                <c:pt idx="983">
                  <c:v>-1.0121741736600089</c:v>
                </c:pt>
                <c:pt idx="984">
                  <c:v>1.9943556351974396</c:v>
                </c:pt>
                <c:pt idx="985">
                  <c:v>0.99248997552388296</c:v>
                </c:pt>
                <c:pt idx="986">
                  <c:v>-0.99418388395071178</c:v>
                </c:pt>
                <c:pt idx="987">
                  <c:v>0.99222345271337486</c:v>
                </c:pt>
                <c:pt idx="988">
                  <c:v>-1.0113079745258577</c:v>
                </c:pt>
                <c:pt idx="989">
                  <c:v>1.9842943991007584</c:v>
                </c:pt>
                <c:pt idx="990">
                  <c:v>-1.2973742091533236E-2</c:v>
                </c:pt>
                <c:pt idx="991">
                  <c:v>2.0064824230755587</c:v>
                </c:pt>
                <c:pt idx="992">
                  <c:v>0.99209019130812059</c:v>
                </c:pt>
                <c:pt idx="993">
                  <c:v>-0.9937174690323225</c:v>
                </c:pt>
                <c:pt idx="994">
                  <c:v>-1.9937840997349494</c:v>
                </c:pt>
                <c:pt idx="995">
                  <c:v>-1.9995143401608737</c:v>
                </c:pt>
                <c:pt idx="996">
                  <c:v>1.9870262579084668</c:v>
                </c:pt>
                <c:pt idx="997">
                  <c:v>2.0060826388597963</c:v>
                </c:pt>
                <c:pt idx="998">
                  <c:v>-1.9954498673006253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F-49ED-BE53-0A94EEF16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18591"/>
        <c:axId val="1200622431"/>
      </c:scatterChart>
      <c:valAx>
        <c:axId val="120061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45268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1200622431"/>
        <c:crosses val="autoZero"/>
        <c:crossBetween val="midCat"/>
      </c:valAx>
      <c:valAx>
        <c:axId val="120062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6185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45268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Table!$K$3:$K$1001</c:f>
              <c:numCache>
                <c:formatCode>m/d/yyyy</c:formatCode>
                <c:ptCount val="999"/>
                <c:pt idx="0">
                  <c:v>45025</c:v>
                </c:pt>
                <c:pt idx="1">
                  <c:v>45166</c:v>
                </c:pt>
                <c:pt idx="2">
                  <c:v>44944</c:v>
                </c:pt>
                <c:pt idx="3">
                  <c:v>44945</c:v>
                </c:pt>
                <c:pt idx="4">
                  <c:v>44937</c:v>
                </c:pt>
                <c:pt idx="5">
                  <c:v>45222</c:v>
                </c:pt>
                <c:pt idx="6">
                  <c:v>45092</c:v>
                </c:pt>
                <c:pt idx="7">
                  <c:v>44982</c:v>
                </c:pt>
                <c:pt idx="8">
                  <c:v>45039</c:v>
                </c:pt>
                <c:pt idx="9">
                  <c:v>45078</c:v>
                </c:pt>
                <c:pt idx="10">
                  <c:v>45182</c:v>
                </c:pt>
                <c:pt idx="11">
                  <c:v>44974</c:v>
                </c:pt>
                <c:pt idx="12">
                  <c:v>45270</c:v>
                </c:pt>
                <c:pt idx="13">
                  <c:v>45106</c:v>
                </c:pt>
                <c:pt idx="14">
                  <c:v>45121</c:v>
                </c:pt>
                <c:pt idx="15">
                  <c:v>45059</c:v>
                </c:pt>
                <c:pt idx="16">
                  <c:v>45086</c:v>
                </c:pt>
                <c:pt idx="17">
                  <c:v>45098</c:v>
                </c:pt>
                <c:pt idx="18">
                  <c:v>45256</c:v>
                </c:pt>
                <c:pt idx="19">
                  <c:v>45238</c:v>
                </c:pt>
                <c:pt idx="20">
                  <c:v>45287</c:v>
                </c:pt>
                <c:pt idx="21">
                  <c:v>45083</c:v>
                </c:pt>
                <c:pt idx="22">
                  <c:v>45227</c:v>
                </c:pt>
                <c:pt idx="23">
                  <c:v>45290</c:v>
                </c:pt>
                <c:pt idx="24">
                  <c:v>45264</c:v>
                </c:pt>
                <c:pt idx="25">
                  <c:v>44958</c:v>
                </c:pt>
                <c:pt idx="26">
                  <c:v>45152</c:v>
                </c:pt>
                <c:pt idx="27">
                  <c:v>45267</c:v>
                </c:pt>
                <c:pt idx="28">
                  <c:v>45105</c:v>
                </c:pt>
                <c:pt idx="29">
                  <c:v>45247</c:v>
                </c:pt>
                <c:pt idx="30">
                  <c:v>44951</c:v>
                </c:pt>
                <c:pt idx="31">
                  <c:v>45174</c:v>
                </c:pt>
                <c:pt idx="32">
                  <c:v>45186</c:v>
                </c:pt>
                <c:pt idx="33">
                  <c:v>45285</c:v>
                </c:pt>
                <c:pt idx="34">
                  <c:v>44940</c:v>
                </c:pt>
                <c:pt idx="35">
                  <c:v>45139</c:v>
                </c:pt>
                <c:pt idx="36">
                  <c:v>44969</c:v>
                </c:pt>
                <c:pt idx="37">
                  <c:v>45064</c:v>
                </c:pt>
                <c:pt idx="38">
                  <c:v>45202</c:v>
                </c:pt>
                <c:pt idx="39">
                  <c:v>45168</c:v>
                </c:pt>
                <c:pt idx="40">
                  <c:v>45184</c:v>
                </c:pt>
                <c:pt idx="41">
                  <c:v>44971</c:v>
                </c:pt>
                <c:pt idx="42">
                  <c:v>44984</c:v>
                </c:pt>
                <c:pt idx="43">
                  <c:v>45151</c:v>
                </c:pt>
                <c:pt idx="44">
                  <c:v>45055</c:v>
                </c:pt>
                <c:pt idx="45">
                  <c:v>45283</c:v>
                </c:pt>
                <c:pt idx="46">
                  <c:v>45227</c:v>
                </c:pt>
                <c:pt idx="47">
                  <c:v>45170</c:v>
                </c:pt>
                <c:pt idx="48">
                  <c:v>45032</c:v>
                </c:pt>
                <c:pt idx="49">
                  <c:v>45273</c:v>
                </c:pt>
                <c:pt idx="50">
                  <c:v>45012</c:v>
                </c:pt>
                <c:pt idx="51">
                  <c:v>45246</c:v>
                </c:pt>
                <c:pt idx="52">
                  <c:v>45091</c:v>
                </c:pt>
                <c:pt idx="53">
                  <c:v>44952</c:v>
                </c:pt>
                <c:pt idx="54">
                  <c:v>45285</c:v>
                </c:pt>
                <c:pt idx="55">
                  <c:v>45198</c:v>
                </c:pt>
                <c:pt idx="56">
                  <c:v>44999</c:v>
                </c:pt>
                <c:pt idx="57">
                  <c:v>45274</c:v>
                </c:pt>
                <c:pt idx="58">
                  <c:v>45186</c:v>
                </c:pt>
                <c:pt idx="59">
                  <c:v>45146</c:v>
                </c:pt>
                <c:pt idx="60">
                  <c:v>45028</c:v>
                </c:pt>
                <c:pt idx="61">
                  <c:v>44978</c:v>
                </c:pt>
                <c:pt idx="62">
                  <c:v>45233</c:v>
                </c:pt>
                <c:pt idx="63">
                  <c:v>44942</c:v>
                </c:pt>
                <c:pt idx="64">
                  <c:v>45294</c:v>
                </c:pt>
                <c:pt idx="65">
                  <c:v>44962</c:v>
                </c:pt>
                <c:pt idx="66">
                  <c:v>44964</c:v>
                </c:pt>
                <c:pt idx="67">
                  <c:v>45019</c:v>
                </c:pt>
                <c:pt idx="68">
                  <c:v>45222</c:v>
                </c:pt>
                <c:pt idx="69">
                  <c:v>45132</c:v>
                </c:pt>
                <c:pt idx="70">
                  <c:v>45200</c:v>
                </c:pt>
                <c:pt idx="71">
                  <c:v>45004</c:v>
                </c:pt>
                <c:pt idx="72">
                  <c:v>45204</c:v>
                </c:pt>
                <c:pt idx="73">
                  <c:v>45027</c:v>
                </c:pt>
                <c:pt idx="74">
                  <c:v>45180</c:v>
                </c:pt>
                <c:pt idx="75">
                  <c:v>45227</c:v>
                </c:pt>
                <c:pt idx="76">
                  <c:v>45001</c:v>
                </c:pt>
                <c:pt idx="77">
                  <c:v>45251</c:v>
                </c:pt>
                <c:pt idx="78">
                  <c:v>45263</c:v>
                </c:pt>
                <c:pt idx="79">
                  <c:v>44965</c:v>
                </c:pt>
                <c:pt idx="80">
                  <c:v>45282</c:v>
                </c:pt>
                <c:pt idx="81">
                  <c:v>45223</c:v>
                </c:pt>
                <c:pt idx="82">
                  <c:v>45158</c:v>
                </c:pt>
                <c:pt idx="83">
                  <c:v>45066</c:v>
                </c:pt>
                <c:pt idx="84">
                  <c:v>44975</c:v>
                </c:pt>
                <c:pt idx="85">
                  <c:v>45294</c:v>
                </c:pt>
                <c:pt idx="86">
                  <c:v>45140</c:v>
                </c:pt>
                <c:pt idx="87">
                  <c:v>45035</c:v>
                </c:pt>
                <c:pt idx="88">
                  <c:v>45106</c:v>
                </c:pt>
                <c:pt idx="89">
                  <c:v>44993</c:v>
                </c:pt>
                <c:pt idx="90">
                  <c:v>45111</c:v>
                </c:pt>
                <c:pt idx="91">
                  <c:v>45039</c:v>
                </c:pt>
                <c:pt idx="92">
                  <c:v>45009</c:v>
                </c:pt>
                <c:pt idx="93">
                  <c:v>45180</c:v>
                </c:pt>
                <c:pt idx="94">
                  <c:v>44959</c:v>
                </c:pt>
                <c:pt idx="95">
                  <c:v>45151</c:v>
                </c:pt>
                <c:pt idx="96">
                  <c:v>45069</c:v>
                </c:pt>
                <c:pt idx="97">
                  <c:v>45150</c:v>
                </c:pt>
                <c:pt idx="98">
                  <c:v>44950</c:v>
                </c:pt>
                <c:pt idx="99">
                  <c:v>45268</c:v>
                </c:pt>
                <c:pt idx="100">
                  <c:v>45183</c:v>
                </c:pt>
                <c:pt idx="101">
                  <c:v>45242</c:v>
                </c:pt>
                <c:pt idx="102">
                  <c:v>45098</c:v>
                </c:pt>
                <c:pt idx="103">
                  <c:v>45294</c:v>
                </c:pt>
                <c:pt idx="104">
                  <c:v>45294</c:v>
                </c:pt>
                <c:pt idx="105">
                  <c:v>45052</c:v>
                </c:pt>
                <c:pt idx="106">
                  <c:v>44929</c:v>
                </c:pt>
                <c:pt idx="107">
                  <c:v>45211</c:v>
                </c:pt>
                <c:pt idx="108">
                  <c:v>45103</c:v>
                </c:pt>
                <c:pt idx="109">
                  <c:v>45072</c:v>
                </c:pt>
                <c:pt idx="110">
                  <c:v>45238</c:v>
                </c:pt>
                <c:pt idx="111">
                  <c:v>45267</c:v>
                </c:pt>
                <c:pt idx="112">
                  <c:v>45113</c:v>
                </c:pt>
                <c:pt idx="113">
                  <c:v>45097</c:v>
                </c:pt>
                <c:pt idx="114">
                  <c:v>44968</c:v>
                </c:pt>
                <c:pt idx="115">
                  <c:v>44959</c:v>
                </c:pt>
                <c:pt idx="116">
                  <c:v>45007</c:v>
                </c:pt>
                <c:pt idx="117">
                  <c:v>45179</c:v>
                </c:pt>
                <c:pt idx="118">
                  <c:v>44979</c:v>
                </c:pt>
                <c:pt idx="119">
                  <c:v>45066</c:v>
                </c:pt>
                <c:pt idx="120">
                  <c:v>45103</c:v>
                </c:pt>
                <c:pt idx="121">
                  <c:v>45028</c:v>
                </c:pt>
                <c:pt idx="122">
                  <c:v>45209</c:v>
                </c:pt>
                <c:pt idx="123">
                  <c:v>45075</c:v>
                </c:pt>
                <c:pt idx="124">
                  <c:v>45078</c:v>
                </c:pt>
                <c:pt idx="125">
                  <c:v>45160</c:v>
                </c:pt>
                <c:pt idx="126">
                  <c:v>45056</c:v>
                </c:pt>
                <c:pt idx="127">
                  <c:v>45236</c:v>
                </c:pt>
                <c:pt idx="128">
                  <c:v>44963</c:v>
                </c:pt>
                <c:pt idx="129">
                  <c:v>45248</c:v>
                </c:pt>
                <c:pt idx="130">
                  <c:v>44939</c:v>
                </c:pt>
                <c:pt idx="131">
                  <c:v>45037</c:v>
                </c:pt>
                <c:pt idx="132">
                  <c:v>45140</c:v>
                </c:pt>
                <c:pt idx="133">
                  <c:v>44959</c:v>
                </c:pt>
                <c:pt idx="134">
                  <c:v>45001</c:v>
                </c:pt>
                <c:pt idx="135">
                  <c:v>45233</c:v>
                </c:pt>
                <c:pt idx="136">
                  <c:v>45081</c:v>
                </c:pt>
                <c:pt idx="137">
                  <c:v>45264</c:v>
                </c:pt>
                <c:pt idx="138">
                  <c:v>45195</c:v>
                </c:pt>
                <c:pt idx="139">
                  <c:v>44944</c:v>
                </c:pt>
                <c:pt idx="140">
                  <c:v>45253</c:v>
                </c:pt>
                <c:pt idx="141">
                  <c:v>45049</c:v>
                </c:pt>
                <c:pt idx="142">
                  <c:v>45165</c:v>
                </c:pt>
                <c:pt idx="143">
                  <c:v>44942</c:v>
                </c:pt>
                <c:pt idx="144">
                  <c:v>45132</c:v>
                </c:pt>
                <c:pt idx="145">
                  <c:v>45248</c:v>
                </c:pt>
                <c:pt idx="146">
                  <c:v>45267</c:v>
                </c:pt>
                <c:pt idx="147">
                  <c:v>45061</c:v>
                </c:pt>
                <c:pt idx="148">
                  <c:v>45062</c:v>
                </c:pt>
                <c:pt idx="149">
                  <c:v>45003</c:v>
                </c:pt>
                <c:pt idx="150">
                  <c:v>44993</c:v>
                </c:pt>
                <c:pt idx="151">
                  <c:v>45188</c:v>
                </c:pt>
                <c:pt idx="152">
                  <c:v>45194</c:v>
                </c:pt>
                <c:pt idx="153">
                  <c:v>45227</c:v>
                </c:pt>
                <c:pt idx="154">
                  <c:v>44978</c:v>
                </c:pt>
                <c:pt idx="155">
                  <c:v>45166</c:v>
                </c:pt>
                <c:pt idx="156">
                  <c:v>45227</c:v>
                </c:pt>
                <c:pt idx="157">
                  <c:v>45238</c:v>
                </c:pt>
                <c:pt idx="158">
                  <c:v>45053</c:v>
                </c:pt>
                <c:pt idx="159">
                  <c:v>45202</c:v>
                </c:pt>
                <c:pt idx="160">
                  <c:v>44931</c:v>
                </c:pt>
                <c:pt idx="161">
                  <c:v>45160</c:v>
                </c:pt>
                <c:pt idx="162">
                  <c:v>45237</c:v>
                </c:pt>
                <c:pt idx="163">
                  <c:v>45101</c:v>
                </c:pt>
                <c:pt idx="164">
                  <c:v>45083</c:v>
                </c:pt>
                <c:pt idx="165">
                  <c:v>45106</c:v>
                </c:pt>
                <c:pt idx="166">
                  <c:v>44944</c:v>
                </c:pt>
                <c:pt idx="167">
                  <c:v>44989</c:v>
                </c:pt>
                <c:pt idx="168">
                  <c:v>45180</c:v>
                </c:pt>
                <c:pt idx="169">
                  <c:v>44984</c:v>
                </c:pt>
                <c:pt idx="170">
                  <c:v>45246</c:v>
                </c:pt>
                <c:pt idx="171">
                  <c:v>45126</c:v>
                </c:pt>
                <c:pt idx="172">
                  <c:v>45040</c:v>
                </c:pt>
                <c:pt idx="173">
                  <c:v>45047</c:v>
                </c:pt>
                <c:pt idx="174">
                  <c:v>45103</c:v>
                </c:pt>
                <c:pt idx="175">
                  <c:v>45294</c:v>
                </c:pt>
                <c:pt idx="176">
                  <c:v>44945</c:v>
                </c:pt>
                <c:pt idx="177">
                  <c:v>45049</c:v>
                </c:pt>
                <c:pt idx="178">
                  <c:v>45128</c:v>
                </c:pt>
                <c:pt idx="179">
                  <c:v>45210</c:v>
                </c:pt>
                <c:pt idx="180">
                  <c:v>45092</c:v>
                </c:pt>
                <c:pt idx="181">
                  <c:v>45154</c:v>
                </c:pt>
                <c:pt idx="182">
                  <c:v>45030</c:v>
                </c:pt>
                <c:pt idx="183">
                  <c:v>45223</c:v>
                </c:pt>
                <c:pt idx="184">
                  <c:v>45121</c:v>
                </c:pt>
                <c:pt idx="185">
                  <c:v>45266</c:v>
                </c:pt>
                <c:pt idx="186">
                  <c:v>45169</c:v>
                </c:pt>
                <c:pt idx="187">
                  <c:v>45171</c:v>
                </c:pt>
                <c:pt idx="188">
                  <c:v>45022</c:v>
                </c:pt>
                <c:pt idx="189">
                  <c:v>45289</c:v>
                </c:pt>
                <c:pt idx="190">
                  <c:v>45086</c:v>
                </c:pt>
                <c:pt idx="191">
                  <c:v>45091</c:v>
                </c:pt>
                <c:pt idx="192">
                  <c:v>45121</c:v>
                </c:pt>
                <c:pt idx="193">
                  <c:v>45039</c:v>
                </c:pt>
                <c:pt idx="194">
                  <c:v>45220</c:v>
                </c:pt>
                <c:pt idx="195">
                  <c:v>45208</c:v>
                </c:pt>
                <c:pt idx="196">
                  <c:v>45073</c:v>
                </c:pt>
                <c:pt idx="197">
                  <c:v>44958</c:v>
                </c:pt>
                <c:pt idx="198">
                  <c:v>45053</c:v>
                </c:pt>
                <c:pt idx="199">
                  <c:v>44997</c:v>
                </c:pt>
                <c:pt idx="200">
                  <c:v>45237</c:v>
                </c:pt>
                <c:pt idx="201">
                  <c:v>45183</c:v>
                </c:pt>
                <c:pt idx="202">
                  <c:v>45004</c:v>
                </c:pt>
                <c:pt idx="203">
                  <c:v>45204</c:v>
                </c:pt>
                <c:pt idx="204">
                  <c:v>45095</c:v>
                </c:pt>
                <c:pt idx="205">
                  <c:v>45001</c:v>
                </c:pt>
                <c:pt idx="206">
                  <c:v>45069</c:v>
                </c:pt>
                <c:pt idx="207">
                  <c:v>45254</c:v>
                </c:pt>
                <c:pt idx="208">
                  <c:v>45143</c:v>
                </c:pt>
                <c:pt idx="209">
                  <c:v>44949</c:v>
                </c:pt>
                <c:pt idx="210">
                  <c:v>45139</c:v>
                </c:pt>
                <c:pt idx="211">
                  <c:v>45030</c:v>
                </c:pt>
                <c:pt idx="212">
                  <c:v>45099</c:v>
                </c:pt>
                <c:pt idx="213">
                  <c:v>45034</c:v>
                </c:pt>
                <c:pt idx="214">
                  <c:v>44954</c:v>
                </c:pt>
                <c:pt idx="215">
                  <c:v>45054</c:v>
                </c:pt>
                <c:pt idx="216">
                  <c:v>45084</c:v>
                </c:pt>
                <c:pt idx="217">
                  <c:v>44981</c:v>
                </c:pt>
                <c:pt idx="218">
                  <c:v>44973</c:v>
                </c:pt>
                <c:pt idx="219">
                  <c:v>45145</c:v>
                </c:pt>
                <c:pt idx="220">
                  <c:v>45020</c:v>
                </c:pt>
                <c:pt idx="221">
                  <c:v>45047</c:v>
                </c:pt>
                <c:pt idx="222">
                  <c:v>45197</c:v>
                </c:pt>
                <c:pt idx="223">
                  <c:v>45285</c:v>
                </c:pt>
                <c:pt idx="224">
                  <c:v>45052</c:v>
                </c:pt>
                <c:pt idx="225">
                  <c:v>45159</c:v>
                </c:pt>
                <c:pt idx="226">
                  <c:v>44998</c:v>
                </c:pt>
                <c:pt idx="227">
                  <c:v>44985</c:v>
                </c:pt>
                <c:pt idx="228">
                  <c:v>45133</c:v>
                </c:pt>
                <c:pt idx="229">
                  <c:v>45109</c:v>
                </c:pt>
                <c:pt idx="230">
                  <c:v>45216</c:v>
                </c:pt>
                <c:pt idx="231">
                  <c:v>45217</c:v>
                </c:pt>
                <c:pt idx="232">
                  <c:v>45022</c:v>
                </c:pt>
                <c:pt idx="233">
                  <c:v>45127</c:v>
                </c:pt>
                <c:pt idx="234">
                  <c:v>45024</c:v>
                </c:pt>
                <c:pt idx="235">
                  <c:v>44934</c:v>
                </c:pt>
                <c:pt idx="236">
                  <c:v>45059</c:v>
                </c:pt>
                <c:pt idx="237">
                  <c:v>45153</c:v>
                </c:pt>
                <c:pt idx="238">
                  <c:v>45187</c:v>
                </c:pt>
                <c:pt idx="239">
                  <c:v>44972</c:v>
                </c:pt>
                <c:pt idx="240">
                  <c:v>45258</c:v>
                </c:pt>
                <c:pt idx="241">
                  <c:v>45136</c:v>
                </c:pt>
                <c:pt idx="242">
                  <c:v>45117</c:v>
                </c:pt>
                <c:pt idx="243">
                  <c:v>45224</c:v>
                </c:pt>
                <c:pt idx="244">
                  <c:v>45089</c:v>
                </c:pt>
                <c:pt idx="245">
                  <c:v>45129</c:v>
                </c:pt>
                <c:pt idx="246">
                  <c:v>45102</c:v>
                </c:pt>
                <c:pt idx="247">
                  <c:v>45259</c:v>
                </c:pt>
                <c:pt idx="248">
                  <c:v>45202</c:v>
                </c:pt>
                <c:pt idx="249">
                  <c:v>44963</c:v>
                </c:pt>
                <c:pt idx="250">
                  <c:v>45063</c:v>
                </c:pt>
                <c:pt idx="251">
                  <c:v>45192</c:v>
                </c:pt>
                <c:pt idx="252">
                  <c:v>45285</c:v>
                </c:pt>
                <c:pt idx="253">
                  <c:v>44976</c:v>
                </c:pt>
                <c:pt idx="254">
                  <c:v>45182</c:v>
                </c:pt>
                <c:pt idx="255">
                  <c:v>45235</c:v>
                </c:pt>
                <c:pt idx="256">
                  <c:v>44941</c:v>
                </c:pt>
                <c:pt idx="257">
                  <c:v>44984</c:v>
                </c:pt>
                <c:pt idx="258">
                  <c:v>45057</c:v>
                </c:pt>
                <c:pt idx="259">
                  <c:v>45032</c:v>
                </c:pt>
                <c:pt idx="260">
                  <c:v>45002</c:v>
                </c:pt>
                <c:pt idx="261">
                  <c:v>45027</c:v>
                </c:pt>
                <c:pt idx="262">
                  <c:v>45215</c:v>
                </c:pt>
                <c:pt idx="263">
                  <c:v>45215</c:v>
                </c:pt>
                <c:pt idx="264">
                  <c:v>44979</c:v>
                </c:pt>
                <c:pt idx="265">
                  <c:v>45124</c:v>
                </c:pt>
                <c:pt idx="266">
                  <c:v>45107</c:v>
                </c:pt>
                <c:pt idx="267">
                  <c:v>45116</c:v>
                </c:pt>
                <c:pt idx="268">
                  <c:v>45053</c:v>
                </c:pt>
                <c:pt idx="269">
                  <c:v>45007</c:v>
                </c:pt>
                <c:pt idx="270">
                  <c:v>45166</c:v>
                </c:pt>
                <c:pt idx="271">
                  <c:v>44943</c:v>
                </c:pt>
                <c:pt idx="272">
                  <c:v>45215</c:v>
                </c:pt>
                <c:pt idx="273">
                  <c:v>44936</c:v>
                </c:pt>
                <c:pt idx="274">
                  <c:v>45010</c:v>
                </c:pt>
                <c:pt idx="275">
                  <c:v>44955</c:v>
                </c:pt>
                <c:pt idx="276">
                  <c:v>44945</c:v>
                </c:pt>
                <c:pt idx="277">
                  <c:v>45185</c:v>
                </c:pt>
                <c:pt idx="278">
                  <c:v>45128</c:v>
                </c:pt>
                <c:pt idx="279">
                  <c:v>45006</c:v>
                </c:pt>
                <c:pt idx="280">
                  <c:v>45049</c:v>
                </c:pt>
                <c:pt idx="281">
                  <c:v>44950</c:v>
                </c:pt>
                <c:pt idx="282">
                  <c:v>45294</c:v>
                </c:pt>
                <c:pt idx="283">
                  <c:v>45261</c:v>
                </c:pt>
                <c:pt idx="284">
                  <c:v>45062</c:v>
                </c:pt>
                <c:pt idx="285">
                  <c:v>45053</c:v>
                </c:pt>
                <c:pt idx="286">
                  <c:v>45078</c:v>
                </c:pt>
                <c:pt idx="287">
                  <c:v>44953</c:v>
                </c:pt>
                <c:pt idx="288">
                  <c:v>45173</c:v>
                </c:pt>
                <c:pt idx="289">
                  <c:v>45236</c:v>
                </c:pt>
                <c:pt idx="290">
                  <c:v>45193</c:v>
                </c:pt>
                <c:pt idx="291">
                  <c:v>45177</c:v>
                </c:pt>
                <c:pt idx="292">
                  <c:v>45166</c:v>
                </c:pt>
                <c:pt idx="293">
                  <c:v>45003</c:v>
                </c:pt>
                <c:pt idx="294">
                  <c:v>44959</c:v>
                </c:pt>
                <c:pt idx="295">
                  <c:v>45000</c:v>
                </c:pt>
                <c:pt idx="296">
                  <c:v>45294</c:v>
                </c:pt>
                <c:pt idx="297">
                  <c:v>45287</c:v>
                </c:pt>
                <c:pt idx="298">
                  <c:v>45192</c:v>
                </c:pt>
                <c:pt idx="299">
                  <c:v>45085</c:v>
                </c:pt>
                <c:pt idx="300">
                  <c:v>45182</c:v>
                </c:pt>
                <c:pt idx="301">
                  <c:v>44929</c:v>
                </c:pt>
                <c:pt idx="302">
                  <c:v>45130</c:v>
                </c:pt>
                <c:pt idx="303">
                  <c:v>45207</c:v>
                </c:pt>
                <c:pt idx="304">
                  <c:v>44963</c:v>
                </c:pt>
                <c:pt idx="305">
                  <c:v>45220</c:v>
                </c:pt>
                <c:pt idx="306">
                  <c:v>45071</c:v>
                </c:pt>
                <c:pt idx="307">
                  <c:v>45044</c:v>
                </c:pt>
                <c:pt idx="308">
                  <c:v>45202</c:v>
                </c:pt>
                <c:pt idx="309">
                  <c:v>45231</c:v>
                </c:pt>
                <c:pt idx="310">
                  <c:v>45107</c:v>
                </c:pt>
                <c:pt idx="311">
                  <c:v>45141</c:v>
                </c:pt>
                <c:pt idx="312">
                  <c:v>45072</c:v>
                </c:pt>
                <c:pt idx="313">
                  <c:v>45188</c:v>
                </c:pt>
                <c:pt idx="314">
                  <c:v>45095</c:v>
                </c:pt>
                <c:pt idx="315">
                  <c:v>44988</c:v>
                </c:pt>
                <c:pt idx="316">
                  <c:v>45248</c:v>
                </c:pt>
                <c:pt idx="317">
                  <c:v>45143</c:v>
                </c:pt>
                <c:pt idx="318">
                  <c:v>45230</c:v>
                </c:pt>
                <c:pt idx="319">
                  <c:v>45149</c:v>
                </c:pt>
                <c:pt idx="320">
                  <c:v>45255</c:v>
                </c:pt>
                <c:pt idx="321">
                  <c:v>45251</c:v>
                </c:pt>
                <c:pt idx="322">
                  <c:v>45012</c:v>
                </c:pt>
                <c:pt idx="323">
                  <c:v>45219</c:v>
                </c:pt>
                <c:pt idx="324">
                  <c:v>45257</c:v>
                </c:pt>
                <c:pt idx="325">
                  <c:v>45221</c:v>
                </c:pt>
                <c:pt idx="326">
                  <c:v>44967</c:v>
                </c:pt>
                <c:pt idx="327">
                  <c:v>45149</c:v>
                </c:pt>
                <c:pt idx="328">
                  <c:v>45151</c:v>
                </c:pt>
                <c:pt idx="329">
                  <c:v>45067</c:v>
                </c:pt>
                <c:pt idx="330">
                  <c:v>45238</c:v>
                </c:pt>
                <c:pt idx="331">
                  <c:v>45094</c:v>
                </c:pt>
                <c:pt idx="332">
                  <c:v>45094</c:v>
                </c:pt>
                <c:pt idx="333">
                  <c:v>45015</c:v>
                </c:pt>
                <c:pt idx="334">
                  <c:v>45231</c:v>
                </c:pt>
                <c:pt idx="335">
                  <c:v>45206</c:v>
                </c:pt>
                <c:pt idx="336">
                  <c:v>45220</c:v>
                </c:pt>
                <c:pt idx="337">
                  <c:v>45232</c:v>
                </c:pt>
                <c:pt idx="338">
                  <c:v>44949</c:v>
                </c:pt>
                <c:pt idx="339">
                  <c:v>45217</c:v>
                </c:pt>
                <c:pt idx="340">
                  <c:v>45145</c:v>
                </c:pt>
                <c:pt idx="341">
                  <c:v>44931</c:v>
                </c:pt>
                <c:pt idx="342">
                  <c:v>45132</c:v>
                </c:pt>
                <c:pt idx="343">
                  <c:v>45255</c:v>
                </c:pt>
                <c:pt idx="344">
                  <c:v>45064</c:v>
                </c:pt>
                <c:pt idx="345">
                  <c:v>45215</c:v>
                </c:pt>
                <c:pt idx="346">
                  <c:v>45012</c:v>
                </c:pt>
                <c:pt idx="347">
                  <c:v>45224</c:v>
                </c:pt>
                <c:pt idx="348">
                  <c:v>45190</c:v>
                </c:pt>
                <c:pt idx="349">
                  <c:v>45294</c:v>
                </c:pt>
                <c:pt idx="350">
                  <c:v>44979</c:v>
                </c:pt>
                <c:pt idx="351">
                  <c:v>45161</c:v>
                </c:pt>
                <c:pt idx="352">
                  <c:v>45139</c:v>
                </c:pt>
                <c:pt idx="353">
                  <c:v>45144</c:v>
                </c:pt>
                <c:pt idx="354">
                  <c:v>44927</c:v>
                </c:pt>
                <c:pt idx="355">
                  <c:v>45201</c:v>
                </c:pt>
                <c:pt idx="356">
                  <c:v>45045</c:v>
                </c:pt>
                <c:pt idx="357">
                  <c:v>45131</c:v>
                </c:pt>
                <c:pt idx="358">
                  <c:v>45186</c:v>
                </c:pt>
                <c:pt idx="359">
                  <c:v>45195</c:v>
                </c:pt>
                <c:pt idx="360">
                  <c:v>45084</c:v>
                </c:pt>
                <c:pt idx="361">
                  <c:v>44997</c:v>
                </c:pt>
                <c:pt idx="362">
                  <c:v>45223</c:v>
                </c:pt>
                <c:pt idx="363">
                  <c:v>45261</c:v>
                </c:pt>
                <c:pt idx="364">
                  <c:v>45154</c:v>
                </c:pt>
                <c:pt idx="365">
                  <c:v>44970</c:v>
                </c:pt>
                <c:pt idx="366">
                  <c:v>45258</c:v>
                </c:pt>
                <c:pt idx="367">
                  <c:v>45099</c:v>
                </c:pt>
                <c:pt idx="368">
                  <c:v>45100</c:v>
                </c:pt>
                <c:pt idx="369">
                  <c:v>45135</c:v>
                </c:pt>
                <c:pt idx="370">
                  <c:v>45229</c:v>
                </c:pt>
                <c:pt idx="371">
                  <c:v>45240</c:v>
                </c:pt>
                <c:pt idx="372">
                  <c:v>45294</c:v>
                </c:pt>
                <c:pt idx="373">
                  <c:v>45080</c:v>
                </c:pt>
                <c:pt idx="374">
                  <c:v>45106</c:v>
                </c:pt>
                <c:pt idx="375">
                  <c:v>45205</c:v>
                </c:pt>
                <c:pt idx="376">
                  <c:v>45139</c:v>
                </c:pt>
                <c:pt idx="377">
                  <c:v>45064</c:v>
                </c:pt>
                <c:pt idx="378">
                  <c:v>45048</c:v>
                </c:pt>
                <c:pt idx="379">
                  <c:v>45250</c:v>
                </c:pt>
                <c:pt idx="380">
                  <c:v>45148</c:v>
                </c:pt>
                <c:pt idx="381">
                  <c:v>45021</c:v>
                </c:pt>
                <c:pt idx="382">
                  <c:v>45035</c:v>
                </c:pt>
                <c:pt idx="383">
                  <c:v>45290</c:v>
                </c:pt>
                <c:pt idx="384">
                  <c:v>45240</c:v>
                </c:pt>
                <c:pt idx="385">
                  <c:v>44940</c:v>
                </c:pt>
                <c:pt idx="386">
                  <c:v>45112</c:v>
                </c:pt>
                <c:pt idx="387">
                  <c:v>45294</c:v>
                </c:pt>
                <c:pt idx="388">
                  <c:v>45236</c:v>
                </c:pt>
                <c:pt idx="389">
                  <c:v>44946</c:v>
                </c:pt>
                <c:pt idx="390">
                  <c:v>45052</c:v>
                </c:pt>
                <c:pt idx="391">
                  <c:v>45220</c:v>
                </c:pt>
                <c:pt idx="392">
                  <c:v>45290</c:v>
                </c:pt>
                <c:pt idx="393">
                  <c:v>45117</c:v>
                </c:pt>
                <c:pt idx="394">
                  <c:v>45294</c:v>
                </c:pt>
                <c:pt idx="395">
                  <c:v>44962</c:v>
                </c:pt>
                <c:pt idx="396">
                  <c:v>44960</c:v>
                </c:pt>
                <c:pt idx="397">
                  <c:v>45252</c:v>
                </c:pt>
                <c:pt idx="398">
                  <c:v>45080</c:v>
                </c:pt>
                <c:pt idx="399">
                  <c:v>45042</c:v>
                </c:pt>
                <c:pt idx="400">
                  <c:v>44998</c:v>
                </c:pt>
                <c:pt idx="401">
                  <c:v>44937</c:v>
                </c:pt>
                <c:pt idx="402">
                  <c:v>45026</c:v>
                </c:pt>
                <c:pt idx="403">
                  <c:v>44992</c:v>
                </c:pt>
                <c:pt idx="404">
                  <c:v>45169</c:v>
                </c:pt>
                <c:pt idx="405">
                  <c:v>44928</c:v>
                </c:pt>
                <c:pt idx="406">
                  <c:v>45218</c:v>
                </c:pt>
                <c:pt idx="407">
                  <c:v>44936</c:v>
                </c:pt>
                <c:pt idx="408">
                  <c:v>44942</c:v>
                </c:pt>
                <c:pt idx="409">
                  <c:v>45130</c:v>
                </c:pt>
                <c:pt idx="410">
                  <c:v>45264</c:v>
                </c:pt>
                <c:pt idx="411">
                  <c:v>45025</c:v>
                </c:pt>
                <c:pt idx="412">
                  <c:v>45041</c:v>
                </c:pt>
                <c:pt idx="413">
                  <c:v>44985</c:v>
                </c:pt>
                <c:pt idx="414">
                  <c:v>45055</c:v>
                </c:pt>
                <c:pt idx="415">
                  <c:v>45268</c:v>
                </c:pt>
                <c:pt idx="416">
                  <c:v>45231</c:v>
                </c:pt>
                <c:pt idx="417">
                  <c:v>45088</c:v>
                </c:pt>
                <c:pt idx="418">
                  <c:v>45208</c:v>
                </c:pt>
                <c:pt idx="419">
                  <c:v>45192</c:v>
                </c:pt>
                <c:pt idx="420">
                  <c:v>45022</c:v>
                </c:pt>
                <c:pt idx="421">
                  <c:v>45247</c:v>
                </c:pt>
                <c:pt idx="422">
                  <c:v>44964</c:v>
                </c:pt>
                <c:pt idx="423">
                  <c:v>45199</c:v>
                </c:pt>
                <c:pt idx="424">
                  <c:v>45156</c:v>
                </c:pt>
                <c:pt idx="425">
                  <c:v>44936</c:v>
                </c:pt>
                <c:pt idx="426">
                  <c:v>45001</c:v>
                </c:pt>
                <c:pt idx="427">
                  <c:v>45171</c:v>
                </c:pt>
                <c:pt idx="428">
                  <c:v>45023</c:v>
                </c:pt>
                <c:pt idx="429">
                  <c:v>45154</c:v>
                </c:pt>
                <c:pt idx="430">
                  <c:v>45000</c:v>
                </c:pt>
                <c:pt idx="431">
                  <c:v>44988</c:v>
                </c:pt>
                <c:pt idx="432">
                  <c:v>44988</c:v>
                </c:pt>
                <c:pt idx="433">
                  <c:v>45148</c:v>
                </c:pt>
                <c:pt idx="434">
                  <c:v>44951</c:v>
                </c:pt>
                <c:pt idx="435">
                  <c:v>45188</c:v>
                </c:pt>
                <c:pt idx="436">
                  <c:v>45182</c:v>
                </c:pt>
                <c:pt idx="437">
                  <c:v>45236</c:v>
                </c:pt>
                <c:pt idx="438">
                  <c:v>45070</c:v>
                </c:pt>
                <c:pt idx="439">
                  <c:v>44972</c:v>
                </c:pt>
                <c:pt idx="440">
                  <c:v>45218</c:v>
                </c:pt>
                <c:pt idx="441">
                  <c:v>45135</c:v>
                </c:pt>
                <c:pt idx="442">
                  <c:v>44978</c:v>
                </c:pt>
                <c:pt idx="443">
                  <c:v>45274</c:v>
                </c:pt>
                <c:pt idx="444">
                  <c:v>44992</c:v>
                </c:pt>
                <c:pt idx="445">
                  <c:v>45071</c:v>
                </c:pt>
                <c:pt idx="446">
                  <c:v>44966</c:v>
                </c:pt>
                <c:pt idx="447">
                  <c:v>45294</c:v>
                </c:pt>
                <c:pt idx="448">
                  <c:v>45158</c:v>
                </c:pt>
                <c:pt idx="449">
                  <c:v>44987</c:v>
                </c:pt>
                <c:pt idx="450">
                  <c:v>45053</c:v>
                </c:pt>
                <c:pt idx="451">
                  <c:v>44940</c:v>
                </c:pt>
                <c:pt idx="452">
                  <c:v>45061</c:v>
                </c:pt>
                <c:pt idx="453">
                  <c:v>45151</c:v>
                </c:pt>
                <c:pt idx="454">
                  <c:v>45158</c:v>
                </c:pt>
                <c:pt idx="455">
                  <c:v>45141</c:v>
                </c:pt>
                <c:pt idx="456">
                  <c:v>45255</c:v>
                </c:pt>
                <c:pt idx="457">
                  <c:v>45229</c:v>
                </c:pt>
                <c:pt idx="458">
                  <c:v>44994</c:v>
                </c:pt>
                <c:pt idx="459">
                  <c:v>44933</c:v>
                </c:pt>
                <c:pt idx="460">
                  <c:v>45146</c:v>
                </c:pt>
                <c:pt idx="461">
                  <c:v>45276</c:v>
                </c:pt>
                <c:pt idx="462">
                  <c:v>45075</c:v>
                </c:pt>
                <c:pt idx="463">
                  <c:v>45173</c:v>
                </c:pt>
                <c:pt idx="464">
                  <c:v>45168</c:v>
                </c:pt>
                <c:pt idx="465">
                  <c:v>44959</c:v>
                </c:pt>
                <c:pt idx="466">
                  <c:v>45181</c:v>
                </c:pt>
                <c:pt idx="467">
                  <c:v>45281</c:v>
                </c:pt>
                <c:pt idx="468">
                  <c:v>45206</c:v>
                </c:pt>
                <c:pt idx="469">
                  <c:v>45246</c:v>
                </c:pt>
                <c:pt idx="470">
                  <c:v>45229</c:v>
                </c:pt>
                <c:pt idx="471">
                  <c:v>44978</c:v>
                </c:pt>
                <c:pt idx="472">
                  <c:v>44997</c:v>
                </c:pt>
                <c:pt idx="473">
                  <c:v>45216</c:v>
                </c:pt>
                <c:pt idx="474">
                  <c:v>45082</c:v>
                </c:pt>
                <c:pt idx="475">
                  <c:v>44988</c:v>
                </c:pt>
                <c:pt idx="476">
                  <c:v>45119</c:v>
                </c:pt>
                <c:pt idx="477">
                  <c:v>44962</c:v>
                </c:pt>
                <c:pt idx="478">
                  <c:v>45191</c:v>
                </c:pt>
                <c:pt idx="479">
                  <c:v>45119</c:v>
                </c:pt>
                <c:pt idx="480">
                  <c:v>45236</c:v>
                </c:pt>
                <c:pt idx="481">
                  <c:v>45151</c:v>
                </c:pt>
                <c:pt idx="482">
                  <c:v>44949</c:v>
                </c:pt>
                <c:pt idx="483">
                  <c:v>45206</c:v>
                </c:pt>
                <c:pt idx="484">
                  <c:v>45245</c:v>
                </c:pt>
                <c:pt idx="485">
                  <c:v>45286</c:v>
                </c:pt>
                <c:pt idx="486">
                  <c:v>45241</c:v>
                </c:pt>
                <c:pt idx="487">
                  <c:v>45037</c:v>
                </c:pt>
                <c:pt idx="488">
                  <c:v>45064</c:v>
                </c:pt>
                <c:pt idx="489">
                  <c:v>45062</c:v>
                </c:pt>
                <c:pt idx="490">
                  <c:v>45180</c:v>
                </c:pt>
                <c:pt idx="491">
                  <c:v>45089</c:v>
                </c:pt>
                <c:pt idx="492">
                  <c:v>45294</c:v>
                </c:pt>
                <c:pt idx="493">
                  <c:v>45195</c:v>
                </c:pt>
                <c:pt idx="494">
                  <c:v>45252</c:v>
                </c:pt>
                <c:pt idx="495">
                  <c:v>45117</c:v>
                </c:pt>
                <c:pt idx="496">
                  <c:v>45253</c:v>
                </c:pt>
                <c:pt idx="497">
                  <c:v>45227</c:v>
                </c:pt>
                <c:pt idx="498">
                  <c:v>44931</c:v>
                </c:pt>
                <c:pt idx="499">
                  <c:v>45245</c:v>
                </c:pt>
                <c:pt idx="500">
                  <c:v>44996</c:v>
                </c:pt>
                <c:pt idx="501">
                  <c:v>45169</c:v>
                </c:pt>
                <c:pt idx="502">
                  <c:v>45272</c:v>
                </c:pt>
                <c:pt idx="503">
                  <c:v>44948</c:v>
                </c:pt>
                <c:pt idx="504">
                  <c:v>45291</c:v>
                </c:pt>
                <c:pt idx="505">
                  <c:v>45291</c:v>
                </c:pt>
                <c:pt idx="506">
                  <c:v>45156</c:v>
                </c:pt>
                <c:pt idx="507">
                  <c:v>45102</c:v>
                </c:pt>
                <c:pt idx="508">
                  <c:v>45220</c:v>
                </c:pt>
                <c:pt idx="509">
                  <c:v>45251</c:v>
                </c:pt>
                <c:pt idx="510">
                  <c:v>45039</c:v>
                </c:pt>
                <c:pt idx="511">
                  <c:v>45178</c:v>
                </c:pt>
                <c:pt idx="512">
                  <c:v>45031</c:v>
                </c:pt>
                <c:pt idx="513">
                  <c:v>45103</c:v>
                </c:pt>
                <c:pt idx="514">
                  <c:v>45080</c:v>
                </c:pt>
                <c:pt idx="515">
                  <c:v>45066</c:v>
                </c:pt>
                <c:pt idx="516">
                  <c:v>45023</c:v>
                </c:pt>
                <c:pt idx="517">
                  <c:v>45248</c:v>
                </c:pt>
                <c:pt idx="518">
                  <c:v>45047</c:v>
                </c:pt>
                <c:pt idx="519">
                  <c:v>45073</c:v>
                </c:pt>
                <c:pt idx="520">
                  <c:v>44949</c:v>
                </c:pt>
                <c:pt idx="521">
                  <c:v>45207</c:v>
                </c:pt>
                <c:pt idx="522">
                  <c:v>45259</c:v>
                </c:pt>
                <c:pt idx="523">
                  <c:v>45198</c:v>
                </c:pt>
                <c:pt idx="524">
                  <c:v>45237</c:v>
                </c:pt>
                <c:pt idx="525">
                  <c:v>45219</c:v>
                </c:pt>
                <c:pt idx="526">
                  <c:v>45187</c:v>
                </c:pt>
                <c:pt idx="527">
                  <c:v>45130</c:v>
                </c:pt>
                <c:pt idx="528">
                  <c:v>45048</c:v>
                </c:pt>
                <c:pt idx="529">
                  <c:v>45264</c:v>
                </c:pt>
                <c:pt idx="530">
                  <c:v>45165</c:v>
                </c:pt>
                <c:pt idx="531">
                  <c:v>45085</c:v>
                </c:pt>
                <c:pt idx="532">
                  <c:v>45225</c:v>
                </c:pt>
                <c:pt idx="533">
                  <c:v>44933</c:v>
                </c:pt>
                <c:pt idx="534">
                  <c:v>45039</c:v>
                </c:pt>
                <c:pt idx="535">
                  <c:v>45181</c:v>
                </c:pt>
                <c:pt idx="536">
                  <c:v>44954</c:v>
                </c:pt>
                <c:pt idx="537">
                  <c:v>45123</c:v>
                </c:pt>
                <c:pt idx="538">
                  <c:v>44930</c:v>
                </c:pt>
                <c:pt idx="539">
                  <c:v>45024</c:v>
                </c:pt>
                <c:pt idx="540">
                  <c:v>45049</c:v>
                </c:pt>
                <c:pt idx="541">
                  <c:v>45122</c:v>
                </c:pt>
                <c:pt idx="542">
                  <c:v>45197</c:v>
                </c:pt>
                <c:pt idx="543">
                  <c:v>45068</c:v>
                </c:pt>
                <c:pt idx="544">
                  <c:v>45015</c:v>
                </c:pt>
                <c:pt idx="545">
                  <c:v>45140</c:v>
                </c:pt>
                <c:pt idx="546">
                  <c:v>45066</c:v>
                </c:pt>
                <c:pt idx="547">
                  <c:v>45277</c:v>
                </c:pt>
                <c:pt idx="548">
                  <c:v>45231</c:v>
                </c:pt>
                <c:pt idx="549">
                  <c:v>45294</c:v>
                </c:pt>
                <c:pt idx="550">
                  <c:v>44934</c:v>
                </c:pt>
                <c:pt idx="551">
                  <c:v>45194</c:v>
                </c:pt>
                <c:pt idx="552">
                  <c:v>45034</c:v>
                </c:pt>
                <c:pt idx="553">
                  <c:v>44976</c:v>
                </c:pt>
                <c:pt idx="554">
                  <c:v>45078</c:v>
                </c:pt>
                <c:pt idx="555">
                  <c:v>45105</c:v>
                </c:pt>
                <c:pt idx="556">
                  <c:v>45040</c:v>
                </c:pt>
                <c:pt idx="557">
                  <c:v>45268</c:v>
                </c:pt>
                <c:pt idx="558">
                  <c:v>45234</c:v>
                </c:pt>
                <c:pt idx="559">
                  <c:v>45034</c:v>
                </c:pt>
                <c:pt idx="560">
                  <c:v>45193</c:v>
                </c:pt>
                <c:pt idx="561">
                  <c:v>45243</c:v>
                </c:pt>
                <c:pt idx="562">
                  <c:v>45209</c:v>
                </c:pt>
                <c:pt idx="563">
                  <c:v>44974</c:v>
                </c:pt>
                <c:pt idx="564">
                  <c:v>45005</c:v>
                </c:pt>
                <c:pt idx="565">
                  <c:v>45227</c:v>
                </c:pt>
                <c:pt idx="566">
                  <c:v>44942</c:v>
                </c:pt>
                <c:pt idx="567">
                  <c:v>44968</c:v>
                </c:pt>
                <c:pt idx="568">
                  <c:v>45278</c:v>
                </c:pt>
                <c:pt idx="569">
                  <c:v>45170</c:v>
                </c:pt>
                <c:pt idx="570">
                  <c:v>45127</c:v>
                </c:pt>
                <c:pt idx="571">
                  <c:v>45192</c:v>
                </c:pt>
                <c:pt idx="572">
                  <c:v>45121</c:v>
                </c:pt>
                <c:pt idx="573">
                  <c:v>45091</c:v>
                </c:pt>
                <c:pt idx="574">
                  <c:v>45083</c:v>
                </c:pt>
                <c:pt idx="575">
                  <c:v>44935</c:v>
                </c:pt>
                <c:pt idx="576">
                  <c:v>45136</c:v>
                </c:pt>
                <c:pt idx="577">
                  <c:v>45143</c:v>
                </c:pt>
                <c:pt idx="578">
                  <c:v>44978</c:v>
                </c:pt>
                <c:pt idx="579">
                  <c:v>45051</c:v>
                </c:pt>
                <c:pt idx="580">
                  <c:v>44942</c:v>
                </c:pt>
                <c:pt idx="581">
                  <c:v>45103</c:v>
                </c:pt>
                <c:pt idx="582">
                  <c:v>45036</c:v>
                </c:pt>
                <c:pt idx="583">
                  <c:v>45229</c:v>
                </c:pt>
                <c:pt idx="584">
                  <c:v>45173</c:v>
                </c:pt>
                <c:pt idx="585">
                  <c:v>44975</c:v>
                </c:pt>
                <c:pt idx="586">
                  <c:v>44933</c:v>
                </c:pt>
                <c:pt idx="587">
                  <c:v>45207</c:v>
                </c:pt>
                <c:pt idx="588">
                  <c:v>45279</c:v>
                </c:pt>
                <c:pt idx="589">
                  <c:v>45026</c:v>
                </c:pt>
                <c:pt idx="590">
                  <c:v>45078</c:v>
                </c:pt>
                <c:pt idx="591">
                  <c:v>45110</c:v>
                </c:pt>
                <c:pt idx="592">
                  <c:v>45214</c:v>
                </c:pt>
                <c:pt idx="593">
                  <c:v>45087</c:v>
                </c:pt>
                <c:pt idx="594">
                  <c:v>45172</c:v>
                </c:pt>
                <c:pt idx="595">
                  <c:v>44989</c:v>
                </c:pt>
                <c:pt idx="596">
                  <c:v>44950</c:v>
                </c:pt>
                <c:pt idx="597">
                  <c:v>45193</c:v>
                </c:pt>
                <c:pt idx="598">
                  <c:v>45097</c:v>
                </c:pt>
                <c:pt idx="599">
                  <c:v>45245</c:v>
                </c:pt>
                <c:pt idx="600">
                  <c:v>45044</c:v>
                </c:pt>
                <c:pt idx="601">
                  <c:v>45068</c:v>
                </c:pt>
                <c:pt idx="602">
                  <c:v>45018</c:v>
                </c:pt>
                <c:pt idx="603">
                  <c:v>45245</c:v>
                </c:pt>
                <c:pt idx="604">
                  <c:v>45204</c:v>
                </c:pt>
                <c:pt idx="605">
                  <c:v>45160</c:v>
                </c:pt>
                <c:pt idx="606">
                  <c:v>45123</c:v>
                </c:pt>
                <c:pt idx="607">
                  <c:v>44953</c:v>
                </c:pt>
                <c:pt idx="608">
                  <c:v>45175</c:v>
                </c:pt>
                <c:pt idx="609">
                  <c:v>45052</c:v>
                </c:pt>
                <c:pt idx="610">
                  <c:v>44940</c:v>
                </c:pt>
                <c:pt idx="611">
                  <c:v>45044</c:v>
                </c:pt>
                <c:pt idx="612">
                  <c:v>44928</c:v>
                </c:pt>
                <c:pt idx="613">
                  <c:v>45239</c:v>
                </c:pt>
                <c:pt idx="614">
                  <c:v>45110</c:v>
                </c:pt>
                <c:pt idx="615">
                  <c:v>44940</c:v>
                </c:pt>
                <c:pt idx="616">
                  <c:v>44980</c:v>
                </c:pt>
                <c:pt idx="617">
                  <c:v>45088</c:v>
                </c:pt>
                <c:pt idx="618">
                  <c:v>45062</c:v>
                </c:pt>
                <c:pt idx="619">
                  <c:v>45001</c:v>
                </c:pt>
                <c:pt idx="620">
                  <c:v>44929</c:v>
                </c:pt>
                <c:pt idx="621">
                  <c:v>45079</c:v>
                </c:pt>
                <c:pt idx="622">
                  <c:v>45083</c:v>
                </c:pt>
                <c:pt idx="623">
                  <c:v>45227</c:v>
                </c:pt>
                <c:pt idx="624">
                  <c:v>44957</c:v>
                </c:pt>
                <c:pt idx="625">
                  <c:v>45044</c:v>
                </c:pt>
                <c:pt idx="626">
                  <c:v>45129</c:v>
                </c:pt>
                <c:pt idx="627">
                  <c:v>45089</c:v>
                </c:pt>
                <c:pt idx="628">
                  <c:v>45005</c:v>
                </c:pt>
                <c:pt idx="629">
                  <c:v>45030</c:v>
                </c:pt>
                <c:pt idx="630">
                  <c:v>45050</c:v>
                </c:pt>
                <c:pt idx="631">
                  <c:v>45197</c:v>
                </c:pt>
                <c:pt idx="632">
                  <c:v>45139</c:v>
                </c:pt>
                <c:pt idx="633">
                  <c:v>45195</c:v>
                </c:pt>
                <c:pt idx="634">
                  <c:v>45244</c:v>
                </c:pt>
                <c:pt idx="635">
                  <c:v>45231</c:v>
                </c:pt>
                <c:pt idx="636">
                  <c:v>45107</c:v>
                </c:pt>
                <c:pt idx="637">
                  <c:v>45209</c:v>
                </c:pt>
                <c:pt idx="638">
                  <c:v>45188</c:v>
                </c:pt>
                <c:pt idx="639">
                  <c:v>45294</c:v>
                </c:pt>
                <c:pt idx="640">
                  <c:v>44935</c:v>
                </c:pt>
                <c:pt idx="641">
                  <c:v>45149</c:v>
                </c:pt>
                <c:pt idx="642">
                  <c:v>45132</c:v>
                </c:pt>
                <c:pt idx="643">
                  <c:v>45199</c:v>
                </c:pt>
                <c:pt idx="644">
                  <c:v>45225</c:v>
                </c:pt>
                <c:pt idx="645">
                  <c:v>45282</c:v>
                </c:pt>
                <c:pt idx="646">
                  <c:v>45182</c:v>
                </c:pt>
                <c:pt idx="647">
                  <c:v>45286</c:v>
                </c:pt>
                <c:pt idx="648">
                  <c:v>45175</c:v>
                </c:pt>
                <c:pt idx="649">
                  <c:v>45244</c:v>
                </c:pt>
                <c:pt idx="650">
                  <c:v>45041</c:v>
                </c:pt>
                <c:pt idx="651">
                  <c:v>45133</c:v>
                </c:pt>
                <c:pt idx="652">
                  <c:v>45092</c:v>
                </c:pt>
                <c:pt idx="653">
                  <c:v>45068</c:v>
                </c:pt>
                <c:pt idx="654">
                  <c:v>45267</c:v>
                </c:pt>
                <c:pt idx="655">
                  <c:v>44985</c:v>
                </c:pt>
                <c:pt idx="656">
                  <c:v>45294</c:v>
                </c:pt>
                <c:pt idx="657">
                  <c:v>45050</c:v>
                </c:pt>
                <c:pt idx="658">
                  <c:v>45165</c:v>
                </c:pt>
                <c:pt idx="659">
                  <c:v>45244</c:v>
                </c:pt>
                <c:pt idx="660">
                  <c:v>45175</c:v>
                </c:pt>
                <c:pt idx="661">
                  <c:v>44929</c:v>
                </c:pt>
                <c:pt idx="662">
                  <c:v>44977</c:v>
                </c:pt>
                <c:pt idx="663">
                  <c:v>45029</c:v>
                </c:pt>
                <c:pt idx="664">
                  <c:v>44931</c:v>
                </c:pt>
                <c:pt idx="665">
                  <c:v>45068</c:v>
                </c:pt>
                <c:pt idx="666">
                  <c:v>45148</c:v>
                </c:pt>
                <c:pt idx="667">
                  <c:v>45088</c:v>
                </c:pt>
                <c:pt idx="668">
                  <c:v>44982</c:v>
                </c:pt>
                <c:pt idx="669">
                  <c:v>45082</c:v>
                </c:pt>
                <c:pt idx="670">
                  <c:v>45216</c:v>
                </c:pt>
                <c:pt idx="671">
                  <c:v>44951</c:v>
                </c:pt>
                <c:pt idx="672">
                  <c:v>44936</c:v>
                </c:pt>
                <c:pt idx="673">
                  <c:v>45287</c:v>
                </c:pt>
                <c:pt idx="674">
                  <c:v>45233</c:v>
                </c:pt>
                <c:pt idx="675">
                  <c:v>45026</c:v>
                </c:pt>
                <c:pt idx="676">
                  <c:v>45287</c:v>
                </c:pt>
                <c:pt idx="677">
                  <c:v>45282</c:v>
                </c:pt>
                <c:pt idx="678">
                  <c:v>45238</c:v>
                </c:pt>
                <c:pt idx="679">
                  <c:v>45267</c:v>
                </c:pt>
                <c:pt idx="680">
                  <c:v>44991</c:v>
                </c:pt>
                <c:pt idx="681">
                  <c:v>45053</c:v>
                </c:pt>
                <c:pt idx="682">
                  <c:v>45267</c:v>
                </c:pt>
                <c:pt idx="683">
                  <c:v>45182</c:v>
                </c:pt>
                <c:pt idx="684">
                  <c:v>45291</c:v>
                </c:pt>
                <c:pt idx="685">
                  <c:v>45036</c:v>
                </c:pt>
                <c:pt idx="686">
                  <c:v>45016</c:v>
                </c:pt>
                <c:pt idx="687">
                  <c:v>45250</c:v>
                </c:pt>
                <c:pt idx="688">
                  <c:v>45269</c:v>
                </c:pt>
                <c:pt idx="689">
                  <c:v>45083</c:v>
                </c:pt>
                <c:pt idx="690">
                  <c:v>45272</c:v>
                </c:pt>
                <c:pt idx="691">
                  <c:v>45137</c:v>
                </c:pt>
                <c:pt idx="692">
                  <c:v>45223</c:v>
                </c:pt>
                <c:pt idx="693">
                  <c:v>45224</c:v>
                </c:pt>
                <c:pt idx="694">
                  <c:v>45120</c:v>
                </c:pt>
                <c:pt idx="695">
                  <c:v>45074</c:v>
                </c:pt>
                <c:pt idx="696">
                  <c:v>45294</c:v>
                </c:pt>
                <c:pt idx="697">
                  <c:v>45210</c:v>
                </c:pt>
                <c:pt idx="698">
                  <c:v>44985</c:v>
                </c:pt>
                <c:pt idx="699">
                  <c:v>45034</c:v>
                </c:pt>
                <c:pt idx="700">
                  <c:v>45241</c:v>
                </c:pt>
                <c:pt idx="701">
                  <c:v>45170</c:v>
                </c:pt>
                <c:pt idx="702">
                  <c:v>45152</c:v>
                </c:pt>
                <c:pt idx="703">
                  <c:v>44960</c:v>
                </c:pt>
                <c:pt idx="704">
                  <c:v>44962</c:v>
                </c:pt>
                <c:pt idx="705">
                  <c:v>44946</c:v>
                </c:pt>
                <c:pt idx="706">
                  <c:v>44975</c:v>
                </c:pt>
                <c:pt idx="707">
                  <c:v>45136</c:v>
                </c:pt>
                <c:pt idx="708">
                  <c:v>45132</c:v>
                </c:pt>
                <c:pt idx="709">
                  <c:v>45276</c:v>
                </c:pt>
                <c:pt idx="710">
                  <c:v>45015</c:v>
                </c:pt>
                <c:pt idx="711">
                  <c:v>44948</c:v>
                </c:pt>
                <c:pt idx="712">
                  <c:v>44945</c:v>
                </c:pt>
                <c:pt idx="713">
                  <c:v>45273</c:v>
                </c:pt>
                <c:pt idx="714">
                  <c:v>45113</c:v>
                </c:pt>
                <c:pt idx="715">
                  <c:v>45129</c:v>
                </c:pt>
                <c:pt idx="716">
                  <c:v>45083</c:v>
                </c:pt>
                <c:pt idx="717">
                  <c:v>45141</c:v>
                </c:pt>
                <c:pt idx="718">
                  <c:v>44938</c:v>
                </c:pt>
                <c:pt idx="719">
                  <c:v>45136</c:v>
                </c:pt>
                <c:pt idx="720">
                  <c:v>45158</c:v>
                </c:pt>
                <c:pt idx="721">
                  <c:v>44994</c:v>
                </c:pt>
                <c:pt idx="722">
                  <c:v>45248</c:v>
                </c:pt>
                <c:pt idx="723">
                  <c:v>45169</c:v>
                </c:pt>
                <c:pt idx="724">
                  <c:v>45155</c:v>
                </c:pt>
                <c:pt idx="725">
                  <c:v>45145</c:v>
                </c:pt>
                <c:pt idx="726">
                  <c:v>45247</c:v>
                </c:pt>
                <c:pt idx="727">
                  <c:v>45016</c:v>
                </c:pt>
                <c:pt idx="728">
                  <c:v>45127</c:v>
                </c:pt>
                <c:pt idx="729">
                  <c:v>45089</c:v>
                </c:pt>
                <c:pt idx="730">
                  <c:v>45085</c:v>
                </c:pt>
                <c:pt idx="731">
                  <c:v>45268</c:v>
                </c:pt>
                <c:pt idx="732">
                  <c:v>45237</c:v>
                </c:pt>
                <c:pt idx="733">
                  <c:v>45262</c:v>
                </c:pt>
                <c:pt idx="734">
                  <c:v>45230</c:v>
                </c:pt>
                <c:pt idx="735">
                  <c:v>45175</c:v>
                </c:pt>
                <c:pt idx="736">
                  <c:v>44990</c:v>
                </c:pt>
                <c:pt idx="737">
                  <c:v>45053</c:v>
                </c:pt>
                <c:pt idx="738">
                  <c:v>45219</c:v>
                </c:pt>
                <c:pt idx="739">
                  <c:v>45001</c:v>
                </c:pt>
                <c:pt idx="740">
                  <c:v>45120</c:v>
                </c:pt>
                <c:pt idx="741">
                  <c:v>44947</c:v>
                </c:pt>
                <c:pt idx="742">
                  <c:v>45157</c:v>
                </c:pt>
                <c:pt idx="743">
                  <c:v>45199</c:v>
                </c:pt>
                <c:pt idx="744">
                  <c:v>45230</c:v>
                </c:pt>
                <c:pt idx="745">
                  <c:v>45006</c:v>
                </c:pt>
                <c:pt idx="746">
                  <c:v>45116</c:v>
                </c:pt>
                <c:pt idx="747">
                  <c:v>45267</c:v>
                </c:pt>
                <c:pt idx="748">
                  <c:v>45079</c:v>
                </c:pt>
                <c:pt idx="749">
                  <c:v>45076</c:v>
                </c:pt>
                <c:pt idx="750">
                  <c:v>45078</c:v>
                </c:pt>
                <c:pt idx="751">
                  <c:v>45261</c:v>
                </c:pt>
                <c:pt idx="752">
                  <c:v>45222</c:v>
                </c:pt>
                <c:pt idx="753">
                  <c:v>45094</c:v>
                </c:pt>
                <c:pt idx="754">
                  <c:v>45235</c:v>
                </c:pt>
                <c:pt idx="755">
                  <c:v>45268</c:v>
                </c:pt>
                <c:pt idx="756">
                  <c:v>45185</c:v>
                </c:pt>
                <c:pt idx="757">
                  <c:v>45178</c:v>
                </c:pt>
                <c:pt idx="758">
                  <c:v>44994</c:v>
                </c:pt>
                <c:pt idx="759">
                  <c:v>45139</c:v>
                </c:pt>
                <c:pt idx="760">
                  <c:v>45054</c:v>
                </c:pt>
                <c:pt idx="761">
                  <c:v>45281</c:v>
                </c:pt>
                <c:pt idx="762">
                  <c:v>45268</c:v>
                </c:pt>
                <c:pt idx="763">
                  <c:v>45106</c:v>
                </c:pt>
                <c:pt idx="764">
                  <c:v>45193</c:v>
                </c:pt>
                <c:pt idx="765">
                  <c:v>45068</c:v>
                </c:pt>
                <c:pt idx="766">
                  <c:v>45136</c:v>
                </c:pt>
                <c:pt idx="767">
                  <c:v>45218</c:v>
                </c:pt>
                <c:pt idx="768">
                  <c:v>45171</c:v>
                </c:pt>
                <c:pt idx="769">
                  <c:v>45098</c:v>
                </c:pt>
                <c:pt idx="770">
                  <c:v>45090</c:v>
                </c:pt>
                <c:pt idx="771">
                  <c:v>45288</c:v>
                </c:pt>
                <c:pt idx="772">
                  <c:v>45113</c:v>
                </c:pt>
                <c:pt idx="773">
                  <c:v>45090</c:v>
                </c:pt>
                <c:pt idx="774">
                  <c:v>45005</c:v>
                </c:pt>
                <c:pt idx="775">
                  <c:v>44977</c:v>
                </c:pt>
                <c:pt idx="776">
                  <c:v>45165</c:v>
                </c:pt>
                <c:pt idx="777">
                  <c:v>44960</c:v>
                </c:pt>
                <c:pt idx="778">
                  <c:v>45196</c:v>
                </c:pt>
                <c:pt idx="779">
                  <c:v>45003</c:v>
                </c:pt>
                <c:pt idx="780">
                  <c:v>44943</c:v>
                </c:pt>
                <c:pt idx="781">
                  <c:v>45057</c:v>
                </c:pt>
                <c:pt idx="782">
                  <c:v>44995</c:v>
                </c:pt>
                <c:pt idx="783">
                  <c:v>45104</c:v>
                </c:pt>
                <c:pt idx="784">
                  <c:v>45237</c:v>
                </c:pt>
                <c:pt idx="785">
                  <c:v>45024</c:v>
                </c:pt>
                <c:pt idx="786">
                  <c:v>45226</c:v>
                </c:pt>
                <c:pt idx="787">
                  <c:v>44958</c:v>
                </c:pt>
                <c:pt idx="788">
                  <c:v>45073</c:v>
                </c:pt>
                <c:pt idx="789">
                  <c:v>45200</c:v>
                </c:pt>
                <c:pt idx="790">
                  <c:v>45051</c:v>
                </c:pt>
                <c:pt idx="791">
                  <c:v>45282</c:v>
                </c:pt>
                <c:pt idx="792">
                  <c:v>45090</c:v>
                </c:pt>
                <c:pt idx="793">
                  <c:v>44937</c:v>
                </c:pt>
                <c:pt idx="794">
                  <c:v>44964</c:v>
                </c:pt>
                <c:pt idx="795">
                  <c:v>45121</c:v>
                </c:pt>
                <c:pt idx="796">
                  <c:v>45023</c:v>
                </c:pt>
                <c:pt idx="797">
                  <c:v>45278</c:v>
                </c:pt>
                <c:pt idx="798">
                  <c:v>45247</c:v>
                </c:pt>
                <c:pt idx="799">
                  <c:v>45286</c:v>
                </c:pt>
                <c:pt idx="800">
                  <c:v>45264</c:v>
                </c:pt>
                <c:pt idx="801">
                  <c:v>45085</c:v>
                </c:pt>
                <c:pt idx="802">
                  <c:v>45152</c:v>
                </c:pt>
                <c:pt idx="803">
                  <c:v>45243</c:v>
                </c:pt>
                <c:pt idx="804">
                  <c:v>45216</c:v>
                </c:pt>
                <c:pt idx="805">
                  <c:v>45130</c:v>
                </c:pt>
                <c:pt idx="806">
                  <c:v>45092</c:v>
                </c:pt>
                <c:pt idx="807">
                  <c:v>45125</c:v>
                </c:pt>
                <c:pt idx="808">
                  <c:v>45058</c:v>
                </c:pt>
                <c:pt idx="809">
                  <c:v>44976</c:v>
                </c:pt>
                <c:pt idx="810">
                  <c:v>45216</c:v>
                </c:pt>
                <c:pt idx="811">
                  <c:v>45199</c:v>
                </c:pt>
                <c:pt idx="812">
                  <c:v>45066</c:v>
                </c:pt>
                <c:pt idx="813">
                  <c:v>45043</c:v>
                </c:pt>
                <c:pt idx="814">
                  <c:v>45012</c:v>
                </c:pt>
                <c:pt idx="815">
                  <c:v>45138</c:v>
                </c:pt>
                <c:pt idx="816">
                  <c:v>44968</c:v>
                </c:pt>
                <c:pt idx="817">
                  <c:v>44930</c:v>
                </c:pt>
                <c:pt idx="818">
                  <c:v>45168</c:v>
                </c:pt>
                <c:pt idx="819">
                  <c:v>44991</c:v>
                </c:pt>
                <c:pt idx="820">
                  <c:v>44983</c:v>
                </c:pt>
                <c:pt idx="821">
                  <c:v>44982</c:v>
                </c:pt>
                <c:pt idx="822">
                  <c:v>44929</c:v>
                </c:pt>
                <c:pt idx="823">
                  <c:v>45288</c:v>
                </c:pt>
                <c:pt idx="824">
                  <c:v>45248</c:v>
                </c:pt>
                <c:pt idx="825">
                  <c:v>44996</c:v>
                </c:pt>
                <c:pt idx="826">
                  <c:v>45188</c:v>
                </c:pt>
                <c:pt idx="827">
                  <c:v>45061</c:v>
                </c:pt>
                <c:pt idx="828">
                  <c:v>45222</c:v>
                </c:pt>
                <c:pt idx="829">
                  <c:v>44992</c:v>
                </c:pt>
                <c:pt idx="830">
                  <c:v>44942</c:v>
                </c:pt>
                <c:pt idx="831">
                  <c:v>45026</c:v>
                </c:pt>
                <c:pt idx="832">
                  <c:v>45182</c:v>
                </c:pt>
                <c:pt idx="833">
                  <c:v>45195</c:v>
                </c:pt>
                <c:pt idx="834">
                  <c:v>45253</c:v>
                </c:pt>
                <c:pt idx="835">
                  <c:v>45150</c:v>
                </c:pt>
                <c:pt idx="836">
                  <c:v>45273</c:v>
                </c:pt>
                <c:pt idx="837">
                  <c:v>45115</c:v>
                </c:pt>
                <c:pt idx="838">
                  <c:v>45132</c:v>
                </c:pt>
                <c:pt idx="839">
                  <c:v>45115</c:v>
                </c:pt>
                <c:pt idx="840">
                  <c:v>45135</c:v>
                </c:pt>
                <c:pt idx="841">
                  <c:v>45188</c:v>
                </c:pt>
                <c:pt idx="842">
                  <c:v>44944</c:v>
                </c:pt>
                <c:pt idx="843">
                  <c:v>44932</c:v>
                </c:pt>
                <c:pt idx="844">
                  <c:v>45116</c:v>
                </c:pt>
                <c:pt idx="845">
                  <c:v>45108</c:v>
                </c:pt>
                <c:pt idx="846">
                  <c:v>45214</c:v>
                </c:pt>
                <c:pt idx="847">
                  <c:v>45294</c:v>
                </c:pt>
                <c:pt idx="848">
                  <c:v>45246</c:v>
                </c:pt>
                <c:pt idx="849">
                  <c:v>45157</c:v>
                </c:pt>
                <c:pt idx="850">
                  <c:v>45268</c:v>
                </c:pt>
                <c:pt idx="851">
                  <c:v>45269</c:v>
                </c:pt>
                <c:pt idx="852">
                  <c:v>45224</c:v>
                </c:pt>
                <c:pt idx="853">
                  <c:v>45276</c:v>
                </c:pt>
                <c:pt idx="854">
                  <c:v>45144</c:v>
                </c:pt>
                <c:pt idx="855">
                  <c:v>45042</c:v>
                </c:pt>
                <c:pt idx="856">
                  <c:v>45104</c:v>
                </c:pt>
                <c:pt idx="857">
                  <c:v>44952</c:v>
                </c:pt>
                <c:pt idx="858">
                  <c:v>45225</c:v>
                </c:pt>
                <c:pt idx="859">
                  <c:v>44956</c:v>
                </c:pt>
                <c:pt idx="860">
                  <c:v>45075</c:v>
                </c:pt>
                <c:pt idx="861">
                  <c:v>45201</c:v>
                </c:pt>
                <c:pt idx="862">
                  <c:v>45083</c:v>
                </c:pt>
                <c:pt idx="863">
                  <c:v>44957</c:v>
                </c:pt>
                <c:pt idx="864">
                  <c:v>45291</c:v>
                </c:pt>
                <c:pt idx="865">
                  <c:v>44931</c:v>
                </c:pt>
                <c:pt idx="866">
                  <c:v>45087</c:v>
                </c:pt>
                <c:pt idx="867">
                  <c:v>45072</c:v>
                </c:pt>
                <c:pt idx="868">
                  <c:v>45205</c:v>
                </c:pt>
                <c:pt idx="869">
                  <c:v>45032</c:v>
                </c:pt>
                <c:pt idx="870">
                  <c:v>44943</c:v>
                </c:pt>
                <c:pt idx="871">
                  <c:v>45007</c:v>
                </c:pt>
                <c:pt idx="872">
                  <c:v>45250</c:v>
                </c:pt>
                <c:pt idx="873">
                  <c:v>45128</c:v>
                </c:pt>
                <c:pt idx="874">
                  <c:v>45133</c:v>
                </c:pt>
                <c:pt idx="875">
                  <c:v>45064</c:v>
                </c:pt>
                <c:pt idx="876">
                  <c:v>45294</c:v>
                </c:pt>
                <c:pt idx="877">
                  <c:v>45150</c:v>
                </c:pt>
                <c:pt idx="878">
                  <c:v>45154</c:v>
                </c:pt>
                <c:pt idx="879">
                  <c:v>45149</c:v>
                </c:pt>
                <c:pt idx="880">
                  <c:v>44928</c:v>
                </c:pt>
                <c:pt idx="881">
                  <c:v>45135</c:v>
                </c:pt>
                <c:pt idx="882">
                  <c:v>45043</c:v>
                </c:pt>
                <c:pt idx="883">
                  <c:v>45154</c:v>
                </c:pt>
                <c:pt idx="884">
                  <c:v>45221</c:v>
                </c:pt>
                <c:pt idx="885">
                  <c:v>45162</c:v>
                </c:pt>
                <c:pt idx="886">
                  <c:v>45226</c:v>
                </c:pt>
                <c:pt idx="887">
                  <c:v>45256</c:v>
                </c:pt>
                <c:pt idx="888">
                  <c:v>44974</c:v>
                </c:pt>
                <c:pt idx="889">
                  <c:v>45239</c:v>
                </c:pt>
                <c:pt idx="890">
                  <c:v>45087</c:v>
                </c:pt>
                <c:pt idx="891">
                  <c:v>45029</c:v>
                </c:pt>
                <c:pt idx="892">
                  <c:v>45041</c:v>
                </c:pt>
                <c:pt idx="893">
                  <c:v>44988</c:v>
                </c:pt>
                <c:pt idx="894">
                  <c:v>44999</c:v>
                </c:pt>
                <c:pt idx="895">
                  <c:v>45019</c:v>
                </c:pt>
                <c:pt idx="896">
                  <c:v>45018</c:v>
                </c:pt>
                <c:pt idx="897">
                  <c:v>45115</c:v>
                </c:pt>
                <c:pt idx="898">
                  <c:v>45036</c:v>
                </c:pt>
                <c:pt idx="899">
                  <c:v>45218</c:v>
                </c:pt>
                <c:pt idx="900">
                  <c:v>45060</c:v>
                </c:pt>
                <c:pt idx="901">
                  <c:v>45198</c:v>
                </c:pt>
                <c:pt idx="902">
                  <c:v>45286</c:v>
                </c:pt>
                <c:pt idx="903">
                  <c:v>45085</c:v>
                </c:pt>
                <c:pt idx="904">
                  <c:v>45080</c:v>
                </c:pt>
                <c:pt idx="905">
                  <c:v>45260</c:v>
                </c:pt>
                <c:pt idx="906">
                  <c:v>44971</c:v>
                </c:pt>
                <c:pt idx="907">
                  <c:v>45109</c:v>
                </c:pt>
                <c:pt idx="908">
                  <c:v>45090</c:v>
                </c:pt>
                <c:pt idx="909">
                  <c:v>45013</c:v>
                </c:pt>
                <c:pt idx="910">
                  <c:v>45284</c:v>
                </c:pt>
                <c:pt idx="911">
                  <c:v>45070</c:v>
                </c:pt>
                <c:pt idx="912">
                  <c:v>45067</c:v>
                </c:pt>
                <c:pt idx="913">
                  <c:v>44931</c:v>
                </c:pt>
                <c:pt idx="914">
                  <c:v>45249</c:v>
                </c:pt>
                <c:pt idx="915">
                  <c:v>45140</c:v>
                </c:pt>
                <c:pt idx="916">
                  <c:v>45093</c:v>
                </c:pt>
                <c:pt idx="917">
                  <c:v>44963</c:v>
                </c:pt>
                <c:pt idx="918">
                  <c:v>45197</c:v>
                </c:pt>
                <c:pt idx="919">
                  <c:v>45237</c:v>
                </c:pt>
                <c:pt idx="920">
                  <c:v>45020</c:v>
                </c:pt>
                <c:pt idx="921">
                  <c:v>45254</c:v>
                </c:pt>
                <c:pt idx="922">
                  <c:v>45188</c:v>
                </c:pt>
                <c:pt idx="923">
                  <c:v>44971</c:v>
                </c:pt>
                <c:pt idx="924">
                  <c:v>44998</c:v>
                </c:pt>
                <c:pt idx="925">
                  <c:v>45162</c:v>
                </c:pt>
                <c:pt idx="926">
                  <c:v>45047</c:v>
                </c:pt>
                <c:pt idx="927">
                  <c:v>45192</c:v>
                </c:pt>
                <c:pt idx="928">
                  <c:v>44960</c:v>
                </c:pt>
                <c:pt idx="929">
                  <c:v>45289</c:v>
                </c:pt>
                <c:pt idx="930">
                  <c:v>45274</c:v>
                </c:pt>
                <c:pt idx="931">
                  <c:v>44970</c:v>
                </c:pt>
                <c:pt idx="932">
                  <c:v>45011</c:v>
                </c:pt>
                <c:pt idx="933">
                  <c:v>45141</c:v>
                </c:pt>
                <c:pt idx="934">
                  <c:v>45181</c:v>
                </c:pt>
                <c:pt idx="935">
                  <c:v>45128</c:v>
                </c:pt>
                <c:pt idx="936">
                  <c:v>44931</c:v>
                </c:pt>
                <c:pt idx="937">
                  <c:v>45105</c:v>
                </c:pt>
                <c:pt idx="938">
                  <c:v>45294</c:v>
                </c:pt>
                <c:pt idx="939">
                  <c:v>45049</c:v>
                </c:pt>
                <c:pt idx="940">
                  <c:v>45130</c:v>
                </c:pt>
                <c:pt idx="941">
                  <c:v>45273</c:v>
                </c:pt>
                <c:pt idx="942">
                  <c:v>45068</c:v>
                </c:pt>
                <c:pt idx="943">
                  <c:v>45272</c:v>
                </c:pt>
                <c:pt idx="944">
                  <c:v>44954</c:v>
                </c:pt>
                <c:pt idx="945">
                  <c:v>45258</c:v>
                </c:pt>
                <c:pt idx="946">
                  <c:v>45262</c:v>
                </c:pt>
                <c:pt idx="947">
                  <c:v>45075</c:v>
                </c:pt>
                <c:pt idx="948">
                  <c:v>45062</c:v>
                </c:pt>
                <c:pt idx="949">
                  <c:v>45139</c:v>
                </c:pt>
                <c:pt idx="950">
                  <c:v>45138</c:v>
                </c:pt>
                <c:pt idx="951">
                  <c:v>45118</c:v>
                </c:pt>
                <c:pt idx="952">
                  <c:v>44952</c:v>
                </c:pt>
                <c:pt idx="953">
                  <c:v>45244</c:v>
                </c:pt>
                <c:pt idx="954">
                  <c:v>44983</c:v>
                </c:pt>
                <c:pt idx="955">
                  <c:v>45133</c:v>
                </c:pt>
                <c:pt idx="956">
                  <c:v>45084</c:v>
                </c:pt>
                <c:pt idx="957">
                  <c:v>45075</c:v>
                </c:pt>
                <c:pt idx="958">
                  <c:v>45088</c:v>
                </c:pt>
                <c:pt idx="959">
                  <c:v>44969</c:v>
                </c:pt>
                <c:pt idx="960">
                  <c:v>45278</c:v>
                </c:pt>
                <c:pt idx="961">
                  <c:v>45124</c:v>
                </c:pt>
                <c:pt idx="962">
                  <c:v>45066</c:v>
                </c:pt>
                <c:pt idx="963">
                  <c:v>44930</c:v>
                </c:pt>
                <c:pt idx="964">
                  <c:v>45270</c:v>
                </c:pt>
                <c:pt idx="965">
                  <c:v>45247</c:v>
                </c:pt>
                <c:pt idx="966">
                  <c:v>45164</c:v>
                </c:pt>
                <c:pt idx="967">
                  <c:v>44967</c:v>
                </c:pt>
                <c:pt idx="968">
                  <c:v>44936</c:v>
                </c:pt>
                <c:pt idx="969">
                  <c:v>45126</c:v>
                </c:pt>
                <c:pt idx="970">
                  <c:v>45012</c:v>
                </c:pt>
                <c:pt idx="971">
                  <c:v>45158</c:v>
                </c:pt>
                <c:pt idx="972">
                  <c:v>45129</c:v>
                </c:pt>
                <c:pt idx="973">
                  <c:v>45209</c:v>
                </c:pt>
                <c:pt idx="974">
                  <c:v>45076</c:v>
                </c:pt>
                <c:pt idx="975">
                  <c:v>45215</c:v>
                </c:pt>
                <c:pt idx="976">
                  <c:v>45050</c:v>
                </c:pt>
                <c:pt idx="977">
                  <c:v>45232</c:v>
                </c:pt>
                <c:pt idx="978">
                  <c:v>44935</c:v>
                </c:pt>
                <c:pt idx="979">
                  <c:v>44977</c:v>
                </c:pt>
                <c:pt idx="980">
                  <c:v>45138</c:v>
                </c:pt>
                <c:pt idx="981">
                  <c:v>45102</c:v>
                </c:pt>
                <c:pt idx="982">
                  <c:v>45000</c:v>
                </c:pt>
                <c:pt idx="983">
                  <c:v>45207</c:v>
                </c:pt>
                <c:pt idx="984">
                  <c:v>45109</c:v>
                </c:pt>
                <c:pt idx="985">
                  <c:v>45137</c:v>
                </c:pt>
                <c:pt idx="986">
                  <c:v>44937</c:v>
                </c:pt>
                <c:pt idx="987">
                  <c:v>45141</c:v>
                </c:pt>
                <c:pt idx="988">
                  <c:v>45194</c:v>
                </c:pt>
                <c:pt idx="989">
                  <c:v>45260</c:v>
                </c:pt>
                <c:pt idx="990">
                  <c:v>45219</c:v>
                </c:pt>
                <c:pt idx="991">
                  <c:v>44927</c:v>
                </c:pt>
                <c:pt idx="992">
                  <c:v>45143</c:v>
                </c:pt>
                <c:pt idx="993">
                  <c:v>44930</c:v>
                </c:pt>
                <c:pt idx="994">
                  <c:v>44931</c:v>
                </c:pt>
                <c:pt idx="995">
                  <c:v>45017</c:v>
                </c:pt>
                <c:pt idx="996">
                  <c:v>45219</c:v>
                </c:pt>
                <c:pt idx="997">
                  <c:v>44933</c:v>
                </c:pt>
                <c:pt idx="998">
                  <c:v>44956</c:v>
                </c:pt>
              </c:numCache>
            </c:numRef>
          </c:xVal>
          <c:yVal>
            <c:numRef>
              <c:f>Table!$H$3:$H$1001</c:f>
              <c:numCache>
                <c:formatCode>General</c:formatCode>
                <c:ptCount val="999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4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3</c:v>
                </c:pt>
                <c:pt idx="62">
                  <c:v>2</c:v>
                </c:pt>
                <c:pt idx="63">
                  <c:v>5</c:v>
                </c:pt>
                <c:pt idx="64">
                  <c:v>1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1</c:v>
                </c:pt>
                <c:pt idx="69">
                  <c:v>2</c:v>
                </c:pt>
                <c:pt idx="70">
                  <c:v>5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5</c:v>
                </c:pt>
                <c:pt idx="79">
                  <c:v>3</c:v>
                </c:pt>
                <c:pt idx="80">
                  <c:v>5</c:v>
                </c:pt>
                <c:pt idx="81">
                  <c:v>5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5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5</c:v>
                </c:pt>
                <c:pt idx="94">
                  <c:v>2</c:v>
                </c:pt>
                <c:pt idx="95">
                  <c:v>1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2</c:v>
                </c:pt>
                <c:pt idx="100">
                  <c:v>2</c:v>
                </c:pt>
                <c:pt idx="101">
                  <c:v>4</c:v>
                </c:pt>
                <c:pt idx="102">
                  <c:v>1</c:v>
                </c:pt>
                <c:pt idx="103">
                  <c:v>5</c:v>
                </c:pt>
                <c:pt idx="104">
                  <c:v>3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5</c:v>
                </c:pt>
                <c:pt idx="111">
                  <c:v>3</c:v>
                </c:pt>
                <c:pt idx="112">
                  <c:v>5</c:v>
                </c:pt>
                <c:pt idx="113">
                  <c:v>3</c:v>
                </c:pt>
                <c:pt idx="114">
                  <c:v>1</c:v>
                </c:pt>
                <c:pt idx="115">
                  <c:v>5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5</c:v>
                </c:pt>
                <c:pt idx="126">
                  <c:v>3</c:v>
                </c:pt>
                <c:pt idx="127">
                  <c:v>5</c:v>
                </c:pt>
                <c:pt idx="128">
                  <c:v>1</c:v>
                </c:pt>
                <c:pt idx="129">
                  <c:v>5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5</c:v>
                </c:pt>
                <c:pt idx="139">
                  <c:v>2</c:v>
                </c:pt>
                <c:pt idx="140">
                  <c:v>1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45">
                  <c:v>1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2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2</c:v>
                </c:pt>
                <c:pt idx="156">
                  <c:v>5</c:v>
                </c:pt>
                <c:pt idx="157">
                  <c:v>5</c:v>
                </c:pt>
                <c:pt idx="158">
                  <c:v>1</c:v>
                </c:pt>
                <c:pt idx="159">
                  <c:v>1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4</c:v>
                </c:pt>
                <c:pt idx="166">
                  <c:v>4</c:v>
                </c:pt>
                <c:pt idx="167">
                  <c:v>5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2</c:v>
                </c:pt>
                <c:pt idx="172">
                  <c:v>4</c:v>
                </c:pt>
                <c:pt idx="173">
                  <c:v>5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5</c:v>
                </c:pt>
                <c:pt idx="184">
                  <c:v>5</c:v>
                </c:pt>
                <c:pt idx="185">
                  <c:v>3</c:v>
                </c:pt>
                <c:pt idx="186">
                  <c:v>2</c:v>
                </c:pt>
                <c:pt idx="187">
                  <c:v>1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1</c:v>
                </c:pt>
                <c:pt idx="198">
                  <c:v>5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2</c:v>
                </c:pt>
                <c:pt idx="203">
                  <c:v>5</c:v>
                </c:pt>
                <c:pt idx="204">
                  <c:v>5</c:v>
                </c:pt>
                <c:pt idx="205">
                  <c:v>2</c:v>
                </c:pt>
                <c:pt idx="206">
                  <c:v>1</c:v>
                </c:pt>
                <c:pt idx="207">
                  <c:v>3</c:v>
                </c:pt>
                <c:pt idx="208">
                  <c:v>5</c:v>
                </c:pt>
                <c:pt idx="209">
                  <c:v>2</c:v>
                </c:pt>
                <c:pt idx="210">
                  <c:v>3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1</c:v>
                </c:pt>
                <c:pt idx="215">
                  <c:v>4</c:v>
                </c:pt>
                <c:pt idx="216">
                  <c:v>2</c:v>
                </c:pt>
                <c:pt idx="217">
                  <c:v>5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1</c:v>
                </c:pt>
                <c:pt idx="222">
                  <c:v>3</c:v>
                </c:pt>
                <c:pt idx="223">
                  <c:v>2</c:v>
                </c:pt>
                <c:pt idx="224">
                  <c:v>4</c:v>
                </c:pt>
                <c:pt idx="225">
                  <c:v>4</c:v>
                </c:pt>
                <c:pt idx="226">
                  <c:v>3</c:v>
                </c:pt>
                <c:pt idx="227">
                  <c:v>1</c:v>
                </c:pt>
                <c:pt idx="228">
                  <c:v>4</c:v>
                </c:pt>
                <c:pt idx="229">
                  <c:v>2</c:v>
                </c:pt>
                <c:pt idx="230">
                  <c:v>5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1</c:v>
                </c:pt>
                <c:pt idx="235">
                  <c:v>3</c:v>
                </c:pt>
                <c:pt idx="236">
                  <c:v>5</c:v>
                </c:pt>
                <c:pt idx="237">
                  <c:v>4</c:v>
                </c:pt>
                <c:pt idx="238">
                  <c:v>4</c:v>
                </c:pt>
                <c:pt idx="239">
                  <c:v>1</c:v>
                </c:pt>
                <c:pt idx="240">
                  <c:v>2</c:v>
                </c:pt>
                <c:pt idx="241">
                  <c:v>3</c:v>
                </c:pt>
                <c:pt idx="242">
                  <c:v>4</c:v>
                </c:pt>
                <c:pt idx="243">
                  <c:v>3</c:v>
                </c:pt>
                <c:pt idx="244">
                  <c:v>3</c:v>
                </c:pt>
                <c:pt idx="245">
                  <c:v>5</c:v>
                </c:pt>
                <c:pt idx="246">
                  <c:v>5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3</c:v>
                </c:pt>
                <c:pt idx="253">
                  <c:v>5</c:v>
                </c:pt>
                <c:pt idx="254">
                  <c:v>1</c:v>
                </c:pt>
                <c:pt idx="255">
                  <c:v>4</c:v>
                </c:pt>
                <c:pt idx="256">
                  <c:v>3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2</c:v>
                </c:pt>
                <c:pt idx="266">
                  <c:v>5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2</c:v>
                </c:pt>
                <c:pt idx="271">
                  <c:v>3</c:v>
                </c:pt>
                <c:pt idx="272">
                  <c:v>4</c:v>
                </c:pt>
                <c:pt idx="273">
                  <c:v>1</c:v>
                </c:pt>
                <c:pt idx="274">
                  <c:v>3</c:v>
                </c:pt>
                <c:pt idx="275">
                  <c:v>3</c:v>
                </c:pt>
                <c:pt idx="276">
                  <c:v>5</c:v>
                </c:pt>
                <c:pt idx="277">
                  <c:v>1</c:v>
                </c:pt>
                <c:pt idx="278">
                  <c:v>1</c:v>
                </c:pt>
                <c:pt idx="279">
                  <c:v>5</c:v>
                </c:pt>
                <c:pt idx="280">
                  <c:v>5</c:v>
                </c:pt>
                <c:pt idx="281">
                  <c:v>4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2</c:v>
                </c:pt>
                <c:pt idx="286">
                  <c:v>2</c:v>
                </c:pt>
                <c:pt idx="287">
                  <c:v>5</c:v>
                </c:pt>
                <c:pt idx="288">
                  <c:v>2</c:v>
                </c:pt>
                <c:pt idx="289">
                  <c:v>5</c:v>
                </c:pt>
                <c:pt idx="290">
                  <c:v>1</c:v>
                </c:pt>
                <c:pt idx="291">
                  <c:v>1</c:v>
                </c:pt>
                <c:pt idx="292">
                  <c:v>5</c:v>
                </c:pt>
                <c:pt idx="293">
                  <c:v>4</c:v>
                </c:pt>
                <c:pt idx="294">
                  <c:v>5</c:v>
                </c:pt>
                <c:pt idx="295">
                  <c:v>5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3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5</c:v>
                </c:pt>
                <c:pt idx="310">
                  <c:v>4</c:v>
                </c:pt>
                <c:pt idx="311">
                  <c:v>2</c:v>
                </c:pt>
                <c:pt idx="312">
                  <c:v>1</c:v>
                </c:pt>
                <c:pt idx="313">
                  <c:v>5</c:v>
                </c:pt>
                <c:pt idx="314">
                  <c:v>3</c:v>
                </c:pt>
                <c:pt idx="315">
                  <c:v>5</c:v>
                </c:pt>
                <c:pt idx="316">
                  <c:v>3</c:v>
                </c:pt>
                <c:pt idx="317">
                  <c:v>1</c:v>
                </c:pt>
                <c:pt idx="318">
                  <c:v>4</c:v>
                </c:pt>
                <c:pt idx="319">
                  <c:v>5</c:v>
                </c:pt>
                <c:pt idx="320">
                  <c:v>1</c:v>
                </c:pt>
                <c:pt idx="321">
                  <c:v>5</c:v>
                </c:pt>
                <c:pt idx="322">
                  <c:v>3</c:v>
                </c:pt>
                <c:pt idx="323">
                  <c:v>1</c:v>
                </c:pt>
                <c:pt idx="324">
                  <c:v>2</c:v>
                </c:pt>
                <c:pt idx="325">
                  <c:v>5</c:v>
                </c:pt>
                <c:pt idx="326">
                  <c:v>3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1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3</c:v>
                </c:pt>
                <c:pt idx="338">
                  <c:v>1</c:v>
                </c:pt>
                <c:pt idx="339">
                  <c:v>3</c:v>
                </c:pt>
                <c:pt idx="340">
                  <c:v>4</c:v>
                </c:pt>
                <c:pt idx="341">
                  <c:v>5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4</c:v>
                </c:pt>
                <c:pt idx="348">
                  <c:v>2</c:v>
                </c:pt>
                <c:pt idx="349">
                  <c:v>3</c:v>
                </c:pt>
                <c:pt idx="350">
                  <c:v>1</c:v>
                </c:pt>
                <c:pt idx="351">
                  <c:v>3</c:v>
                </c:pt>
                <c:pt idx="352">
                  <c:v>2</c:v>
                </c:pt>
                <c:pt idx="353">
                  <c:v>2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2</c:v>
                </c:pt>
                <c:pt idx="358">
                  <c:v>3</c:v>
                </c:pt>
                <c:pt idx="359">
                  <c:v>4</c:v>
                </c:pt>
                <c:pt idx="360">
                  <c:v>4</c:v>
                </c:pt>
                <c:pt idx="361">
                  <c:v>1</c:v>
                </c:pt>
                <c:pt idx="362">
                  <c:v>4</c:v>
                </c:pt>
                <c:pt idx="363">
                  <c:v>5</c:v>
                </c:pt>
                <c:pt idx="364">
                  <c:v>1</c:v>
                </c:pt>
                <c:pt idx="365">
                  <c:v>1</c:v>
                </c:pt>
                <c:pt idx="366">
                  <c:v>2</c:v>
                </c:pt>
                <c:pt idx="367">
                  <c:v>2</c:v>
                </c:pt>
                <c:pt idx="368">
                  <c:v>5</c:v>
                </c:pt>
                <c:pt idx="369">
                  <c:v>3</c:v>
                </c:pt>
                <c:pt idx="370">
                  <c:v>1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4</c:v>
                </c:pt>
                <c:pt idx="375">
                  <c:v>1</c:v>
                </c:pt>
                <c:pt idx="376">
                  <c:v>3</c:v>
                </c:pt>
                <c:pt idx="377">
                  <c:v>2</c:v>
                </c:pt>
                <c:pt idx="378">
                  <c:v>5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3</c:v>
                </c:pt>
                <c:pt idx="384">
                  <c:v>4</c:v>
                </c:pt>
                <c:pt idx="385">
                  <c:v>1</c:v>
                </c:pt>
                <c:pt idx="386">
                  <c:v>1</c:v>
                </c:pt>
                <c:pt idx="387">
                  <c:v>3</c:v>
                </c:pt>
                <c:pt idx="388">
                  <c:v>4</c:v>
                </c:pt>
                <c:pt idx="389">
                  <c:v>5</c:v>
                </c:pt>
                <c:pt idx="390">
                  <c:v>5</c:v>
                </c:pt>
                <c:pt idx="391">
                  <c:v>2</c:v>
                </c:pt>
                <c:pt idx="392">
                  <c:v>3</c:v>
                </c:pt>
                <c:pt idx="393">
                  <c:v>1</c:v>
                </c:pt>
                <c:pt idx="394">
                  <c:v>2</c:v>
                </c:pt>
                <c:pt idx="395">
                  <c:v>4</c:v>
                </c:pt>
                <c:pt idx="396">
                  <c:v>3</c:v>
                </c:pt>
                <c:pt idx="397">
                  <c:v>5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1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3</c:v>
                </c:pt>
                <c:pt idx="409">
                  <c:v>3</c:v>
                </c:pt>
                <c:pt idx="410">
                  <c:v>5</c:v>
                </c:pt>
                <c:pt idx="411">
                  <c:v>2</c:v>
                </c:pt>
                <c:pt idx="412">
                  <c:v>2</c:v>
                </c:pt>
                <c:pt idx="413">
                  <c:v>4</c:v>
                </c:pt>
                <c:pt idx="414">
                  <c:v>5</c:v>
                </c:pt>
                <c:pt idx="415">
                  <c:v>5</c:v>
                </c:pt>
                <c:pt idx="416">
                  <c:v>2</c:v>
                </c:pt>
                <c:pt idx="417">
                  <c:v>2</c:v>
                </c:pt>
                <c:pt idx="418">
                  <c:v>4</c:v>
                </c:pt>
                <c:pt idx="419">
                  <c:v>4</c:v>
                </c:pt>
                <c:pt idx="420">
                  <c:v>2</c:v>
                </c:pt>
                <c:pt idx="421">
                  <c:v>3</c:v>
                </c:pt>
                <c:pt idx="422">
                  <c:v>1</c:v>
                </c:pt>
                <c:pt idx="423">
                  <c:v>3</c:v>
                </c:pt>
                <c:pt idx="424">
                  <c:v>3</c:v>
                </c:pt>
                <c:pt idx="425">
                  <c:v>5</c:v>
                </c:pt>
                <c:pt idx="426">
                  <c:v>3</c:v>
                </c:pt>
                <c:pt idx="427">
                  <c:v>2</c:v>
                </c:pt>
                <c:pt idx="428">
                  <c:v>3</c:v>
                </c:pt>
                <c:pt idx="429">
                  <c:v>1</c:v>
                </c:pt>
                <c:pt idx="430">
                  <c:v>5</c:v>
                </c:pt>
                <c:pt idx="431">
                  <c:v>1</c:v>
                </c:pt>
                <c:pt idx="432">
                  <c:v>4</c:v>
                </c:pt>
                <c:pt idx="433">
                  <c:v>3</c:v>
                </c:pt>
                <c:pt idx="434">
                  <c:v>3</c:v>
                </c:pt>
                <c:pt idx="435">
                  <c:v>2</c:v>
                </c:pt>
                <c:pt idx="436">
                  <c:v>4</c:v>
                </c:pt>
                <c:pt idx="437">
                  <c:v>4</c:v>
                </c:pt>
                <c:pt idx="438">
                  <c:v>1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3</c:v>
                </c:pt>
                <c:pt idx="445">
                  <c:v>1</c:v>
                </c:pt>
                <c:pt idx="446">
                  <c:v>3</c:v>
                </c:pt>
                <c:pt idx="447">
                  <c:v>3</c:v>
                </c:pt>
                <c:pt idx="448">
                  <c:v>4</c:v>
                </c:pt>
                <c:pt idx="449">
                  <c:v>5</c:v>
                </c:pt>
                <c:pt idx="450">
                  <c:v>3</c:v>
                </c:pt>
                <c:pt idx="451">
                  <c:v>1</c:v>
                </c:pt>
                <c:pt idx="452">
                  <c:v>1</c:v>
                </c:pt>
                <c:pt idx="453">
                  <c:v>4</c:v>
                </c:pt>
                <c:pt idx="454">
                  <c:v>4</c:v>
                </c:pt>
                <c:pt idx="455">
                  <c:v>1</c:v>
                </c:pt>
                <c:pt idx="456">
                  <c:v>3</c:v>
                </c:pt>
                <c:pt idx="457">
                  <c:v>2</c:v>
                </c:pt>
                <c:pt idx="458">
                  <c:v>5</c:v>
                </c:pt>
                <c:pt idx="459">
                  <c:v>2</c:v>
                </c:pt>
                <c:pt idx="460">
                  <c:v>2</c:v>
                </c:pt>
                <c:pt idx="461">
                  <c:v>5</c:v>
                </c:pt>
                <c:pt idx="462">
                  <c:v>3</c:v>
                </c:pt>
                <c:pt idx="463">
                  <c:v>4</c:v>
                </c:pt>
                <c:pt idx="464">
                  <c:v>1</c:v>
                </c:pt>
                <c:pt idx="465">
                  <c:v>3</c:v>
                </c:pt>
                <c:pt idx="466">
                  <c:v>4</c:v>
                </c:pt>
                <c:pt idx="467">
                  <c:v>4</c:v>
                </c:pt>
                <c:pt idx="468">
                  <c:v>1</c:v>
                </c:pt>
                <c:pt idx="469">
                  <c:v>2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2</c:v>
                </c:pt>
                <c:pt idx="475">
                  <c:v>4</c:v>
                </c:pt>
                <c:pt idx="476">
                  <c:v>5</c:v>
                </c:pt>
                <c:pt idx="477">
                  <c:v>1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5</c:v>
                </c:pt>
                <c:pt idx="482">
                  <c:v>4</c:v>
                </c:pt>
                <c:pt idx="483">
                  <c:v>4</c:v>
                </c:pt>
                <c:pt idx="484">
                  <c:v>1</c:v>
                </c:pt>
                <c:pt idx="485">
                  <c:v>3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4</c:v>
                </c:pt>
                <c:pt idx="493">
                  <c:v>1</c:v>
                </c:pt>
                <c:pt idx="494">
                  <c:v>1</c:v>
                </c:pt>
                <c:pt idx="495">
                  <c:v>4</c:v>
                </c:pt>
                <c:pt idx="496">
                  <c:v>2</c:v>
                </c:pt>
                <c:pt idx="497">
                  <c:v>3</c:v>
                </c:pt>
                <c:pt idx="498">
                  <c:v>4</c:v>
                </c:pt>
                <c:pt idx="499">
                  <c:v>5</c:v>
                </c:pt>
                <c:pt idx="500">
                  <c:v>4</c:v>
                </c:pt>
                <c:pt idx="501">
                  <c:v>1</c:v>
                </c:pt>
                <c:pt idx="502">
                  <c:v>2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2</c:v>
                </c:pt>
                <c:pt idx="511">
                  <c:v>4</c:v>
                </c:pt>
                <c:pt idx="512">
                  <c:v>2</c:v>
                </c:pt>
                <c:pt idx="513">
                  <c:v>3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5</c:v>
                </c:pt>
                <c:pt idx="518">
                  <c:v>3</c:v>
                </c:pt>
                <c:pt idx="519">
                  <c:v>3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4</c:v>
                </c:pt>
                <c:pt idx="525">
                  <c:v>5</c:v>
                </c:pt>
                <c:pt idx="526">
                  <c:v>4</c:v>
                </c:pt>
                <c:pt idx="527">
                  <c:v>4</c:v>
                </c:pt>
                <c:pt idx="528">
                  <c:v>5</c:v>
                </c:pt>
                <c:pt idx="529">
                  <c:v>1</c:v>
                </c:pt>
                <c:pt idx="530">
                  <c:v>1</c:v>
                </c:pt>
                <c:pt idx="531">
                  <c:v>5</c:v>
                </c:pt>
                <c:pt idx="532">
                  <c:v>1</c:v>
                </c:pt>
                <c:pt idx="533">
                  <c:v>5</c:v>
                </c:pt>
                <c:pt idx="534">
                  <c:v>5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2</c:v>
                </c:pt>
                <c:pt idx="542">
                  <c:v>4</c:v>
                </c:pt>
                <c:pt idx="543">
                  <c:v>4</c:v>
                </c:pt>
                <c:pt idx="544">
                  <c:v>3</c:v>
                </c:pt>
                <c:pt idx="545">
                  <c:v>5</c:v>
                </c:pt>
                <c:pt idx="546">
                  <c:v>3</c:v>
                </c:pt>
                <c:pt idx="547">
                  <c:v>5</c:v>
                </c:pt>
                <c:pt idx="548">
                  <c:v>3</c:v>
                </c:pt>
                <c:pt idx="549">
                  <c:v>2</c:v>
                </c:pt>
                <c:pt idx="550">
                  <c:v>3</c:v>
                </c:pt>
                <c:pt idx="551">
                  <c:v>4</c:v>
                </c:pt>
                <c:pt idx="552">
                  <c:v>3</c:v>
                </c:pt>
                <c:pt idx="553">
                  <c:v>1</c:v>
                </c:pt>
                <c:pt idx="554">
                  <c:v>1</c:v>
                </c:pt>
                <c:pt idx="555">
                  <c:v>5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5</c:v>
                </c:pt>
                <c:pt idx="560">
                  <c:v>2</c:v>
                </c:pt>
                <c:pt idx="561">
                  <c:v>2</c:v>
                </c:pt>
                <c:pt idx="562">
                  <c:v>1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5</c:v>
                </c:pt>
                <c:pt idx="567">
                  <c:v>2</c:v>
                </c:pt>
                <c:pt idx="568">
                  <c:v>2</c:v>
                </c:pt>
                <c:pt idx="569">
                  <c:v>5</c:v>
                </c:pt>
                <c:pt idx="570">
                  <c:v>5</c:v>
                </c:pt>
                <c:pt idx="571">
                  <c:v>2</c:v>
                </c:pt>
                <c:pt idx="572">
                  <c:v>2</c:v>
                </c:pt>
                <c:pt idx="573">
                  <c:v>4</c:v>
                </c:pt>
                <c:pt idx="574">
                  <c:v>4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3</c:v>
                </c:pt>
                <c:pt idx="579">
                  <c:v>2</c:v>
                </c:pt>
                <c:pt idx="580">
                  <c:v>3</c:v>
                </c:pt>
                <c:pt idx="581">
                  <c:v>1</c:v>
                </c:pt>
                <c:pt idx="582">
                  <c:v>1</c:v>
                </c:pt>
                <c:pt idx="583">
                  <c:v>5</c:v>
                </c:pt>
                <c:pt idx="584">
                  <c:v>4</c:v>
                </c:pt>
                <c:pt idx="585">
                  <c:v>3</c:v>
                </c:pt>
                <c:pt idx="586">
                  <c:v>5</c:v>
                </c:pt>
                <c:pt idx="587">
                  <c:v>2</c:v>
                </c:pt>
                <c:pt idx="588">
                  <c:v>5</c:v>
                </c:pt>
                <c:pt idx="589">
                  <c:v>3</c:v>
                </c:pt>
                <c:pt idx="590">
                  <c:v>3</c:v>
                </c:pt>
                <c:pt idx="591">
                  <c:v>5</c:v>
                </c:pt>
                <c:pt idx="592">
                  <c:v>3</c:v>
                </c:pt>
                <c:pt idx="593">
                  <c:v>4</c:v>
                </c:pt>
                <c:pt idx="594">
                  <c:v>4</c:v>
                </c:pt>
                <c:pt idx="595">
                  <c:v>5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4</c:v>
                </c:pt>
                <c:pt idx="600">
                  <c:v>5</c:v>
                </c:pt>
                <c:pt idx="601">
                  <c:v>3</c:v>
                </c:pt>
                <c:pt idx="602">
                  <c:v>3</c:v>
                </c:pt>
                <c:pt idx="603">
                  <c:v>2</c:v>
                </c:pt>
                <c:pt idx="604">
                  <c:v>2</c:v>
                </c:pt>
                <c:pt idx="605">
                  <c:v>5</c:v>
                </c:pt>
                <c:pt idx="606">
                  <c:v>2</c:v>
                </c:pt>
                <c:pt idx="607">
                  <c:v>5</c:v>
                </c:pt>
                <c:pt idx="608">
                  <c:v>1</c:v>
                </c:pt>
                <c:pt idx="609">
                  <c:v>5</c:v>
                </c:pt>
                <c:pt idx="610">
                  <c:v>5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5</c:v>
                </c:pt>
                <c:pt idx="615">
                  <c:v>4</c:v>
                </c:pt>
                <c:pt idx="616">
                  <c:v>1</c:v>
                </c:pt>
                <c:pt idx="617">
                  <c:v>1</c:v>
                </c:pt>
                <c:pt idx="618">
                  <c:v>3</c:v>
                </c:pt>
                <c:pt idx="619">
                  <c:v>1</c:v>
                </c:pt>
                <c:pt idx="620">
                  <c:v>5</c:v>
                </c:pt>
                <c:pt idx="621">
                  <c:v>2</c:v>
                </c:pt>
                <c:pt idx="622">
                  <c:v>2</c:v>
                </c:pt>
                <c:pt idx="623">
                  <c:v>5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1</c:v>
                </c:pt>
                <c:pt idx="628">
                  <c:v>4</c:v>
                </c:pt>
                <c:pt idx="629">
                  <c:v>4</c:v>
                </c:pt>
                <c:pt idx="630">
                  <c:v>2</c:v>
                </c:pt>
                <c:pt idx="631">
                  <c:v>5</c:v>
                </c:pt>
                <c:pt idx="632">
                  <c:v>2</c:v>
                </c:pt>
                <c:pt idx="633">
                  <c:v>1</c:v>
                </c:pt>
                <c:pt idx="634">
                  <c:v>5</c:v>
                </c:pt>
                <c:pt idx="635">
                  <c:v>4</c:v>
                </c:pt>
                <c:pt idx="636">
                  <c:v>5</c:v>
                </c:pt>
                <c:pt idx="637">
                  <c:v>2</c:v>
                </c:pt>
                <c:pt idx="638">
                  <c:v>3</c:v>
                </c:pt>
                <c:pt idx="639">
                  <c:v>1</c:v>
                </c:pt>
                <c:pt idx="640">
                  <c:v>2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2</c:v>
                </c:pt>
                <c:pt idx="649">
                  <c:v>5</c:v>
                </c:pt>
                <c:pt idx="650">
                  <c:v>3</c:v>
                </c:pt>
                <c:pt idx="651">
                  <c:v>1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1</c:v>
                </c:pt>
                <c:pt idx="656">
                  <c:v>4</c:v>
                </c:pt>
                <c:pt idx="657">
                  <c:v>5</c:v>
                </c:pt>
                <c:pt idx="658">
                  <c:v>1</c:v>
                </c:pt>
                <c:pt idx="659">
                  <c:v>5</c:v>
                </c:pt>
                <c:pt idx="660">
                  <c:v>1</c:v>
                </c:pt>
                <c:pt idx="661">
                  <c:v>1</c:v>
                </c:pt>
                <c:pt idx="662">
                  <c:v>4</c:v>
                </c:pt>
                <c:pt idx="663">
                  <c:v>1</c:v>
                </c:pt>
                <c:pt idx="664">
                  <c:v>4</c:v>
                </c:pt>
                <c:pt idx="665">
                  <c:v>1</c:v>
                </c:pt>
                <c:pt idx="666">
                  <c:v>3</c:v>
                </c:pt>
                <c:pt idx="667">
                  <c:v>4</c:v>
                </c:pt>
                <c:pt idx="668">
                  <c:v>4</c:v>
                </c:pt>
                <c:pt idx="669">
                  <c:v>2</c:v>
                </c:pt>
                <c:pt idx="670">
                  <c:v>3</c:v>
                </c:pt>
                <c:pt idx="671">
                  <c:v>5</c:v>
                </c:pt>
                <c:pt idx="672">
                  <c:v>2</c:v>
                </c:pt>
                <c:pt idx="673">
                  <c:v>3</c:v>
                </c:pt>
                <c:pt idx="674">
                  <c:v>5</c:v>
                </c:pt>
                <c:pt idx="675">
                  <c:v>2</c:v>
                </c:pt>
                <c:pt idx="676">
                  <c:v>4</c:v>
                </c:pt>
                <c:pt idx="677">
                  <c:v>3</c:v>
                </c:pt>
                <c:pt idx="678">
                  <c:v>2</c:v>
                </c:pt>
                <c:pt idx="679">
                  <c:v>3</c:v>
                </c:pt>
                <c:pt idx="680">
                  <c:v>1</c:v>
                </c:pt>
                <c:pt idx="681">
                  <c:v>1</c:v>
                </c:pt>
                <c:pt idx="682">
                  <c:v>5</c:v>
                </c:pt>
                <c:pt idx="683">
                  <c:v>4</c:v>
                </c:pt>
                <c:pt idx="684">
                  <c:v>3</c:v>
                </c:pt>
                <c:pt idx="685">
                  <c:v>2</c:v>
                </c:pt>
                <c:pt idx="686">
                  <c:v>4</c:v>
                </c:pt>
                <c:pt idx="687">
                  <c:v>4</c:v>
                </c:pt>
                <c:pt idx="688">
                  <c:v>3</c:v>
                </c:pt>
                <c:pt idx="689">
                  <c:v>1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2</c:v>
                </c:pt>
                <c:pt idx="695">
                  <c:v>3</c:v>
                </c:pt>
                <c:pt idx="696">
                  <c:v>5</c:v>
                </c:pt>
                <c:pt idx="697">
                  <c:v>1</c:v>
                </c:pt>
                <c:pt idx="698">
                  <c:v>3</c:v>
                </c:pt>
                <c:pt idx="699">
                  <c:v>3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3</c:v>
                </c:pt>
                <c:pt idx="706">
                  <c:v>3</c:v>
                </c:pt>
                <c:pt idx="707">
                  <c:v>1</c:v>
                </c:pt>
                <c:pt idx="708">
                  <c:v>3</c:v>
                </c:pt>
                <c:pt idx="709">
                  <c:v>3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1</c:v>
                </c:pt>
                <c:pt idx="716">
                  <c:v>4</c:v>
                </c:pt>
                <c:pt idx="717">
                  <c:v>5</c:v>
                </c:pt>
                <c:pt idx="718">
                  <c:v>2</c:v>
                </c:pt>
                <c:pt idx="719">
                  <c:v>1</c:v>
                </c:pt>
                <c:pt idx="720">
                  <c:v>4</c:v>
                </c:pt>
                <c:pt idx="721">
                  <c:v>4</c:v>
                </c:pt>
                <c:pt idx="722">
                  <c:v>3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3</c:v>
                </c:pt>
                <c:pt idx="727">
                  <c:v>4</c:v>
                </c:pt>
                <c:pt idx="728">
                  <c:v>3</c:v>
                </c:pt>
                <c:pt idx="729">
                  <c:v>4</c:v>
                </c:pt>
                <c:pt idx="730">
                  <c:v>5</c:v>
                </c:pt>
                <c:pt idx="731">
                  <c:v>4</c:v>
                </c:pt>
                <c:pt idx="732">
                  <c:v>5</c:v>
                </c:pt>
                <c:pt idx="733">
                  <c:v>1</c:v>
                </c:pt>
                <c:pt idx="734">
                  <c:v>3</c:v>
                </c:pt>
                <c:pt idx="735">
                  <c:v>5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4</c:v>
                </c:pt>
                <c:pt idx="740">
                  <c:v>1</c:v>
                </c:pt>
                <c:pt idx="741">
                  <c:v>1</c:v>
                </c:pt>
                <c:pt idx="742">
                  <c:v>3</c:v>
                </c:pt>
                <c:pt idx="743">
                  <c:v>2</c:v>
                </c:pt>
                <c:pt idx="744">
                  <c:v>5</c:v>
                </c:pt>
                <c:pt idx="745">
                  <c:v>2</c:v>
                </c:pt>
                <c:pt idx="746">
                  <c:v>4</c:v>
                </c:pt>
                <c:pt idx="747">
                  <c:v>1</c:v>
                </c:pt>
                <c:pt idx="748">
                  <c:v>5</c:v>
                </c:pt>
                <c:pt idx="749">
                  <c:v>1</c:v>
                </c:pt>
                <c:pt idx="750">
                  <c:v>2</c:v>
                </c:pt>
                <c:pt idx="751">
                  <c:v>3</c:v>
                </c:pt>
                <c:pt idx="752">
                  <c:v>3</c:v>
                </c:pt>
                <c:pt idx="753">
                  <c:v>4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3</c:v>
                </c:pt>
                <c:pt idx="758">
                  <c:v>1</c:v>
                </c:pt>
                <c:pt idx="759">
                  <c:v>4</c:v>
                </c:pt>
                <c:pt idx="760">
                  <c:v>2</c:v>
                </c:pt>
                <c:pt idx="761">
                  <c:v>5</c:v>
                </c:pt>
                <c:pt idx="762">
                  <c:v>1</c:v>
                </c:pt>
                <c:pt idx="763">
                  <c:v>4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4</c:v>
                </c:pt>
                <c:pt idx="768">
                  <c:v>5</c:v>
                </c:pt>
                <c:pt idx="769">
                  <c:v>4</c:v>
                </c:pt>
                <c:pt idx="770">
                  <c:v>2</c:v>
                </c:pt>
                <c:pt idx="771">
                  <c:v>1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5</c:v>
                </c:pt>
                <c:pt idx="778">
                  <c:v>5</c:v>
                </c:pt>
                <c:pt idx="779">
                  <c:v>2</c:v>
                </c:pt>
                <c:pt idx="780">
                  <c:v>2</c:v>
                </c:pt>
                <c:pt idx="781">
                  <c:v>4</c:v>
                </c:pt>
                <c:pt idx="782">
                  <c:v>2</c:v>
                </c:pt>
                <c:pt idx="783">
                  <c:v>1</c:v>
                </c:pt>
                <c:pt idx="784">
                  <c:v>4</c:v>
                </c:pt>
                <c:pt idx="785">
                  <c:v>5</c:v>
                </c:pt>
                <c:pt idx="786">
                  <c:v>2</c:v>
                </c:pt>
                <c:pt idx="787">
                  <c:v>5</c:v>
                </c:pt>
                <c:pt idx="788">
                  <c:v>4</c:v>
                </c:pt>
                <c:pt idx="789">
                  <c:v>4</c:v>
                </c:pt>
                <c:pt idx="790">
                  <c:v>3</c:v>
                </c:pt>
                <c:pt idx="791">
                  <c:v>4</c:v>
                </c:pt>
                <c:pt idx="792">
                  <c:v>2</c:v>
                </c:pt>
                <c:pt idx="793">
                  <c:v>4</c:v>
                </c:pt>
                <c:pt idx="794">
                  <c:v>1</c:v>
                </c:pt>
                <c:pt idx="795">
                  <c:v>2</c:v>
                </c:pt>
                <c:pt idx="796">
                  <c:v>5</c:v>
                </c:pt>
                <c:pt idx="797">
                  <c:v>1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2</c:v>
                </c:pt>
                <c:pt idx="802">
                  <c:v>4</c:v>
                </c:pt>
                <c:pt idx="803">
                  <c:v>4</c:v>
                </c:pt>
                <c:pt idx="804">
                  <c:v>2</c:v>
                </c:pt>
                <c:pt idx="805">
                  <c:v>4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4</c:v>
                </c:pt>
                <c:pt idx="810">
                  <c:v>4</c:v>
                </c:pt>
                <c:pt idx="811">
                  <c:v>3</c:v>
                </c:pt>
                <c:pt idx="812">
                  <c:v>4</c:v>
                </c:pt>
                <c:pt idx="813">
                  <c:v>4</c:v>
                </c:pt>
                <c:pt idx="814">
                  <c:v>2</c:v>
                </c:pt>
                <c:pt idx="815">
                  <c:v>5</c:v>
                </c:pt>
                <c:pt idx="816">
                  <c:v>4</c:v>
                </c:pt>
                <c:pt idx="817">
                  <c:v>5</c:v>
                </c:pt>
                <c:pt idx="818">
                  <c:v>3</c:v>
                </c:pt>
                <c:pt idx="819">
                  <c:v>5</c:v>
                </c:pt>
                <c:pt idx="820">
                  <c:v>3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3</c:v>
                </c:pt>
                <c:pt idx="825">
                  <c:v>3</c:v>
                </c:pt>
                <c:pt idx="826">
                  <c:v>4</c:v>
                </c:pt>
                <c:pt idx="827">
                  <c:v>5</c:v>
                </c:pt>
                <c:pt idx="828">
                  <c:v>4</c:v>
                </c:pt>
                <c:pt idx="829">
                  <c:v>5</c:v>
                </c:pt>
                <c:pt idx="830">
                  <c:v>1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5</c:v>
                </c:pt>
                <c:pt idx="837">
                  <c:v>1</c:v>
                </c:pt>
                <c:pt idx="838">
                  <c:v>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2</c:v>
                </c:pt>
                <c:pt idx="843">
                  <c:v>5</c:v>
                </c:pt>
                <c:pt idx="844">
                  <c:v>4</c:v>
                </c:pt>
                <c:pt idx="845">
                  <c:v>5</c:v>
                </c:pt>
                <c:pt idx="846">
                  <c:v>4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4</c:v>
                </c:pt>
                <c:pt idx="852">
                  <c:v>1</c:v>
                </c:pt>
                <c:pt idx="853">
                  <c:v>2</c:v>
                </c:pt>
                <c:pt idx="854">
                  <c:v>1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1</c:v>
                </c:pt>
                <c:pt idx="859">
                  <c:v>3</c:v>
                </c:pt>
                <c:pt idx="860">
                  <c:v>4</c:v>
                </c:pt>
                <c:pt idx="861">
                  <c:v>2</c:v>
                </c:pt>
                <c:pt idx="862">
                  <c:v>4</c:v>
                </c:pt>
                <c:pt idx="863">
                  <c:v>2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4</c:v>
                </c:pt>
                <c:pt idx="868">
                  <c:v>1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1</c:v>
                </c:pt>
                <c:pt idx="873">
                  <c:v>5</c:v>
                </c:pt>
                <c:pt idx="874">
                  <c:v>4</c:v>
                </c:pt>
                <c:pt idx="875">
                  <c:v>5</c:v>
                </c:pt>
                <c:pt idx="876">
                  <c:v>2</c:v>
                </c:pt>
                <c:pt idx="877">
                  <c:v>2</c:v>
                </c:pt>
                <c:pt idx="878">
                  <c:v>5</c:v>
                </c:pt>
                <c:pt idx="879">
                  <c:v>3</c:v>
                </c:pt>
                <c:pt idx="880">
                  <c:v>2</c:v>
                </c:pt>
                <c:pt idx="881">
                  <c:v>2</c:v>
                </c:pt>
                <c:pt idx="882">
                  <c:v>3</c:v>
                </c:pt>
                <c:pt idx="883">
                  <c:v>2</c:v>
                </c:pt>
                <c:pt idx="884">
                  <c:v>5</c:v>
                </c:pt>
                <c:pt idx="885">
                  <c:v>4</c:v>
                </c:pt>
                <c:pt idx="886">
                  <c:v>2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1</c:v>
                </c:pt>
                <c:pt idx="891">
                  <c:v>3</c:v>
                </c:pt>
                <c:pt idx="892">
                  <c:v>3</c:v>
                </c:pt>
                <c:pt idx="893">
                  <c:v>4</c:v>
                </c:pt>
                <c:pt idx="894">
                  <c:v>3</c:v>
                </c:pt>
                <c:pt idx="895">
                  <c:v>1</c:v>
                </c:pt>
                <c:pt idx="896">
                  <c:v>1</c:v>
                </c:pt>
                <c:pt idx="897">
                  <c:v>5</c:v>
                </c:pt>
                <c:pt idx="898">
                  <c:v>5</c:v>
                </c:pt>
                <c:pt idx="899">
                  <c:v>2</c:v>
                </c:pt>
                <c:pt idx="900">
                  <c:v>4</c:v>
                </c:pt>
                <c:pt idx="901">
                  <c:v>3</c:v>
                </c:pt>
                <c:pt idx="902">
                  <c:v>1</c:v>
                </c:pt>
                <c:pt idx="903">
                  <c:v>1</c:v>
                </c:pt>
                <c:pt idx="904">
                  <c:v>4</c:v>
                </c:pt>
                <c:pt idx="905">
                  <c:v>3</c:v>
                </c:pt>
                <c:pt idx="906">
                  <c:v>3</c:v>
                </c:pt>
                <c:pt idx="907">
                  <c:v>2</c:v>
                </c:pt>
                <c:pt idx="908">
                  <c:v>1</c:v>
                </c:pt>
                <c:pt idx="909">
                  <c:v>4</c:v>
                </c:pt>
                <c:pt idx="910">
                  <c:v>5</c:v>
                </c:pt>
                <c:pt idx="911">
                  <c:v>4</c:v>
                </c:pt>
                <c:pt idx="912">
                  <c:v>3</c:v>
                </c:pt>
                <c:pt idx="913">
                  <c:v>5</c:v>
                </c:pt>
                <c:pt idx="914">
                  <c:v>4</c:v>
                </c:pt>
                <c:pt idx="915">
                  <c:v>5</c:v>
                </c:pt>
                <c:pt idx="916">
                  <c:v>1</c:v>
                </c:pt>
                <c:pt idx="917">
                  <c:v>3</c:v>
                </c:pt>
                <c:pt idx="918">
                  <c:v>3</c:v>
                </c:pt>
                <c:pt idx="919">
                  <c:v>4</c:v>
                </c:pt>
                <c:pt idx="920">
                  <c:v>5</c:v>
                </c:pt>
                <c:pt idx="921">
                  <c:v>5</c:v>
                </c:pt>
                <c:pt idx="922">
                  <c:v>2</c:v>
                </c:pt>
                <c:pt idx="923">
                  <c:v>3</c:v>
                </c:pt>
                <c:pt idx="924">
                  <c:v>3</c:v>
                </c:pt>
                <c:pt idx="925">
                  <c:v>1</c:v>
                </c:pt>
                <c:pt idx="926">
                  <c:v>3</c:v>
                </c:pt>
                <c:pt idx="927">
                  <c:v>5</c:v>
                </c:pt>
                <c:pt idx="928">
                  <c:v>4</c:v>
                </c:pt>
                <c:pt idx="929">
                  <c:v>5</c:v>
                </c:pt>
                <c:pt idx="930">
                  <c:v>3</c:v>
                </c:pt>
                <c:pt idx="931">
                  <c:v>4</c:v>
                </c:pt>
                <c:pt idx="932">
                  <c:v>2</c:v>
                </c:pt>
                <c:pt idx="933">
                  <c:v>2</c:v>
                </c:pt>
                <c:pt idx="934">
                  <c:v>5</c:v>
                </c:pt>
                <c:pt idx="935">
                  <c:v>1</c:v>
                </c:pt>
                <c:pt idx="936">
                  <c:v>3</c:v>
                </c:pt>
                <c:pt idx="937">
                  <c:v>4</c:v>
                </c:pt>
                <c:pt idx="938">
                  <c:v>3</c:v>
                </c:pt>
                <c:pt idx="939">
                  <c:v>5</c:v>
                </c:pt>
                <c:pt idx="940">
                  <c:v>1</c:v>
                </c:pt>
                <c:pt idx="941">
                  <c:v>1</c:v>
                </c:pt>
                <c:pt idx="942">
                  <c:v>5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3</c:v>
                </c:pt>
                <c:pt idx="947">
                  <c:v>1</c:v>
                </c:pt>
                <c:pt idx="948">
                  <c:v>4</c:v>
                </c:pt>
                <c:pt idx="949">
                  <c:v>3</c:v>
                </c:pt>
                <c:pt idx="950">
                  <c:v>1</c:v>
                </c:pt>
                <c:pt idx="951">
                  <c:v>3</c:v>
                </c:pt>
                <c:pt idx="952">
                  <c:v>2</c:v>
                </c:pt>
                <c:pt idx="953">
                  <c:v>5</c:v>
                </c:pt>
                <c:pt idx="954">
                  <c:v>5</c:v>
                </c:pt>
                <c:pt idx="955">
                  <c:v>3</c:v>
                </c:pt>
                <c:pt idx="956">
                  <c:v>4</c:v>
                </c:pt>
                <c:pt idx="957">
                  <c:v>1</c:v>
                </c:pt>
                <c:pt idx="958">
                  <c:v>5</c:v>
                </c:pt>
                <c:pt idx="959">
                  <c:v>5</c:v>
                </c:pt>
                <c:pt idx="960">
                  <c:v>1</c:v>
                </c:pt>
                <c:pt idx="961">
                  <c:v>1</c:v>
                </c:pt>
                <c:pt idx="962">
                  <c:v>2</c:v>
                </c:pt>
                <c:pt idx="963">
                  <c:v>4</c:v>
                </c:pt>
                <c:pt idx="964">
                  <c:v>1</c:v>
                </c:pt>
                <c:pt idx="965">
                  <c:v>3</c:v>
                </c:pt>
                <c:pt idx="966">
                  <c:v>4</c:v>
                </c:pt>
                <c:pt idx="967">
                  <c:v>1</c:v>
                </c:pt>
                <c:pt idx="968">
                  <c:v>3</c:v>
                </c:pt>
                <c:pt idx="969">
                  <c:v>5</c:v>
                </c:pt>
                <c:pt idx="970">
                  <c:v>2</c:v>
                </c:pt>
                <c:pt idx="971">
                  <c:v>5</c:v>
                </c:pt>
                <c:pt idx="972">
                  <c:v>3</c:v>
                </c:pt>
                <c:pt idx="973">
                  <c:v>5</c:v>
                </c:pt>
                <c:pt idx="974">
                  <c:v>4</c:v>
                </c:pt>
                <c:pt idx="975">
                  <c:v>5</c:v>
                </c:pt>
                <c:pt idx="976">
                  <c:v>3</c:v>
                </c:pt>
                <c:pt idx="977">
                  <c:v>2</c:v>
                </c:pt>
                <c:pt idx="978">
                  <c:v>4</c:v>
                </c:pt>
                <c:pt idx="979">
                  <c:v>1</c:v>
                </c:pt>
                <c:pt idx="980">
                  <c:v>4</c:v>
                </c:pt>
                <c:pt idx="981">
                  <c:v>3</c:v>
                </c:pt>
                <c:pt idx="982">
                  <c:v>4</c:v>
                </c:pt>
                <c:pt idx="983">
                  <c:v>2</c:v>
                </c:pt>
                <c:pt idx="984">
                  <c:v>5</c:v>
                </c:pt>
                <c:pt idx="985">
                  <c:v>4</c:v>
                </c:pt>
                <c:pt idx="986">
                  <c:v>2</c:v>
                </c:pt>
                <c:pt idx="987">
                  <c:v>4</c:v>
                </c:pt>
                <c:pt idx="988">
                  <c:v>2</c:v>
                </c:pt>
                <c:pt idx="989">
                  <c:v>5</c:v>
                </c:pt>
                <c:pt idx="990">
                  <c:v>3</c:v>
                </c:pt>
                <c:pt idx="991">
                  <c:v>5</c:v>
                </c:pt>
                <c:pt idx="992">
                  <c:v>4</c:v>
                </c:pt>
                <c:pt idx="993">
                  <c:v>2</c:v>
                </c:pt>
                <c:pt idx="994">
                  <c:v>1</c:v>
                </c:pt>
                <c:pt idx="995">
                  <c:v>1</c:v>
                </c:pt>
                <c:pt idx="996">
                  <c:v>5</c:v>
                </c:pt>
                <c:pt idx="997">
                  <c:v>5</c:v>
                </c:pt>
                <c:pt idx="99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8-45DB-8AF7-C2AD0AC74E96}"/>
            </c:ext>
          </c:extLst>
        </c:ser>
        <c:ser>
          <c:idx val="1"/>
          <c:order val="1"/>
          <c:tx>
            <c:v>Predicted 5</c:v>
          </c:tx>
          <c:spPr>
            <a:ln w="38100">
              <a:noFill/>
            </a:ln>
          </c:spPr>
          <c:xVal>
            <c:numRef>
              <c:f>Table!$K$3:$K$1001</c:f>
              <c:numCache>
                <c:formatCode>m/d/yyyy</c:formatCode>
                <c:ptCount val="999"/>
                <c:pt idx="0">
                  <c:v>45025</c:v>
                </c:pt>
                <c:pt idx="1">
                  <c:v>45166</c:v>
                </c:pt>
                <c:pt idx="2">
                  <c:v>44944</c:v>
                </c:pt>
                <c:pt idx="3">
                  <c:v>44945</c:v>
                </c:pt>
                <c:pt idx="4">
                  <c:v>44937</c:v>
                </c:pt>
                <c:pt idx="5">
                  <c:v>45222</c:v>
                </c:pt>
                <c:pt idx="6">
                  <c:v>45092</c:v>
                </c:pt>
                <c:pt idx="7">
                  <c:v>44982</c:v>
                </c:pt>
                <c:pt idx="8">
                  <c:v>45039</c:v>
                </c:pt>
                <c:pt idx="9">
                  <c:v>45078</c:v>
                </c:pt>
                <c:pt idx="10">
                  <c:v>45182</c:v>
                </c:pt>
                <c:pt idx="11">
                  <c:v>44974</c:v>
                </c:pt>
                <c:pt idx="12">
                  <c:v>45270</c:v>
                </c:pt>
                <c:pt idx="13">
                  <c:v>45106</c:v>
                </c:pt>
                <c:pt idx="14">
                  <c:v>45121</c:v>
                </c:pt>
                <c:pt idx="15">
                  <c:v>45059</c:v>
                </c:pt>
                <c:pt idx="16">
                  <c:v>45086</c:v>
                </c:pt>
                <c:pt idx="17">
                  <c:v>45098</c:v>
                </c:pt>
                <c:pt idx="18">
                  <c:v>45256</c:v>
                </c:pt>
                <c:pt idx="19">
                  <c:v>45238</c:v>
                </c:pt>
                <c:pt idx="20">
                  <c:v>45287</c:v>
                </c:pt>
                <c:pt idx="21">
                  <c:v>45083</c:v>
                </c:pt>
                <c:pt idx="22">
                  <c:v>45227</c:v>
                </c:pt>
                <c:pt idx="23">
                  <c:v>45290</c:v>
                </c:pt>
                <c:pt idx="24">
                  <c:v>45264</c:v>
                </c:pt>
                <c:pt idx="25">
                  <c:v>44958</c:v>
                </c:pt>
                <c:pt idx="26">
                  <c:v>45152</c:v>
                </c:pt>
                <c:pt idx="27">
                  <c:v>45267</c:v>
                </c:pt>
                <c:pt idx="28">
                  <c:v>45105</c:v>
                </c:pt>
                <c:pt idx="29">
                  <c:v>45247</c:v>
                </c:pt>
                <c:pt idx="30">
                  <c:v>44951</c:v>
                </c:pt>
                <c:pt idx="31">
                  <c:v>45174</c:v>
                </c:pt>
                <c:pt idx="32">
                  <c:v>45186</c:v>
                </c:pt>
                <c:pt idx="33">
                  <c:v>45285</c:v>
                </c:pt>
                <c:pt idx="34">
                  <c:v>44940</c:v>
                </c:pt>
                <c:pt idx="35">
                  <c:v>45139</c:v>
                </c:pt>
                <c:pt idx="36">
                  <c:v>44969</c:v>
                </c:pt>
                <c:pt idx="37">
                  <c:v>45064</c:v>
                </c:pt>
                <c:pt idx="38">
                  <c:v>45202</c:v>
                </c:pt>
                <c:pt idx="39">
                  <c:v>45168</c:v>
                </c:pt>
                <c:pt idx="40">
                  <c:v>45184</c:v>
                </c:pt>
                <c:pt idx="41">
                  <c:v>44971</c:v>
                </c:pt>
                <c:pt idx="42">
                  <c:v>44984</c:v>
                </c:pt>
                <c:pt idx="43">
                  <c:v>45151</c:v>
                </c:pt>
                <c:pt idx="44">
                  <c:v>45055</c:v>
                </c:pt>
                <c:pt idx="45">
                  <c:v>45283</c:v>
                </c:pt>
                <c:pt idx="46">
                  <c:v>45227</c:v>
                </c:pt>
                <c:pt idx="47">
                  <c:v>45170</c:v>
                </c:pt>
                <c:pt idx="48">
                  <c:v>45032</c:v>
                </c:pt>
                <c:pt idx="49">
                  <c:v>45273</c:v>
                </c:pt>
                <c:pt idx="50">
                  <c:v>45012</c:v>
                </c:pt>
                <c:pt idx="51">
                  <c:v>45246</c:v>
                </c:pt>
                <c:pt idx="52">
                  <c:v>45091</c:v>
                </c:pt>
                <c:pt idx="53">
                  <c:v>44952</c:v>
                </c:pt>
                <c:pt idx="54">
                  <c:v>45285</c:v>
                </c:pt>
                <c:pt idx="55">
                  <c:v>45198</c:v>
                </c:pt>
                <c:pt idx="56">
                  <c:v>44999</c:v>
                </c:pt>
                <c:pt idx="57">
                  <c:v>45274</c:v>
                </c:pt>
                <c:pt idx="58">
                  <c:v>45186</c:v>
                </c:pt>
                <c:pt idx="59">
                  <c:v>45146</c:v>
                </c:pt>
                <c:pt idx="60">
                  <c:v>45028</c:v>
                </c:pt>
                <c:pt idx="61">
                  <c:v>44978</c:v>
                </c:pt>
                <c:pt idx="62">
                  <c:v>45233</c:v>
                </c:pt>
                <c:pt idx="63">
                  <c:v>44942</c:v>
                </c:pt>
                <c:pt idx="64">
                  <c:v>45294</c:v>
                </c:pt>
                <c:pt idx="65">
                  <c:v>44962</c:v>
                </c:pt>
                <c:pt idx="66">
                  <c:v>44964</c:v>
                </c:pt>
                <c:pt idx="67">
                  <c:v>45019</c:v>
                </c:pt>
                <c:pt idx="68">
                  <c:v>45222</c:v>
                </c:pt>
                <c:pt idx="69">
                  <c:v>45132</c:v>
                </c:pt>
                <c:pt idx="70">
                  <c:v>45200</c:v>
                </c:pt>
                <c:pt idx="71">
                  <c:v>45004</c:v>
                </c:pt>
                <c:pt idx="72">
                  <c:v>45204</c:v>
                </c:pt>
                <c:pt idx="73">
                  <c:v>45027</c:v>
                </c:pt>
                <c:pt idx="74">
                  <c:v>45180</c:v>
                </c:pt>
                <c:pt idx="75">
                  <c:v>45227</c:v>
                </c:pt>
                <c:pt idx="76">
                  <c:v>45001</c:v>
                </c:pt>
                <c:pt idx="77">
                  <c:v>45251</c:v>
                </c:pt>
                <c:pt idx="78">
                  <c:v>45263</c:v>
                </c:pt>
                <c:pt idx="79">
                  <c:v>44965</c:v>
                </c:pt>
                <c:pt idx="80">
                  <c:v>45282</c:v>
                </c:pt>
                <c:pt idx="81">
                  <c:v>45223</c:v>
                </c:pt>
                <c:pt idx="82">
                  <c:v>45158</c:v>
                </c:pt>
                <c:pt idx="83">
                  <c:v>45066</c:v>
                </c:pt>
                <c:pt idx="84">
                  <c:v>44975</c:v>
                </c:pt>
                <c:pt idx="85">
                  <c:v>45294</c:v>
                </c:pt>
                <c:pt idx="86">
                  <c:v>45140</c:v>
                </c:pt>
                <c:pt idx="87">
                  <c:v>45035</c:v>
                </c:pt>
                <c:pt idx="88">
                  <c:v>45106</c:v>
                </c:pt>
                <c:pt idx="89">
                  <c:v>44993</c:v>
                </c:pt>
                <c:pt idx="90">
                  <c:v>45111</c:v>
                </c:pt>
                <c:pt idx="91">
                  <c:v>45039</c:v>
                </c:pt>
                <c:pt idx="92">
                  <c:v>45009</c:v>
                </c:pt>
                <c:pt idx="93">
                  <c:v>45180</c:v>
                </c:pt>
                <c:pt idx="94">
                  <c:v>44959</c:v>
                </c:pt>
                <c:pt idx="95">
                  <c:v>45151</c:v>
                </c:pt>
                <c:pt idx="96">
                  <c:v>45069</c:v>
                </c:pt>
                <c:pt idx="97">
                  <c:v>45150</c:v>
                </c:pt>
                <c:pt idx="98">
                  <c:v>44950</c:v>
                </c:pt>
                <c:pt idx="99">
                  <c:v>45268</c:v>
                </c:pt>
                <c:pt idx="100">
                  <c:v>45183</c:v>
                </c:pt>
                <c:pt idx="101">
                  <c:v>45242</c:v>
                </c:pt>
                <c:pt idx="102">
                  <c:v>45098</c:v>
                </c:pt>
                <c:pt idx="103">
                  <c:v>45294</c:v>
                </c:pt>
                <c:pt idx="104">
                  <c:v>45294</c:v>
                </c:pt>
                <c:pt idx="105">
                  <c:v>45052</c:v>
                </c:pt>
                <c:pt idx="106">
                  <c:v>44929</c:v>
                </c:pt>
                <c:pt idx="107">
                  <c:v>45211</c:v>
                </c:pt>
                <c:pt idx="108">
                  <c:v>45103</c:v>
                </c:pt>
                <c:pt idx="109">
                  <c:v>45072</c:v>
                </c:pt>
                <c:pt idx="110">
                  <c:v>45238</c:v>
                </c:pt>
                <c:pt idx="111">
                  <c:v>45267</c:v>
                </c:pt>
                <c:pt idx="112">
                  <c:v>45113</c:v>
                </c:pt>
                <c:pt idx="113">
                  <c:v>45097</c:v>
                </c:pt>
                <c:pt idx="114">
                  <c:v>44968</c:v>
                </c:pt>
                <c:pt idx="115">
                  <c:v>44959</c:v>
                </c:pt>
                <c:pt idx="116">
                  <c:v>45007</c:v>
                </c:pt>
                <c:pt idx="117">
                  <c:v>45179</c:v>
                </c:pt>
                <c:pt idx="118">
                  <c:v>44979</c:v>
                </c:pt>
                <c:pt idx="119">
                  <c:v>45066</c:v>
                </c:pt>
                <c:pt idx="120">
                  <c:v>45103</c:v>
                </c:pt>
                <c:pt idx="121">
                  <c:v>45028</c:v>
                </c:pt>
                <c:pt idx="122">
                  <c:v>45209</c:v>
                </c:pt>
                <c:pt idx="123">
                  <c:v>45075</c:v>
                </c:pt>
                <c:pt idx="124">
                  <c:v>45078</c:v>
                </c:pt>
                <c:pt idx="125">
                  <c:v>45160</c:v>
                </c:pt>
                <c:pt idx="126">
                  <c:v>45056</c:v>
                </c:pt>
                <c:pt idx="127">
                  <c:v>45236</c:v>
                </c:pt>
                <c:pt idx="128">
                  <c:v>44963</c:v>
                </c:pt>
                <c:pt idx="129">
                  <c:v>45248</c:v>
                </c:pt>
                <c:pt idx="130">
                  <c:v>44939</c:v>
                </c:pt>
                <c:pt idx="131">
                  <c:v>45037</c:v>
                </c:pt>
                <c:pt idx="132">
                  <c:v>45140</c:v>
                </c:pt>
                <c:pt idx="133">
                  <c:v>44959</c:v>
                </c:pt>
                <c:pt idx="134">
                  <c:v>45001</c:v>
                </c:pt>
                <c:pt idx="135">
                  <c:v>45233</c:v>
                </c:pt>
                <c:pt idx="136">
                  <c:v>45081</c:v>
                </c:pt>
                <c:pt idx="137">
                  <c:v>45264</c:v>
                </c:pt>
                <c:pt idx="138">
                  <c:v>45195</c:v>
                </c:pt>
                <c:pt idx="139">
                  <c:v>44944</c:v>
                </c:pt>
                <c:pt idx="140">
                  <c:v>45253</c:v>
                </c:pt>
                <c:pt idx="141">
                  <c:v>45049</c:v>
                </c:pt>
                <c:pt idx="142">
                  <c:v>45165</c:v>
                </c:pt>
                <c:pt idx="143">
                  <c:v>44942</c:v>
                </c:pt>
                <c:pt idx="144">
                  <c:v>45132</c:v>
                </c:pt>
                <c:pt idx="145">
                  <c:v>45248</c:v>
                </c:pt>
                <c:pt idx="146">
                  <c:v>45267</c:v>
                </c:pt>
                <c:pt idx="147">
                  <c:v>45061</c:v>
                </c:pt>
                <c:pt idx="148">
                  <c:v>45062</c:v>
                </c:pt>
                <c:pt idx="149">
                  <c:v>45003</c:v>
                </c:pt>
                <c:pt idx="150">
                  <c:v>44993</c:v>
                </c:pt>
                <c:pt idx="151">
                  <c:v>45188</c:v>
                </c:pt>
                <c:pt idx="152">
                  <c:v>45194</c:v>
                </c:pt>
                <c:pt idx="153">
                  <c:v>45227</c:v>
                </c:pt>
                <c:pt idx="154">
                  <c:v>44978</c:v>
                </c:pt>
                <c:pt idx="155">
                  <c:v>45166</c:v>
                </c:pt>
                <c:pt idx="156">
                  <c:v>45227</c:v>
                </c:pt>
                <c:pt idx="157">
                  <c:v>45238</c:v>
                </c:pt>
                <c:pt idx="158">
                  <c:v>45053</c:v>
                </c:pt>
                <c:pt idx="159">
                  <c:v>45202</c:v>
                </c:pt>
                <c:pt idx="160">
                  <c:v>44931</c:v>
                </c:pt>
                <c:pt idx="161">
                  <c:v>45160</c:v>
                </c:pt>
                <c:pt idx="162">
                  <c:v>45237</c:v>
                </c:pt>
                <c:pt idx="163">
                  <c:v>45101</c:v>
                </c:pt>
                <c:pt idx="164">
                  <c:v>45083</c:v>
                </c:pt>
                <c:pt idx="165">
                  <c:v>45106</c:v>
                </c:pt>
                <c:pt idx="166">
                  <c:v>44944</c:v>
                </c:pt>
                <c:pt idx="167">
                  <c:v>44989</c:v>
                </c:pt>
                <c:pt idx="168">
                  <c:v>45180</c:v>
                </c:pt>
                <c:pt idx="169">
                  <c:v>44984</c:v>
                </c:pt>
                <c:pt idx="170">
                  <c:v>45246</c:v>
                </c:pt>
                <c:pt idx="171">
                  <c:v>45126</c:v>
                </c:pt>
                <c:pt idx="172">
                  <c:v>45040</c:v>
                </c:pt>
                <c:pt idx="173">
                  <c:v>45047</c:v>
                </c:pt>
                <c:pt idx="174">
                  <c:v>45103</c:v>
                </c:pt>
                <c:pt idx="175">
                  <c:v>45294</c:v>
                </c:pt>
                <c:pt idx="176">
                  <c:v>44945</c:v>
                </c:pt>
                <c:pt idx="177">
                  <c:v>45049</c:v>
                </c:pt>
                <c:pt idx="178">
                  <c:v>45128</c:v>
                </c:pt>
                <c:pt idx="179">
                  <c:v>45210</c:v>
                </c:pt>
                <c:pt idx="180">
                  <c:v>45092</c:v>
                </c:pt>
                <c:pt idx="181">
                  <c:v>45154</c:v>
                </c:pt>
                <c:pt idx="182">
                  <c:v>45030</c:v>
                </c:pt>
                <c:pt idx="183">
                  <c:v>45223</c:v>
                </c:pt>
                <c:pt idx="184">
                  <c:v>45121</c:v>
                </c:pt>
                <c:pt idx="185">
                  <c:v>45266</c:v>
                </c:pt>
                <c:pt idx="186">
                  <c:v>45169</c:v>
                </c:pt>
                <c:pt idx="187">
                  <c:v>45171</c:v>
                </c:pt>
                <c:pt idx="188">
                  <c:v>45022</c:v>
                </c:pt>
                <c:pt idx="189">
                  <c:v>45289</c:v>
                </c:pt>
                <c:pt idx="190">
                  <c:v>45086</c:v>
                </c:pt>
                <c:pt idx="191">
                  <c:v>45091</c:v>
                </c:pt>
                <c:pt idx="192">
                  <c:v>45121</c:v>
                </c:pt>
                <c:pt idx="193">
                  <c:v>45039</c:v>
                </c:pt>
                <c:pt idx="194">
                  <c:v>45220</c:v>
                </c:pt>
                <c:pt idx="195">
                  <c:v>45208</c:v>
                </c:pt>
                <c:pt idx="196">
                  <c:v>45073</c:v>
                </c:pt>
                <c:pt idx="197">
                  <c:v>44958</c:v>
                </c:pt>
                <c:pt idx="198">
                  <c:v>45053</c:v>
                </c:pt>
                <c:pt idx="199">
                  <c:v>44997</c:v>
                </c:pt>
                <c:pt idx="200">
                  <c:v>45237</c:v>
                </c:pt>
                <c:pt idx="201">
                  <c:v>45183</c:v>
                </c:pt>
                <c:pt idx="202">
                  <c:v>45004</c:v>
                </c:pt>
                <c:pt idx="203">
                  <c:v>45204</c:v>
                </c:pt>
                <c:pt idx="204">
                  <c:v>45095</c:v>
                </c:pt>
                <c:pt idx="205">
                  <c:v>45001</c:v>
                </c:pt>
                <c:pt idx="206">
                  <c:v>45069</c:v>
                </c:pt>
                <c:pt idx="207">
                  <c:v>45254</c:v>
                </c:pt>
                <c:pt idx="208">
                  <c:v>45143</c:v>
                </c:pt>
                <c:pt idx="209">
                  <c:v>44949</c:v>
                </c:pt>
                <c:pt idx="210">
                  <c:v>45139</c:v>
                </c:pt>
                <c:pt idx="211">
                  <c:v>45030</c:v>
                </c:pt>
                <c:pt idx="212">
                  <c:v>45099</c:v>
                </c:pt>
                <c:pt idx="213">
                  <c:v>45034</c:v>
                </c:pt>
                <c:pt idx="214">
                  <c:v>44954</c:v>
                </c:pt>
                <c:pt idx="215">
                  <c:v>45054</c:v>
                </c:pt>
                <c:pt idx="216">
                  <c:v>45084</c:v>
                </c:pt>
                <c:pt idx="217">
                  <c:v>44981</c:v>
                </c:pt>
                <c:pt idx="218">
                  <c:v>44973</c:v>
                </c:pt>
                <c:pt idx="219">
                  <c:v>45145</c:v>
                </c:pt>
                <c:pt idx="220">
                  <c:v>45020</c:v>
                </c:pt>
                <c:pt idx="221">
                  <c:v>45047</c:v>
                </c:pt>
                <c:pt idx="222">
                  <c:v>45197</c:v>
                </c:pt>
                <c:pt idx="223">
                  <c:v>45285</c:v>
                </c:pt>
                <c:pt idx="224">
                  <c:v>45052</c:v>
                </c:pt>
                <c:pt idx="225">
                  <c:v>45159</c:v>
                </c:pt>
                <c:pt idx="226">
                  <c:v>44998</c:v>
                </c:pt>
                <c:pt idx="227">
                  <c:v>44985</c:v>
                </c:pt>
                <c:pt idx="228">
                  <c:v>45133</c:v>
                </c:pt>
                <c:pt idx="229">
                  <c:v>45109</c:v>
                </c:pt>
                <c:pt idx="230">
                  <c:v>45216</c:v>
                </c:pt>
                <c:pt idx="231">
                  <c:v>45217</c:v>
                </c:pt>
                <c:pt idx="232">
                  <c:v>45022</c:v>
                </c:pt>
                <c:pt idx="233">
                  <c:v>45127</c:v>
                </c:pt>
                <c:pt idx="234">
                  <c:v>45024</c:v>
                </c:pt>
                <c:pt idx="235">
                  <c:v>44934</c:v>
                </c:pt>
                <c:pt idx="236">
                  <c:v>45059</c:v>
                </c:pt>
                <c:pt idx="237">
                  <c:v>45153</c:v>
                </c:pt>
                <c:pt idx="238">
                  <c:v>45187</c:v>
                </c:pt>
                <c:pt idx="239">
                  <c:v>44972</c:v>
                </c:pt>
                <c:pt idx="240">
                  <c:v>45258</c:v>
                </c:pt>
                <c:pt idx="241">
                  <c:v>45136</c:v>
                </c:pt>
                <c:pt idx="242">
                  <c:v>45117</c:v>
                </c:pt>
                <c:pt idx="243">
                  <c:v>45224</c:v>
                </c:pt>
                <c:pt idx="244">
                  <c:v>45089</c:v>
                </c:pt>
                <c:pt idx="245">
                  <c:v>45129</c:v>
                </c:pt>
                <c:pt idx="246">
                  <c:v>45102</c:v>
                </c:pt>
                <c:pt idx="247">
                  <c:v>45259</c:v>
                </c:pt>
                <c:pt idx="248">
                  <c:v>45202</c:v>
                </c:pt>
                <c:pt idx="249">
                  <c:v>44963</c:v>
                </c:pt>
                <c:pt idx="250">
                  <c:v>45063</c:v>
                </c:pt>
                <c:pt idx="251">
                  <c:v>45192</c:v>
                </c:pt>
                <c:pt idx="252">
                  <c:v>45285</c:v>
                </c:pt>
                <c:pt idx="253">
                  <c:v>44976</c:v>
                </c:pt>
                <c:pt idx="254">
                  <c:v>45182</c:v>
                </c:pt>
                <c:pt idx="255">
                  <c:v>45235</c:v>
                </c:pt>
                <c:pt idx="256">
                  <c:v>44941</c:v>
                </c:pt>
                <c:pt idx="257">
                  <c:v>44984</c:v>
                </c:pt>
                <c:pt idx="258">
                  <c:v>45057</c:v>
                </c:pt>
                <c:pt idx="259">
                  <c:v>45032</c:v>
                </c:pt>
                <c:pt idx="260">
                  <c:v>45002</c:v>
                </c:pt>
                <c:pt idx="261">
                  <c:v>45027</c:v>
                </c:pt>
                <c:pt idx="262">
                  <c:v>45215</c:v>
                </c:pt>
                <c:pt idx="263">
                  <c:v>45215</c:v>
                </c:pt>
                <c:pt idx="264">
                  <c:v>44979</c:v>
                </c:pt>
                <c:pt idx="265">
                  <c:v>45124</c:v>
                </c:pt>
                <c:pt idx="266">
                  <c:v>45107</c:v>
                </c:pt>
                <c:pt idx="267">
                  <c:v>45116</c:v>
                </c:pt>
                <c:pt idx="268">
                  <c:v>45053</c:v>
                </c:pt>
                <c:pt idx="269">
                  <c:v>45007</c:v>
                </c:pt>
                <c:pt idx="270">
                  <c:v>45166</c:v>
                </c:pt>
                <c:pt idx="271">
                  <c:v>44943</c:v>
                </c:pt>
                <c:pt idx="272">
                  <c:v>45215</c:v>
                </c:pt>
                <c:pt idx="273">
                  <c:v>44936</c:v>
                </c:pt>
                <c:pt idx="274">
                  <c:v>45010</c:v>
                </c:pt>
                <c:pt idx="275">
                  <c:v>44955</c:v>
                </c:pt>
                <c:pt idx="276">
                  <c:v>44945</c:v>
                </c:pt>
                <c:pt idx="277">
                  <c:v>45185</c:v>
                </c:pt>
                <c:pt idx="278">
                  <c:v>45128</c:v>
                </c:pt>
                <c:pt idx="279">
                  <c:v>45006</c:v>
                </c:pt>
                <c:pt idx="280">
                  <c:v>45049</c:v>
                </c:pt>
                <c:pt idx="281">
                  <c:v>44950</c:v>
                </c:pt>
                <c:pt idx="282">
                  <c:v>45294</c:v>
                </c:pt>
                <c:pt idx="283">
                  <c:v>45261</c:v>
                </c:pt>
                <c:pt idx="284">
                  <c:v>45062</c:v>
                </c:pt>
                <c:pt idx="285">
                  <c:v>45053</c:v>
                </c:pt>
                <c:pt idx="286">
                  <c:v>45078</c:v>
                </c:pt>
                <c:pt idx="287">
                  <c:v>44953</c:v>
                </c:pt>
                <c:pt idx="288">
                  <c:v>45173</c:v>
                </c:pt>
                <c:pt idx="289">
                  <c:v>45236</c:v>
                </c:pt>
                <c:pt idx="290">
                  <c:v>45193</c:v>
                </c:pt>
                <c:pt idx="291">
                  <c:v>45177</c:v>
                </c:pt>
                <c:pt idx="292">
                  <c:v>45166</c:v>
                </c:pt>
                <c:pt idx="293">
                  <c:v>45003</c:v>
                </c:pt>
                <c:pt idx="294">
                  <c:v>44959</c:v>
                </c:pt>
                <c:pt idx="295">
                  <c:v>45000</c:v>
                </c:pt>
                <c:pt idx="296">
                  <c:v>45294</c:v>
                </c:pt>
                <c:pt idx="297">
                  <c:v>45287</c:v>
                </c:pt>
                <c:pt idx="298">
                  <c:v>45192</c:v>
                </c:pt>
                <c:pt idx="299">
                  <c:v>45085</c:v>
                </c:pt>
                <c:pt idx="300">
                  <c:v>45182</c:v>
                </c:pt>
                <c:pt idx="301">
                  <c:v>44929</c:v>
                </c:pt>
                <c:pt idx="302">
                  <c:v>45130</c:v>
                </c:pt>
                <c:pt idx="303">
                  <c:v>45207</c:v>
                </c:pt>
                <c:pt idx="304">
                  <c:v>44963</c:v>
                </c:pt>
                <c:pt idx="305">
                  <c:v>45220</c:v>
                </c:pt>
                <c:pt idx="306">
                  <c:v>45071</c:v>
                </c:pt>
                <c:pt idx="307">
                  <c:v>45044</c:v>
                </c:pt>
                <c:pt idx="308">
                  <c:v>45202</c:v>
                </c:pt>
                <c:pt idx="309">
                  <c:v>45231</c:v>
                </c:pt>
                <c:pt idx="310">
                  <c:v>45107</c:v>
                </c:pt>
                <c:pt idx="311">
                  <c:v>45141</c:v>
                </c:pt>
                <c:pt idx="312">
                  <c:v>45072</c:v>
                </c:pt>
                <c:pt idx="313">
                  <c:v>45188</c:v>
                </c:pt>
                <c:pt idx="314">
                  <c:v>45095</c:v>
                </c:pt>
                <c:pt idx="315">
                  <c:v>44988</c:v>
                </c:pt>
                <c:pt idx="316">
                  <c:v>45248</c:v>
                </c:pt>
                <c:pt idx="317">
                  <c:v>45143</c:v>
                </c:pt>
                <c:pt idx="318">
                  <c:v>45230</c:v>
                </c:pt>
                <c:pt idx="319">
                  <c:v>45149</c:v>
                </c:pt>
                <c:pt idx="320">
                  <c:v>45255</c:v>
                </c:pt>
                <c:pt idx="321">
                  <c:v>45251</c:v>
                </c:pt>
                <c:pt idx="322">
                  <c:v>45012</c:v>
                </c:pt>
                <c:pt idx="323">
                  <c:v>45219</c:v>
                </c:pt>
                <c:pt idx="324">
                  <c:v>45257</c:v>
                </c:pt>
                <c:pt idx="325">
                  <c:v>45221</c:v>
                </c:pt>
                <c:pt idx="326">
                  <c:v>44967</c:v>
                </c:pt>
                <c:pt idx="327">
                  <c:v>45149</c:v>
                </c:pt>
                <c:pt idx="328">
                  <c:v>45151</c:v>
                </c:pt>
                <c:pt idx="329">
                  <c:v>45067</c:v>
                </c:pt>
                <c:pt idx="330">
                  <c:v>45238</c:v>
                </c:pt>
                <c:pt idx="331">
                  <c:v>45094</c:v>
                </c:pt>
                <c:pt idx="332">
                  <c:v>45094</c:v>
                </c:pt>
                <c:pt idx="333">
                  <c:v>45015</c:v>
                </c:pt>
                <c:pt idx="334">
                  <c:v>45231</c:v>
                </c:pt>
                <c:pt idx="335">
                  <c:v>45206</c:v>
                </c:pt>
                <c:pt idx="336">
                  <c:v>45220</c:v>
                </c:pt>
                <c:pt idx="337">
                  <c:v>45232</c:v>
                </c:pt>
                <c:pt idx="338">
                  <c:v>44949</c:v>
                </c:pt>
                <c:pt idx="339">
                  <c:v>45217</c:v>
                </c:pt>
                <c:pt idx="340">
                  <c:v>45145</c:v>
                </c:pt>
                <c:pt idx="341">
                  <c:v>44931</c:v>
                </c:pt>
                <c:pt idx="342">
                  <c:v>45132</c:v>
                </c:pt>
                <c:pt idx="343">
                  <c:v>45255</c:v>
                </c:pt>
                <c:pt idx="344">
                  <c:v>45064</c:v>
                </c:pt>
                <c:pt idx="345">
                  <c:v>45215</c:v>
                </c:pt>
                <c:pt idx="346">
                  <c:v>45012</c:v>
                </c:pt>
                <c:pt idx="347">
                  <c:v>45224</c:v>
                </c:pt>
                <c:pt idx="348">
                  <c:v>45190</c:v>
                </c:pt>
                <c:pt idx="349">
                  <c:v>45294</c:v>
                </c:pt>
                <c:pt idx="350">
                  <c:v>44979</c:v>
                </c:pt>
                <c:pt idx="351">
                  <c:v>45161</c:v>
                </c:pt>
                <c:pt idx="352">
                  <c:v>45139</c:v>
                </c:pt>
                <c:pt idx="353">
                  <c:v>45144</c:v>
                </c:pt>
                <c:pt idx="354">
                  <c:v>44927</c:v>
                </c:pt>
                <c:pt idx="355">
                  <c:v>45201</c:v>
                </c:pt>
                <c:pt idx="356">
                  <c:v>45045</c:v>
                </c:pt>
                <c:pt idx="357">
                  <c:v>45131</c:v>
                </c:pt>
                <c:pt idx="358">
                  <c:v>45186</c:v>
                </c:pt>
                <c:pt idx="359">
                  <c:v>45195</c:v>
                </c:pt>
                <c:pt idx="360">
                  <c:v>45084</c:v>
                </c:pt>
                <c:pt idx="361">
                  <c:v>44997</c:v>
                </c:pt>
                <c:pt idx="362">
                  <c:v>45223</c:v>
                </c:pt>
                <c:pt idx="363">
                  <c:v>45261</c:v>
                </c:pt>
                <c:pt idx="364">
                  <c:v>45154</c:v>
                </c:pt>
                <c:pt idx="365">
                  <c:v>44970</c:v>
                </c:pt>
                <c:pt idx="366">
                  <c:v>45258</c:v>
                </c:pt>
                <c:pt idx="367">
                  <c:v>45099</c:v>
                </c:pt>
                <c:pt idx="368">
                  <c:v>45100</c:v>
                </c:pt>
                <c:pt idx="369">
                  <c:v>45135</c:v>
                </c:pt>
                <c:pt idx="370">
                  <c:v>45229</c:v>
                </c:pt>
                <c:pt idx="371">
                  <c:v>45240</c:v>
                </c:pt>
                <c:pt idx="372">
                  <c:v>45294</c:v>
                </c:pt>
                <c:pt idx="373">
                  <c:v>45080</c:v>
                </c:pt>
                <c:pt idx="374">
                  <c:v>45106</c:v>
                </c:pt>
                <c:pt idx="375">
                  <c:v>45205</c:v>
                </c:pt>
                <c:pt idx="376">
                  <c:v>45139</c:v>
                </c:pt>
                <c:pt idx="377">
                  <c:v>45064</c:v>
                </c:pt>
                <c:pt idx="378">
                  <c:v>45048</c:v>
                </c:pt>
                <c:pt idx="379">
                  <c:v>45250</c:v>
                </c:pt>
                <c:pt idx="380">
                  <c:v>45148</c:v>
                </c:pt>
                <c:pt idx="381">
                  <c:v>45021</c:v>
                </c:pt>
                <c:pt idx="382">
                  <c:v>45035</c:v>
                </c:pt>
                <c:pt idx="383">
                  <c:v>45290</c:v>
                </c:pt>
                <c:pt idx="384">
                  <c:v>45240</c:v>
                </c:pt>
                <c:pt idx="385">
                  <c:v>44940</c:v>
                </c:pt>
                <c:pt idx="386">
                  <c:v>45112</c:v>
                </c:pt>
                <c:pt idx="387">
                  <c:v>45294</c:v>
                </c:pt>
                <c:pt idx="388">
                  <c:v>45236</c:v>
                </c:pt>
                <c:pt idx="389">
                  <c:v>44946</c:v>
                </c:pt>
                <c:pt idx="390">
                  <c:v>45052</c:v>
                </c:pt>
                <c:pt idx="391">
                  <c:v>45220</c:v>
                </c:pt>
                <c:pt idx="392">
                  <c:v>45290</c:v>
                </c:pt>
                <c:pt idx="393">
                  <c:v>45117</c:v>
                </c:pt>
                <c:pt idx="394">
                  <c:v>45294</c:v>
                </c:pt>
                <c:pt idx="395">
                  <c:v>44962</c:v>
                </c:pt>
                <c:pt idx="396">
                  <c:v>44960</c:v>
                </c:pt>
                <c:pt idx="397">
                  <c:v>45252</c:v>
                </c:pt>
                <c:pt idx="398">
                  <c:v>45080</c:v>
                </c:pt>
                <c:pt idx="399">
                  <c:v>45042</c:v>
                </c:pt>
                <c:pt idx="400">
                  <c:v>44998</c:v>
                </c:pt>
                <c:pt idx="401">
                  <c:v>44937</c:v>
                </c:pt>
                <c:pt idx="402">
                  <c:v>45026</c:v>
                </c:pt>
                <c:pt idx="403">
                  <c:v>44992</c:v>
                </c:pt>
                <c:pt idx="404">
                  <c:v>45169</c:v>
                </c:pt>
                <c:pt idx="405">
                  <c:v>44928</c:v>
                </c:pt>
                <c:pt idx="406">
                  <c:v>45218</c:v>
                </c:pt>
                <c:pt idx="407">
                  <c:v>44936</c:v>
                </c:pt>
                <c:pt idx="408">
                  <c:v>44942</c:v>
                </c:pt>
                <c:pt idx="409">
                  <c:v>45130</c:v>
                </c:pt>
                <c:pt idx="410">
                  <c:v>45264</c:v>
                </c:pt>
                <c:pt idx="411">
                  <c:v>45025</c:v>
                </c:pt>
                <c:pt idx="412">
                  <c:v>45041</c:v>
                </c:pt>
                <c:pt idx="413">
                  <c:v>44985</c:v>
                </c:pt>
                <c:pt idx="414">
                  <c:v>45055</c:v>
                </c:pt>
                <c:pt idx="415">
                  <c:v>45268</c:v>
                </c:pt>
                <c:pt idx="416">
                  <c:v>45231</c:v>
                </c:pt>
                <c:pt idx="417">
                  <c:v>45088</c:v>
                </c:pt>
                <c:pt idx="418">
                  <c:v>45208</c:v>
                </c:pt>
                <c:pt idx="419">
                  <c:v>45192</c:v>
                </c:pt>
                <c:pt idx="420">
                  <c:v>45022</c:v>
                </c:pt>
                <c:pt idx="421">
                  <c:v>45247</c:v>
                </c:pt>
                <c:pt idx="422">
                  <c:v>44964</c:v>
                </c:pt>
                <c:pt idx="423">
                  <c:v>45199</c:v>
                </c:pt>
                <c:pt idx="424">
                  <c:v>45156</c:v>
                </c:pt>
                <c:pt idx="425">
                  <c:v>44936</c:v>
                </c:pt>
                <c:pt idx="426">
                  <c:v>45001</c:v>
                </c:pt>
                <c:pt idx="427">
                  <c:v>45171</c:v>
                </c:pt>
                <c:pt idx="428">
                  <c:v>45023</c:v>
                </c:pt>
                <c:pt idx="429">
                  <c:v>45154</c:v>
                </c:pt>
                <c:pt idx="430">
                  <c:v>45000</c:v>
                </c:pt>
                <c:pt idx="431">
                  <c:v>44988</c:v>
                </c:pt>
                <c:pt idx="432">
                  <c:v>44988</c:v>
                </c:pt>
                <c:pt idx="433">
                  <c:v>45148</c:v>
                </c:pt>
                <c:pt idx="434">
                  <c:v>44951</c:v>
                </c:pt>
                <c:pt idx="435">
                  <c:v>45188</c:v>
                </c:pt>
                <c:pt idx="436">
                  <c:v>45182</c:v>
                </c:pt>
                <c:pt idx="437">
                  <c:v>45236</c:v>
                </c:pt>
                <c:pt idx="438">
                  <c:v>45070</c:v>
                </c:pt>
                <c:pt idx="439">
                  <c:v>44972</c:v>
                </c:pt>
                <c:pt idx="440">
                  <c:v>45218</c:v>
                </c:pt>
                <c:pt idx="441">
                  <c:v>45135</c:v>
                </c:pt>
                <c:pt idx="442">
                  <c:v>44978</c:v>
                </c:pt>
                <c:pt idx="443">
                  <c:v>45274</c:v>
                </c:pt>
                <c:pt idx="444">
                  <c:v>44992</c:v>
                </c:pt>
                <c:pt idx="445">
                  <c:v>45071</c:v>
                </c:pt>
                <c:pt idx="446">
                  <c:v>44966</c:v>
                </c:pt>
                <c:pt idx="447">
                  <c:v>45294</c:v>
                </c:pt>
                <c:pt idx="448">
                  <c:v>45158</c:v>
                </c:pt>
                <c:pt idx="449">
                  <c:v>44987</c:v>
                </c:pt>
                <c:pt idx="450">
                  <c:v>45053</c:v>
                </c:pt>
                <c:pt idx="451">
                  <c:v>44940</c:v>
                </c:pt>
                <c:pt idx="452">
                  <c:v>45061</c:v>
                </c:pt>
                <c:pt idx="453">
                  <c:v>45151</c:v>
                </c:pt>
                <c:pt idx="454">
                  <c:v>45158</c:v>
                </c:pt>
                <c:pt idx="455">
                  <c:v>45141</c:v>
                </c:pt>
                <c:pt idx="456">
                  <c:v>45255</c:v>
                </c:pt>
                <c:pt idx="457">
                  <c:v>45229</c:v>
                </c:pt>
                <c:pt idx="458">
                  <c:v>44994</c:v>
                </c:pt>
                <c:pt idx="459">
                  <c:v>44933</c:v>
                </c:pt>
                <c:pt idx="460">
                  <c:v>45146</c:v>
                </c:pt>
                <c:pt idx="461">
                  <c:v>45276</c:v>
                </c:pt>
                <c:pt idx="462">
                  <c:v>45075</c:v>
                </c:pt>
                <c:pt idx="463">
                  <c:v>45173</c:v>
                </c:pt>
                <c:pt idx="464">
                  <c:v>45168</c:v>
                </c:pt>
                <c:pt idx="465">
                  <c:v>44959</c:v>
                </c:pt>
                <c:pt idx="466">
                  <c:v>45181</c:v>
                </c:pt>
                <c:pt idx="467">
                  <c:v>45281</c:v>
                </c:pt>
                <c:pt idx="468">
                  <c:v>45206</c:v>
                </c:pt>
                <c:pt idx="469">
                  <c:v>45246</c:v>
                </c:pt>
                <c:pt idx="470">
                  <c:v>45229</c:v>
                </c:pt>
                <c:pt idx="471">
                  <c:v>44978</c:v>
                </c:pt>
                <c:pt idx="472">
                  <c:v>44997</c:v>
                </c:pt>
                <c:pt idx="473">
                  <c:v>45216</c:v>
                </c:pt>
                <c:pt idx="474">
                  <c:v>45082</c:v>
                </c:pt>
                <c:pt idx="475">
                  <c:v>44988</c:v>
                </c:pt>
                <c:pt idx="476">
                  <c:v>45119</c:v>
                </c:pt>
                <c:pt idx="477">
                  <c:v>44962</c:v>
                </c:pt>
                <c:pt idx="478">
                  <c:v>45191</c:v>
                </c:pt>
                <c:pt idx="479">
                  <c:v>45119</c:v>
                </c:pt>
                <c:pt idx="480">
                  <c:v>45236</c:v>
                </c:pt>
                <c:pt idx="481">
                  <c:v>45151</c:v>
                </c:pt>
                <c:pt idx="482">
                  <c:v>44949</c:v>
                </c:pt>
                <c:pt idx="483">
                  <c:v>45206</c:v>
                </c:pt>
                <c:pt idx="484">
                  <c:v>45245</c:v>
                </c:pt>
                <c:pt idx="485">
                  <c:v>45286</c:v>
                </c:pt>
                <c:pt idx="486">
                  <c:v>45241</c:v>
                </c:pt>
                <c:pt idx="487">
                  <c:v>45037</c:v>
                </c:pt>
                <c:pt idx="488">
                  <c:v>45064</c:v>
                </c:pt>
                <c:pt idx="489">
                  <c:v>45062</c:v>
                </c:pt>
                <c:pt idx="490">
                  <c:v>45180</c:v>
                </c:pt>
                <c:pt idx="491">
                  <c:v>45089</c:v>
                </c:pt>
                <c:pt idx="492">
                  <c:v>45294</c:v>
                </c:pt>
                <c:pt idx="493">
                  <c:v>45195</c:v>
                </c:pt>
                <c:pt idx="494">
                  <c:v>45252</c:v>
                </c:pt>
                <c:pt idx="495">
                  <c:v>45117</c:v>
                </c:pt>
                <c:pt idx="496">
                  <c:v>45253</c:v>
                </c:pt>
                <c:pt idx="497">
                  <c:v>45227</c:v>
                </c:pt>
                <c:pt idx="498">
                  <c:v>44931</c:v>
                </c:pt>
                <c:pt idx="499">
                  <c:v>45245</c:v>
                </c:pt>
                <c:pt idx="500">
                  <c:v>44996</c:v>
                </c:pt>
                <c:pt idx="501">
                  <c:v>45169</c:v>
                </c:pt>
                <c:pt idx="502">
                  <c:v>45272</c:v>
                </c:pt>
                <c:pt idx="503">
                  <c:v>44948</c:v>
                </c:pt>
                <c:pt idx="504">
                  <c:v>45291</c:v>
                </c:pt>
                <c:pt idx="505">
                  <c:v>45291</c:v>
                </c:pt>
                <c:pt idx="506">
                  <c:v>45156</c:v>
                </c:pt>
                <c:pt idx="507">
                  <c:v>45102</c:v>
                </c:pt>
                <c:pt idx="508">
                  <c:v>45220</c:v>
                </c:pt>
                <c:pt idx="509">
                  <c:v>45251</c:v>
                </c:pt>
                <c:pt idx="510">
                  <c:v>45039</c:v>
                </c:pt>
                <c:pt idx="511">
                  <c:v>45178</c:v>
                </c:pt>
                <c:pt idx="512">
                  <c:v>45031</c:v>
                </c:pt>
                <c:pt idx="513">
                  <c:v>45103</c:v>
                </c:pt>
                <c:pt idx="514">
                  <c:v>45080</c:v>
                </c:pt>
                <c:pt idx="515">
                  <c:v>45066</c:v>
                </c:pt>
                <c:pt idx="516">
                  <c:v>45023</c:v>
                </c:pt>
                <c:pt idx="517">
                  <c:v>45248</c:v>
                </c:pt>
                <c:pt idx="518">
                  <c:v>45047</c:v>
                </c:pt>
                <c:pt idx="519">
                  <c:v>45073</c:v>
                </c:pt>
                <c:pt idx="520">
                  <c:v>44949</c:v>
                </c:pt>
                <c:pt idx="521">
                  <c:v>45207</c:v>
                </c:pt>
                <c:pt idx="522">
                  <c:v>45259</c:v>
                </c:pt>
                <c:pt idx="523">
                  <c:v>45198</c:v>
                </c:pt>
                <c:pt idx="524">
                  <c:v>45237</c:v>
                </c:pt>
                <c:pt idx="525">
                  <c:v>45219</c:v>
                </c:pt>
                <c:pt idx="526">
                  <c:v>45187</c:v>
                </c:pt>
                <c:pt idx="527">
                  <c:v>45130</c:v>
                </c:pt>
                <c:pt idx="528">
                  <c:v>45048</c:v>
                </c:pt>
                <c:pt idx="529">
                  <c:v>45264</c:v>
                </c:pt>
                <c:pt idx="530">
                  <c:v>45165</c:v>
                </c:pt>
                <c:pt idx="531">
                  <c:v>45085</c:v>
                </c:pt>
                <c:pt idx="532">
                  <c:v>45225</c:v>
                </c:pt>
                <c:pt idx="533">
                  <c:v>44933</c:v>
                </c:pt>
                <c:pt idx="534">
                  <c:v>45039</c:v>
                </c:pt>
                <c:pt idx="535">
                  <c:v>45181</c:v>
                </c:pt>
                <c:pt idx="536">
                  <c:v>44954</c:v>
                </c:pt>
                <c:pt idx="537">
                  <c:v>45123</c:v>
                </c:pt>
                <c:pt idx="538">
                  <c:v>44930</c:v>
                </c:pt>
                <c:pt idx="539">
                  <c:v>45024</c:v>
                </c:pt>
                <c:pt idx="540">
                  <c:v>45049</c:v>
                </c:pt>
                <c:pt idx="541">
                  <c:v>45122</c:v>
                </c:pt>
                <c:pt idx="542">
                  <c:v>45197</c:v>
                </c:pt>
                <c:pt idx="543">
                  <c:v>45068</c:v>
                </c:pt>
                <c:pt idx="544">
                  <c:v>45015</c:v>
                </c:pt>
                <c:pt idx="545">
                  <c:v>45140</c:v>
                </c:pt>
                <c:pt idx="546">
                  <c:v>45066</c:v>
                </c:pt>
                <c:pt idx="547">
                  <c:v>45277</c:v>
                </c:pt>
                <c:pt idx="548">
                  <c:v>45231</c:v>
                </c:pt>
                <c:pt idx="549">
                  <c:v>45294</c:v>
                </c:pt>
                <c:pt idx="550">
                  <c:v>44934</c:v>
                </c:pt>
                <c:pt idx="551">
                  <c:v>45194</c:v>
                </c:pt>
                <c:pt idx="552">
                  <c:v>45034</c:v>
                </c:pt>
                <c:pt idx="553">
                  <c:v>44976</c:v>
                </c:pt>
                <c:pt idx="554">
                  <c:v>45078</c:v>
                </c:pt>
                <c:pt idx="555">
                  <c:v>45105</c:v>
                </c:pt>
                <c:pt idx="556">
                  <c:v>45040</c:v>
                </c:pt>
                <c:pt idx="557">
                  <c:v>45268</c:v>
                </c:pt>
                <c:pt idx="558">
                  <c:v>45234</c:v>
                </c:pt>
                <c:pt idx="559">
                  <c:v>45034</c:v>
                </c:pt>
                <c:pt idx="560">
                  <c:v>45193</c:v>
                </c:pt>
                <c:pt idx="561">
                  <c:v>45243</c:v>
                </c:pt>
                <c:pt idx="562">
                  <c:v>45209</c:v>
                </c:pt>
                <c:pt idx="563">
                  <c:v>44974</c:v>
                </c:pt>
                <c:pt idx="564">
                  <c:v>45005</c:v>
                </c:pt>
                <c:pt idx="565">
                  <c:v>45227</c:v>
                </c:pt>
                <c:pt idx="566">
                  <c:v>44942</c:v>
                </c:pt>
                <c:pt idx="567">
                  <c:v>44968</c:v>
                </c:pt>
                <c:pt idx="568">
                  <c:v>45278</c:v>
                </c:pt>
                <c:pt idx="569">
                  <c:v>45170</c:v>
                </c:pt>
                <c:pt idx="570">
                  <c:v>45127</c:v>
                </c:pt>
                <c:pt idx="571">
                  <c:v>45192</c:v>
                </c:pt>
                <c:pt idx="572">
                  <c:v>45121</c:v>
                </c:pt>
                <c:pt idx="573">
                  <c:v>45091</c:v>
                </c:pt>
                <c:pt idx="574">
                  <c:v>45083</c:v>
                </c:pt>
                <c:pt idx="575">
                  <c:v>44935</c:v>
                </c:pt>
                <c:pt idx="576">
                  <c:v>45136</c:v>
                </c:pt>
                <c:pt idx="577">
                  <c:v>45143</c:v>
                </c:pt>
                <c:pt idx="578">
                  <c:v>44978</c:v>
                </c:pt>
                <c:pt idx="579">
                  <c:v>45051</c:v>
                </c:pt>
                <c:pt idx="580">
                  <c:v>44942</c:v>
                </c:pt>
                <c:pt idx="581">
                  <c:v>45103</c:v>
                </c:pt>
                <c:pt idx="582">
                  <c:v>45036</c:v>
                </c:pt>
                <c:pt idx="583">
                  <c:v>45229</c:v>
                </c:pt>
                <c:pt idx="584">
                  <c:v>45173</c:v>
                </c:pt>
                <c:pt idx="585">
                  <c:v>44975</c:v>
                </c:pt>
                <c:pt idx="586">
                  <c:v>44933</c:v>
                </c:pt>
                <c:pt idx="587">
                  <c:v>45207</c:v>
                </c:pt>
                <c:pt idx="588">
                  <c:v>45279</c:v>
                </c:pt>
                <c:pt idx="589">
                  <c:v>45026</c:v>
                </c:pt>
                <c:pt idx="590">
                  <c:v>45078</c:v>
                </c:pt>
                <c:pt idx="591">
                  <c:v>45110</c:v>
                </c:pt>
                <c:pt idx="592">
                  <c:v>45214</c:v>
                </c:pt>
                <c:pt idx="593">
                  <c:v>45087</c:v>
                </c:pt>
                <c:pt idx="594">
                  <c:v>45172</c:v>
                </c:pt>
                <c:pt idx="595">
                  <c:v>44989</c:v>
                </c:pt>
                <c:pt idx="596">
                  <c:v>44950</c:v>
                </c:pt>
                <c:pt idx="597">
                  <c:v>45193</c:v>
                </c:pt>
                <c:pt idx="598">
                  <c:v>45097</c:v>
                </c:pt>
                <c:pt idx="599">
                  <c:v>45245</c:v>
                </c:pt>
                <c:pt idx="600">
                  <c:v>45044</c:v>
                </c:pt>
                <c:pt idx="601">
                  <c:v>45068</c:v>
                </c:pt>
                <c:pt idx="602">
                  <c:v>45018</c:v>
                </c:pt>
                <c:pt idx="603">
                  <c:v>45245</c:v>
                </c:pt>
                <c:pt idx="604">
                  <c:v>45204</c:v>
                </c:pt>
                <c:pt idx="605">
                  <c:v>45160</c:v>
                </c:pt>
                <c:pt idx="606">
                  <c:v>45123</c:v>
                </c:pt>
                <c:pt idx="607">
                  <c:v>44953</c:v>
                </c:pt>
                <c:pt idx="608">
                  <c:v>45175</c:v>
                </c:pt>
                <c:pt idx="609">
                  <c:v>45052</c:v>
                </c:pt>
                <c:pt idx="610">
                  <c:v>44940</c:v>
                </c:pt>
                <c:pt idx="611">
                  <c:v>45044</c:v>
                </c:pt>
                <c:pt idx="612">
                  <c:v>44928</c:v>
                </c:pt>
                <c:pt idx="613">
                  <c:v>45239</c:v>
                </c:pt>
                <c:pt idx="614">
                  <c:v>45110</c:v>
                </c:pt>
                <c:pt idx="615">
                  <c:v>44940</c:v>
                </c:pt>
                <c:pt idx="616">
                  <c:v>44980</c:v>
                </c:pt>
                <c:pt idx="617">
                  <c:v>45088</c:v>
                </c:pt>
                <c:pt idx="618">
                  <c:v>45062</c:v>
                </c:pt>
                <c:pt idx="619">
                  <c:v>45001</c:v>
                </c:pt>
                <c:pt idx="620">
                  <c:v>44929</c:v>
                </c:pt>
                <c:pt idx="621">
                  <c:v>45079</c:v>
                </c:pt>
                <c:pt idx="622">
                  <c:v>45083</c:v>
                </c:pt>
                <c:pt idx="623">
                  <c:v>45227</c:v>
                </c:pt>
                <c:pt idx="624">
                  <c:v>44957</c:v>
                </c:pt>
                <c:pt idx="625">
                  <c:v>45044</c:v>
                </c:pt>
                <c:pt idx="626">
                  <c:v>45129</c:v>
                </c:pt>
                <c:pt idx="627">
                  <c:v>45089</c:v>
                </c:pt>
                <c:pt idx="628">
                  <c:v>45005</c:v>
                </c:pt>
                <c:pt idx="629">
                  <c:v>45030</c:v>
                </c:pt>
                <c:pt idx="630">
                  <c:v>45050</c:v>
                </c:pt>
                <c:pt idx="631">
                  <c:v>45197</c:v>
                </c:pt>
                <c:pt idx="632">
                  <c:v>45139</c:v>
                </c:pt>
                <c:pt idx="633">
                  <c:v>45195</c:v>
                </c:pt>
                <c:pt idx="634">
                  <c:v>45244</c:v>
                </c:pt>
                <c:pt idx="635">
                  <c:v>45231</c:v>
                </c:pt>
                <c:pt idx="636">
                  <c:v>45107</c:v>
                </c:pt>
                <c:pt idx="637">
                  <c:v>45209</c:v>
                </c:pt>
                <c:pt idx="638">
                  <c:v>45188</c:v>
                </c:pt>
                <c:pt idx="639">
                  <c:v>45294</c:v>
                </c:pt>
                <c:pt idx="640">
                  <c:v>44935</c:v>
                </c:pt>
                <c:pt idx="641">
                  <c:v>45149</c:v>
                </c:pt>
                <c:pt idx="642">
                  <c:v>45132</c:v>
                </c:pt>
                <c:pt idx="643">
                  <c:v>45199</c:v>
                </c:pt>
                <c:pt idx="644">
                  <c:v>45225</c:v>
                </c:pt>
                <c:pt idx="645">
                  <c:v>45282</c:v>
                </c:pt>
                <c:pt idx="646">
                  <c:v>45182</c:v>
                </c:pt>
                <c:pt idx="647">
                  <c:v>45286</c:v>
                </c:pt>
                <c:pt idx="648">
                  <c:v>45175</c:v>
                </c:pt>
                <c:pt idx="649">
                  <c:v>45244</c:v>
                </c:pt>
                <c:pt idx="650">
                  <c:v>45041</c:v>
                </c:pt>
                <c:pt idx="651">
                  <c:v>45133</c:v>
                </c:pt>
                <c:pt idx="652">
                  <c:v>45092</c:v>
                </c:pt>
                <c:pt idx="653">
                  <c:v>45068</c:v>
                </c:pt>
                <c:pt idx="654">
                  <c:v>45267</c:v>
                </c:pt>
                <c:pt idx="655">
                  <c:v>44985</c:v>
                </c:pt>
                <c:pt idx="656">
                  <c:v>45294</c:v>
                </c:pt>
                <c:pt idx="657">
                  <c:v>45050</c:v>
                </c:pt>
                <c:pt idx="658">
                  <c:v>45165</c:v>
                </c:pt>
                <c:pt idx="659">
                  <c:v>45244</c:v>
                </c:pt>
                <c:pt idx="660">
                  <c:v>45175</c:v>
                </c:pt>
                <c:pt idx="661">
                  <c:v>44929</c:v>
                </c:pt>
                <c:pt idx="662">
                  <c:v>44977</c:v>
                </c:pt>
                <c:pt idx="663">
                  <c:v>45029</c:v>
                </c:pt>
                <c:pt idx="664">
                  <c:v>44931</c:v>
                </c:pt>
                <c:pt idx="665">
                  <c:v>45068</c:v>
                </c:pt>
                <c:pt idx="666">
                  <c:v>45148</c:v>
                </c:pt>
                <c:pt idx="667">
                  <c:v>45088</c:v>
                </c:pt>
                <c:pt idx="668">
                  <c:v>44982</c:v>
                </c:pt>
                <c:pt idx="669">
                  <c:v>45082</c:v>
                </c:pt>
                <c:pt idx="670">
                  <c:v>45216</c:v>
                </c:pt>
                <c:pt idx="671">
                  <c:v>44951</c:v>
                </c:pt>
                <c:pt idx="672">
                  <c:v>44936</c:v>
                </c:pt>
                <c:pt idx="673">
                  <c:v>45287</c:v>
                </c:pt>
                <c:pt idx="674">
                  <c:v>45233</c:v>
                </c:pt>
                <c:pt idx="675">
                  <c:v>45026</c:v>
                </c:pt>
                <c:pt idx="676">
                  <c:v>45287</c:v>
                </c:pt>
                <c:pt idx="677">
                  <c:v>45282</c:v>
                </c:pt>
                <c:pt idx="678">
                  <c:v>45238</c:v>
                </c:pt>
                <c:pt idx="679">
                  <c:v>45267</c:v>
                </c:pt>
                <c:pt idx="680">
                  <c:v>44991</c:v>
                </c:pt>
                <c:pt idx="681">
                  <c:v>45053</c:v>
                </c:pt>
                <c:pt idx="682">
                  <c:v>45267</c:v>
                </c:pt>
                <c:pt idx="683">
                  <c:v>45182</c:v>
                </c:pt>
                <c:pt idx="684">
                  <c:v>45291</c:v>
                </c:pt>
                <c:pt idx="685">
                  <c:v>45036</c:v>
                </c:pt>
                <c:pt idx="686">
                  <c:v>45016</c:v>
                </c:pt>
                <c:pt idx="687">
                  <c:v>45250</c:v>
                </c:pt>
                <c:pt idx="688">
                  <c:v>45269</c:v>
                </c:pt>
                <c:pt idx="689">
                  <c:v>45083</c:v>
                </c:pt>
                <c:pt idx="690">
                  <c:v>45272</c:v>
                </c:pt>
                <c:pt idx="691">
                  <c:v>45137</c:v>
                </c:pt>
                <c:pt idx="692">
                  <c:v>45223</c:v>
                </c:pt>
                <c:pt idx="693">
                  <c:v>45224</c:v>
                </c:pt>
                <c:pt idx="694">
                  <c:v>45120</c:v>
                </c:pt>
                <c:pt idx="695">
                  <c:v>45074</c:v>
                </c:pt>
                <c:pt idx="696">
                  <c:v>45294</c:v>
                </c:pt>
                <c:pt idx="697">
                  <c:v>45210</c:v>
                </c:pt>
                <c:pt idx="698">
                  <c:v>44985</c:v>
                </c:pt>
                <c:pt idx="699">
                  <c:v>45034</c:v>
                </c:pt>
                <c:pt idx="700">
                  <c:v>45241</c:v>
                </c:pt>
                <c:pt idx="701">
                  <c:v>45170</c:v>
                </c:pt>
                <c:pt idx="702">
                  <c:v>45152</c:v>
                </c:pt>
                <c:pt idx="703">
                  <c:v>44960</c:v>
                </c:pt>
                <c:pt idx="704">
                  <c:v>44962</c:v>
                </c:pt>
                <c:pt idx="705">
                  <c:v>44946</c:v>
                </c:pt>
                <c:pt idx="706">
                  <c:v>44975</c:v>
                </c:pt>
                <c:pt idx="707">
                  <c:v>45136</c:v>
                </c:pt>
                <c:pt idx="708">
                  <c:v>45132</c:v>
                </c:pt>
                <c:pt idx="709">
                  <c:v>45276</c:v>
                </c:pt>
                <c:pt idx="710">
                  <c:v>45015</c:v>
                </c:pt>
                <c:pt idx="711">
                  <c:v>44948</c:v>
                </c:pt>
                <c:pt idx="712">
                  <c:v>44945</c:v>
                </c:pt>
                <c:pt idx="713">
                  <c:v>45273</c:v>
                </c:pt>
                <c:pt idx="714">
                  <c:v>45113</c:v>
                </c:pt>
                <c:pt idx="715">
                  <c:v>45129</c:v>
                </c:pt>
                <c:pt idx="716">
                  <c:v>45083</c:v>
                </c:pt>
                <c:pt idx="717">
                  <c:v>45141</c:v>
                </c:pt>
                <c:pt idx="718">
                  <c:v>44938</c:v>
                </c:pt>
                <c:pt idx="719">
                  <c:v>45136</c:v>
                </c:pt>
                <c:pt idx="720">
                  <c:v>45158</c:v>
                </c:pt>
                <c:pt idx="721">
                  <c:v>44994</c:v>
                </c:pt>
                <c:pt idx="722">
                  <c:v>45248</c:v>
                </c:pt>
                <c:pt idx="723">
                  <c:v>45169</c:v>
                </c:pt>
                <c:pt idx="724">
                  <c:v>45155</c:v>
                </c:pt>
                <c:pt idx="725">
                  <c:v>45145</c:v>
                </c:pt>
                <c:pt idx="726">
                  <c:v>45247</c:v>
                </c:pt>
                <c:pt idx="727">
                  <c:v>45016</c:v>
                </c:pt>
                <c:pt idx="728">
                  <c:v>45127</c:v>
                </c:pt>
                <c:pt idx="729">
                  <c:v>45089</c:v>
                </c:pt>
                <c:pt idx="730">
                  <c:v>45085</c:v>
                </c:pt>
                <c:pt idx="731">
                  <c:v>45268</c:v>
                </c:pt>
                <c:pt idx="732">
                  <c:v>45237</c:v>
                </c:pt>
                <c:pt idx="733">
                  <c:v>45262</c:v>
                </c:pt>
                <c:pt idx="734">
                  <c:v>45230</c:v>
                </c:pt>
                <c:pt idx="735">
                  <c:v>45175</c:v>
                </c:pt>
                <c:pt idx="736">
                  <c:v>44990</c:v>
                </c:pt>
                <c:pt idx="737">
                  <c:v>45053</c:v>
                </c:pt>
                <c:pt idx="738">
                  <c:v>45219</c:v>
                </c:pt>
                <c:pt idx="739">
                  <c:v>45001</c:v>
                </c:pt>
                <c:pt idx="740">
                  <c:v>45120</c:v>
                </c:pt>
                <c:pt idx="741">
                  <c:v>44947</c:v>
                </c:pt>
                <c:pt idx="742">
                  <c:v>45157</c:v>
                </c:pt>
                <c:pt idx="743">
                  <c:v>45199</c:v>
                </c:pt>
                <c:pt idx="744">
                  <c:v>45230</c:v>
                </c:pt>
                <c:pt idx="745">
                  <c:v>45006</c:v>
                </c:pt>
                <c:pt idx="746">
                  <c:v>45116</c:v>
                </c:pt>
                <c:pt idx="747">
                  <c:v>45267</c:v>
                </c:pt>
                <c:pt idx="748">
                  <c:v>45079</c:v>
                </c:pt>
                <c:pt idx="749">
                  <c:v>45076</c:v>
                </c:pt>
                <c:pt idx="750">
                  <c:v>45078</c:v>
                </c:pt>
                <c:pt idx="751">
                  <c:v>45261</c:v>
                </c:pt>
                <c:pt idx="752">
                  <c:v>45222</c:v>
                </c:pt>
                <c:pt idx="753">
                  <c:v>45094</c:v>
                </c:pt>
                <c:pt idx="754">
                  <c:v>45235</c:v>
                </c:pt>
                <c:pt idx="755">
                  <c:v>45268</c:v>
                </c:pt>
                <c:pt idx="756">
                  <c:v>45185</c:v>
                </c:pt>
                <c:pt idx="757">
                  <c:v>45178</c:v>
                </c:pt>
                <c:pt idx="758">
                  <c:v>44994</c:v>
                </c:pt>
                <c:pt idx="759">
                  <c:v>45139</c:v>
                </c:pt>
                <c:pt idx="760">
                  <c:v>45054</c:v>
                </c:pt>
                <c:pt idx="761">
                  <c:v>45281</c:v>
                </c:pt>
                <c:pt idx="762">
                  <c:v>45268</c:v>
                </c:pt>
                <c:pt idx="763">
                  <c:v>45106</c:v>
                </c:pt>
                <c:pt idx="764">
                  <c:v>45193</c:v>
                </c:pt>
                <c:pt idx="765">
                  <c:v>45068</c:v>
                </c:pt>
                <c:pt idx="766">
                  <c:v>45136</c:v>
                </c:pt>
                <c:pt idx="767">
                  <c:v>45218</c:v>
                </c:pt>
                <c:pt idx="768">
                  <c:v>45171</c:v>
                </c:pt>
                <c:pt idx="769">
                  <c:v>45098</c:v>
                </c:pt>
                <c:pt idx="770">
                  <c:v>45090</c:v>
                </c:pt>
                <c:pt idx="771">
                  <c:v>45288</c:v>
                </c:pt>
                <c:pt idx="772">
                  <c:v>45113</c:v>
                </c:pt>
                <c:pt idx="773">
                  <c:v>45090</c:v>
                </c:pt>
                <c:pt idx="774">
                  <c:v>45005</c:v>
                </c:pt>
                <c:pt idx="775">
                  <c:v>44977</c:v>
                </c:pt>
                <c:pt idx="776">
                  <c:v>45165</c:v>
                </c:pt>
                <c:pt idx="777">
                  <c:v>44960</c:v>
                </c:pt>
                <c:pt idx="778">
                  <c:v>45196</c:v>
                </c:pt>
                <c:pt idx="779">
                  <c:v>45003</c:v>
                </c:pt>
                <c:pt idx="780">
                  <c:v>44943</c:v>
                </c:pt>
                <c:pt idx="781">
                  <c:v>45057</c:v>
                </c:pt>
                <c:pt idx="782">
                  <c:v>44995</c:v>
                </c:pt>
                <c:pt idx="783">
                  <c:v>45104</c:v>
                </c:pt>
                <c:pt idx="784">
                  <c:v>45237</c:v>
                </c:pt>
                <c:pt idx="785">
                  <c:v>45024</c:v>
                </c:pt>
                <c:pt idx="786">
                  <c:v>45226</c:v>
                </c:pt>
                <c:pt idx="787">
                  <c:v>44958</c:v>
                </c:pt>
                <c:pt idx="788">
                  <c:v>45073</c:v>
                </c:pt>
                <c:pt idx="789">
                  <c:v>45200</c:v>
                </c:pt>
                <c:pt idx="790">
                  <c:v>45051</c:v>
                </c:pt>
                <c:pt idx="791">
                  <c:v>45282</c:v>
                </c:pt>
                <c:pt idx="792">
                  <c:v>45090</c:v>
                </c:pt>
                <c:pt idx="793">
                  <c:v>44937</c:v>
                </c:pt>
                <c:pt idx="794">
                  <c:v>44964</c:v>
                </c:pt>
                <c:pt idx="795">
                  <c:v>45121</c:v>
                </c:pt>
                <c:pt idx="796">
                  <c:v>45023</c:v>
                </c:pt>
                <c:pt idx="797">
                  <c:v>45278</c:v>
                </c:pt>
                <c:pt idx="798">
                  <c:v>45247</c:v>
                </c:pt>
                <c:pt idx="799">
                  <c:v>45286</c:v>
                </c:pt>
                <c:pt idx="800">
                  <c:v>45264</c:v>
                </c:pt>
                <c:pt idx="801">
                  <c:v>45085</c:v>
                </c:pt>
                <c:pt idx="802">
                  <c:v>45152</c:v>
                </c:pt>
                <c:pt idx="803">
                  <c:v>45243</c:v>
                </c:pt>
                <c:pt idx="804">
                  <c:v>45216</c:v>
                </c:pt>
                <c:pt idx="805">
                  <c:v>45130</c:v>
                </c:pt>
                <c:pt idx="806">
                  <c:v>45092</c:v>
                </c:pt>
                <c:pt idx="807">
                  <c:v>45125</c:v>
                </c:pt>
                <c:pt idx="808">
                  <c:v>45058</c:v>
                </c:pt>
                <c:pt idx="809">
                  <c:v>44976</c:v>
                </c:pt>
                <c:pt idx="810">
                  <c:v>45216</c:v>
                </c:pt>
                <c:pt idx="811">
                  <c:v>45199</c:v>
                </c:pt>
                <c:pt idx="812">
                  <c:v>45066</c:v>
                </c:pt>
                <c:pt idx="813">
                  <c:v>45043</c:v>
                </c:pt>
                <c:pt idx="814">
                  <c:v>45012</c:v>
                </c:pt>
                <c:pt idx="815">
                  <c:v>45138</c:v>
                </c:pt>
                <c:pt idx="816">
                  <c:v>44968</c:v>
                </c:pt>
                <c:pt idx="817">
                  <c:v>44930</c:v>
                </c:pt>
                <c:pt idx="818">
                  <c:v>45168</c:v>
                </c:pt>
                <c:pt idx="819">
                  <c:v>44991</c:v>
                </c:pt>
                <c:pt idx="820">
                  <c:v>44983</c:v>
                </c:pt>
                <c:pt idx="821">
                  <c:v>44982</c:v>
                </c:pt>
                <c:pt idx="822">
                  <c:v>44929</c:v>
                </c:pt>
                <c:pt idx="823">
                  <c:v>45288</c:v>
                </c:pt>
                <c:pt idx="824">
                  <c:v>45248</c:v>
                </c:pt>
                <c:pt idx="825">
                  <c:v>44996</c:v>
                </c:pt>
                <c:pt idx="826">
                  <c:v>45188</c:v>
                </c:pt>
                <c:pt idx="827">
                  <c:v>45061</c:v>
                </c:pt>
                <c:pt idx="828">
                  <c:v>45222</c:v>
                </c:pt>
                <c:pt idx="829">
                  <c:v>44992</c:v>
                </c:pt>
                <c:pt idx="830">
                  <c:v>44942</c:v>
                </c:pt>
                <c:pt idx="831">
                  <c:v>45026</c:v>
                </c:pt>
                <c:pt idx="832">
                  <c:v>45182</c:v>
                </c:pt>
                <c:pt idx="833">
                  <c:v>45195</c:v>
                </c:pt>
                <c:pt idx="834">
                  <c:v>45253</c:v>
                </c:pt>
                <c:pt idx="835">
                  <c:v>45150</c:v>
                </c:pt>
                <c:pt idx="836">
                  <c:v>45273</c:v>
                </c:pt>
                <c:pt idx="837">
                  <c:v>45115</c:v>
                </c:pt>
                <c:pt idx="838">
                  <c:v>45132</c:v>
                </c:pt>
                <c:pt idx="839">
                  <c:v>45115</c:v>
                </c:pt>
                <c:pt idx="840">
                  <c:v>45135</c:v>
                </c:pt>
                <c:pt idx="841">
                  <c:v>45188</c:v>
                </c:pt>
                <c:pt idx="842">
                  <c:v>44944</c:v>
                </c:pt>
                <c:pt idx="843">
                  <c:v>44932</c:v>
                </c:pt>
                <c:pt idx="844">
                  <c:v>45116</c:v>
                </c:pt>
                <c:pt idx="845">
                  <c:v>45108</c:v>
                </c:pt>
                <c:pt idx="846">
                  <c:v>45214</c:v>
                </c:pt>
                <c:pt idx="847">
                  <c:v>45294</c:v>
                </c:pt>
                <c:pt idx="848">
                  <c:v>45246</c:v>
                </c:pt>
                <c:pt idx="849">
                  <c:v>45157</c:v>
                </c:pt>
                <c:pt idx="850">
                  <c:v>45268</c:v>
                </c:pt>
                <c:pt idx="851">
                  <c:v>45269</c:v>
                </c:pt>
                <c:pt idx="852">
                  <c:v>45224</c:v>
                </c:pt>
                <c:pt idx="853">
                  <c:v>45276</c:v>
                </c:pt>
                <c:pt idx="854">
                  <c:v>45144</c:v>
                </c:pt>
                <c:pt idx="855">
                  <c:v>45042</c:v>
                </c:pt>
                <c:pt idx="856">
                  <c:v>45104</c:v>
                </c:pt>
                <c:pt idx="857">
                  <c:v>44952</c:v>
                </c:pt>
                <c:pt idx="858">
                  <c:v>45225</c:v>
                </c:pt>
                <c:pt idx="859">
                  <c:v>44956</c:v>
                </c:pt>
                <c:pt idx="860">
                  <c:v>45075</c:v>
                </c:pt>
                <c:pt idx="861">
                  <c:v>45201</c:v>
                </c:pt>
                <c:pt idx="862">
                  <c:v>45083</c:v>
                </c:pt>
                <c:pt idx="863">
                  <c:v>44957</c:v>
                </c:pt>
                <c:pt idx="864">
                  <c:v>45291</c:v>
                </c:pt>
                <c:pt idx="865">
                  <c:v>44931</c:v>
                </c:pt>
                <c:pt idx="866">
                  <c:v>45087</c:v>
                </c:pt>
                <c:pt idx="867">
                  <c:v>45072</c:v>
                </c:pt>
                <c:pt idx="868">
                  <c:v>45205</c:v>
                </c:pt>
                <c:pt idx="869">
                  <c:v>45032</c:v>
                </c:pt>
                <c:pt idx="870">
                  <c:v>44943</c:v>
                </c:pt>
                <c:pt idx="871">
                  <c:v>45007</c:v>
                </c:pt>
                <c:pt idx="872">
                  <c:v>45250</c:v>
                </c:pt>
                <c:pt idx="873">
                  <c:v>45128</c:v>
                </c:pt>
                <c:pt idx="874">
                  <c:v>45133</c:v>
                </c:pt>
                <c:pt idx="875">
                  <c:v>45064</c:v>
                </c:pt>
                <c:pt idx="876">
                  <c:v>45294</c:v>
                </c:pt>
                <c:pt idx="877">
                  <c:v>45150</c:v>
                </c:pt>
                <c:pt idx="878">
                  <c:v>45154</c:v>
                </c:pt>
                <c:pt idx="879">
                  <c:v>45149</c:v>
                </c:pt>
                <c:pt idx="880">
                  <c:v>44928</c:v>
                </c:pt>
                <c:pt idx="881">
                  <c:v>45135</c:v>
                </c:pt>
                <c:pt idx="882">
                  <c:v>45043</c:v>
                </c:pt>
                <c:pt idx="883">
                  <c:v>45154</c:v>
                </c:pt>
                <c:pt idx="884">
                  <c:v>45221</c:v>
                </c:pt>
                <c:pt idx="885">
                  <c:v>45162</c:v>
                </c:pt>
                <c:pt idx="886">
                  <c:v>45226</c:v>
                </c:pt>
                <c:pt idx="887">
                  <c:v>45256</c:v>
                </c:pt>
                <c:pt idx="888">
                  <c:v>44974</c:v>
                </c:pt>
                <c:pt idx="889">
                  <c:v>45239</c:v>
                </c:pt>
                <c:pt idx="890">
                  <c:v>45087</c:v>
                </c:pt>
                <c:pt idx="891">
                  <c:v>45029</c:v>
                </c:pt>
                <c:pt idx="892">
                  <c:v>45041</c:v>
                </c:pt>
                <c:pt idx="893">
                  <c:v>44988</c:v>
                </c:pt>
                <c:pt idx="894">
                  <c:v>44999</c:v>
                </c:pt>
                <c:pt idx="895">
                  <c:v>45019</c:v>
                </c:pt>
                <c:pt idx="896">
                  <c:v>45018</c:v>
                </c:pt>
                <c:pt idx="897">
                  <c:v>45115</c:v>
                </c:pt>
                <c:pt idx="898">
                  <c:v>45036</c:v>
                </c:pt>
                <c:pt idx="899">
                  <c:v>45218</c:v>
                </c:pt>
                <c:pt idx="900">
                  <c:v>45060</c:v>
                </c:pt>
                <c:pt idx="901">
                  <c:v>45198</c:v>
                </c:pt>
                <c:pt idx="902">
                  <c:v>45286</c:v>
                </c:pt>
                <c:pt idx="903">
                  <c:v>45085</c:v>
                </c:pt>
                <c:pt idx="904">
                  <c:v>45080</c:v>
                </c:pt>
                <c:pt idx="905">
                  <c:v>45260</c:v>
                </c:pt>
                <c:pt idx="906">
                  <c:v>44971</c:v>
                </c:pt>
                <c:pt idx="907">
                  <c:v>45109</c:v>
                </c:pt>
                <c:pt idx="908">
                  <c:v>45090</c:v>
                </c:pt>
                <c:pt idx="909">
                  <c:v>45013</c:v>
                </c:pt>
                <c:pt idx="910">
                  <c:v>45284</c:v>
                </c:pt>
                <c:pt idx="911">
                  <c:v>45070</c:v>
                </c:pt>
                <c:pt idx="912">
                  <c:v>45067</c:v>
                </c:pt>
                <c:pt idx="913">
                  <c:v>44931</c:v>
                </c:pt>
                <c:pt idx="914">
                  <c:v>45249</c:v>
                </c:pt>
                <c:pt idx="915">
                  <c:v>45140</c:v>
                </c:pt>
                <c:pt idx="916">
                  <c:v>45093</c:v>
                </c:pt>
                <c:pt idx="917">
                  <c:v>44963</c:v>
                </c:pt>
                <c:pt idx="918">
                  <c:v>45197</c:v>
                </c:pt>
                <c:pt idx="919">
                  <c:v>45237</c:v>
                </c:pt>
                <c:pt idx="920">
                  <c:v>45020</c:v>
                </c:pt>
                <c:pt idx="921">
                  <c:v>45254</c:v>
                </c:pt>
                <c:pt idx="922">
                  <c:v>45188</c:v>
                </c:pt>
                <c:pt idx="923">
                  <c:v>44971</c:v>
                </c:pt>
                <c:pt idx="924">
                  <c:v>44998</c:v>
                </c:pt>
                <c:pt idx="925">
                  <c:v>45162</c:v>
                </c:pt>
                <c:pt idx="926">
                  <c:v>45047</c:v>
                </c:pt>
                <c:pt idx="927">
                  <c:v>45192</c:v>
                </c:pt>
                <c:pt idx="928">
                  <c:v>44960</c:v>
                </c:pt>
                <c:pt idx="929">
                  <c:v>45289</c:v>
                </c:pt>
                <c:pt idx="930">
                  <c:v>45274</c:v>
                </c:pt>
                <c:pt idx="931">
                  <c:v>44970</c:v>
                </c:pt>
                <c:pt idx="932">
                  <c:v>45011</c:v>
                </c:pt>
                <c:pt idx="933">
                  <c:v>45141</c:v>
                </c:pt>
                <c:pt idx="934">
                  <c:v>45181</c:v>
                </c:pt>
                <c:pt idx="935">
                  <c:v>45128</c:v>
                </c:pt>
                <c:pt idx="936">
                  <c:v>44931</c:v>
                </c:pt>
                <c:pt idx="937">
                  <c:v>45105</c:v>
                </c:pt>
                <c:pt idx="938">
                  <c:v>45294</c:v>
                </c:pt>
                <c:pt idx="939">
                  <c:v>45049</c:v>
                </c:pt>
                <c:pt idx="940">
                  <c:v>45130</c:v>
                </c:pt>
                <c:pt idx="941">
                  <c:v>45273</c:v>
                </c:pt>
                <c:pt idx="942">
                  <c:v>45068</c:v>
                </c:pt>
                <c:pt idx="943">
                  <c:v>45272</c:v>
                </c:pt>
                <c:pt idx="944">
                  <c:v>44954</c:v>
                </c:pt>
                <c:pt idx="945">
                  <c:v>45258</c:v>
                </c:pt>
                <c:pt idx="946">
                  <c:v>45262</c:v>
                </c:pt>
                <c:pt idx="947">
                  <c:v>45075</c:v>
                </c:pt>
                <c:pt idx="948">
                  <c:v>45062</c:v>
                </c:pt>
                <c:pt idx="949">
                  <c:v>45139</c:v>
                </c:pt>
                <c:pt idx="950">
                  <c:v>45138</c:v>
                </c:pt>
                <c:pt idx="951">
                  <c:v>45118</c:v>
                </c:pt>
                <c:pt idx="952">
                  <c:v>44952</c:v>
                </c:pt>
                <c:pt idx="953">
                  <c:v>45244</c:v>
                </c:pt>
                <c:pt idx="954">
                  <c:v>44983</c:v>
                </c:pt>
                <c:pt idx="955">
                  <c:v>45133</c:v>
                </c:pt>
                <c:pt idx="956">
                  <c:v>45084</c:v>
                </c:pt>
                <c:pt idx="957">
                  <c:v>45075</c:v>
                </c:pt>
                <c:pt idx="958">
                  <c:v>45088</c:v>
                </c:pt>
                <c:pt idx="959">
                  <c:v>44969</c:v>
                </c:pt>
                <c:pt idx="960">
                  <c:v>45278</c:v>
                </c:pt>
                <c:pt idx="961">
                  <c:v>45124</c:v>
                </c:pt>
                <c:pt idx="962">
                  <c:v>45066</c:v>
                </c:pt>
                <c:pt idx="963">
                  <c:v>44930</c:v>
                </c:pt>
                <c:pt idx="964">
                  <c:v>45270</c:v>
                </c:pt>
                <c:pt idx="965">
                  <c:v>45247</c:v>
                </c:pt>
                <c:pt idx="966">
                  <c:v>45164</c:v>
                </c:pt>
                <c:pt idx="967">
                  <c:v>44967</c:v>
                </c:pt>
                <c:pt idx="968">
                  <c:v>44936</c:v>
                </c:pt>
                <c:pt idx="969">
                  <c:v>45126</c:v>
                </c:pt>
                <c:pt idx="970">
                  <c:v>45012</c:v>
                </c:pt>
                <c:pt idx="971">
                  <c:v>45158</c:v>
                </c:pt>
                <c:pt idx="972">
                  <c:v>45129</c:v>
                </c:pt>
                <c:pt idx="973">
                  <c:v>45209</c:v>
                </c:pt>
                <c:pt idx="974">
                  <c:v>45076</c:v>
                </c:pt>
                <c:pt idx="975">
                  <c:v>45215</c:v>
                </c:pt>
                <c:pt idx="976">
                  <c:v>45050</c:v>
                </c:pt>
                <c:pt idx="977">
                  <c:v>45232</c:v>
                </c:pt>
                <c:pt idx="978">
                  <c:v>44935</c:v>
                </c:pt>
                <c:pt idx="979">
                  <c:v>44977</c:v>
                </c:pt>
                <c:pt idx="980">
                  <c:v>45138</c:v>
                </c:pt>
                <c:pt idx="981">
                  <c:v>45102</c:v>
                </c:pt>
                <c:pt idx="982">
                  <c:v>45000</c:v>
                </c:pt>
                <c:pt idx="983">
                  <c:v>45207</c:v>
                </c:pt>
                <c:pt idx="984">
                  <c:v>45109</c:v>
                </c:pt>
                <c:pt idx="985">
                  <c:v>45137</c:v>
                </c:pt>
                <c:pt idx="986">
                  <c:v>44937</c:v>
                </c:pt>
                <c:pt idx="987">
                  <c:v>45141</c:v>
                </c:pt>
                <c:pt idx="988">
                  <c:v>45194</c:v>
                </c:pt>
                <c:pt idx="989">
                  <c:v>45260</c:v>
                </c:pt>
                <c:pt idx="990">
                  <c:v>45219</c:v>
                </c:pt>
                <c:pt idx="991">
                  <c:v>44927</c:v>
                </c:pt>
                <c:pt idx="992">
                  <c:v>45143</c:v>
                </c:pt>
                <c:pt idx="993">
                  <c:v>44930</c:v>
                </c:pt>
                <c:pt idx="994">
                  <c:v>44931</c:v>
                </c:pt>
                <c:pt idx="995">
                  <c:v>45017</c:v>
                </c:pt>
                <c:pt idx="996">
                  <c:v>45219</c:v>
                </c:pt>
                <c:pt idx="997">
                  <c:v>44933</c:v>
                </c:pt>
                <c:pt idx="998">
                  <c:v>44956</c:v>
                </c:pt>
              </c:numCache>
            </c:numRef>
          </c:xVal>
          <c:yVal>
            <c:numRef>
              <c:f>Sheet11!$B$25:$B$1023</c:f>
              <c:numCache>
                <c:formatCode>General</c:formatCode>
                <c:ptCount val="999"/>
                <c:pt idx="0">
                  <c:v>3.0000473857818899</c:v>
                </c:pt>
                <c:pt idx="1">
                  <c:v>3.0094423148523006</c:v>
                </c:pt>
                <c:pt idx="2">
                  <c:v>2.9946502988691011</c:v>
                </c:pt>
                <c:pt idx="3">
                  <c:v>2.994716929571728</c:v>
                </c:pt>
                <c:pt idx="4">
                  <c:v>2.9941838839507118</c:v>
                </c:pt>
                <c:pt idx="5">
                  <c:v>3.0131736341994144</c:v>
                </c:pt>
                <c:pt idx="6">
                  <c:v>3.0045116428579006</c:v>
                </c:pt>
                <c:pt idx="7">
                  <c:v>2.9971822655689278</c:v>
                </c:pt>
                <c:pt idx="8">
                  <c:v>3.0009802156186685</c:v>
                </c:pt>
                <c:pt idx="9">
                  <c:v>3.0035788130211225</c:v>
                </c:pt>
                <c:pt idx="10">
                  <c:v>3.0105084060943335</c:v>
                </c:pt>
                <c:pt idx="11">
                  <c:v>2.9966492199479116</c:v>
                </c:pt>
                <c:pt idx="12">
                  <c:v>3.0163719079255116</c:v>
                </c:pt>
                <c:pt idx="13">
                  <c:v>3.0054444726946792</c:v>
                </c:pt>
                <c:pt idx="14">
                  <c:v>3.0064439332340847</c:v>
                </c:pt>
                <c:pt idx="15">
                  <c:v>3.0023128296712089</c:v>
                </c:pt>
                <c:pt idx="16">
                  <c:v>3.0041118586421387</c:v>
                </c:pt>
                <c:pt idx="17">
                  <c:v>3.004911427073663</c:v>
                </c:pt>
                <c:pt idx="18">
                  <c:v>3.0154390780887335</c:v>
                </c:pt>
                <c:pt idx="19">
                  <c:v>3.0142397254414468</c:v>
                </c:pt>
                <c:pt idx="20">
                  <c:v>3.0175046298701713</c:v>
                </c:pt>
                <c:pt idx="21">
                  <c:v>3.0039119665342575</c:v>
                </c:pt>
                <c:pt idx="22">
                  <c:v>3.0135067877125494</c:v>
                </c:pt>
                <c:pt idx="23">
                  <c:v>3.0177045219780521</c:v>
                </c:pt>
                <c:pt idx="24">
                  <c:v>3.0159721237097497</c:v>
                </c:pt>
                <c:pt idx="25">
                  <c:v>2.9955831287058792</c:v>
                </c:pt>
                <c:pt idx="26">
                  <c:v>3.0085094850155225</c:v>
                </c:pt>
                <c:pt idx="27">
                  <c:v>3.0161720158176304</c:v>
                </c:pt>
                <c:pt idx="28">
                  <c:v>3.0053778419920523</c:v>
                </c:pt>
                <c:pt idx="29">
                  <c:v>3.0148394017650899</c:v>
                </c:pt>
                <c:pt idx="30">
                  <c:v>2.9951167137874899</c:v>
                </c:pt>
                <c:pt idx="31">
                  <c:v>3.0099753604733173</c:v>
                </c:pt>
                <c:pt idx="32">
                  <c:v>3.0107749289048416</c:v>
                </c:pt>
                <c:pt idx="33">
                  <c:v>3.017371368464917</c:v>
                </c:pt>
                <c:pt idx="34">
                  <c:v>2.9943837760585925</c:v>
                </c:pt>
                <c:pt idx="35">
                  <c:v>3.0076432858813713</c:v>
                </c:pt>
                <c:pt idx="36">
                  <c:v>2.9963160664347765</c:v>
                </c:pt>
                <c:pt idx="37">
                  <c:v>3.0026459831843439</c:v>
                </c:pt>
                <c:pt idx="38">
                  <c:v>3.0118410201468739</c:v>
                </c:pt>
                <c:pt idx="39">
                  <c:v>3.0095755762575549</c:v>
                </c:pt>
                <c:pt idx="40">
                  <c:v>3.0106416674995873</c:v>
                </c:pt>
                <c:pt idx="41">
                  <c:v>2.9964493278400304</c:v>
                </c:pt>
                <c:pt idx="42">
                  <c:v>2.997315526974182</c:v>
                </c:pt>
                <c:pt idx="43">
                  <c:v>3.0084428543128956</c:v>
                </c:pt>
                <c:pt idx="44">
                  <c:v>3.0020463068607008</c:v>
                </c:pt>
                <c:pt idx="45">
                  <c:v>3.0172381070596628</c:v>
                </c:pt>
                <c:pt idx="46">
                  <c:v>3.0135067877125494</c:v>
                </c:pt>
                <c:pt idx="47">
                  <c:v>3.0097088376628087</c:v>
                </c:pt>
                <c:pt idx="48">
                  <c:v>3.0005138007002792</c:v>
                </c:pt>
                <c:pt idx="49">
                  <c:v>3.0165718000333928</c:v>
                </c:pt>
                <c:pt idx="50">
                  <c:v>2.9991811866477387</c:v>
                </c:pt>
                <c:pt idx="51">
                  <c:v>3.014772771062463</c:v>
                </c:pt>
                <c:pt idx="52">
                  <c:v>3.0044450121552737</c:v>
                </c:pt>
                <c:pt idx="53">
                  <c:v>2.9951833444901172</c:v>
                </c:pt>
                <c:pt idx="54">
                  <c:v>3.017371368464917</c:v>
                </c:pt>
                <c:pt idx="55">
                  <c:v>3.0115744973363658</c:v>
                </c:pt>
                <c:pt idx="56">
                  <c:v>2.9983149875135875</c:v>
                </c:pt>
                <c:pt idx="57">
                  <c:v>3.0166384307360197</c:v>
                </c:pt>
                <c:pt idx="58">
                  <c:v>3.0107749289048416</c:v>
                </c:pt>
                <c:pt idx="59">
                  <c:v>3.0081097007997601</c:v>
                </c:pt>
                <c:pt idx="60">
                  <c:v>3.0002472778897711</c:v>
                </c:pt>
                <c:pt idx="61">
                  <c:v>2.9969157427584197</c:v>
                </c:pt>
                <c:pt idx="62">
                  <c:v>3.0139065719283118</c:v>
                </c:pt>
                <c:pt idx="63">
                  <c:v>2.9945170374638468</c:v>
                </c:pt>
                <c:pt idx="64">
                  <c:v>3.0179710447885602</c:v>
                </c:pt>
                <c:pt idx="65">
                  <c:v>2.9958496515163873</c:v>
                </c:pt>
                <c:pt idx="66">
                  <c:v>2.9959829129216415</c:v>
                </c:pt>
                <c:pt idx="67">
                  <c:v>2.999647601566128</c:v>
                </c:pt>
                <c:pt idx="68">
                  <c:v>3.0131736341994144</c:v>
                </c:pt>
                <c:pt idx="69">
                  <c:v>3.007176870962982</c:v>
                </c:pt>
                <c:pt idx="70">
                  <c:v>3.0117077587416197</c:v>
                </c:pt>
                <c:pt idx="71">
                  <c:v>2.9986481410267225</c:v>
                </c:pt>
                <c:pt idx="72">
                  <c:v>3.0119742815521278</c:v>
                </c:pt>
                <c:pt idx="73">
                  <c:v>3.0001806471871442</c:v>
                </c:pt>
                <c:pt idx="74">
                  <c:v>3.0103751446890792</c:v>
                </c:pt>
                <c:pt idx="75">
                  <c:v>3.0135067877125494</c:v>
                </c:pt>
                <c:pt idx="76">
                  <c:v>2.9984482489188413</c:v>
                </c:pt>
                <c:pt idx="77">
                  <c:v>3.015105924575598</c:v>
                </c:pt>
                <c:pt idx="78">
                  <c:v>3.0159054930071223</c:v>
                </c:pt>
                <c:pt idx="79">
                  <c:v>2.9960495436242685</c:v>
                </c:pt>
                <c:pt idx="80">
                  <c:v>3.0171714763570359</c:v>
                </c:pt>
                <c:pt idx="81">
                  <c:v>3.0132402649020413</c:v>
                </c:pt>
                <c:pt idx="82">
                  <c:v>3.0089092692312844</c:v>
                </c:pt>
                <c:pt idx="83">
                  <c:v>3.0027792445895982</c:v>
                </c:pt>
                <c:pt idx="84">
                  <c:v>2.9967158506505385</c:v>
                </c:pt>
                <c:pt idx="85">
                  <c:v>3.0179710447885602</c:v>
                </c:pt>
                <c:pt idx="86">
                  <c:v>3.0077099165839982</c:v>
                </c:pt>
                <c:pt idx="87">
                  <c:v>3.0007136928081604</c:v>
                </c:pt>
                <c:pt idx="88">
                  <c:v>3.0054444726946792</c:v>
                </c:pt>
                <c:pt idx="89">
                  <c:v>2.9979152032978251</c:v>
                </c:pt>
                <c:pt idx="90">
                  <c:v>3.0057776262078142</c:v>
                </c:pt>
                <c:pt idx="91">
                  <c:v>3.0009802156186685</c:v>
                </c:pt>
                <c:pt idx="92">
                  <c:v>2.9989812945398575</c:v>
                </c:pt>
                <c:pt idx="93">
                  <c:v>3.0103751446890792</c:v>
                </c:pt>
                <c:pt idx="94">
                  <c:v>2.9956497594085061</c:v>
                </c:pt>
                <c:pt idx="95">
                  <c:v>3.0084428543128956</c:v>
                </c:pt>
                <c:pt idx="96">
                  <c:v>3.0029791366974794</c:v>
                </c:pt>
                <c:pt idx="97">
                  <c:v>3.0083762236102682</c:v>
                </c:pt>
                <c:pt idx="98">
                  <c:v>2.995050083084863</c:v>
                </c:pt>
                <c:pt idx="99">
                  <c:v>3.0162386465202577</c:v>
                </c:pt>
                <c:pt idx="100">
                  <c:v>3.0105750367969604</c:v>
                </c:pt>
                <c:pt idx="101">
                  <c:v>3.0145062482519549</c:v>
                </c:pt>
                <c:pt idx="102">
                  <c:v>3.004911427073663</c:v>
                </c:pt>
                <c:pt idx="103">
                  <c:v>3.0179710447885602</c:v>
                </c:pt>
                <c:pt idx="104">
                  <c:v>3.0179710447885602</c:v>
                </c:pt>
                <c:pt idx="105">
                  <c:v>3.0018464147528197</c:v>
                </c:pt>
                <c:pt idx="106">
                  <c:v>2.9936508383296956</c:v>
                </c:pt>
                <c:pt idx="107">
                  <c:v>3.012440696470517</c:v>
                </c:pt>
                <c:pt idx="108">
                  <c:v>3.005244580586798</c:v>
                </c:pt>
                <c:pt idx="109">
                  <c:v>3.0031790288053601</c:v>
                </c:pt>
                <c:pt idx="110">
                  <c:v>3.0142397254414468</c:v>
                </c:pt>
                <c:pt idx="111">
                  <c:v>3.0161720158176304</c:v>
                </c:pt>
                <c:pt idx="112">
                  <c:v>3.0059108876130685</c:v>
                </c:pt>
                <c:pt idx="113">
                  <c:v>3.0048447963710361</c:v>
                </c:pt>
                <c:pt idx="114">
                  <c:v>2.9962494357321496</c:v>
                </c:pt>
                <c:pt idx="115">
                  <c:v>2.9956497594085061</c:v>
                </c:pt>
                <c:pt idx="116">
                  <c:v>2.9988480331346037</c:v>
                </c:pt>
                <c:pt idx="117">
                  <c:v>3.0103085139864523</c:v>
                </c:pt>
                <c:pt idx="118">
                  <c:v>2.9969823734610466</c:v>
                </c:pt>
                <c:pt idx="119">
                  <c:v>3.0027792445895982</c:v>
                </c:pt>
                <c:pt idx="120">
                  <c:v>3.005244580586798</c:v>
                </c:pt>
                <c:pt idx="121">
                  <c:v>3.0002472778897711</c:v>
                </c:pt>
                <c:pt idx="122">
                  <c:v>3.0123074350652628</c:v>
                </c:pt>
                <c:pt idx="123">
                  <c:v>3.0033789209132413</c:v>
                </c:pt>
                <c:pt idx="124">
                  <c:v>3.0035788130211225</c:v>
                </c:pt>
                <c:pt idx="125">
                  <c:v>3.0090425306365387</c:v>
                </c:pt>
                <c:pt idx="126">
                  <c:v>3.0021129375633278</c:v>
                </c:pt>
                <c:pt idx="127">
                  <c:v>3.0141064640361925</c:v>
                </c:pt>
                <c:pt idx="128">
                  <c:v>2.9959162822190142</c:v>
                </c:pt>
                <c:pt idx="129">
                  <c:v>3.0149060324677173</c:v>
                </c:pt>
                <c:pt idx="130">
                  <c:v>2.9943171453559656</c:v>
                </c:pt>
                <c:pt idx="131">
                  <c:v>3.0008469542134142</c:v>
                </c:pt>
                <c:pt idx="132">
                  <c:v>3.0077099165839982</c:v>
                </c:pt>
                <c:pt idx="133">
                  <c:v>2.9956497594085061</c:v>
                </c:pt>
                <c:pt idx="134">
                  <c:v>2.9984482489188413</c:v>
                </c:pt>
                <c:pt idx="135">
                  <c:v>3.0139065719283118</c:v>
                </c:pt>
                <c:pt idx="136">
                  <c:v>3.0037787051290037</c:v>
                </c:pt>
                <c:pt idx="137">
                  <c:v>3.0159721237097497</c:v>
                </c:pt>
                <c:pt idx="138">
                  <c:v>3.0113746052284847</c:v>
                </c:pt>
                <c:pt idx="139">
                  <c:v>2.9946502988691011</c:v>
                </c:pt>
                <c:pt idx="140">
                  <c:v>3.0152391859808523</c:v>
                </c:pt>
                <c:pt idx="141">
                  <c:v>3.0016465226449385</c:v>
                </c:pt>
                <c:pt idx="142">
                  <c:v>3.0093756841496737</c:v>
                </c:pt>
                <c:pt idx="143">
                  <c:v>2.9945170374638468</c:v>
                </c:pt>
                <c:pt idx="144">
                  <c:v>3.007176870962982</c:v>
                </c:pt>
                <c:pt idx="145">
                  <c:v>3.0149060324677173</c:v>
                </c:pt>
                <c:pt idx="146">
                  <c:v>3.0161720158176304</c:v>
                </c:pt>
                <c:pt idx="147">
                  <c:v>3.0024460910764632</c:v>
                </c:pt>
                <c:pt idx="148">
                  <c:v>3.0025127217790901</c:v>
                </c:pt>
                <c:pt idx="149">
                  <c:v>2.9985815103240956</c:v>
                </c:pt>
                <c:pt idx="150">
                  <c:v>2.9979152032978251</c:v>
                </c:pt>
                <c:pt idx="151">
                  <c:v>3.0109081903100954</c:v>
                </c:pt>
                <c:pt idx="152">
                  <c:v>3.0113079745258577</c:v>
                </c:pt>
                <c:pt idx="153">
                  <c:v>3.0135067877125494</c:v>
                </c:pt>
                <c:pt idx="154">
                  <c:v>2.9969157427584197</c:v>
                </c:pt>
                <c:pt idx="155">
                  <c:v>3.0094423148523006</c:v>
                </c:pt>
                <c:pt idx="156">
                  <c:v>3.0135067877125494</c:v>
                </c:pt>
                <c:pt idx="157">
                  <c:v>3.0142397254414468</c:v>
                </c:pt>
                <c:pt idx="158">
                  <c:v>3.0019130454554466</c:v>
                </c:pt>
                <c:pt idx="159">
                  <c:v>3.0118410201468739</c:v>
                </c:pt>
                <c:pt idx="160">
                  <c:v>2.9937840997349494</c:v>
                </c:pt>
                <c:pt idx="161">
                  <c:v>3.0090425306365387</c:v>
                </c:pt>
                <c:pt idx="162">
                  <c:v>3.0141730947388199</c:v>
                </c:pt>
                <c:pt idx="163">
                  <c:v>3.0051113191815442</c:v>
                </c:pt>
                <c:pt idx="164">
                  <c:v>3.0039119665342575</c:v>
                </c:pt>
                <c:pt idx="165">
                  <c:v>3.0054444726946792</c:v>
                </c:pt>
                <c:pt idx="166">
                  <c:v>2.9946502988691011</c:v>
                </c:pt>
                <c:pt idx="167">
                  <c:v>2.997648680487317</c:v>
                </c:pt>
                <c:pt idx="168">
                  <c:v>3.0103751446890792</c:v>
                </c:pt>
                <c:pt idx="169">
                  <c:v>2.997315526974182</c:v>
                </c:pt>
                <c:pt idx="170">
                  <c:v>3.014772771062463</c:v>
                </c:pt>
                <c:pt idx="171">
                  <c:v>3.0067770867472197</c:v>
                </c:pt>
                <c:pt idx="172">
                  <c:v>3.0010468463212954</c:v>
                </c:pt>
                <c:pt idx="173">
                  <c:v>3.0015132612396846</c:v>
                </c:pt>
                <c:pt idx="174">
                  <c:v>3.005244580586798</c:v>
                </c:pt>
                <c:pt idx="175">
                  <c:v>3.0179710447885602</c:v>
                </c:pt>
                <c:pt idx="176">
                  <c:v>2.994716929571728</c:v>
                </c:pt>
                <c:pt idx="177">
                  <c:v>3.0016465226449385</c:v>
                </c:pt>
                <c:pt idx="178">
                  <c:v>3.0069103481524739</c:v>
                </c:pt>
                <c:pt idx="179">
                  <c:v>3.0123740657678901</c:v>
                </c:pt>
                <c:pt idx="180">
                  <c:v>3.0045116428579006</c:v>
                </c:pt>
                <c:pt idx="181">
                  <c:v>3.0086427464207763</c:v>
                </c:pt>
                <c:pt idx="182">
                  <c:v>3.0003805392950254</c:v>
                </c:pt>
                <c:pt idx="183">
                  <c:v>3.0132402649020413</c:v>
                </c:pt>
                <c:pt idx="184">
                  <c:v>3.0064439332340847</c:v>
                </c:pt>
                <c:pt idx="185">
                  <c:v>3.0161053851150035</c:v>
                </c:pt>
                <c:pt idx="186">
                  <c:v>3.0096422069601818</c:v>
                </c:pt>
                <c:pt idx="187">
                  <c:v>3.0097754683654361</c:v>
                </c:pt>
                <c:pt idx="188">
                  <c:v>2.9998474936740092</c:v>
                </c:pt>
                <c:pt idx="189">
                  <c:v>3.0176378912754251</c:v>
                </c:pt>
                <c:pt idx="190">
                  <c:v>3.0041118586421387</c:v>
                </c:pt>
                <c:pt idx="191">
                  <c:v>3.0044450121552737</c:v>
                </c:pt>
                <c:pt idx="192">
                  <c:v>3.0064439332340847</c:v>
                </c:pt>
                <c:pt idx="193">
                  <c:v>3.0009802156186685</c:v>
                </c:pt>
                <c:pt idx="194">
                  <c:v>3.0130403727941601</c:v>
                </c:pt>
                <c:pt idx="195">
                  <c:v>3.0122408043626359</c:v>
                </c:pt>
                <c:pt idx="196">
                  <c:v>3.0032456595079875</c:v>
                </c:pt>
                <c:pt idx="197">
                  <c:v>2.9955831287058792</c:v>
                </c:pt>
                <c:pt idx="198">
                  <c:v>3.0019130454554466</c:v>
                </c:pt>
                <c:pt idx="199">
                  <c:v>2.9981817261083332</c:v>
                </c:pt>
                <c:pt idx="200">
                  <c:v>3.0141730947388199</c:v>
                </c:pt>
                <c:pt idx="201">
                  <c:v>3.0105750367969604</c:v>
                </c:pt>
                <c:pt idx="202">
                  <c:v>2.9986481410267225</c:v>
                </c:pt>
                <c:pt idx="203">
                  <c:v>3.0119742815521278</c:v>
                </c:pt>
                <c:pt idx="204">
                  <c:v>3.0047115349657818</c:v>
                </c:pt>
                <c:pt idx="205">
                  <c:v>2.9984482489188413</c:v>
                </c:pt>
                <c:pt idx="206">
                  <c:v>3.0029791366974794</c:v>
                </c:pt>
                <c:pt idx="207">
                  <c:v>3.0153058166834792</c:v>
                </c:pt>
                <c:pt idx="208">
                  <c:v>3.0079098086918794</c:v>
                </c:pt>
                <c:pt idx="209">
                  <c:v>2.9949834523822361</c:v>
                </c:pt>
                <c:pt idx="210">
                  <c:v>3.0076432858813713</c:v>
                </c:pt>
                <c:pt idx="211">
                  <c:v>3.0003805392950254</c:v>
                </c:pt>
                <c:pt idx="212">
                  <c:v>3.0049780577762899</c:v>
                </c:pt>
                <c:pt idx="213">
                  <c:v>3.0006470621055334</c:v>
                </c:pt>
                <c:pt idx="214">
                  <c:v>2.9953166058953711</c:v>
                </c:pt>
                <c:pt idx="215">
                  <c:v>3.0019796761580739</c:v>
                </c:pt>
                <c:pt idx="216">
                  <c:v>3.0039785972368844</c:v>
                </c:pt>
                <c:pt idx="217">
                  <c:v>2.9971156348663008</c:v>
                </c:pt>
                <c:pt idx="218">
                  <c:v>2.9965825892452846</c:v>
                </c:pt>
                <c:pt idx="219">
                  <c:v>3.0080430700971332</c:v>
                </c:pt>
                <c:pt idx="220">
                  <c:v>2.9997142322687549</c:v>
                </c:pt>
                <c:pt idx="221">
                  <c:v>3.0015132612396846</c:v>
                </c:pt>
                <c:pt idx="222">
                  <c:v>3.0115078666337385</c:v>
                </c:pt>
                <c:pt idx="223">
                  <c:v>3.017371368464917</c:v>
                </c:pt>
                <c:pt idx="224">
                  <c:v>3.0018464147528197</c:v>
                </c:pt>
                <c:pt idx="225">
                  <c:v>3.0089758999339118</c:v>
                </c:pt>
                <c:pt idx="226">
                  <c:v>2.9982483568109601</c:v>
                </c:pt>
                <c:pt idx="227">
                  <c:v>2.9973821576768089</c:v>
                </c:pt>
                <c:pt idx="228">
                  <c:v>3.0072435016656089</c:v>
                </c:pt>
                <c:pt idx="229">
                  <c:v>3.0056443648025604</c:v>
                </c:pt>
                <c:pt idx="230">
                  <c:v>3.0127738499836521</c:v>
                </c:pt>
                <c:pt idx="231">
                  <c:v>3.0128404806862794</c:v>
                </c:pt>
                <c:pt idx="232">
                  <c:v>2.9998474936740092</c:v>
                </c:pt>
                <c:pt idx="233">
                  <c:v>3.0068437174498466</c:v>
                </c:pt>
                <c:pt idx="234">
                  <c:v>2.999980755079263</c:v>
                </c:pt>
                <c:pt idx="235">
                  <c:v>2.9939839918428306</c:v>
                </c:pt>
                <c:pt idx="236">
                  <c:v>3.0023128296712089</c:v>
                </c:pt>
                <c:pt idx="237">
                  <c:v>3.0085761157181494</c:v>
                </c:pt>
                <c:pt idx="238">
                  <c:v>3.0108415596074685</c:v>
                </c:pt>
                <c:pt idx="239">
                  <c:v>2.9965159585426577</c:v>
                </c:pt>
                <c:pt idx="240">
                  <c:v>3.0155723394939873</c:v>
                </c:pt>
                <c:pt idx="241">
                  <c:v>3.0074433937734901</c:v>
                </c:pt>
                <c:pt idx="242">
                  <c:v>3.0061774104235766</c:v>
                </c:pt>
                <c:pt idx="243">
                  <c:v>3.0133068956046682</c:v>
                </c:pt>
                <c:pt idx="244">
                  <c:v>3.0043117507500199</c:v>
                </c:pt>
                <c:pt idx="245">
                  <c:v>3.0069769788551008</c:v>
                </c:pt>
                <c:pt idx="246">
                  <c:v>3.0051779498841711</c:v>
                </c:pt>
                <c:pt idx="247">
                  <c:v>3.0156389701966142</c:v>
                </c:pt>
                <c:pt idx="248">
                  <c:v>3.0118410201468739</c:v>
                </c:pt>
                <c:pt idx="249">
                  <c:v>2.9959162822190142</c:v>
                </c:pt>
                <c:pt idx="250">
                  <c:v>3.002579352481717</c:v>
                </c:pt>
                <c:pt idx="251">
                  <c:v>3.0111747131206035</c:v>
                </c:pt>
                <c:pt idx="252">
                  <c:v>3.017371368464917</c:v>
                </c:pt>
                <c:pt idx="253">
                  <c:v>2.9967824813531658</c:v>
                </c:pt>
                <c:pt idx="254">
                  <c:v>3.0105084060943335</c:v>
                </c:pt>
                <c:pt idx="255">
                  <c:v>3.0140398333335656</c:v>
                </c:pt>
                <c:pt idx="256">
                  <c:v>2.9944504067612199</c:v>
                </c:pt>
                <c:pt idx="257">
                  <c:v>2.997315526974182</c:v>
                </c:pt>
                <c:pt idx="258">
                  <c:v>3.0021795682659551</c:v>
                </c:pt>
                <c:pt idx="259">
                  <c:v>3.0005138007002792</c:v>
                </c:pt>
                <c:pt idx="260">
                  <c:v>2.9985148796214682</c:v>
                </c:pt>
                <c:pt idx="261">
                  <c:v>3.0001806471871442</c:v>
                </c:pt>
                <c:pt idx="262">
                  <c:v>3.0127072192810251</c:v>
                </c:pt>
                <c:pt idx="263">
                  <c:v>3.0127072192810251</c:v>
                </c:pt>
                <c:pt idx="264">
                  <c:v>2.9969823734610466</c:v>
                </c:pt>
                <c:pt idx="265">
                  <c:v>3.0066438253419658</c:v>
                </c:pt>
                <c:pt idx="266">
                  <c:v>3.0055111033973061</c:v>
                </c:pt>
                <c:pt idx="267">
                  <c:v>3.0061107797209496</c:v>
                </c:pt>
                <c:pt idx="268">
                  <c:v>3.0019130454554466</c:v>
                </c:pt>
                <c:pt idx="269">
                  <c:v>2.9988480331346037</c:v>
                </c:pt>
                <c:pt idx="270">
                  <c:v>3.0094423148523006</c:v>
                </c:pt>
                <c:pt idx="271">
                  <c:v>2.9945836681664737</c:v>
                </c:pt>
                <c:pt idx="272">
                  <c:v>3.0127072192810251</c:v>
                </c:pt>
                <c:pt idx="273">
                  <c:v>2.9941172532480844</c:v>
                </c:pt>
                <c:pt idx="274">
                  <c:v>2.9990479252424844</c:v>
                </c:pt>
                <c:pt idx="275">
                  <c:v>2.995383236597998</c:v>
                </c:pt>
                <c:pt idx="276">
                  <c:v>2.994716929571728</c:v>
                </c:pt>
                <c:pt idx="277">
                  <c:v>3.0107082982022142</c:v>
                </c:pt>
                <c:pt idx="278">
                  <c:v>3.0069103481524739</c:v>
                </c:pt>
                <c:pt idx="279">
                  <c:v>2.9987814024319763</c:v>
                </c:pt>
                <c:pt idx="280">
                  <c:v>3.0016465226449385</c:v>
                </c:pt>
                <c:pt idx="281">
                  <c:v>2.995050083084863</c:v>
                </c:pt>
                <c:pt idx="282">
                  <c:v>3.0179710447885602</c:v>
                </c:pt>
                <c:pt idx="283">
                  <c:v>3.0157722316018685</c:v>
                </c:pt>
                <c:pt idx="284">
                  <c:v>3.0025127217790901</c:v>
                </c:pt>
                <c:pt idx="285">
                  <c:v>3.0019130454554466</c:v>
                </c:pt>
                <c:pt idx="286">
                  <c:v>3.0035788130211225</c:v>
                </c:pt>
                <c:pt idx="287">
                  <c:v>2.9952499751927442</c:v>
                </c:pt>
                <c:pt idx="288">
                  <c:v>3.0099087297706899</c:v>
                </c:pt>
                <c:pt idx="289">
                  <c:v>3.0141064640361925</c:v>
                </c:pt>
                <c:pt idx="290">
                  <c:v>3.0112413438232304</c:v>
                </c:pt>
                <c:pt idx="291">
                  <c:v>3.010175252581198</c:v>
                </c:pt>
                <c:pt idx="292">
                  <c:v>3.0094423148523006</c:v>
                </c:pt>
                <c:pt idx="293">
                  <c:v>2.9985815103240956</c:v>
                </c:pt>
                <c:pt idx="294">
                  <c:v>2.9956497594085061</c:v>
                </c:pt>
                <c:pt idx="295">
                  <c:v>2.9983816182162144</c:v>
                </c:pt>
                <c:pt idx="296">
                  <c:v>3.0179710447885602</c:v>
                </c:pt>
                <c:pt idx="297">
                  <c:v>3.0175046298701713</c:v>
                </c:pt>
                <c:pt idx="298">
                  <c:v>3.0111747131206035</c:v>
                </c:pt>
                <c:pt idx="299">
                  <c:v>3.0040452279395118</c:v>
                </c:pt>
                <c:pt idx="300">
                  <c:v>3.0105084060943335</c:v>
                </c:pt>
                <c:pt idx="301">
                  <c:v>2.9936508383296956</c:v>
                </c:pt>
                <c:pt idx="302">
                  <c:v>3.0070436095577278</c:v>
                </c:pt>
                <c:pt idx="303">
                  <c:v>3.0121741736600089</c:v>
                </c:pt>
                <c:pt idx="304">
                  <c:v>2.9959162822190142</c:v>
                </c:pt>
                <c:pt idx="305">
                  <c:v>3.0130403727941601</c:v>
                </c:pt>
                <c:pt idx="306">
                  <c:v>3.0031123981027332</c:v>
                </c:pt>
                <c:pt idx="307">
                  <c:v>3.0013133691318035</c:v>
                </c:pt>
                <c:pt idx="308">
                  <c:v>3.0118410201468739</c:v>
                </c:pt>
                <c:pt idx="309">
                  <c:v>3.0137733105230575</c:v>
                </c:pt>
                <c:pt idx="310">
                  <c:v>3.0055111033973061</c:v>
                </c:pt>
                <c:pt idx="311">
                  <c:v>3.0077765472866251</c:v>
                </c:pt>
                <c:pt idx="312">
                  <c:v>3.0031790288053601</c:v>
                </c:pt>
                <c:pt idx="313">
                  <c:v>3.0109081903100954</c:v>
                </c:pt>
                <c:pt idx="314">
                  <c:v>3.0047115349657818</c:v>
                </c:pt>
                <c:pt idx="315">
                  <c:v>2.9975820497846901</c:v>
                </c:pt>
                <c:pt idx="316">
                  <c:v>3.0149060324677173</c:v>
                </c:pt>
                <c:pt idx="317">
                  <c:v>3.0079098086918794</c:v>
                </c:pt>
                <c:pt idx="318">
                  <c:v>3.0137066798204306</c:v>
                </c:pt>
                <c:pt idx="319">
                  <c:v>3.0083095929076413</c:v>
                </c:pt>
                <c:pt idx="320">
                  <c:v>3.0153724473861061</c:v>
                </c:pt>
                <c:pt idx="321">
                  <c:v>3.015105924575598</c:v>
                </c:pt>
                <c:pt idx="322">
                  <c:v>2.9991811866477387</c:v>
                </c:pt>
                <c:pt idx="323">
                  <c:v>3.0129737420915332</c:v>
                </c:pt>
                <c:pt idx="324">
                  <c:v>3.0155057087913604</c:v>
                </c:pt>
                <c:pt idx="325">
                  <c:v>3.0131070034967875</c:v>
                </c:pt>
                <c:pt idx="326">
                  <c:v>2.9961828050295223</c:v>
                </c:pt>
                <c:pt idx="327">
                  <c:v>3.0083095929076413</c:v>
                </c:pt>
                <c:pt idx="328">
                  <c:v>3.0084428543128956</c:v>
                </c:pt>
                <c:pt idx="329">
                  <c:v>3.0028458752922251</c:v>
                </c:pt>
                <c:pt idx="330">
                  <c:v>3.0142397254414468</c:v>
                </c:pt>
                <c:pt idx="331">
                  <c:v>3.0046449042631549</c:v>
                </c:pt>
                <c:pt idx="332">
                  <c:v>3.0046449042631549</c:v>
                </c:pt>
                <c:pt idx="333">
                  <c:v>2.9993810787556199</c:v>
                </c:pt>
                <c:pt idx="334">
                  <c:v>3.0137733105230575</c:v>
                </c:pt>
                <c:pt idx="335">
                  <c:v>3.012107542957382</c:v>
                </c:pt>
                <c:pt idx="336">
                  <c:v>3.0130403727941601</c:v>
                </c:pt>
                <c:pt idx="337">
                  <c:v>3.0138399412256844</c:v>
                </c:pt>
                <c:pt idx="338">
                  <c:v>2.9949834523822361</c:v>
                </c:pt>
                <c:pt idx="339">
                  <c:v>3.0128404806862794</c:v>
                </c:pt>
                <c:pt idx="340">
                  <c:v>3.0080430700971332</c:v>
                </c:pt>
                <c:pt idx="341">
                  <c:v>2.9937840997349494</c:v>
                </c:pt>
                <c:pt idx="342">
                  <c:v>3.007176870962982</c:v>
                </c:pt>
                <c:pt idx="343">
                  <c:v>3.0153724473861061</c:v>
                </c:pt>
                <c:pt idx="344">
                  <c:v>3.0026459831843439</c:v>
                </c:pt>
                <c:pt idx="345">
                  <c:v>3.0127072192810251</c:v>
                </c:pt>
                <c:pt idx="346">
                  <c:v>2.9991811866477387</c:v>
                </c:pt>
                <c:pt idx="347">
                  <c:v>3.0133068956046682</c:v>
                </c:pt>
                <c:pt idx="348">
                  <c:v>3.0110414517153496</c:v>
                </c:pt>
                <c:pt idx="349">
                  <c:v>3.0179710447885602</c:v>
                </c:pt>
                <c:pt idx="350">
                  <c:v>2.9969823734610466</c:v>
                </c:pt>
                <c:pt idx="351">
                  <c:v>3.0091091613391656</c:v>
                </c:pt>
                <c:pt idx="352">
                  <c:v>3.0076432858813713</c:v>
                </c:pt>
                <c:pt idx="353">
                  <c:v>3.0079764393945063</c:v>
                </c:pt>
                <c:pt idx="354">
                  <c:v>2.9935175769244413</c:v>
                </c:pt>
                <c:pt idx="355">
                  <c:v>3.0117743894442466</c:v>
                </c:pt>
                <c:pt idx="356">
                  <c:v>3.0013799998344304</c:v>
                </c:pt>
                <c:pt idx="357">
                  <c:v>3.0071102402603547</c:v>
                </c:pt>
                <c:pt idx="358">
                  <c:v>3.0107749289048416</c:v>
                </c:pt>
                <c:pt idx="359">
                  <c:v>3.0113746052284847</c:v>
                </c:pt>
                <c:pt idx="360">
                  <c:v>3.0039785972368844</c:v>
                </c:pt>
                <c:pt idx="361">
                  <c:v>2.9981817261083332</c:v>
                </c:pt>
                <c:pt idx="362">
                  <c:v>3.0132402649020413</c:v>
                </c:pt>
                <c:pt idx="363">
                  <c:v>3.0157722316018685</c:v>
                </c:pt>
                <c:pt idx="364">
                  <c:v>3.0086427464207763</c:v>
                </c:pt>
                <c:pt idx="365">
                  <c:v>2.9963826971374035</c:v>
                </c:pt>
                <c:pt idx="366">
                  <c:v>3.0155723394939873</c:v>
                </c:pt>
                <c:pt idx="367">
                  <c:v>3.0049780577762899</c:v>
                </c:pt>
                <c:pt idx="368">
                  <c:v>3.0050446884789173</c:v>
                </c:pt>
                <c:pt idx="369">
                  <c:v>3.0073767630708632</c:v>
                </c:pt>
                <c:pt idx="370">
                  <c:v>3.0136400491178037</c:v>
                </c:pt>
                <c:pt idx="371">
                  <c:v>3.0143729868467006</c:v>
                </c:pt>
                <c:pt idx="372">
                  <c:v>3.0179710447885602</c:v>
                </c:pt>
                <c:pt idx="373">
                  <c:v>3.0037120744263763</c:v>
                </c:pt>
                <c:pt idx="374">
                  <c:v>3.0054444726946792</c:v>
                </c:pt>
                <c:pt idx="375">
                  <c:v>3.0120409122547547</c:v>
                </c:pt>
                <c:pt idx="376">
                  <c:v>3.0076432858813713</c:v>
                </c:pt>
                <c:pt idx="377">
                  <c:v>3.0026459831843439</c:v>
                </c:pt>
                <c:pt idx="378">
                  <c:v>3.0015798919423116</c:v>
                </c:pt>
                <c:pt idx="379">
                  <c:v>3.0150392938729711</c:v>
                </c:pt>
                <c:pt idx="380">
                  <c:v>3.0082429622050144</c:v>
                </c:pt>
                <c:pt idx="381">
                  <c:v>2.9997808629713818</c:v>
                </c:pt>
                <c:pt idx="382">
                  <c:v>3.0007136928081604</c:v>
                </c:pt>
                <c:pt idx="383">
                  <c:v>3.0177045219780521</c:v>
                </c:pt>
                <c:pt idx="384">
                  <c:v>3.0143729868467006</c:v>
                </c:pt>
                <c:pt idx="385">
                  <c:v>2.9943837760585925</c:v>
                </c:pt>
                <c:pt idx="386">
                  <c:v>3.0058442569104415</c:v>
                </c:pt>
                <c:pt idx="387">
                  <c:v>3.0179710447885602</c:v>
                </c:pt>
                <c:pt idx="388">
                  <c:v>3.0141064640361925</c:v>
                </c:pt>
                <c:pt idx="389">
                  <c:v>2.9947835602743549</c:v>
                </c:pt>
                <c:pt idx="390">
                  <c:v>3.0018464147528197</c:v>
                </c:pt>
                <c:pt idx="391">
                  <c:v>3.0130403727941601</c:v>
                </c:pt>
                <c:pt idx="392">
                  <c:v>3.0177045219780521</c:v>
                </c:pt>
                <c:pt idx="393">
                  <c:v>3.0061774104235766</c:v>
                </c:pt>
                <c:pt idx="394">
                  <c:v>3.0179710447885602</c:v>
                </c:pt>
                <c:pt idx="395">
                  <c:v>2.9958496515163873</c:v>
                </c:pt>
                <c:pt idx="396">
                  <c:v>2.9957163901111334</c:v>
                </c:pt>
                <c:pt idx="397">
                  <c:v>3.0151725552782254</c:v>
                </c:pt>
                <c:pt idx="398">
                  <c:v>3.0037120744263763</c:v>
                </c:pt>
                <c:pt idx="399">
                  <c:v>3.0011801077265496</c:v>
                </c:pt>
                <c:pt idx="400">
                  <c:v>2.9982483568109601</c:v>
                </c:pt>
                <c:pt idx="401">
                  <c:v>2.9941838839507118</c:v>
                </c:pt>
                <c:pt idx="402">
                  <c:v>3.0001140164845173</c:v>
                </c:pt>
                <c:pt idx="403">
                  <c:v>2.9978485725951982</c:v>
                </c:pt>
                <c:pt idx="404">
                  <c:v>3.0096422069601818</c:v>
                </c:pt>
                <c:pt idx="405">
                  <c:v>2.9935842076270682</c:v>
                </c:pt>
                <c:pt idx="406">
                  <c:v>3.0129071113889063</c:v>
                </c:pt>
                <c:pt idx="407">
                  <c:v>2.9941172532480844</c:v>
                </c:pt>
                <c:pt idx="408">
                  <c:v>2.9945170374638468</c:v>
                </c:pt>
                <c:pt idx="409">
                  <c:v>3.0070436095577278</c:v>
                </c:pt>
                <c:pt idx="410">
                  <c:v>3.0159721237097497</c:v>
                </c:pt>
                <c:pt idx="411">
                  <c:v>3.0000473857818899</c:v>
                </c:pt>
                <c:pt idx="412">
                  <c:v>3.0011134770239223</c:v>
                </c:pt>
                <c:pt idx="413">
                  <c:v>2.9973821576768089</c:v>
                </c:pt>
                <c:pt idx="414">
                  <c:v>3.0020463068607008</c:v>
                </c:pt>
                <c:pt idx="415">
                  <c:v>3.0162386465202577</c:v>
                </c:pt>
                <c:pt idx="416">
                  <c:v>3.0137733105230575</c:v>
                </c:pt>
                <c:pt idx="417">
                  <c:v>3.0042451200473925</c:v>
                </c:pt>
                <c:pt idx="418">
                  <c:v>3.0122408043626359</c:v>
                </c:pt>
                <c:pt idx="419">
                  <c:v>3.0111747131206035</c:v>
                </c:pt>
                <c:pt idx="420">
                  <c:v>2.9998474936740092</c:v>
                </c:pt>
                <c:pt idx="421">
                  <c:v>3.0148394017650899</c:v>
                </c:pt>
                <c:pt idx="422">
                  <c:v>2.9959829129216415</c:v>
                </c:pt>
                <c:pt idx="423">
                  <c:v>3.0116411280389928</c:v>
                </c:pt>
                <c:pt idx="424">
                  <c:v>3.0087760078260306</c:v>
                </c:pt>
                <c:pt idx="425">
                  <c:v>2.9941172532480844</c:v>
                </c:pt>
                <c:pt idx="426">
                  <c:v>2.9984482489188413</c:v>
                </c:pt>
                <c:pt idx="427">
                  <c:v>3.0097754683654361</c:v>
                </c:pt>
                <c:pt idx="428">
                  <c:v>2.9999141243766361</c:v>
                </c:pt>
                <c:pt idx="429">
                  <c:v>3.0086427464207763</c:v>
                </c:pt>
                <c:pt idx="430">
                  <c:v>2.9983816182162144</c:v>
                </c:pt>
                <c:pt idx="431">
                  <c:v>2.9975820497846901</c:v>
                </c:pt>
                <c:pt idx="432">
                  <c:v>2.9975820497846901</c:v>
                </c:pt>
                <c:pt idx="433">
                  <c:v>3.0082429622050144</c:v>
                </c:pt>
                <c:pt idx="434">
                  <c:v>2.9951167137874899</c:v>
                </c:pt>
                <c:pt idx="435">
                  <c:v>3.0109081903100954</c:v>
                </c:pt>
                <c:pt idx="436">
                  <c:v>3.0105084060943335</c:v>
                </c:pt>
                <c:pt idx="437">
                  <c:v>3.0141064640361925</c:v>
                </c:pt>
                <c:pt idx="438">
                  <c:v>3.0030457674001063</c:v>
                </c:pt>
                <c:pt idx="439">
                  <c:v>2.9965159585426577</c:v>
                </c:pt>
                <c:pt idx="440">
                  <c:v>3.0129071113889063</c:v>
                </c:pt>
                <c:pt idx="441">
                  <c:v>3.0073767630708632</c:v>
                </c:pt>
                <c:pt idx="442">
                  <c:v>2.9969157427584197</c:v>
                </c:pt>
                <c:pt idx="443">
                  <c:v>3.0166384307360197</c:v>
                </c:pt>
                <c:pt idx="444">
                  <c:v>2.9978485725951982</c:v>
                </c:pt>
                <c:pt idx="445">
                  <c:v>3.0031123981027332</c:v>
                </c:pt>
                <c:pt idx="446">
                  <c:v>2.9961161743268954</c:v>
                </c:pt>
                <c:pt idx="447">
                  <c:v>3.0179710447885602</c:v>
                </c:pt>
                <c:pt idx="448">
                  <c:v>3.0089092692312844</c:v>
                </c:pt>
                <c:pt idx="449">
                  <c:v>2.9975154190820632</c:v>
                </c:pt>
                <c:pt idx="450">
                  <c:v>3.0019130454554466</c:v>
                </c:pt>
                <c:pt idx="451">
                  <c:v>2.9943837760585925</c:v>
                </c:pt>
                <c:pt idx="452">
                  <c:v>3.0024460910764632</c:v>
                </c:pt>
                <c:pt idx="453">
                  <c:v>3.0084428543128956</c:v>
                </c:pt>
                <c:pt idx="454">
                  <c:v>3.0089092692312844</c:v>
                </c:pt>
                <c:pt idx="455">
                  <c:v>3.0077765472866251</c:v>
                </c:pt>
                <c:pt idx="456">
                  <c:v>3.0153724473861061</c:v>
                </c:pt>
                <c:pt idx="457">
                  <c:v>3.0136400491178037</c:v>
                </c:pt>
                <c:pt idx="458">
                  <c:v>2.997981834000452</c:v>
                </c:pt>
                <c:pt idx="459">
                  <c:v>2.9939173611402037</c:v>
                </c:pt>
                <c:pt idx="460">
                  <c:v>3.0081097007997601</c:v>
                </c:pt>
                <c:pt idx="461">
                  <c:v>3.0167716921412739</c:v>
                </c:pt>
                <c:pt idx="462">
                  <c:v>3.0033789209132413</c:v>
                </c:pt>
                <c:pt idx="463">
                  <c:v>3.0099087297706899</c:v>
                </c:pt>
                <c:pt idx="464">
                  <c:v>3.0095755762575549</c:v>
                </c:pt>
                <c:pt idx="465">
                  <c:v>2.9956497594085061</c:v>
                </c:pt>
                <c:pt idx="466">
                  <c:v>3.0104417753917061</c:v>
                </c:pt>
                <c:pt idx="467">
                  <c:v>3.017104845654409</c:v>
                </c:pt>
                <c:pt idx="468">
                  <c:v>3.012107542957382</c:v>
                </c:pt>
                <c:pt idx="469">
                  <c:v>3.014772771062463</c:v>
                </c:pt>
                <c:pt idx="470">
                  <c:v>3.0136400491178037</c:v>
                </c:pt>
                <c:pt idx="471">
                  <c:v>2.9969157427584197</c:v>
                </c:pt>
                <c:pt idx="472">
                  <c:v>2.9981817261083332</c:v>
                </c:pt>
                <c:pt idx="473">
                  <c:v>3.0127738499836521</c:v>
                </c:pt>
                <c:pt idx="474">
                  <c:v>3.0038453358316306</c:v>
                </c:pt>
                <c:pt idx="475">
                  <c:v>2.9975820497846901</c:v>
                </c:pt>
                <c:pt idx="476">
                  <c:v>3.0063106718288304</c:v>
                </c:pt>
                <c:pt idx="477">
                  <c:v>2.9958496515163873</c:v>
                </c:pt>
                <c:pt idx="478">
                  <c:v>3.0111080824179766</c:v>
                </c:pt>
                <c:pt idx="479">
                  <c:v>3.0063106718288304</c:v>
                </c:pt>
                <c:pt idx="480">
                  <c:v>3.0141064640361925</c:v>
                </c:pt>
                <c:pt idx="481">
                  <c:v>3.0084428543128956</c:v>
                </c:pt>
                <c:pt idx="482">
                  <c:v>2.9949834523822361</c:v>
                </c:pt>
                <c:pt idx="483">
                  <c:v>3.012107542957382</c:v>
                </c:pt>
                <c:pt idx="484">
                  <c:v>3.0147061403598361</c:v>
                </c:pt>
                <c:pt idx="485">
                  <c:v>3.017437999167544</c:v>
                </c:pt>
                <c:pt idx="486">
                  <c:v>3.014439617549328</c:v>
                </c:pt>
                <c:pt idx="487">
                  <c:v>3.0008469542134142</c:v>
                </c:pt>
                <c:pt idx="488">
                  <c:v>3.0026459831843439</c:v>
                </c:pt>
                <c:pt idx="489">
                  <c:v>3.0025127217790901</c:v>
                </c:pt>
                <c:pt idx="490">
                  <c:v>3.0103751446890792</c:v>
                </c:pt>
                <c:pt idx="491">
                  <c:v>3.0043117507500199</c:v>
                </c:pt>
                <c:pt idx="492">
                  <c:v>3.0179710447885602</c:v>
                </c:pt>
                <c:pt idx="493">
                  <c:v>3.0113746052284847</c:v>
                </c:pt>
                <c:pt idx="494">
                  <c:v>3.0151725552782254</c:v>
                </c:pt>
                <c:pt idx="495">
                  <c:v>3.0061774104235766</c:v>
                </c:pt>
                <c:pt idx="496">
                  <c:v>3.0152391859808523</c:v>
                </c:pt>
                <c:pt idx="497">
                  <c:v>3.0135067877125494</c:v>
                </c:pt>
                <c:pt idx="498">
                  <c:v>2.9937840997349494</c:v>
                </c:pt>
                <c:pt idx="499">
                  <c:v>3.0147061403598361</c:v>
                </c:pt>
                <c:pt idx="500">
                  <c:v>2.9981150954057063</c:v>
                </c:pt>
                <c:pt idx="501">
                  <c:v>3.0096422069601818</c:v>
                </c:pt>
                <c:pt idx="502">
                  <c:v>3.0165051693307658</c:v>
                </c:pt>
                <c:pt idx="503">
                  <c:v>2.9949168216796092</c:v>
                </c:pt>
                <c:pt idx="504">
                  <c:v>3.0177711526806794</c:v>
                </c:pt>
                <c:pt idx="505">
                  <c:v>3.0177711526806794</c:v>
                </c:pt>
                <c:pt idx="506">
                  <c:v>3.0087760078260306</c:v>
                </c:pt>
                <c:pt idx="507">
                  <c:v>3.0051779498841711</c:v>
                </c:pt>
                <c:pt idx="508">
                  <c:v>3.0130403727941601</c:v>
                </c:pt>
                <c:pt idx="509">
                  <c:v>3.015105924575598</c:v>
                </c:pt>
                <c:pt idx="510">
                  <c:v>3.0009802156186685</c:v>
                </c:pt>
                <c:pt idx="511">
                  <c:v>3.0102418832838254</c:v>
                </c:pt>
                <c:pt idx="512">
                  <c:v>3.0004471699976523</c:v>
                </c:pt>
                <c:pt idx="513">
                  <c:v>3.005244580586798</c:v>
                </c:pt>
                <c:pt idx="514">
                  <c:v>3.0037120744263763</c:v>
                </c:pt>
                <c:pt idx="515">
                  <c:v>3.0027792445895982</c:v>
                </c:pt>
                <c:pt idx="516">
                  <c:v>2.9999141243766361</c:v>
                </c:pt>
                <c:pt idx="517">
                  <c:v>3.0149060324677173</c:v>
                </c:pt>
                <c:pt idx="518">
                  <c:v>3.0015132612396846</c:v>
                </c:pt>
                <c:pt idx="519">
                  <c:v>3.0032456595079875</c:v>
                </c:pt>
                <c:pt idx="520">
                  <c:v>2.9949834523822361</c:v>
                </c:pt>
                <c:pt idx="521">
                  <c:v>3.0121741736600089</c:v>
                </c:pt>
                <c:pt idx="522">
                  <c:v>3.0156389701966142</c:v>
                </c:pt>
                <c:pt idx="523">
                  <c:v>3.0115744973363658</c:v>
                </c:pt>
                <c:pt idx="524">
                  <c:v>3.0141730947388199</c:v>
                </c:pt>
                <c:pt idx="525">
                  <c:v>3.0129737420915332</c:v>
                </c:pt>
                <c:pt idx="526">
                  <c:v>3.0108415596074685</c:v>
                </c:pt>
                <c:pt idx="527">
                  <c:v>3.0070436095577278</c:v>
                </c:pt>
                <c:pt idx="528">
                  <c:v>3.0015798919423116</c:v>
                </c:pt>
                <c:pt idx="529">
                  <c:v>3.0159721237097497</c:v>
                </c:pt>
                <c:pt idx="530">
                  <c:v>3.0093756841496737</c:v>
                </c:pt>
                <c:pt idx="531">
                  <c:v>3.0040452279395118</c:v>
                </c:pt>
                <c:pt idx="532">
                  <c:v>3.0133735263072956</c:v>
                </c:pt>
                <c:pt idx="533">
                  <c:v>2.9939173611402037</c:v>
                </c:pt>
                <c:pt idx="534">
                  <c:v>3.0009802156186685</c:v>
                </c:pt>
                <c:pt idx="535">
                  <c:v>3.0104417753917061</c:v>
                </c:pt>
                <c:pt idx="536">
                  <c:v>2.9953166058953711</c:v>
                </c:pt>
                <c:pt idx="537">
                  <c:v>3.0065771946393385</c:v>
                </c:pt>
                <c:pt idx="538">
                  <c:v>2.9937174690323225</c:v>
                </c:pt>
                <c:pt idx="539">
                  <c:v>2.999980755079263</c:v>
                </c:pt>
                <c:pt idx="540">
                  <c:v>3.0016465226449385</c:v>
                </c:pt>
                <c:pt idx="541">
                  <c:v>3.0065105639367116</c:v>
                </c:pt>
                <c:pt idx="542">
                  <c:v>3.0115078666337385</c:v>
                </c:pt>
                <c:pt idx="543">
                  <c:v>3.002912505994852</c:v>
                </c:pt>
                <c:pt idx="544">
                  <c:v>2.9993810787556199</c:v>
                </c:pt>
                <c:pt idx="545">
                  <c:v>3.0077099165839982</c:v>
                </c:pt>
                <c:pt idx="546">
                  <c:v>3.0027792445895982</c:v>
                </c:pt>
                <c:pt idx="547">
                  <c:v>3.0168383228439009</c:v>
                </c:pt>
                <c:pt idx="548">
                  <c:v>3.0137733105230575</c:v>
                </c:pt>
                <c:pt idx="549">
                  <c:v>3.0179710447885602</c:v>
                </c:pt>
                <c:pt idx="550">
                  <c:v>2.9939839918428306</c:v>
                </c:pt>
                <c:pt idx="551">
                  <c:v>3.0113079745258577</c:v>
                </c:pt>
                <c:pt idx="552">
                  <c:v>3.0006470621055334</c:v>
                </c:pt>
                <c:pt idx="553">
                  <c:v>2.9967824813531658</c:v>
                </c:pt>
                <c:pt idx="554">
                  <c:v>3.0035788130211225</c:v>
                </c:pt>
                <c:pt idx="555">
                  <c:v>3.0053778419920523</c:v>
                </c:pt>
                <c:pt idx="556">
                  <c:v>3.0010468463212954</c:v>
                </c:pt>
                <c:pt idx="557">
                  <c:v>3.0162386465202577</c:v>
                </c:pt>
                <c:pt idx="558">
                  <c:v>3.0139732026309387</c:v>
                </c:pt>
                <c:pt idx="559">
                  <c:v>3.0006470621055334</c:v>
                </c:pt>
                <c:pt idx="560">
                  <c:v>3.0112413438232304</c:v>
                </c:pt>
                <c:pt idx="561">
                  <c:v>3.0145728789545818</c:v>
                </c:pt>
                <c:pt idx="562">
                  <c:v>3.0123074350652628</c:v>
                </c:pt>
                <c:pt idx="563">
                  <c:v>2.9966492199479116</c:v>
                </c:pt>
                <c:pt idx="564">
                  <c:v>2.9987147717293494</c:v>
                </c:pt>
                <c:pt idx="565">
                  <c:v>3.0135067877125494</c:v>
                </c:pt>
                <c:pt idx="566">
                  <c:v>2.9945170374638468</c:v>
                </c:pt>
                <c:pt idx="567">
                  <c:v>2.9962494357321496</c:v>
                </c:pt>
                <c:pt idx="568">
                  <c:v>3.0169049535465278</c:v>
                </c:pt>
                <c:pt idx="569">
                  <c:v>3.0097088376628087</c:v>
                </c:pt>
                <c:pt idx="570">
                  <c:v>3.0068437174498466</c:v>
                </c:pt>
                <c:pt idx="571">
                  <c:v>3.0111747131206035</c:v>
                </c:pt>
                <c:pt idx="572">
                  <c:v>3.0064439332340847</c:v>
                </c:pt>
                <c:pt idx="573">
                  <c:v>3.0044450121552737</c:v>
                </c:pt>
                <c:pt idx="574">
                  <c:v>3.0039119665342575</c:v>
                </c:pt>
                <c:pt idx="575">
                  <c:v>2.9940506225454575</c:v>
                </c:pt>
                <c:pt idx="576">
                  <c:v>3.0074433937734901</c:v>
                </c:pt>
                <c:pt idx="577">
                  <c:v>3.0079098086918794</c:v>
                </c:pt>
                <c:pt idx="578">
                  <c:v>2.9969157427584197</c:v>
                </c:pt>
                <c:pt idx="579">
                  <c:v>3.0017797840501927</c:v>
                </c:pt>
                <c:pt idx="580">
                  <c:v>2.9945170374638468</c:v>
                </c:pt>
                <c:pt idx="581">
                  <c:v>3.005244580586798</c:v>
                </c:pt>
                <c:pt idx="582">
                  <c:v>3.0007803235107873</c:v>
                </c:pt>
                <c:pt idx="583">
                  <c:v>3.0136400491178037</c:v>
                </c:pt>
                <c:pt idx="584">
                  <c:v>3.0099087297706899</c:v>
                </c:pt>
                <c:pt idx="585">
                  <c:v>2.9967158506505385</c:v>
                </c:pt>
                <c:pt idx="586">
                  <c:v>2.9939173611402037</c:v>
                </c:pt>
                <c:pt idx="587">
                  <c:v>3.0121741736600089</c:v>
                </c:pt>
                <c:pt idx="588">
                  <c:v>3.0169715842491547</c:v>
                </c:pt>
                <c:pt idx="589">
                  <c:v>3.0001140164845173</c:v>
                </c:pt>
                <c:pt idx="590">
                  <c:v>3.0035788130211225</c:v>
                </c:pt>
                <c:pt idx="591">
                  <c:v>3.0057109955051873</c:v>
                </c:pt>
                <c:pt idx="592">
                  <c:v>3.0126405885783982</c:v>
                </c:pt>
                <c:pt idx="593">
                  <c:v>3.0041784893447656</c:v>
                </c:pt>
                <c:pt idx="594">
                  <c:v>3.009842099068063</c:v>
                </c:pt>
                <c:pt idx="595">
                  <c:v>2.997648680487317</c:v>
                </c:pt>
                <c:pt idx="596">
                  <c:v>2.995050083084863</c:v>
                </c:pt>
                <c:pt idx="597">
                  <c:v>3.0112413438232304</c:v>
                </c:pt>
                <c:pt idx="598">
                  <c:v>3.0048447963710361</c:v>
                </c:pt>
                <c:pt idx="599">
                  <c:v>3.0147061403598361</c:v>
                </c:pt>
                <c:pt idx="600">
                  <c:v>3.0013133691318035</c:v>
                </c:pt>
                <c:pt idx="601">
                  <c:v>3.002912505994852</c:v>
                </c:pt>
                <c:pt idx="602">
                  <c:v>2.9995809708635011</c:v>
                </c:pt>
                <c:pt idx="603">
                  <c:v>3.0147061403598361</c:v>
                </c:pt>
                <c:pt idx="604">
                  <c:v>3.0119742815521278</c:v>
                </c:pt>
                <c:pt idx="605">
                  <c:v>3.0090425306365387</c:v>
                </c:pt>
                <c:pt idx="606">
                  <c:v>3.0065771946393385</c:v>
                </c:pt>
                <c:pt idx="607">
                  <c:v>2.9952499751927442</c:v>
                </c:pt>
                <c:pt idx="608">
                  <c:v>3.0100419911759442</c:v>
                </c:pt>
                <c:pt idx="609">
                  <c:v>3.0018464147528197</c:v>
                </c:pt>
                <c:pt idx="610">
                  <c:v>2.9943837760585925</c:v>
                </c:pt>
                <c:pt idx="611">
                  <c:v>3.0013133691318035</c:v>
                </c:pt>
                <c:pt idx="612">
                  <c:v>2.9935842076270682</c:v>
                </c:pt>
                <c:pt idx="613">
                  <c:v>3.0143063561440737</c:v>
                </c:pt>
                <c:pt idx="614">
                  <c:v>3.0057109955051873</c:v>
                </c:pt>
                <c:pt idx="615">
                  <c:v>2.9943837760585925</c:v>
                </c:pt>
                <c:pt idx="616">
                  <c:v>2.9970490041636739</c:v>
                </c:pt>
                <c:pt idx="617">
                  <c:v>3.0042451200473925</c:v>
                </c:pt>
                <c:pt idx="618">
                  <c:v>3.0025127217790901</c:v>
                </c:pt>
                <c:pt idx="619">
                  <c:v>2.9984482489188413</c:v>
                </c:pt>
                <c:pt idx="620">
                  <c:v>2.9936508383296956</c:v>
                </c:pt>
                <c:pt idx="621">
                  <c:v>3.0036454437237494</c:v>
                </c:pt>
                <c:pt idx="622">
                  <c:v>3.0039119665342575</c:v>
                </c:pt>
                <c:pt idx="623">
                  <c:v>3.0135067877125494</c:v>
                </c:pt>
                <c:pt idx="624">
                  <c:v>2.9955164980032523</c:v>
                </c:pt>
                <c:pt idx="625">
                  <c:v>3.0013133691318035</c:v>
                </c:pt>
                <c:pt idx="626">
                  <c:v>3.0069769788551008</c:v>
                </c:pt>
                <c:pt idx="627">
                  <c:v>3.0043117507500199</c:v>
                </c:pt>
                <c:pt idx="628">
                  <c:v>2.9987147717293494</c:v>
                </c:pt>
                <c:pt idx="629">
                  <c:v>3.0003805392950254</c:v>
                </c:pt>
                <c:pt idx="630">
                  <c:v>3.0017131533475658</c:v>
                </c:pt>
                <c:pt idx="631">
                  <c:v>3.0115078666337385</c:v>
                </c:pt>
                <c:pt idx="632">
                  <c:v>3.0076432858813713</c:v>
                </c:pt>
                <c:pt idx="633">
                  <c:v>3.0113746052284847</c:v>
                </c:pt>
                <c:pt idx="634">
                  <c:v>3.0146395096572087</c:v>
                </c:pt>
                <c:pt idx="635">
                  <c:v>3.0137733105230575</c:v>
                </c:pt>
                <c:pt idx="636">
                  <c:v>3.0055111033973061</c:v>
                </c:pt>
                <c:pt idx="637">
                  <c:v>3.0123074350652628</c:v>
                </c:pt>
                <c:pt idx="638">
                  <c:v>3.0109081903100954</c:v>
                </c:pt>
                <c:pt idx="639">
                  <c:v>3.0179710447885602</c:v>
                </c:pt>
                <c:pt idx="640">
                  <c:v>2.9940506225454575</c:v>
                </c:pt>
                <c:pt idx="641">
                  <c:v>3.0083095929076413</c:v>
                </c:pt>
                <c:pt idx="642">
                  <c:v>3.007176870962982</c:v>
                </c:pt>
                <c:pt idx="643">
                  <c:v>3.0116411280389928</c:v>
                </c:pt>
                <c:pt idx="644">
                  <c:v>3.0133735263072956</c:v>
                </c:pt>
                <c:pt idx="645">
                  <c:v>3.0171714763570359</c:v>
                </c:pt>
                <c:pt idx="646">
                  <c:v>3.0105084060943335</c:v>
                </c:pt>
                <c:pt idx="647">
                  <c:v>3.017437999167544</c:v>
                </c:pt>
                <c:pt idx="648">
                  <c:v>3.0100419911759442</c:v>
                </c:pt>
                <c:pt idx="649">
                  <c:v>3.0146395096572087</c:v>
                </c:pt>
                <c:pt idx="650">
                  <c:v>3.0011134770239223</c:v>
                </c:pt>
                <c:pt idx="651">
                  <c:v>3.0072435016656089</c:v>
                </c:pt>
                <c:pt idx="652">
                  <c:v>3.0045116428579006</c:v>
                </c:pt>
                <c:pt idx="653">
                  <c:v>3.002912505994852</c:v>
                </c:pt>
                <c:pt idx="654">
                  <c:v>3.0161720158176304</c:v>
                </c:pt>
                <c:pt idx="655">
                  <c:v>2.9973821576768089</c:v>
                </c:pt>
                <c:pt idx="656">
                  <c:v>3.0179710447885602</c:v>
                </c:pt>
                <c:pt idx="657">
                  <c:v>3.0017131533475658</c:v>
                </c:pt>
                <c:pt idx="658">
                  <c:v>3.0093756841496737</c:v>
                </c:pt>
                <c:pt idx="659">
                  <c:v>3.0146395096572087</c:v>
                </c:pt>
                <c:pt idx="660">
                  <c:v>3.0100419911759442</c:v>
                </c:pt>
                <c:pt idx="661">
                  <c:v>2.9936508383296956</c:v>
                </c:pt>
                <c:pt idx="662">
                  <c:v>2.9968491120557927</c:v>
                </c:pt>
                <c:pt idx="663">
                  <c:v>3.000313908592398</c:v>
                </c:pt>
                <c:pt idx="664">
                  <c:v>2.9937840997349494</c:v>
                </c:pt>
                <c:pt idx="665">
                  <c:v>3.002912505994852</c:v>
                </c:pt>
                <c:pt idx="666">
                  <c:v>3.0082429622050144</c:v>
                </c:pt>
                <c:pt idx="667">
                  <c:v>3.0042451200473925</c:v>
                </c:pt>
                <c:pt idx="668">
                  <c:v>2.9971822655689278</c:v>
                </c:pt>
                <c:pt idx="669">
                  <c:v>3.0038453358316306</c:v>
                </c:pt>
                <c:pt idx="670">
                  <c:v>3.0127738499836521</c:v>
                </c:pt>
                <c:pt idx="671">
                  <c:v>2.9951167137874899</c:v>
                </c:pt>
                <c:pt idx="672">
                  <c:v>2.9941172532480844</c:v>
                </c:pt>
                <c:pt idx="673">
                  <c:v>3.0175046298701713</c:v>
                </c:pt>
                <c:pt idx="674">
                  <c:v>3.0139065719283118</c:v>
                </c:pt>
                <c:pt idx="675">
                  <c:v>3.0001140164845173</c:v>
                </c:pt>
                <c:pt idx="676">
                  <c:v>3.0175046298701713</c:v>
                </c:pt>
                <c:pt idx="677">
                  <c:v>3.0171714763570359</c:v>
                </c:pt>
                <c:pt idx="678">
                  <c:v>3.0142397254414468</c:v>
                </c:pt>
                <c:pt idx="679">
                  <c:v>3.0161720158176304</c:v>
                </c:pt>
                <c:pt idx="680">
                  <c:v>2.9977819418925713</c:v>
                </c:pt>
                <c:pt idx="681">
                  <c:v>3.0019130454554466</c:v>
                </c:pt>
                <c:pt idx="682">
                  <c:v>3.0161720158176304</c:v>
                </c:pt>
                <c:pt idx="683">
                  <c:v>3.0105084060943335</c:v>
                </c:pt>
                <c:pt idx="684">
                  <c:v>3.0177711526806794</c:v>
                </c:pt>
                <c:pt idx="685">
                  <c:v>3.0007803235107873</c:v>
                </c:pt>
                <c:pt idx="686">
                  <c:v>2.9994477094582468</c:v>
                </c:pt>
                <c:pt idx="687">
                  <c:v>3.0150392938729711</c:v>
                </c:pt>
                <c:pt idx="688">
                  <c:v>3.0163052772228847</c:v>
                </c:pt>
                <c:pt idx="689">
                  <c:v>3.0039119665342575</c:v>
                </c:pt>
                <c:pt idx="690">
                  <c:v>3.0165051693307658</c:v>
                </c:pt>
                <c:pt idx="691">
                  <c:v>3.007510024476117</c:v>
                </c:pt>
                <c:pt idx="692">
                  <c:v>3.0132402649020413</c:v>
                </c:pt>
                <c:pt idx="693">
                  <c:v>3.0133068956046682</c:v>
                </c:pt>
                <c:pt idx="694">
                  <c:v>3.0063773025314577</c:v>
                </c:pt>
                <c:pt idx="695">
                  <c:v>3.0033122902106144</c:v>
                </c:pt>
                <c:pt idx="696">
                  <c:v>3.0179710447885602</c:v>
                </c:pt>
                <c:pt idx="697">
                  <c:v>3.0123740657678901</c:v>
                </c:pt>
                <c:pt idx="698">
                  <c:v>2.9973821576768089</c:v>
                </c:pt>
                <c:pt idx="699">
                  <c:v>3.0006470621055334</c:v>
                </c:pt>
                <c:pt idx="700">
                  <c:v>3.014439617549328</c:v>
                </c:pt>
                <c:pt idx="701">
                  <c:v>3.0097088376628087</c:v>
                </c:pt>
                <c:pt idx="702">
                  <c:v>3.0085094850155225</c:v>
                </c:pt>
                <c:pt idx="703">
                  <c:v>2.9957163901111334</c:v>
                </c:pt>
                <c:pt idx="704">
                  <c:v>2.9958496515163873</c:v>
                </c:pt>
                <c:pt idx="705">
                  <c:v>2.9947835602743549</c:v>
                </c:pt>
                <c:pt idx="706">
                  <c:v>2.9967158506505385</c:v>
                </c:pt>
                <c:pt idx="707">
                  <c:v>3.0074433937734901</c:v>
                </c:pt>
                <c:pt idx="708">
                  <c:v>3.007176870962982</c:v>
                </c:pt>
                <c:pt idx="709">
                  <c:v>3.0167716921412739</c:v>
                </c:pt>
                <c:pt idx="710">
                  <c:v>2.9993810787556199</c:v>
                </c:pt>
                <c:pt idx="711">
                  <c:v>2.9949168216796092</c:v>
                </c:pt>
                <c:pt idx="712">
                  <c:v>2.994716929571728</c:v>
                </c:pt>
                <c:pt idx="713">
                  <c:v>3.0165718000333928</c:v>
                </c:pt>
                <c:pt idx="714">
                  <c:v>3.0059108876130685</c:v>
                </c:pt>
                <c:pt idx="715">
                  <c:v>3.0069769788551008</c:v>
                </c:pt>
                <c:pt idx="716">
                  <c:v>3.0039119665342575</c:v>
                </c:pt>
                <c:pt idx="717">
                  <c:v>3.0077765472866251</c:v>
                </c:pt>
                <c:pt idx="718">
                  <c:v>2.9942505146533387</c:v>
                </c:pt>
                <c:pt idx="719">
                  <c:v>3.0074433937734901</c:v>
                </c:pt>
                <c:pt idx="720">
                  <c:v>3.0089092692312844</c:v>
                </c:pt>
                <c:pt idx="721">
                  <c:v>2.997981834000452</c:v>
                </c:pt>
                <c:pt idx="722">
                  <c:v>3.0149060324677173</c:v>
                </c:pt>
                <c:pt idx="723">
                  <c:v>3.0096422069601818</c:v>
                </c:pt>
                <c:pt idx="724">
                  <c:v>3.0087093771234037</c:v>
                </c:pt>
                <c:pt idx="725">
                  <c:v>3.0080430700971332</c:v>
                </c:pt>
                <c:pt idx="726">
                  <c:v>3.0148394017650899</c:v>
                </c:pt>
                <c:pt idx="727">
                  <c:v>2.9994477094582468</c:v>
                </c:pt>
                <c:pt idx="728">
                  <c:v>3.0068437174498466</c:v>
                </c:pt>
                <c:pt idx="729">
                  <c:v>3.0043117507500199</c:v>
                </c:pt>
                <c:pt idx="730">
                  <c:v>3.0040452279395118</c:v>
                </c:pt>
                <c:pt idx="731">
                  <c:v>3.0162386465202577</c:v>
                </c:pt>
                <c:pt idx="732">
                  <c:v>3.0141730947388199</c:v>
                </c:pt>
                <c:pt idx="733">
                  <c:v>3.0158388623044954</c:v>
                </c:pt>
                <c:pt idx="734">
                  <c:v>3.0137066798204306</c:v>
                </c:pt>
                <c:pt idx="735">
                  <c:v>3.0100419911759442</c:v>
                </c:pt>
                <c:pt idx="736">
                  <c:v>2.9977153111899439</c:v>
                </c:pt>
                <c:pt idx="737">
                  <c:v>3.0019130454554466</c:v>
                </c:pt>
                <c:pt idx="738">
                  <c:v>3.0129737420915332</c:v>
                </c:pt>
                <c:pt idx="739">
                  <c:v>2.9984482489188413</c:v>
                </c:pt>
                <c:pt idx="740">
                  <c:v>3.0063773025314577</c:v>
                </c:pt>
                <c:pt idx="741">
                  <c:v>2.9948501909769818</c:v>
                </c:pt>
                <c:pt idx="742">
                  <c:v>3.0088426385286575</c:v>
                </c:pt>
                <c:pt idx="743">
                  <c:v>3.0116411280389928</c:v>
                </c:pt>
                <c:pt idx="744">
                  <c:v>3.0137066798204306</c:v>
                </c:pt>
                <c:pt idx="745">
                  <c:v>2.9987814024319763</c:v>
                </c:pt>
                <c:pt idx="746">
                  <c:v>3.0061107797209496</c:v>
                </c:pt>
                <c:pt idx="747">
                  <c:v>3.0161720158176304</c:v>
                </c:pt>
                <c:pt idx="748">
                  <c:v>3.0036454437237494</c:v>
                </c:pt>
                <c:pt idx="749">
                  <c:v>3.0034455516158682</c:v>
                </c:pt>
                <c:pt idx="750">
                  <c:v>3.0035788130211225</c:v>
                </c:pt>
                <c:pt idx="751">
                  <c:v>3.0157722316018685</c:v>
                </c:pt>
                <c:pt idx="752">
                  <c:v>3.0131736341994144</c:v>
                </c:pt>
                <c:pt idx="753">
                  <c:v>3.0046449042631549</c:v>
                </c:pt>
                <c:pt idx="754">
                  <c:v>3.0140398333335656</c:v>
                </c:pt>
                <c:pt idx="755">
                  <c:v>3.0162386465202577</c:v>
                </c:pt>
                <c:pt idx="756">
                  <c:v>3.0107082982022142</c:v>
                </c:pt>
                <c:pt idx="757">
                  <c:v>3.0102418832838254</c:v>
                </c:pt>
                <c:pt idx="758">
                  <c:v>2.997981834000452</c:v>
                </c:pt>
                <c:pt idx="759">
                  <c:v>3.0076432858813713</c:v>
                </c:pt>
                <c:pt idx="760">
                  <c:v>3.0019796761580739</c:v>
                </c:pt>
                <c:pt idx="761">
                  <c:v>3.017104845654409</c:v>
                </c:pt>
                <c:pt idx="762">
                  <c:v>3.0162386465202577</c:v>
                </c:pt>
                <c:pt idx="763">
                  <c:v>3.0054444726946792</c:v>
                </c:pt>
                <c:pt idx="764">
                  <c:v>3.0112413438232304</c:v>
                </c:pt>
                <c:pt idx="765">
                  <c:v>3.002912505994852</c:v>
                </c:pt>
                <c:pt idx="766">
                  <c:v>3.0074433937734901</c:v>
                </c:pt>
                <c:pt idx="767">
                  <c:v>3.0129071113889063</c:v>
                </c:pt>
                <c:pt idx="768">
                  <c:v>3.0097754683654361</c:v>
                </c:pt>
                <c:pt idx="769">
                  <c:v>3.004911427073663</c:v>
                </c:pt>
                <c:pt idx="770">
                  <c:v>3.0043783814526468</c:v>
                </c:pt>
                <c:pt idx="771">
                  <c:v>3.0175712605727982</c:v>
                </c:pt>
                <c:pt idx="772">
                  <c:v>3.0059108876130685</c:v>
                </c:pt>
                <c:pt idx="773">
                  <c:v>3.0043783814526468</c:v>
                </c:pt>
                <c:pt idx="774">
                  <c:v>2.9987147717293494</c:v>
                </c:pt>
                <c:pt idx="775">
                  <c:v>2.9968491120557927</c:v>
                </c:pt>
                <c:pt idx="776">
                  <c:v>3.0093756841496737</c:v>
                </c:pt>
                <c:pt idx="777">
                  <c:v>2.9957163901111334</c:v>
                </c:pt>
                <c:pt idx="778">
                  <c:v>3.0114412359311116</c:v>
                </c:pt>
                <c:pt idx="779">
                  <c:v>2.9985815103240956</c:v>
                </c:pt>
                <c:pt idx="780">
                  <c:v>2.9945836681664737</c:v>
                </c:pt>
                <c:pt idx="781">
                  <c:v>3.0021795682659551</c:v>
                </c:pt>
                <c:pt idx="782">
                  <c:v>2.9980484647030794</c:v>
                </c:pt>
                <c:pt idx="783">
                  <c:v>3.0053112112894254</c:v>
                </c:pt>
                <c:pt idx="784">
                  <c:v>3.0141730947388199</c:v>
                </c:pt>
                <c:pt idx="785">
                  <c:v>2.999980755079263</c:v>
                </c:pt>
                <c:pt idx="786">
                  <c:v>3.0134401570099225</c:v>
                </c:pt>
                <c:pt idx="787">
                  <c:v>2.9955831287058792</c:v>
                </c:pt>
                <c:pt idx="788">
                  <c:v>3.0032456595079875</c:v>
                </c:pt>
                <c:pt idx="789">
                  <c:v>3.0117077587416197</c:v>
                </c:pt>
                <c:pt idx="790">
                  <c:v>3.0017797840501927</c:v>
                </c:pt>
                <c:pt idx="791">
                  <c:v>3.0171714763570359</c:v>
                </c:pt>
                <c:pt idx="792">
                  <c:v>3.0043783814526468</c:v>
                </c:pt>
                <c:pt idx="793">
                  <c:v>2.9941838839507118</c:v>
                </c:pt>
                <c:pt idx="794">
                  <c:v>2.9959829129216415</c:v>
                </c:pt>
                <c:pt idx="795">
                  <c:v>3.0064439332340847</c:v>
                </c:pt>
                <c:pt idx="796">
                  <c:v>2.9999141243766361</c:v>
                </c:pt>
                <c:pt idx="797">
                  <c:v>3.0169049535465278</c:v>
                </c:pt>
                <c:pt idx="798">
                  <c:v>3.0148394017650899</c:v>
                </c:pt>
                <c:pt idx="799">
                  <c:v>3.017437999167544</c:v>
                </c:pt>
                <c:pt idx="800">
                  <c:v>3.0159721237097497</c:v>
                </c:pt>
                <c:pt idx="801">
                  <c:v>3.0040452279395118</c:v>
                </c:pt>
                <c:pt idx="802">
                  <c:v>3.0085094850155225</c:v>
                </c:pt>
                <c:pt idx="803">
                  <c:v>3.0145728789545818</c:v>
                </c:pt>
                <c:pt idx="804">
                  <c:v>3.0127738499836521</c:v>
                </c:pt>
                <c:pt idx="805">
                  <c:v>3.0070436095577278</c:v>
                </c:pt>
                <c:pt idx="806">
                  <c:v>3.0045116428579006</c:v>
                </c:pt>
                <c:pt idx="807">
                  <c:v>3.0067104560445927</c:v>
                </c:pt>
                <c:pt idx="808">
                  <c:v>3.002246198968582</c:v>
                </c:pt>
                <c:pt idx="809">
                  <c:v>2.9967824813531658</c:v>
                </c:pt>
                <c:pt idx="810">
                  <c:v>3.0127738499836521</c:v>
                </c:pt>
                <c:pt idx="811">
                  <c:v>3.0116411280389928</c:v>
                </c:pt>
                <c:pt idx="812">
                  <c:v>3.0027792445895982</c:v>
                </c:pt>
                <c:pt idx="813">
                  <c:v>3.0012467384291766</c:v>
                </c:pt>
                <c:pt idx="814">
                  <c:v>2.9991811866477387</c:v>
                </c:pt>
                <c:pt idx="815">
                  <c:v>3.007576655178744</c:v>
                </c:pt>
                <c:pt idx="816">
                  <c:v>2.9962494357321496</c:v>
                </c:pt>
                <c:pt idx="817">
                  <c:v>2.9937174690323225</c:v>
                </c:pt>
                <c:pt idx="818">
                  <c:v>3.0095755762575549</c:v>
                </c:pt>
                <c:pt idx="819">
                  <c:v>2.9977819418925713</c:v>
                </c:pt>
                <c:pt idx="820">
                  <c:v>2.9972488962715551</c:v>
                </c:pt>
                <c:pt idx="821">
                  <c:v>2.9971822655689278</c:v>
                </c:pt>
                <c:pt idx="822">
                  <c:v>2.9936508383296956</c:v>
                </c:pt>
                <c:pt idx="823">
                  <c:v>3.0175712605727982</c:v>
                </c:pt>
                <c:pt idx="824">
                  <c:v>3.0149060324677173</c:v>
                </c:pt>
                <c:pt idx="825">
                  <c:v>2.9981150954057063</c:v>
                </c:pt>
                <c:pt idx="826">
                  <c:v>3.0109081903100954</c:v>
                </c:pt>
                <c:pt idx="827">
                  <c:v>3.0024460910764632</c:v>
                </c:pt>
                <c:pt idx="828">
                  <c:v>3.0131736341994144</c:v>
                </c:pt>
                <c:pt idx="829">
                  <c:v>2.9978485725951982</c:v>
                </c:pt>
                <c:pt idx="830">
                  <c:v>2.9945170374638468</c:v>
                </c:pt>
                <c:pt idx="831">
                  <c:v>3.0001140164845173</c:v>
                </c:pt>
                <c:pt idx="832">
                  <c:v>3.0105084060943335</c:v>
                </c:pt>
                <c:pt idx="833">
                  <c:v>3.0113746052284847</c:v>
                </c:pt>
                <c:pt idx="834">
                  <c:v>3.0152391859808523</c:v>
                </c:pt>
                <c:pt idx="835">
                  <c:v>3.0083762236102682</c:v>
                </c:pt>
                <c:pt idx="836">
                  <c:v>3.0165718000333928</c:v>
                </c:pt>
                <c:pt idx="837">
                  <c:v>3.0060441490183223</c:v>
                </c:pt>
                <c:pt idx="838">
                  <c:v>3.007176870962982</c:v>
                </c:pt>
                <c:pt idx="839">
                  <c:v>3.0060441490183223</c:v>
                </c:pt>
                <c:pt idx="840">
                  <c:v>3.0073767630708632</c:v>
                </c:pt>
                <c:pt idx="841">
                  <c:v>3.0109081903100954</c:v>
                </c:pt>
                <c:pt idx="842">
                  <c:v>2.9946502988691011</c:v>
                </c:pt>
                <c:pt idx="843">
                  <c:v>2.9938507304375763</c:v>
                </c:pt>
                <c:pt idx="844">
                  <c:v>3.0061107797209496</c:v>
                </c:pt>
                <c:pt idx="845">
                  <c:v>3.0055777340999335</c:v>
                </c:pt>
                <c:pt idx="846">
                  <c:v>3.0126405885783982</c:v>
                </c:pt>
                <c:pt idx="847">
                  <c:v>3.0179710447885602</c:v>
                </c:pt>
                <c:pt idx="848">
                  <c:v>3.014772771062463</c:v>
                </c:pt>
                <c:pt idx="849">
                  <c:v>3.0088426385286575</c:v>
                </c:pt>
                <c:pt idx="850">
                  <c:v>3.0162386465202577</c:v>
                </c:pt>
                <c:pt idx="851">
                  <c:v>3.0163052772228847</c:v>
                </c:pt>
                <c:pt idx="852">
                  <c:v>3.0133068956046682</c:v>
                </c:pt>
                <c:pt idx="853">
                  <c:v>3.0167716921412739</c:v>
                </c:pt>
                <c:pt idx="854">
                  <c:v>3.0079764393945063</c:v>
                </c:pt>
                <c:pt idx="855">
                  <c:v>3.0011801077265496</c:v>
                </c:pt>
                <c:pt idx="856">
                  <c:v>3.0053112112894254</c:v>
                </c:pt>
                <c:pt idx="857">
                  <c:v>2.9951833444901172</c:v>
                </c:pt>
                <c:pt idx="858">
                  <c:v>3.0133735263072956</c:v>
                </c:pt>
                <c:pt idx="859">
                  <c:v>2.9954498673006253</c:v>
                </c:pt>
                <c:pt idx="860">
                  <c:v>3.0033789209132413</c:v>
                </c:pt>
                <c:pt idx="861">
                  <c:v>3.0117743894442466</c:v>
                </c:pt>
                <c:pt idx="862">
                  <c:v>3.0039119665342575</c:v>
                </c:pt>
                <c:pt idx="863">
                  <c:v>2.9955164980032523</c:v>
                </c:pt>
                <c:pt idx="864">
                  <c:v>3.0177711526806794</c:v>
                </c:pt>
                <c:pt idx="865">
                  <c:v>2.9937840997349494</c:v>
                </c:pt>
                <c:pt idx="866">
                  <c:v>3.0041784893447656</c:v>
                </c:pt>
                <c:pt idx="867">
                  <c:v>3.0031790288053601</c:v>
                </c:pt>
                <c:pt idx="868">
                  <c:v>3.0120409122547547</c:v>
                </c:pt>
                <c:pt idx="869">
                  <c:v>3.0005138007002792</c:v>
                </c:pt>
                <c:pt idx="870">
                  <c:v>2.9945836681664737</c:v>
                </c:pt>
                <c:pt idx="871">
                  <c:v>2.9988480331346037</c:v>
                </c:pt>
                <c:pt idx="872">
                  <c:v>3.0150392938729711</c:v>
                </c:pt>
                <c:pt idx="873">
                  <c:v>3.0069103481524739</c:v>
                </c:pt>
                <c:pt idx="874">
                  <c:v>3.0072435016656089</c:v>
                </c:pt>
                <c:pt idx="875">
                  <c:v>3.0026459831843439</c:v>
                </c:pt>
                <c:pt idx="876">
                  <c:v>3.0179710447885602</c:v>
                </c:pt>
                <c:pt idx="877">
                  <c:v>3.0083762236102682</c:v>
                </c:pt>
                <c:pt idx="878">
                  <c:v>3.0086427464207763</c:v>
                </c:pt>
                <c:pt idx="879">
                  <c:v>3.0083095929076413</c:v>
                </c:pt>
                <c:pt idx="880">
                  <c:v>2.9935842076270682</c:v>
                </c:pt>
                <c:pt idx="881">
                  <c:v>3.0073767630708632</c:v>
                </c:pt>
                <c:pt idx="882">
                  <c:v>3.0012467384291766</c:v>
                </c:pt>
                <c:pt idx="883">
                  <c:v>3.0086427464207763</c:v>
                </c:pt>
                <c:pt idx="884">
                  <c:v>3.0131070034967875</c:v>
                </c:pt>
                <c:pt idx="885">
                  <c:v>3.0091757920417925</c:v>
                </c:pt>
                <c:pt idx="886">
                  <c:v>3.0134401570099225</c:v>
                </c:pt>
                <c:pt idx="887">
                  <c:v>3.0154390780887335</c:v>
                </c:pt>
                <c:pt idx="888">
                  <c:v>2.9966492199479116</c:v>
                </c:pt>
                <c:pt idx="889">
                  <c:v>3.0143063561440737</c:v>
                </c:pt>
                <c:pt idx="890">
                  <c:v>3.0041784893447656</c:v>
                </c:pt>
                <c:pt idx="891">
                  <c:v>3.000313908592398</c:v>
                </c:pt>
                <c:pt idx="892">
                  <c:v>3.0011134770239223</c:v>
                </c:pt>
                <c:pt idx="893">
                  <c:v>2.9975820497846901</c:v>
                </c:pt>
                <c:pt idx="894">
                  <c:v>2.9983149875135875</c:v>
                </c:pt>
                <c:pt idx="895">
                  <c:v>2.999647601566128</c:v>
                </c:pt>
                <c:pt idx="896">
                  <c:v>2.9995809708635011</c:v>
                </c:pt>
                <c:pt idx="897">
                  <c:v>3.0060441490183223</c:v>
                </c:pt>
                <c:pt idx="898">
                  <c:v>3.0007803235107873</c:v>
                </c:pt>
                <c:pt idx="899">
                  <c:v>3.0129071113889063</c:v>
                </c:pt>
                <c:pt idx="900">
                  <c:v>3.0023794603738359</c:v>
                </c:pt>
                <c:pt idx="901">
                  <c:v>3.0115744973363658</c:v>
                </c:pt>
                <c:pt idx="902">
                  <c:v>3.017437999167544</c:v>
                </c:pt>
                <c:pt idx="903">
                  <c:v>3.0040452279395118</c:v>
                </c:pt>
                <c:pt idx="904">
                  <c:v>3.0037120744263763</c:v>
                </c:pt>
                <c:pt idx="905">
                  <c:v>3.0157056008992416</c:v>
                </c:pt>
                <c:pt idx="906">
                  <c:v>2.9964493278400304</c:v>
                </c:pt>
                <c:pt idx="907">
                  <c:v>3.0056443648025604</c:v>
                </c:pt>
                <c:pt idx="908">
                  <c:v>3.0043783814526468</c:v>
                </c:pt>
                <c:pt idx="909">
                  <c:v>2.9992478173503656</c:v>
                </c:pt>
                <c:pt idx="910">
                  <c:v>3.0173047377622901</c:v>
                </c:pt>
                <c:pt idx="911">
                  <c:v>3.0030457674001063</c:v>
                </c:pt>
                <c:pt idx="912">
                  <c:v>3.0028458752922251</c:v>
                </c:pt>
                <c:pt idx="913">
                  <c:v>2.9937840997349494</c:v>
                </c:pt>
                <c:pt idx="914">
                  <c:v>3.0149726631703442</c:v>
                </c:pt>
                <c:pt idx="915">
                  <c:v>3.0077099165839982</c:v>
                </c:pt>
                <c:pt idx="916">
                  <c:v>3.004578273560528</c:v>
                </c:pt>
                <c:pt idx="917">
                  <c:v>2.9959162822190142</c:v>
                </c:pt>
                <c:pt idx="918">
                  <c:v>3.0115078666337385</c:v>
                </c:pt>
                <c:pt idx="919">
                  <c:v>3.0141730947388199</c:v>
                </c:pt>
                <c:pt idx="920">
                  <c:v>2.9997142322687549</c:v>
                </c:pt>
                <c:pt idx="921">
                  <c:v>3.0153058166834792</c:v>
                </c:pt>
                <c:pt idx="922">
                  <c:v>3.0109081903100954</c:v>
                </c:pt>
                <c:pt idx="923">
                  <c:v>2.9964493278400304</c:v>
                </c:pt>
                <c:pt idx="924">
                  <c:v>2.9982483568109601</c:v>
                </c:pt>
                <c:pt idx="925">
                  <c:v>3.0091757920417925</c:v>
                </c:pt>
                <c:pt idx="926">
                  <c:v>3.0015132612396846</c:v>
                </c:pt>
                <c:pt idx="927">
                  <c:v>3.0111747131206035</c:v>
                </c:pt>
                <c:pt idx="928">
                  <c:v>2.9957163901111334</c:v>
                </c:pt>
                <c:pt idx="929">
                  <c:v>3.0176378912754251</c:v>
                </c:pt>
                <c:pt idx="930">
                  <c:v>3.0166384307360197</c:v>
                </c:pt>
                <c:pt idx="931">
                  <c:v>2.9963826971374035</c:v>
                </c:pt>
                <c:pt idx="932">
                  <c:v>2.9991145559451118</c:v>
                </c:pt>
                <c:pt idx="933">
                  <c:v>3.0077765472866251</c:v>
                </c:pt>
                <c:pt idx="934">
                  <c:v>3.0104417753917061</c:v>
                </c:pt>
                <c:pt idx="935">
                  <c:v>3.0069103481524739</c:v>
                </c:pt>
                <c:pt idx="936">
                  <c:v>2.9937840997349494</c:v>
                </c:pt>
                <c:pt idx="937">
                  <c:v>3.0053778419920523</c:v>
                </c:pt>
                <c:pt idx="938">
                  <c:v>3.0179710447885602</c:v>
                </c:pt>
                <c:pt idx="939">
                  <c:v>3.0016465226449385</c:v>
                </c:pt>
                <c:pt idx="940">
                  <c:v>3.0070436095577278</c:v>
                </c:pt>
                <c:pt idx="941">
                  <c:v>3.0165718000333928</c:v>
                </c:pt>
                <c:pt idx="942">
                  <c:v>3.002912505994852</c:v>
                </c:pt>
                <c:pt idx="943">
                  <c:v>3.0165051693307658</c:v>
                </c:pt>
                <c:pt idx="944">
                  <c:v>2.9953166058953711</c:v>
                </c:pt>
                <c:pt idx="945">
                  <c:v>3.0155723394939873</c:v>
                </c:pt>
                <c:pt idx="946">
                  <c:v>3.0158388623044954</c:v>
                </c:pt>
                <c:pt idx="947">
                  <c:v>3.0033789209132413</c:v>
                </c:pt>
                <c:pt idx="948">
                  <c:v>3.0025127217790901</c:v>
                </c:pt>
                <c:pt idx="949">
                  <c:v>3.0076432858813713</c:v>
                </c:pt>
                <c:pt idx="950">
                  <c:v>3.007576655178744</c:v>
                </c:pt>
                <c:pt idx="951">
                  <c:v>3.0062440411262035</c:v>
                </c:pt>
                <c:pt idx="952">
                  <c:v>2.9951833444901172</c:v>
                </c:pt>
                <c:pt idx="953">
                  <c:v>3.0146395096572087</c:v>
                </c:pt>
                <c:pt idx="954">
                  <c:v>2.9972488962715551</c:v>
                </c:pt>
                <c:pt idx="955">
                  <c:v>3.0072435016656089</c:v>
                </c:pt>
                <c:pt idx="956">
                  <c:v>3.0039785972368844</c:v>
                </c:pt>
                <c:pt idx="957">
                  <c:v>3.0033789209132413</c:v>
                </c:pt>
                <c:pt idx="958">
                  <c:v>3.0042451200473925</c:v>
                </c:pt>
                <c:pt idx="959">
                  <c:v>2.9963160664347765</c:v>
                </c:pt>
                <c:pt idx="960">
                  <c:v>3.0169049535465278</c:v>
                </c:pt>
                <c:pt idx="961">
                  <c:v>3.0066438253419658</c:v>
                </c:pt>
                <c:pt idx="962">
                  <c:v>3.0027792445895982</c:v>
                </c:pt>
                <c:pt idx="963">
                  <c:v>2.9937174690323225</c:v>
                </c:pt>
                <c:pt idx="964">
                  <c:v>3.0163719079255116</c:v>
                </c:pt>
                <c:pt idx="965">
                  <c:v>3.0148394017650899</c:v>
                </c:pt>
                <c:pt idx="966">
                  <c:v>3.0093090534470468</c:v>
                </c:pt>
                <c:pt idx="967">
                  <c:v>2.9961828050295223</c:v>
                </c:pt>
                <c:pt idx="968">
                  <c:v>2.9941172532480844</c:v>
                </c:pt>
                <c:pt idx="969">
                  <c:v>3.0067770867472197</c:v>
                </c:pt>
                <c:pt idx="970">
                  <c:v>2.9991811866477387</c:v>
                </c:pt>
                <c:pt idx="971">
                  <c:v>3.0089092692312844</c:v>
                </c:pt>
                <c:pt idx="972">
                  <c:v>3.0069769788551008</c:v>
                </c:pt>
                <c:pt idx="973">
                  <c:v>3.0123074350652628</c:v>
                </c:pt>
                <c:pt idx="974">
                  <c:v>3.0034455516158682</c:v>
                </c:pt>
                <c:pt idx="975">
                  <c:v>3.0127072192810251</c:v>
                </c:pt>
                <c:pt idx="976">
                  <c:v>3.0017131533475658</c:v>
                </c:pt>
                <c:pt idx="977">
                  <c:v>3.0138399412256844</c:v>
                </c:pt>
                <c:pt idx="978">
                  <c:v>2.9940506225454575</c:v>
                </c:pt>
                <c:pt idx="979">
                  <c:v>2.9968491120557927</c:v>
                </c:pt>
                <c:pt idx="980">
                  <c:v>3.007576655178744</c:v>
                </c:pt>
                <c:pt idx="981">
                  <c:v>3.0051779498841711</c:v>
                </c:pt>
                <c:pt idx="982">
                  <c:v>2.9983816182162144</c:v>
                </c:pt>
                <c:pt idx="983">
                  <c:v>3.0121741736600089</c:v>
                </c:pt>
                <c:pt idx="984">
                  <c:v>3.0056443648025604</c:v>
                </c:pt>
                <c:pt idx="985">
                  <c:v>3.007510024476117</c:v>
                </c:pt>
                <c:pt idx="986">
                  <c:v>2.9941838839507118</c:v>
                </c:pt>
                <c:pt idx="987">
                  <c:v>3.0077765472866251</c:v>
                </c:pt>
                <c:pt idx="988">
                  <c:v>3.0113079745258577</c:v>
                </c:pt>
                <c:pt idx="989">
                  <c:v>3.0157056008992416</c:v>
                </c:pt>
                <c:pt idx="990">
                  <c:v>3.0129737420915332</c:v>
                </c:pt>
                <c:pt idx="991">
                  <c:v>2.9935175769244413</c:v>
                </c:pt>
                <c:pt idx="992">
                  <c:v>3.0079098086918794</c:v>
                </c:pt>
                <c:pt idx="993">
                  <c:v>2.9937174690323225</c:v>
                </c:pt>
                <c:pt idx="994">
                  <c:v>2.9937840997349494</c:v>
                </c:pt>
                <c:pt idx="995">
                  <c:v>2.9995143401608737</c:v>
                </c:pt>
                <c:pt idx="996">
                  <c:v>3.0129737420915332</c:v>
                </c:pt>
                <c:pt idx="997">
                  <c:v>2.9939173611402037</c:v>
                </c:pt>
                <c:pt idx="998">
                  <c:v>2.9954498673006253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C8-45DB-8AF7-C2AD0AC7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27711"/>
        <c:axId val="1200629151"/>
      </c:scatterChart>
      <c:valAx>
        <c:axId val="1200627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45268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1200629151"/>
        <c:crosses val="autoZero"/>
        <c:crossBetween val="midCat"/>
      </c:valAx>
      <c:valAx>
        <c:axId val="1200629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627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Sheet11!$F$25:$F$1023</c:f>
              <c:numCache>
                <c:formatCode>General</c:formatCode>
                <c:ptCount val="999"/>
                <c:pt idx="0">
                  <c:v>5.0050050050050053E-2</c:v>
                </c:pt>
                <c:pt idx="1">
                  <c:v>0.15015015015015015</c:v>
                </c:pt>
                <c:pt idx="2">
                  <c:v>0.25025025025025027</c:v>
                </c:pt>
                <c:pt idx="3">
                  <c:v>0.35035035035035034</c:v>
                </c:pt>
                <c:pt idx="4">
                  <c:v>0.45045045045045046</c:v>
                </c:pt>
                <c:pt idx="5">
                  <c:v>0.55055055055055058</c:v>
                </c:pt>
                <c:pt idx="6">
                  <c:v>0.65065065065065064</c:v>
                </c:pt>
                <c:pt idx="7">
                  <c:v>0.75075075075075082</c:v>
                </c:pt>
                <c:pt idx="8">
                  <c:v>0.85085085085085088</c:v>
                </c:pt>
                <c:pt idx="9">
                  <c:v>0.95095095095095095</c:v>
                </c:pt>
                <c:pt idx="10">
                  <c:v>1.0510510510510511</c:v>
                </c:pt>
                <c:pt idx="11">
                  <c:v>1.1511511511511512</c:v>
                </c:pt>
                <c:pt idx="12">
                  <c:v>1.2512512512512513</c:v>
                </c:pt>
                <c:pt idx="13">
                  <c:v>1.3513513513513513</c:v>
                </c:pt>
                <c:pt idx="14">
                  <c:v>1.4514514514514516</c:v>
                </c:pt>
                <c:pt idx="15">
                  <c:v>1.5515515515515517</c:v>
                </c:pt>
                <c:pt idx="16">
                  <c:v>1.6516516516516517</c:v>
                </c:pt>
                <c:pt idx="17">
                  <c:v>1.7517517517517518</c:v>
                </c:pt>
                <c:pt idx="18">
                  <c:v>1.8518518518518519</c:v>
                </c:pt>
                <c:pt idx="19">
                  <c:v>1.9519519519519521</c:v>
                </c:pt>
                <c:pt idx="20">
                  <c:v>2.0520520520520522</c:v>
                </c:pt>
                <c:pt idx="21">
                  <c:v>2.1521521521521523</c:v>
                </c:pt>
                <c:pt idx="22">
                  <c:v>2.2522522522522523</c:v>
                </c:pt>
                <c:pt idx="23">
                  <c:v>2.3523523523523524</c:v>
                </c:pt>
                <c:pt idx="24">
                  <c:v>2.4524524524524525</c:v>
                </c:pt>
                <c:pt idx="25">
                  <c:v>2.5525525525525525</c:v>
                </c:pt>
                <c:pt idx="26">
                  <c:v>2.6526526526526526</c:v>
                </c:pt>
                <c:pt idx="27">
                  <c:v>2.7527527527527531</c:v>
                </c:pt>
                <c:pt idx="28">
                  <c:v>2.8528528528528532</c:v>
                </c:pt>
                <c:pt idx="29">
                  <c:v>2.9529529529529532</c:v>
                </c:pt>
                <c:pt idx="30">
                  <c:v>3.0530530530530533</c:v>
                </c:pt>
                <c:pt idx="31">
                  <c:v>3.1531531531531534</c:v>
                </c:pt>
                <c:pt idx="32">
                  <c:v>3.2532532532532534</c:v>
                </c:pt>
                <c:pt idx="33">
                  <c:v>3.3533533533533535</c:v>
                </c:pt>
                <c:pt idx="34">
                  <c:v>3.4534534534534536</c:v>
                </c:pt>
                <c:pt idx="35">
                  <c:v>3.5535535535535536</c:v>
                </c:pt>
                <c:pt idx="36">
                  <c:v>3.6536536536536537</c:v>
                </c:pt>
                <c:pt idx="37">
                  <c:v>3.7537537537537538</c:v>
                </c:pt>
                <c:pt idx="38">
                  <c:v>3.8538538538538543</c:v>
                </c:pt>
                <c:pt idx="39">
                  <c:v>3.9539539539539543</c:v>
                </c:pt>
                <c:pt idx="40">
                  <c:v>4.0540540540540544</c:v>
                </c:pt>
                <c:pt idx="41">
                  <c:v>4.1541541541541545</c:v>
                </c:pt>
                <c:pt idx="42">
                  <c:v>4.2542542542542545</c:v>
                </c:pt>
                <c:pt idx="43">
                  <c:v>4.3543543543543546</c:v>
                </c:pt>
                <c:pt idx="44">
                  <c:v>4.4544544544544546</c:v>
                </c:pt>
                <c:pt idx="45">
                  <c:v>4.5545545545545547</c:v>
                </c:pt>
                <c:pt idx="46">
                  <c:v>4.6546546546546548</c:v>
                </c:pt>
                <c:pt idx="47">
                  <c:v>4.7547547547547548</c:v>
                </c:pt>
                <c:pt idx="48">
                  <c:v>4.8548548548548549</c:v>
                </c:pt>
                <c:pt idx="49">
                  <c:v>4.954954954954955</c:v>
                </c:pt>
                <c:pt idx="50">
                  <c:v>5.055055055055055</c:v>
                </c:pt>
                <c:pt idx="51">
                  <c:v>5.1551551551551551</c:v>
                </c:pt>
                <c:pt idx="52">
                  <c:v>5.2552552552552552</c:v>
                </c:pt>
                <c:pt idx="53">
                  <c:v>5.3553553553553552</c:v>
                </c:pt>
                <c:pt idx="54">
                  <c:v>5.4554554554554562</c:v>
                </c:pt>
                <c:pt idx="55">
                  <c:v>5.5555555555555562</c:v>
                </c:pt>
                <c:pt idx="56">
                  <c:v>5.6556556556556563</c:v>
                </c:pt>
                <c:pt idx="57">
                  <c:v>5.7557557557557564</c:v>
                </c:pt>
                <c:pt idx="58">
                  <c:v>5.8558558558558564</c:v>
                </c:pt>
                <c:pt idx="59">
                  <c:v>5.9559559559559565</c:v>
                </c:pt>
                <c:pt idx="60">
                  <c:v>6.0560560560560566</c:v>
                </c:pt>
                <c:pt idx="61">
                  <c:v>6.1561561561561566</c:v>
                </c:pt>
                <c:pt idx="62">
                  <c:v>6.2562562562562567</c:v>
                </c:pt>
                <c:pt idx="63">
                  <c:v>6.3563563563563568</c:v>
                </c:pt>
                <c:pt idx="64">
                  <c:v>6.4564564564564568</c:v>
                </c:pt>
                <c:pt idx="65">
                  <c:v>6.5565565565565569</c:v>
                </c:pt>
                <c:pt idx="66">
                  <c:v>6.656656656656657</c:v>
                </c:pt>
                <c:pt idx="67">
                  <c:v>6.756756756756757</c:v>
                </c:pt>
                <c:pt idx="68">
                  <c:v>6.8568568568568571</c:v>
                </c:pt>
                <c:pt idx="69">
                  <c:v>6.9569569569569571</c:v>
                </c:pt>
                <c:pt idx="70">
                  <c:v>7.0570570570570572</c:v>
                </c:pt>
                <c:pt idx="71">
                  <c:v>7.1571571571571573</c:v>
                </c:pt>
                <c:pt idx="72">
                  <c:v>7.2572572572572573</c:v>
                </c:pt>
                <c:pt idx="73">
                  <c:v>7.3573573573573574</c:v>
                </c:pt>
                <c:pt idx="74">
                  <c:v>7.4574574574574575</c:v>
                </c:pt>
                <c:pt idx="75">
                  <c:v>7.5575575575575584</c:v>
                </c:pt>
                <c:pt idx="76">
                  <c:v>7.6576576576576585</c:v>
                </c:pt>
                <c:pt idx="77">
                  <c:v>7.7577577577577586</c:v>
                </c:pt>
                <c:pt idx="78">
                  <c:v>7.8578578578578586</c:v>
                </c:pt>
                <c:pt idx="79">
                  <c:v>7.9579579579579587</c:v>
                </c:pt>
                <c:pt idx="80">
                  <c:v>8.0580580580580587</c:v>
                </c:pt>
                <c:pt idx="81">
                  <c:v>8.1581581581581588</c:v>
                </c:pt>
                <c:pt idx="82">
                  <c:v>8.2582582582582589</c:v>
                </c:pt>
                <c:pt idx="83">
                  <c:v>8.3583583583583589</c:v>
                </c:pt>
                <c:pt idx="84">
                  <c:v>8.458458458458459</c:v>
                </c:pt>
                <c:pt idx="85">
                  <c:v>8.5585585585585591</c:v>
                </c:pt>
                <c:pt idx="86">
                  <c:v>8.6586586586586591</c:v>
                </c:pt>
                <c:pt idx="87">
                  <c:v>8.7587587587587592</c:v>
                </c:pt>
                <c:pt idx="88">
                  <c:v>8.8588588588588593</c:v>
                </c:pt>
                <c:pt idx="89">
                  <c:v>8.9589589589589593</c:v>
                </c:pt>
                <c:pt idx="90">
                  <c:v>9.0590590590590594</c:v>
                </c:pt>
                <c:pt idx="91">
                  <c:v>9.1591591591591595</c:v>
                </c:pt>
                <c:pt idx="92">
                  <c:v>9.2592592592592595</c:v>
                </c:pt>
                <c:pt idx="93">
                  <c:v>9.3593593593593596</c:v>
                </c:pt>
                <c:pt idx="94">
                  <c:v>9.4594594594594597</c:v>
                </c:pt>
                <c:pt idx="95">
                  <c:v>9.5595595595595597</c:v>
                </c:pt>
                <c:pt idx="96">
                  <c:v>9.6596596596596598</c:v>
                </c:pt>
                <c:pt idx="97">
                  <c:v>9.7597597597597598</c:v>
                </c:pt>
                <c:pt idx="98">
                  <c:v>9.8598598598598599</c:v>
                </c:pt>
                <c:pt idx="99">
                  <c:v>9.95995995995996</c:v>
                </c:pt>
                <c:pt idx="100">
                  <c:v>10.06006006006006</c:v>
                </c:pt>
                <c:pt idx="101">
                  <c:v>10.16016016016016</c:v>
                </c:pt>
                <c:pt idx="102">
                  <c:v>10.26026026026026</c:v>
                </c:pt>
                <c:pt idx="103">
                  <c:v>10.36036036036036</c:v>
                </c:pt>
                <c:pt idx="104">
                  <c:v>10.46046046046046</c:v>
                </c:pt>
                <c:pt idx="105">
                  <c:v>10.56056056056056</c:v>
                </c:pt>
                <c:pt idx="106">
                  <c:v>10.66066066066066</c:v>
                </c:pt>
                <c:pt idx="107">
                  <c:v>10.760760760760762</c:v>
                </c:pt>
                <c:pt idx="108">
                  <c:v>10.860860860860862</c:v>
                </c:pt>
                <c:pt idx="109">
                  <c:v>10.960960960960962</c:v>
                </c:pt>
                <c:pt idx="110">
                  <c:v>11.061061061061062</c:v>
                </c:pt>
                <c:pt idx="111">
                  <c:v>11.161161161161163</c:v>
                </c:pt>
                <c:pt idx="112">
                  <c:v>11.261261261261263</c:v>
                </c:pt>
                <c:pt idx="113">
                  <c:v>11.361361361361363</c:v>
                </c:pt>
                <c:pt idx="114">
                  <c:v>11.461461461461463</c:v>
                </c:pt>
                <c:pt idx="115">
                  <c:v>11.561561561561563</c:v>
                </c:pt>
                <c:pt idx="116">
                  <c:v>11.661661661661663</c:v>
                </c:pt>
                <c:pt idx="117">
                  <c:v>11.761761761761763</c:v>
                </c:pt>
                <c:pt idx="118">
                  <c:v>11.861861861861863</c:v>
                </c:pt>
                <c:pt idx="119">
                  <c:v>11.961961961961963</c:v>
                </c:pt>
                <c:pt idx="120">
                  <c:v>12.062062062062063</c:v>
                </c:pt>
                <c:pt idx="121">
                  <c:v>12.162162162162163</c:v>
                </c:pt>
                <c:pt idx="122">
                  <c:v>12.262262262262263</c:v>
                </c:pt>
                <c:pt idx="123">
                  <c:v>12.362362362362363</c:v>
                </c:pt>
                <c:pt idx="124">
                  <c:v>12.462462462462463</c:v>
                </c:pt>
                <c:pt idx="125">
                  <c:v>12.562562562562563</c:v>
                </c:pt>
                <c:pt idx="126">
                  <c:v>12.662662662662663</c:v>
                </c:pt>
                <c:pt idx="127">
                  <c:v>12.762762762762764</c:v>
                </c:pt>
                <c:pt idx="128">
                  <c:v>12.862862862862864</c:v>
                </c:pt>
                <c:pt idx="129">
                  <c:v>12.962962962962964</c:v>
                </c:pt>
                <c:pt idx="130">
                  <c:v>13.063063063063064</c:v>
                </c:pt>
                <c:pt idx="131">
                  <c:v>13.163163163163164</c:v>
                </c:pt>
                <c:pt idx="132">
                  <c:v>13.263263263263264</c:v>
                </c:pt>
                <c:pt idx="133">
                  <c:v>13.363363363363364</c:v>
                </c:pt>
                <c:pt idx="134">
                  <c:v>13.463463463463464</c:v>
                </c:pt>
                <c:pt idx="135">
                  <c:v>13.563563563563564</c:v>
                </c:pt>
                <c:pt idx="136">
                  <c:v>13.663663663663664</c:v>
                </c:pt>
                <c:pt idx="137">
                  <c:v>13.763763763763764</c:v>
                </c:pt>
                <c:pt idx="138">
                  <c:v>13.863863863863864</c:v>
                </c:pt>
                <c:pt idx="139">
                  <c:v>13.963963963963964</c:v>
                </c:pt>
                <c:pt idx="140">
                  <c:v>14.064064064064064</c:v>
                </c:pt>
                <c:pt idx="141">
                  <c:v>14.164164164164164</c:v>
                </c:pt>
                <c:pt idx="142">
                  <c:v>14.264264264264265</c:v>
                </c:pt>
                <c:pt idx="143">
                  <c:v>14.364364364364365</c:v>
                </c:pt>
                <c:pt idx="144">
                  <c:v>14.464464464464465</c:v>
                </c:pt>
                <c:pt idx="145">
                  <c:v>14.564564564564565</c:v>
                </c:pt>
                <c:pt idx="146">
                  <c:v>14.664664664664665</c:v>
                </c:pt>
                <c:pt idx="147">
                  <c:v>14.764764764764765</c:v>
                </c:pt>
                <c:pt idx="148">
                  <c:v>14.864864864864865</c:v>
                </c:pt>
                <c:pt idx="149">
                  <c:v>14.964964964964965</c:v>
                </c:pt>
                <c:pt idx="150">
                  <c:v>15.065065065065067</c:v>
                </c:pt>
                <c:pt idx="151">
                  <c:v>15.165165165165167</c:v>
                </c:pt>
                <c:pt idx="152">
                  <c:v>15.265265265265267</c:v>
                </c:pt>
                <c:pt idx="153">
                  <c:v>15.365365365365367</c:v>
                </c:pt>
                <c:pt idx="154">
                  <c:v>15.465465465465467</c:v>
                </c:pt>
                <c:pt idx="155">
                  <c:v>15.565565565565567</c:v>
                </c:pt>
                <c:pt idx="156">
                  <c:v>15.665665665665667</c:v>
                </c:pt>
                <c:pt idx="157">
                  <c:v>15.765765765765767</c:v>
                </c:pt>
                <c:pt idx="158">
                  <c:v>15.865865865865867</c:v>
                </c:pt>
                <c:pt idx="159">
                  <c:v>15.965965965965967</c:v>
                </c:pt>
                <c:pt idx="160">
                  <c:v>16.066066066066067</c:v>
                </c:pt>
                <c:pt idx="161">
                  <c:v>16.166166166166168</c:v>
                </c:pt>
                <c:pt idx="162">
                  <c:v>16.266266266266268</c:v>
                </c:pt>
                <c:pt idx="163">
                  <c:v>16.366366366366368</c:v>
                </c:pt>
                <c:pt idx="164">
                  <c:v>16.466466466466468</c:v>
                </c:pt>
                <c:pt idx="165">
                  <c:v>16.566566566566568</c:v>
                </c:pt>
                <c:pt idx="166">
                  <c:v>16.666666666666668</c:v>
                </c:pt>
                <c:pt idx="167">
                  <c:v>16.766766766766768</c:v>
                </c:pt>
                <c:pt idx="168">
                  <c:v>16.866866866866868</c:v>
                </c:pt>
                <c:pt idx="169">
                  <c:v>16.966966966966968</c:v>
                </c:pt>
                <c:pt idx="170">
                  <c:v>17.067067067067068</c:v>
                </c:pt>
                <c:pt idx="171">
                  <c:v>17.167167167167168</c:v>
                </c:pt>
                <c:pt idx="172">
                  <c:v>17.267267267267268</c:v>
                </c:pt>
                <c:pt idx="173">
                  <c:v>17.367367367367368</c:v>
                </c:pt>
                <c:pt idx="174">
                  <c:v>17.467467467467468</c:v>
                </c:pt>
                <c:pt idx="175">
                  <c:v>17.567567567567568</c:v>
                </c:pt>
                <c:pt idx="176">
                  <c:v>17.667667667667668</c:v>
                </c:pt>
                <c:pt idx="177">
                  <c:v>17.767767767767769</c:v>
                </c:pt>
                <c:pt idx="178">
                  <c:v>17.867867867867869</c:v>
                </c:pt>
                <c:pt idx="179">
                  <c:v>17.967967967967969</c:v>
                </c:pt>
                <c:pt idx="180">
                  <c:v>18.068068068068069</c:v>
                </c:pt>
                <c:pt idx="181">
                  <c:v>18.168168168168169</c:v>
                </c:pt>
                <c:pt idx="182">
                  <c:v>18.268268268268269</c:v>
                </c:pt>
                <c:pt idx="183">
                  <c:v>18.368368368368369</c:v>
                </c:pt>
                <c:pt idx="184">
                  <c:v>18.468468468468469</c:v>
                </c:pt>
                <c:pt idx="185">
                  <c:v>18.568568568568569</c:v>
                </c:pt>
                <c:pt idx="186">
                  <c:v>18.668668668668669</c:v>
                </c:pt>
                <c:pt idx="187">
                  <c:v>18.768768768768769</c:v>
                </c:pt>
                <c:pt idx="188">
                  <c:v>18.868868868868869</c:v>
                </c:pt>
                <c:pt idx="189">
                  <c:v>18.968968968968969</c:v>
                </c:pt>
                <c:pt idx="190">
                  <c:v>19.069069069069069</c:v>
                </c:pt>
                <c:pt idx="191">
                  <c:v>19.169169169169169</c:v>
                </c:pt>
                <c:pt idx="192">
                  <c:v>19.26926926926927</c:v>
                </c:pt>
                <c:pt idx="193">
                  <c:v>19.36936936936937</c:v>
                </c:pt>
                <c:pt idx="194">
                  <c:v>19.46946946946947</c:v>
                </c:pt>
                <c:pt idx="195">
                  <c:v>19.56956956956957</c:v>
                </c:pt>
                <c:pt idx="196">
                  <c:v>19.66966966966967</c:v>
                </c:pt>
                <c:pt idx="197">
                  <c:v>19.76976976976977</c:v>
                </c:pt>
                <c:pt idx="198">
                  <c:v>19.86986986986987</c:v>
                </c:pt>
                <c:pt idx="199">
                  <c:v>19.96996996996997</c:v>
                </c:pt>
                <c:pt idx="200">
                  <c:v>20.07007007007007</c:v>
                </c:pt>
                <c:pt idx="201">
                  <c:v>20.17017017017017</c:v>
                </c:pt>
                <c:pt idx="202">
                  <c:v>20.27027027027027</c:v>
                </c:pt>
                <c:pt idx="203">
                  <c:v>20.37037037037037</c:v>
                </c:pt>
                <c:pt idx="204">
                  <c:v>20.47047047047047</c:v>
                </c:pt>
                <c:pt idx="205">
                  <c:v>20.57057057057057</c:v>
                </c:pt>
                <c:pt idx="206">
                  <c:v>20.67067067067067</c:v>
                </c:pt>
                <c:pt idx="207">
                  <c:v>20.77077077077077</c:v>
                </c:pt>
                <c:pt idx="208">
                  <c:v>20.870870870870871</c:v>
                </c:pt>
                <c:pt idx="209">
                  <c:v>20.970970970970971</c:v>
                </c:pt>
                <c:pt idx="210">
                  <c:v>21.071071071071071</c:v>
                </c:pt>
                <c:pt idx="211">
                  <c:v>21.171171171171171</c:v>
                </c:pt>
                <c:pt idx="212">
                  <c:v>21.271271271271271</c:v>
                </c:pt>
                <c:pt idx="213">
                  <c:v>21.371371371371371</c:v>
                </c:pt>
                <c:pt idx="214">
                  <c:v>21.471471471471475</c:v>
                </c:pt>
                <c:pt idx="215">
                  <c:v>21.571571571571575</c:v>
                </c:pt>
                <c:pt idx="216">
                  <c:v>21.671671671671675</c:v>
                </c:pt>
                <c:pt idx="217">
                  <c:v>21.771771771771775</c:v>
                </c:pt>
                <c:pt idx="218">
                  <c:v>21.871871871871875</c:v>
                </c:pt>
                <c:pt idx="219">
                  <c:v>21.971971971971975</c:v>
                </c:pt>
                <c:pt idx="220">
                  <c:v>22.072072072072075</c:v>
                </c:pt>
                <c:pt idx="221">
                  <c:v>22.172172172172175</c:v>
                </c:pt>
                <c:pt idx="222">
                  <c:v>22.272272272272275</c:v>
                </c:pt>
                <c:pt idx="223">
                  <c:v>22.372372372372375</c:v>
                </c:pt>
                <c:pt idx="224">
                  <c:v>22.472472472472475</c:v>
                </c:pt>
                <c:pt idx="225">
                  <c:v>22.572572572572575</c:v>
                </c:pt>
                <c:pt idx="226">
                  <c:v>22.672672672672675</c:v>
                </c:pt>
                <c:pt idx="227">
                  <c:v>22.772772772772775</c:v>
                </c:pt>
                <c:pt idx="228">
                  <c:v>22.872872872872875</c:v>
                </c:pt>
                <c:pt idx="229">
                  <c:v>22.972972972972975</c:v>
                </c:pt>
                <c:pt idx="230">
                  <c:v>23.073073073073076</c:v>
                </c:pt>
                <c:pt idx="231">
                  <c:v>23.173173173173176</c:v>
                </c:pt>
                <c:pt idx="232">
                  <c:v>23.273273273273276</c:v>
                </c:pt>
                <c:pt idx="233">
                  <c:v>23.373373373373376</c:v>
                </c:pt>
                <c:pt idx="234">
                  <c:v>23.473473473473476</c:v>
                </c:pt>
                <c:pt idx="235">
                  <c:v>23.573573573573576</c:v>
                </c:pt>
                <c:pt idx="236">
                  <c:v>23.673673673673676</c:v>
                </c:pt>
                <c:pt idx="237">
                  <c:v>23.773773773773776</c:v>
                </c:pt>
                <c:pt idx="238">
                  <c:v>23.873873873873876</c:v>
                </c:pt>
                <c:pt idx="239">
                  <c:v>23.973973973973976</c:v>
                </c:pt>
                <c:pt idx="240">
                  <c:v>24.074074074074076</c:v>
                </c:pt>
                <c:pt idx="241">
                  <c:v>24.174174174174176</c:v>
                </c:pt>
                <c:pt idx="242">
                  <c:v>24.274274274274276</c:v>
                </c:pt>
                <c:pt idx="243">
                  <c:v>24.374374374374376</c:v>
                </c:pt>
                <c:pt idx="244">
                  <c:v>24.474474474474476</c:v>
                </c:pt>
                <c:pt idx="245">
                  <c:v>24.574574574574577</c:v>
                </c:pt>
                <c:pt idx="246">
                  <c:v>24.674674674674677</c:v>
                </c:pt>
                <c:pt idx="247">
                  <c:v>24.774774774774777</c:v>
                </c:pt>
                <c:pt idx="248">
                  <c:v>24.874874874874877</c:v>
                </c:pt>
                <c:pt idx="249">
                  <c:v>24.974974974974977</c:v>
                </c:pt>
                <c:pt idx="250">
                  <c:v>25.075075075075077</c:v>
                </c:pt>
                <c:pt idx="251">
                  <c:v>25.175175175175177</c:v>
                </c:pt>
                <c:pt idx="252">
                  <c:v>25.275275275275277</c:v>
                </c:pt>
                <c:pt idx="253">
                  <c:v>25.375375375375377</c:v>
                </c:pt>
                <c:pt idx="254">
                  <c:v>25.475475475475477</c:v>
                </c:pt>
                <c:pt idx="255">
                  <c:v>25.575575575575577</c:v>
                </c:pt>
                <c:pt idx="256">
                  <c:v>25.675675675675677</c:v>
                </c:pt>
                <c:pt idx="257">
                  <c:v>25.775775775775777</c:v>
                </c:pt>
                <c:pt idx="258">
                  <c:v>25.875875875875877</c:v>
                </c:pt>
                <c:pt idx="259">
                  <c:v>25.975975975975977</c:v>
                </c:pt>
                <c:pt idx="260">
                  <c:v>26.076076076076077</c:v>
                </c:pt>
                <c:pt idx="261">
                  <c:v>26.176176176176178</c:v>
                </c:pt>
                <c:pt idx="262">
                  <c:v>26.276276276276278</c:v>
                </c:pt>
                <c:pt idx="263">
                  <c:v>26.376376376376378</c:v>
                </c:pt>
                <c:pt idx="264">
                  <c:v>26.476476476476478</c:v>
                </c:pt>
                <c:pt idx="265">
                  <c:v>26.576576576576578</c:v>
                </c:pt>
                <c:pt idx="266">
                  <c:v>26.676676676676678</c:v>
                </c:pt>
                <c:pt idx="267">
                  <c:v>26.776776776776778</c:v>
                </c:pt>
                <c:pt idx="268">
                  <c:v>26.876876876876878</c:v>
                </c:pt>
                <c:pt idx="269">
                  <c:v>26.976976976976978</c:v>
                </c:pt>
                <c:pt idx="270">
                  <c:v>27.077077077077078</c:v>
                </c:pt>
                <c:pt idx="271">
                  <c:v>27.177177177177178</c:v>
                </c:pt>
                <c:pt idx="272">
                  <c:v>27.277277277277278</c:v>
                </c:pt>
                <c:pt idx="273">
                  <c:v>27.377377377377378</c:v>
                </c:pt>
                <c:pt idx="274">
                  <c:v>27.477477477477478</c:v>
                </c:pt>
                <c:pt idx="275">
                  <c:v>27.577577577577578</c:v>
                </c:pt>
                <c:pt idx="276">
                  <c:v>27.677677677677679</c:v>
                </c:pt>
                <c:pt idx="277">
                  <c:v>27.777777777777779</c:v>
                </c:pt>
                <c:pt idx="278">
                  <c:v>27.877877877877879</c:v>
                </c:pt>
                <c:pt idx="279">
                  <c:v>27.977977977977979</c:v>
                </c:pt>
                <c:pt idx="280">
                  <c:v>28.078078078078079</c:v>
                </c:pt>
                <c:pt idx="281">
                  <c:v>28.178178178178179</c:v>
                </c:pt>
                <c:pt idx="282">
                  <c:v>28.278278278278279</c:v>
                </c:pt>
                <c:pt idx="283">
                  <c:v>28.378378378378379</c:v>
                </c:pt>
                <c:pt idx="284">
                  <c:v>28.478478478478479</c:v>
                </c:pt>
                <c:pt idx="285">
                  <c:v>28.578578578578579</c:v>
                </c:pt>
                <c:pt idx="286">
                  <c:v>28.678678678678679</c:v>
                </c:pt>
                <c:pt idx="287">
                  <c:v>28.778778778778779</c:v>
                </c:pt>
                <c:pt idx="288">
                  <c:v>28.878878878878879</c:v>
                </c:pt>
                <c:pt idx="289">
                  <c:v>28.978978978978979</c:v>
                </c:pt>
                <c:pt idx="290">
                  <c:v>29.079079079079079</c:v>
                </c:pt>
                <c:pt idx="291">
                  <c:v>29.179179179179179</c:v>
                </c:pt>
                <c:pt idx="292">
                  <c:v>29.27927927927928</c:v>
                </c:pt>
                <c:pt idx="293">
                  <c:v>29.37937937937938</c:v>
                </c:pt>
                <c:pt idx="294">
                  <c:v>29.47947947947948</c:v>
                </c:pt>
                <c:pt idx="295">
                  <c:v>29.57957957957958</c:v>
                </c:pt>
                <c:pt idx="296">
                  <c:v>29.67967967967968</c:v>
                </c:pt>
                <c:pt idx="297">
                  <c:v>29.77977977977978</c:v>
                </c:pt>
                <c:pt idx="298">
                  <c:v>29.87987987987988</c:v>
                </c:pt>
                <c:pt idx="299">
                  <c:v>29.979979979979984</c:v>
                </c:pt>
                <c:pt idx="300">
                  <c:v>30.080080080080084</c:v>
                </c:pt>
                <c:pt idx="301">
                  <c:v>30.180180180180184</c:v>
                </c:pt>
                <c:pt idx="302">
                  <c:v>30.280280280280284</c:v>
                </c:pt>
                <c:pt idx="303">
                  <c:v>30.380380380380384</c:v>
                </c:pt>
                <c:pt idx="304">
                  <c:v>30.480480480480484</c:v>
                </c:pt>
                <c:pt idx="305">
                  <c:v>30.580580580580584</c:v>
                </c:pt>
                <c:pt idx="306">
                  <c:v>30.680680680680684</c:v>
                </c:pt>
                <c:pt idx="307">
                  <c:v>30.780780780780784</c:v>
                </c:pt>
                <c:pt idx="308">
                  <c:v>30.880880880880884</c:v>
                </c:pt>
                <c:pt idx="309">
                  <c:v>30.980980980980984</c:v>
                </c:pt>
                <c:pt idx="310">
                  <c:v>31.081081081081084</c:v>
                </c:pt>
                <c:pt idx="311">
                  <c:v>31.181181181181184</c:v>
                </c:pt>
                <c:pt idx="312">
                  <c:v>31.281281281281284</c:v>
                </c:pt>
                <c:pt idx="313">
                  <c:v>31.381381381381384</c:v>
                </c:pt>
                <c:pt idx="314">
                  <c:v>31.481481481481485</c:v>
                </c:pt>
                <c:pt idx="315">
                  <c:v>31.581581581581585</c:v>
                </c:pt>
                <c:pt idx="316">
                  <c:v>31.681681681681685</c:v>
                </c:pt>
                <c:pt idx="317">
                  <c:v>31.781781781781785</c:v>
                </c:pt>
                <c:pt idx="318">
                  <c:v>31.881881881881885</c:v>
                </c:pt>
                <c:pt idx="319">
                  <c:v>31.981981981981985</c:v>
                </c:pt>
                <c:pt idx="320">
                  <c:v>32.082082082082088</c:v>
                </c:pt>
                <c:pt idx="321">
                  <c:v>32.182182182182189</c:v>
                </c:pt>
                <c:pt idx="322">
                  <c:v>32.282282282282289</c:v>
                </c:pt>
                <c:pt idx="323">
                  <c:v>32.382382382382389</c:v>
                </c:pt>
                <c:pt idx="324">
                  <c:v>32.482482482482489</c:v>
                </c:pt>
                <c:pt idx="325">
                  <c:v>32.582582582582589</c:v>
                </c:pt>
                <c:pt idx="326">
                  <c:v>32.682682682682689</c:v>
                </c:pt>
                <c:pt idx="327">
                  <c:v>32.782782782782789</c:v>
                </c:pt>
                <c:pt idx="328">
                  <c:v>32.882882882882889</c:v>
                </c:pt>
                <c:pt idx="329">
                  <c:v>32.982982982982989</c:v>
                </c:pt>
                <c:pt idx="330">
                  <c:v>33.083083083083089</c:v>
                </c:pt>
                <c:pt idx="331">
                  <c:v>33.183183183183189</c:v>
                </c:pt>
                <c:pt idx="332">
                  <c:v>33.283283283283289</c:v>
                </c:pt>
                <c:pt idx="333">
                  <c:v>33.383383383383389</c:v>
                </c:pt>
                <c:pt idx="334">
                  <c:v>33.483483483483489</c:v>
                </c:pt>
                <c:pt idx="335">
                  <c:v>33.583583583583589</c:v>
                </c:pt>
                <c:pt idx="336">
                  <c:v>33.683683683683689</c:v>
                </c:pt>
                <c:pt idx="337">
                  <c:v>33.78378378378379</c:v>
                </c:pt>
                <c:pt idx="338">
                  <c:v>33.88388388388389</c:v>
                </c:pt>
                <c:pt idx="339">
                  <c:v>33.98398398398399</c:v>
                </c:pt>
                <c:pt idx="340">
                  <c:v>34.08408408408409</c:v>
                </c:pt>
                <c:pt idx="341">
                  <c:v>34.18418418418419</c:v>
                </c:pt>
                <c:pt idx="342">
                  <c:v>34.28428428428429</c:v>
                </c:pt>
                <c:pt idx="343">
                  <c:v>34.38438438438439</c:v>
                </c:pt>
                <c:pt idx="344">
                  <c:v>34.48448448448449</c:v>
                </c:pt>
                <c:pt idx="345">
                  <c:v>34.58458458458459</c:v>
                </c:pt>
                <c:pt idx="346">
                  <c:v>34.68468468468469</c:v>
                </c:pt>
                <c:pt idx="347">
                  <c:v>34.78478478478479</c:v>
                </c:pt>
                <c:pt idx="348">
                  <c:v>34.88488488488489</c:v>
                </c:pt>
                <c:pt idx="349">
                  <c:v>34.98498498498499</c:v>
                </c:pt>
                <c:pt idx="350">
                  <c:v>35.08508508508509</c:v>
                </c:pt>
                <c:pt idx="351">
                  <c:v>35.18518518518519</c:v>
                </c:pt>
                <c:pt idx="352">
                  <c:v>35.285285285285291</c:v>
                </c:pt>
                <c:pt idx="353">
                  <c:v>35.385385385385391</c:v>
                </c:pt>
                <c:pt idx="354">
                  <c:v>35.485485485485491</c:v>
                </c:pt>
                <c:pt idx="355">
                  <c:v>35.585585585585591</c:v>
                </c:pt>
                <c:pt idx="356">
                  <c:v>35.685685685685691</c:v>
                </c:pt>
                <c:pt idx="357">
                  <c:v>35.785785785785791</c:v>
                </c:pt>
                <c:pt idx="358">
                  <c:v>35.885885885885891</c:v>
                </c:pt>
                <c:pt idx="359">
                  <c:v>35.985985985985991</c:v>
                </c:pt>
                <c:pt idx="360">
                  <c:v>36.086086086086091</c:v>
                </c:pt>
                <c:pt idx="361">
                  <c:v>36.186186186186191</c:v>
                </c:pt>
                <c:pt idx="362">
                  <c:v>36.286286286286291</c:v>
                </c:pt>
                <c:pt idx="363">
                  <c:v>36.386386386386391</c:v>
                </c:pt>
                <c:pt idx="364">
                  <c:v>36.486486486486491</c:v>
                </c:pt>
                <c:pt idx="365">
                  <c:v>36.586586586586591</c:v>
                </c:pt>
                <c:pt idx="366">
                  <c:v>36.686686686686691</c:v>
                </c:pt>
                <c:pt idx="367">
                  <c:v>36.786786786786791</c:v>
                </c:pt>
                <c:pt idx="368">
                  <c:v>36.886886886886892</c:v>
                </c:pt>
                <c:pt idx="369">
                  <c:v>36.986986986986992</c:v>
                </c:pt>
                <c:pt idx="370">
                  <c:v>37.087087087087092</c:v>
                </c:pt>
                <c:pt idx="371">
                  <c:v>37.187187187187192</c:v>
                </c:pt>
                <c:pt idx="372">
                  <c:v>37.287287287287292</c:v>
                </c:pt>
                <c:pt idx="373">
                  <c:v>37.387387387387392</c:v>
                </c:pt>
                <c:pt idx="374">
                  <c:v>37.487487487487492</c:v>
                </c:pt>
                <c:pt idx="375">
                  <c:v>37.587587587587592</c:v>
                </c:pt>
                <c:pt idx="376">
                  <c:v>37.687687687687692</c:v>
                </c:pt>
                <c:pt idx="377">
                  <c:v>37.787787787787792</c:v>
                </c:pt>
                <c:pt idx="378">
                  <c:v>37.887887887887892</c:v>
                </c:pt>
                <c:pt idx="379">
                  <c:v>37.987987987987992</c:v>
                </c:pt>
                <c:pt idx="380">
                  <c:v>38.088088088088092</c:v>
                </c:pt>
                <c:pt idx="381">
                  <c:v>38.188188188188192</c:v>
                </c:pt>
                <c:pt idx="382">
                  <c:v>38.288288288288292</c:v>
                </c:pt>
                <c:pt idx="383">
                  <c:v>38.388388388388393</c:v>
                </c:pt>
                <c:pt idx="384">
                  <c:v>38.488488488488493</c:v>
                </c:pt>
                <c:pt idx="385">
                  <c:v>38.588588588588593</c:v>
                </c:pt>
                <c:pt idx="386">
                  <c:v>38.688688688688693</c:v>
                </c:pt>
                <c:pt idx="387">
                  <c:v>38.788788788788793</c:v>
                </c:pt>
                <c:pt idx="388">
                  <c:v>38.888888888888893</c:v>
                </c:pt>
                <c:pt idx="389">
                  <c:v>38.988988988988993</c:v>
                </c:pt>
                <c:pt idx="390">
                  <c:v>39.089089089089093</c:v>
                </c:pt>
                <c:pt idx="391">
                  <c:v>39.189189189189193</c:v>
                </c:pt>
                <c:pt idx="392">
                  <c:v>39.289289289289293</c:v>
                </c:pt>
                <c:pt idx="393">
                  <c:v>39.389389389389393</c:v>
                </c:pt>
                <c:pt idx="394">
                  <c:v>39.489489489489493</c:v>
                </c:pt>
                <c:pt idx="395">
                  <c:v>39.589589589589593</c:v>
                </c:pt>
                <c:pt idx="396">
                  <c:v>39.689689689689693</c:v>
                </c:pt>
                <c:pt idx="397">
                  <c:v>39.789789789789793</c:v>
                </c:pt>
                <c:pt idx="398">
                  <c:v>39.889889889889893</c:v>
                </c:pt>
                <c:pt idx="399">
                  <c:v>39.989989989989994</c:v>
                </c:pt>
                <c:pt idx="400">
                  <c:v>40.090090090090094</c:v>
                </c:pt>
                <c:pt idx="401">
                  <c:v>40.190190190190194</c:v>
                </c:pt>
                <c:pt idx="402">
                  <c:v>40.290290290290294</c:v>
                </c:pt>
                <c:pt idx="403">
                  <c:v>40.390390390390394</c:v>
                </c:pt>
                <c:pt idx="404">
                  <c:v>40.490490490490494</c:v>
                </c:pt>
                <c:pt idx="405">
                  <c:v>40.590590590590594</c:v>
                </c:pt>
                <c:pt idx="406">
                  <c:v>40.690690690690694</c:v>
                </c:pt>
                <c:pt idx="407">
                  <c:v>40.790790790790794</c:v>
                </c:pt>
                <c:pt idx="408">
                  <c:v>40.890890890890894</c:v>
                </c:pt>
                <c:pt idx="409">
                  <c:v>40.990990990990994</c:v>
                </c:pt>
                <c:pt idx="410">
                  <c:v>41.091091091091094</c:v>
                </c:pt>
                <c:pt idx="411">
                  <c:v>41.191191191191194</c:v>
                </c:pt>
                <c:pt idx="412">
                  <c:v>41.291291291291294</c:v>
                </c:pt>
                <c:pt idx="413">
                  <c:v>41.391391391391394</c:v>
                </c:pt>
                <c:pt idx="414">
                  <c:v>41.491491491491495</c:v>
                </c:pt>
                <c:pt idx="415">
                  <c:v>41.591591591591595</c:v>
                </c:pt>
                <c:pt idx="416">
                  <c:v>41.691691691691695</c:v>
                </c:pt>
                <c:pt idx="417">
                  <c:v>41.791791791791795</c:v>
                </c:pt>
                <c:pt idx="418">
                  <c:v>41.891891891891895</c:v>
                </c:pt>
                <c:pt idx="419">
                  <c:v>41.991991991991995</c:v>
                </c:pt>
                <c:pt idx="420">
                  <c:v>42.092092092092095</c:v>
                </c:pt>
                <c:pt idx="421">
                  <c:v>42.192192192192195</c:v>
                </c:pt>
                <c:pt idx="422">
                  <c:v>42.292292292292295</c:v>
                </c:pt>
                <c:pt idx="423">
                  <c:v>42.392392392392395</c:v>
                </c:pt>
                <c:pt idx="424">
                  <c:v>42.492492492492495</c:v>
                </c:pt>
                <c:pt idx="425">
                  <c:v>42.592592592592595</c:v>
                </c:pt>
                <c:pt idx="426">
                  <c:v>42.692692692692695</c:v>
                </c:pt>
                <c:pt idx="427">
                  <c:v>42.792792792792802</c:v>
                </c:pt>
                <c:pt idx="428">
                  <c:v>42.892892892892903</c:v>
                </c:pt>
                <c:pt idx="429">
                  <c:v>42.992992992993003</c:v>
                </c:pt>
                <c:pt idx="430">
                  <c:v>43.093093093093103</c:v>
                </c:pt>
                <c:pt idx="431">
                  <c:v>43.193193193193203</c:v>
                </c:pt>
                <c:pt idx="432">
                  <c:v>43.293293293293303</c:v>
                </c:pt>
                <c:pt idx="433">
                  <c:v>43.393393393393403</c:v>
                </c:pt>
                <c:pt idx="434">
                  <c:v>43.493493493493503</c:v>
                </c:pt>
                <c:pt idx="435">
                  <c:v>43.593593593593603</c:v>
                </c:pt>
                <c:pt idx="436">
                  <c:v>43.693693693693703</c:v>
                </c:pt>
                <c:pt idx="437">
                  <c:v>43.793793793793803</c:v>
                </c:pt>
                <c:pt idx="438">
                  <c:v>43.893893893893903</c:v>
                </c:pt>
                <c:pt idx="439">
                  <c:v>43.993993993994003</c:v>
                </c:pt>
                <c:pt idx="440">
                  <c:v>44.094094094094103</c:v>
                </c:pt>
                <c:pt idx="441">
                  <c:v>44.194194194194203</c:v>
                </c:pt>
                <c:pt idx="442">
                  <c:v>44.294294294294303</c:v>
                </c:pt>
                <c:pt idx="443">
                  <c:v>44.394394394394403</c:v>
                </c:pt>
                <c:pt idx="444">
                  <c:v>44.494494494494504</c:v>
                </c:pt>
                <c:pt idx="445">
                  <c:v>44.594594594594604</c:v>
                </c:pt>
                <c:pt idx="446">
                  <c:v>44.694694694694704</c:v>
                </c:pt>
                <c:pt idx="447">
                  <c:v>44.794794794794804</c:v>
                </c:pt>
                <c:pt idx="448">
                  <c:v>44.894894894894904</c:v>
                </c:pt>
                <c:pt idx="449">
                  <c:v>44.994994994995004</c:v>
                </c:pt>
                <c:pt idx="450">
                  <c:v>45.095095095095104</c:v>
                </c:pt>
                <c:pt idx="451">
                  <c:v>45.195195195195204</c:v>
                </c:pt>
                <c:pt idx="452">
                  <c:v>45.295295295295304</c:v>
                </c:pt>
                <c:pt idx="453">
                  <c:v>45.395395395395404</c:v>
                </c:pt>
                <c:pt idx="454">
                  <c:v>45.495495495495504</c:v>
                </c:pt>
                <c:pt idx="455">
                  <c:v>45.595595595595604</c:v>
                </c:pt>
                <c:pt idx="456">
                  <c:v>45.695695695695704</c:v>
                </c:pt>
                <c:pt idx="457">
                  <c:v>45.795795795795804</c:v>
                </c:pt>
                <c:pt idx="458">
                  <c:v>45.895895895895904</c:v>
                </c:pt>
                <c:pt idx="459">
                  <c:v>45.995995995996005</c:v>
                </c:pt>
                <c:pt idx="460">
                  <c:v>46.096096096096105</c:v>
                </c:pt>
                <c:pt idx="461">
                  <c:v>46.196196196196205</c:v>
                </c:pt>
                <c:pt idx="462">
                  <c:v>46.296296296296305</c:v>
                </c:pt>
                <c:pt idx="463">
                  <c:v>46.396396396396405</c:v>
                </c:pt>
                <c:pt idx="464">
                  <c:v>46.496496496496505</c:v>
                </c:pt>
                <c:pt idx="465">
                  <c:v>46.596596596596605</c:v>
                </c:pt>
                <c:pt idx="466">
                  <c:v>46.696696696696705</c:v>
                </c:pt>
                <c:pt idx="467">
                  <c:v>46.796796796796805</c:v>
                </c:pt>
                <c:pt idx="468">
                  <c:v>46.896896896896905</c:v>
                </c:pt>
                <c:pt idx="469">
                  <c:v>46.996996996997005</c:v>
                </c:pt>
                <c:pt idx="470">
                  <c:v>47.097097097097105</c:v>
                </c:pt>
                <c:pt idx="471">
                  <c:v>47.197197197197205</c:v>
                </c:pt>
                <c:pt idx="472">
                  <c:v>47.297297297297305</c:v>
                </c:pt>
                <c:pt idx="473">
                  <c:v>47.397397397397405</c:v>
                </c:pt>
                <c:pt idx="474">
                  <c:v>47.497497497497505</c:v>
                </c:pt>
                <c:pt idx="475">
                  <c:v>47.597597597597606</c:v>
                </c:pt>
                <c:pt idx="476">
                  <c:v>47.697697697697706</c:v>
                </c:pt>
                <c:pt idx="477">
                  <c:v>47.797797797797806</c:v>
                </c:pt>
                <c:pt idx="478">
                  <c:v>47.897897897897906</c:v>
                </c:pt>
                <c:pt idx="479">
                  <c:v>47.997997997998006</c:v>
                </c:pt>
                <c:pt idx="480">
                  <c:v>48.098098098098106</c:v>
                </c:pt>
                <c:pt idx="481">
                  <c:v>48.198198198198206</c:v>
                </c:pt>
                <c:pt idx="482">
                  <c:v>48.298298298298306</c:v>
                </c:pt>
                <c:pt idx="483">
                  <c:v>48.398398398398406</c:v>
                </c:pt>
                <c:pt idx="484">
                  <c:v>48.498498498498506</c:v>
                </c:pt>
                <c:pt idx="485">
                  <c:v>48.598598598598606</c:v>
                </c:pt>
                <c:pt idx="486">
                  <c:v>48.698698698698706</c:v>
                </c:pt>
                <c:pt idx="487">
                  <c:v>48.798798798798806</c:v>
                </c:pt>
                <c:pt idx="488">
                  <c:v>48.898898898898906</c:v>
                </c:pt>
                <c:pt idx="489">
                  <c:v>48.998998998999006</c:v>
                </c:pt>
                <c:pt idx="490">
                  <c:v>49.099099099099107</c:v>
                </c:pt>
                <c:pt idx="491">
                  <c:v>49.199199199199207</c:v>
                </c:pt>
                <c:pt idx="492">
                  <c:v>49.299299299299307</c:v>
                </c:pt>
                <c:pt idx="493">
                  <c:v>49.399399399399407</c:v>
                </c:pt>
                <c:pt idx="494">
                  <c:v>49.499499499499507</c:v>
                </c:pt>
                <c:pt idx="495">
                  <c:v>49.599599599599607</c:v>
                </c:pt>
                <c:pt idx="496">
                  <c:v>49.699699699699707</c:v>
                </c:pt>
                <c:pt idx="497">
                  <c:v>49.799799799799807</c:v>
                </c:pt>
                <c:pt idx="498">
                  <c:v>49.899899899899907</c:v>
                </c:pt>
                <c:pt idx="499">
                  <c:v>50.000000000000007</c:v>
                </c:pt>
                <c:pt idx="500">
                  <c:v>50.100100100100107</c:v>
                </c:pt>
                <c:pt idx="501">
                  <c:v>50.200200200200207</c:v>
                </c:pt>
                <c:pt idx="502">
                  <c:v>50.300300300300307</c:v>
                </c:pt>
                <c:pt idx="503">
                  <c:v>50.400400400400407</c:v>
                </c:pt>
                <c:pt idx="504">
                  <c:v>50.500500500500507</c:v>
                </c:pt>
                <c:pt idx="505">
                  <c:v>50.600600600600607</c:v>
                </c:pt>
                <c:pt idx="506">
                  <c:v>50.700700700700708</c:v>
                </c:pt>
                <c:pt idx="507">
                  <c:v>50.800800800800808</c:v>
                </c:pt>
                <c:pt idx="508">
                  <c:v>50.900900900900908</c:v>
                </c:pt>
                <c:pt idx="509">
                  <c:v>51.001001001001008</c:v>
                </c:pt>
                <c:pt idx="510">
                  <c:v>51.101101101101108</c:v>
                </c:pt>
                <c:pt idx="511">
                  <c:v>51.201201201201208</c:v>
                </c:pt>
                <c:pt idx="512">
                  <c:v>51.301301301301308</c:v>
                </c:pt>
                <c:pt idx="513">
                  <c:v>51.401401401401408</c:v>
                </c:pt>
                <c:pt idx="514">
                  <c:v>51.501501501501508</c:v>
                </c:pt>
                <c:pt idx="515">
                  <c:v>51.601601601601608</c:v>
                </c:pt>
                <c:pt idx="516">
                  <c:v>51.701701701701708</c:v>
                </c:pt>
                <c:pt idx="517">
                  <c:v>51.801801801801808</c:v>
                </c:pt>
                <c:pt idx="518">
                  <c:v>51.901901901901908</c:v>
                </c:pt>
                <c:pt idx="519">
                  <c:v>52.002002002002008</c:v>
                </c:pt>
                <c:pt idx="520">
                  <c:v>52.102102102102108</c:v>
                </c:pt>
                <c:pt idx="521">
                  <c:v>52.202202202202209</c:v>
                </c:pt>
                <c:pt idx="522">
                  <c:v>52.302302302302309</c:v>
                </c:pt>
                <c:pt idx="523">
                  <c:v>52.402402402402409</c:v>
                </c:pt>
                <c:pt idx="524">
                  <c:v>52.502502502502509</c:v>
                </c:pt>
                <c:pt idx="525">
                  <c:v>52.602602602602609</c:v>
                </c:pt>
                <c:pt idx="526">
                  <c:v>52.702702702702709</c:v>
                </c:pt>
                <c:pt idx="527">
                  <c:v>52.802802802802809</c:v>
                </c:pt>
                <c:pt idx="528">
                  <c:v>52.902902902902909</c:v>
                </c:pt>
                <c:pt idx="529">
                  <c:v>53.003003003003009</c:v>
                </c:pt>
                <c:pt idx="530">
                  <c:v>53.103103103103109</c:v>
                </c:pt>
                <c:pt idx="531">
                  <c:v>53.203203203203209</c:v>
                </c:pt>
                <c:pt idx="532">
                  <c:v>53.303303303303309</c:v>
                </c:pt>
                <c:pt idx="533">
                  <c:v>53.403403403403409</c:v>
                </c:pt>
                <c:pt idx="534">
                  <c:v>53.503503503503509</c:v>
                </c:pt>
                <c:pt idx="535">
                  <c:v>53.603603603603609</c:v>
                </c:pt>
                <c:pt idx="536">
                  <c:v>53.703703703703709</c:v>
                </c:pt>
                <c:pt idx="537">
                  <c:v>53.80380380380381</c:v>
                </c:pt>
                <c:pt idx="538">
                  <c:v>53.90390390390391</c:v>
                </c:pt>
                <c:pt idx="539">
                  <c:v>54.00400400400401</c:v>
                </c:pt>
                <c:pt idx="540">
                  <c:v>54.10410410410411</c:v>
                </c:pt>
                <c:pt idx="541">
                  <c:v>54.20420420420421</c:v>
                </c:pt>
                <c:pt idx="542">
                  <c:v>54.30430430430431</c:v>
                </c:pt>
                <c:pt idx="543">
                  <c:v>54.40440440440441</c:v>
                </c:pt>
                <c:pt idx="544">
                  <c:v>54.50450450450451</c:v>
                </c:pt>
                <c:pt idx="545">
                  <c:v>54.60460460460461</c:v>
                </c:pt>
                <c:pt idx="546">
                  <c:v>54.70470470470471</c:v>
                </c:pt>
                <c:pt idx="547">
                  <c:v>54.80480480480481</c:v>
                </c:pt>
                <c:pt idx="548">
                  <c:v>54.90490490490491</c:v>
                </c:pt>
                <c:pt idx="549">
                  <c:v>55.00500500500501</c:v>
                </c:pt>
                <c:pt idx="550">
                  <c:v>55.10510510510511</c:v>
                </c:pt>
                <c:pt idx="551">
                  <c:v>55.20520520520521</c:v>
                </c:pt>
                <c:pt idx="552">
                  <c:v>55.305305305305311</c:v>
                </c:pt>
                <c:pt idx="553">
                  <c:v>55.405405405405411</c:v>
                </c:pt>
                <c:pt idx="554">
                  <c:v>55.505505505505511</c:v>
                </c:pt>
                <c:pt idx="555">
                  <c:v>55.605605605605611</c:v>
                </c:pt>
                <c:pt idx="556">
                  <c:v>55.705705705705711</c:v>
                </c:pt>
                <c:pt idx="557">
                  <c:v>55.805805805805811</c:v>
                </c:pt>
                <c:pt idx="558">
                  <c:v>55.905905905905911</c:v>
                </c:pt>
                <c:pt idx="559">
                  <c:v>56.006006006006011</c:v>
                </c:pt>
                <c:pt idx="560">
                  <c:v>56.106106106106111</c:v>
                </c:pt>
                <c:pt idx="561">
                  <c:v>56.206206206206211</c:v>
                </c:pt>
                <c:pt idx="562">
                  <c:v>56.306306306306311</c:v>
                </c:pt>
                <c:pt idx="563">
                  <c:v>56.406406406406411</c:v>
                </c:pt>
                <c:pt idx="564">
                  <c:v>56.506506506506511</c:v>
                </c:pt>
                <c:pt idx="565">
                  <c:v>56.606606606606611</c:v>
                </c:pt>
                <c:pt idx="566">
                  <c:v>56.706706706706711</c:v>
                </c:pt>
                <c:pt idx="567">
                  <c:v>56.806806806806811</c:v>
                </c:pt>
                <c:pt idx="568">
                  <c:v>56.906906906906912</c:v>
                </c:pt>
                <c:pt idx="569">
                  <c:v>57.007007007007012</c:v>
                </c:pt>
                <c:pt idx="570">
                  <c:v>57.107107107107112</c:v>
                </c:pt>
                <c:pt idx="571">
                  <c:v>57.207207207207212</c:v>
                </c:pt>
                <c:pt idx="572">
                  <c:v>57.307307307307312</c:v>
                </c:pt>
                <c:pt idx="573">
                  <c:v>57.407407407407412</c:v>
                </c:pt>
                <c:pt idx="574">
                  <c:v>57.507507507507512</c:v>
                </c:pt>
                <c:pt idx="575">
                  <c:v>57.607607607607612</c:v>
                </c:pt>
                <c:pt idx="576">
                  <c:v>57.707707707707712</c:v>
                </c:pt>
                <c:pt idx="577">
                  <c:v>57.807807807807812</c:v>
                </c:pt>
                <c:pt idx="578">
                  <c:v>57.907907907907912</c:v>
                </c:pt>
                <c:pt idx="579">
                  <c:v>58.008008008008012</c:v>
                </c:pt>
                <c:pt idx="580">
                  <c:v>58.108108108108112</c:v>
                </c:pt>
                <c:pt idx="581">
                  <c:v>58.208208208208212</c:v>
                </c:pt>
                <c:pt idx="582">
                  <c:v>58.308308308308312</c:v>
                </c:pt>
                <c:pt idx="583">
                  <c:v>58.408408408408413</c:v>
                </c:pt>
                <c:pt idx="584">
                  <c:v>58.508508508508513</c:v>
                </c:pt>
                <c:pt idx="585">
                  <c:v>58.608608608608613</c:v>
                </c:pt>
                <c:pt idx="586">
                  <c:v>58.708708708708713</c:v>
                </c:pt>
                <c:pt idx="587">
                  <c:v>58.808808808808813</c:v>
                </c:pt>
                <c:pt idx="588">
                  <c:v>58.908908908908913</c:v>
                </c:pt>
                <c:pt idx="589">
                  <c:v>59.009009009009013</c:v>
                </c:pt>
                <c:pt idx="590">
                  <c:v>59.109109109109113</c:v>
                </c:pt>
                <c:pt idx="591">
                  <c:v>59.209209209209213</c:v>
                </c:pt>
                <c:pt idx="592">
                  <c:v>59.309309309309313</c:v>
                </c:pt>
                <c:pt idx="593">
                  <c:v>59.409409409409413</c:v>
                </c:pt>
                <c:pt idx="594">
                  <c:v>59.509509509509513</c:v>
                </c:pt>
                <c:pt idx="595">
                  <c:v>59.609609609609613</c:v>
                </c:pt>
                <c:pt idx="596">
                  <c:v>59.709709709709713</c:v>
                </c:pt>
                <c:pt idx="597">
                  <c:v>59.809809809809813</c:v>
                </c:pt>
                <c:pt idx="598">
                  <c:v>59.909909909909921</c:v>
                </c:pt>
                <c:pt idx="599">
                  <c:v>60.010010010010021</c:v>
                </c:pt>
                <c:pt idx="600">
                  <c:v>60.110110110110121</c:v>
                </c:pt>
                <c:pt idx="601">
                  <c:v>60.210210210210221</c:v>
                </c:pt>
                <c:pt idx="602">
                  <c:v>60.310310310310321</c:v>
                </c:pt>
                <c:pt idx="603">
                  <c:v>60.410410410410421</c:v>
                </c:pt>
                <c:pt idx="604">
                  <c:v>60.510510510510521</c:v>
                </c:pt>
                <c:pt idx="605">
                  <c:v>60.610610610610621</c:v>
                </c:pt>
                <c:pt idx="606">
                  <c:v>60.710710710710721</c:v>
                </c:pt>
                <c:pt idx="607">
                  <c:v>60.810810810810821</c:v>
                </c:pt>
                <c:pt idx="608">
                  <c:v>60.910910910910921</c:v>
                </c:pt>
                <c:pt idx="609">
                  <c:v>61.011011011011021</c:v>
                </c:pt>
                <c:pt idx="610">
                  <c:v>61.111111111111121</c:v>
                </c:pt>
                <c:pt idx="611">
                  <c:v>61.211211211211221</c:v>
                </c:pt>
                <c:pt idx="612">
                  <c:v>61.311311311311322</c:v>
                </c:pt>
                <c:pt idx="613">
                  <c:v>61.411411411411422</c:v>
                </c:pt>
                <c:pt idx="614">
                  <c:v>61.511511511511522</c:v>
                </c:pt>
                <c:pt idx="615">
                  <c:v>61.611611611611622</c:v>
                </c:pt>
                <c:pt idx="616">
                  <c:v>61.711711711711722</c:v>
                </c:pt>
                <c:pt idx="617">
                  <c:v>61.811811811811822</c:v>
                </c:pt>
                <c:pt idx="618">
                  <c:v>61.911911911911922</c:v>
                </c:pt>
                <c:pt idx="619">
                  <c:v>62.012012012012022</c:v>
                </c:pt>
                <c:pt idx="620">
                  <c:v>62.112112112112122</c:v>
                </c:pt>
                <c:pt idx="621">
                  <c:v>62.212212212212222</c:v>
                </c:pt>
                <c:pt idx="622">
                  <c:v>62.312312312312322</c:v>
                </c:pt>
                <c:pt idx="623">
                  <c:v>62.412412412412422</c:v>
                </c:pt>
                <c:pt idx="624">
                  <c:v>62.512512512512522</c:v>
                </c:pt>
                <c:pt idx="625">
                  <c:v>62.612612612612622</c:v>
                </c:pt>
                <c:pt idx="626">
                  <c:v>62.712712712712722</c:v>
                </c:pt>
                <c:pt idx="627">
                  <c:v>62.812812812812822</c:v>
                </c:pt>
                <c:pt idx="628">
                  <c:v>62.912912912912923</c:v>
                </c:pt>
                <c:pt idx="629">
                  <c:v>63.013013013013023</c:v>
                </c:pt>
                <c:pt idx="630">
                  <c:v>63.113113113113123</c:v>
                </c:pt>
                <c:pt idx="631">
                  <c:v>63.213213213213223</c:v>
                </c:pt>
                <c:pt idx="632">
                  <c:v>63.313313313313323</c:v>
                </c:pt>
                <c:pt idx="633">
                  <c:v>63.413413413413423</c:v>
                </c:pt>
                <c:pt idx="634">
                  <c:v>63.513513513513523</c:v>
                </c:pt>
                <c:pt idx="635">
                  <c:v>63.613613613613623</c:v>
                </c:pt>
                <c:pt idx="636">
                  <c:v>63.713713713713723</c:v>
                </c:pt>
                <c:pt idx="637">
                  <c:v>63.813813813813823</c:v>
                </c:pt>
                <c:pt idx="638">
                  <c:v>63.913913913913923</c:v>
                </c:pt>
                <c:pt idx="639">
                  <c:v>64.014014014014023</c:v>
                </c:pt>
                <c:pt idx="640">
                  <c:v>64.114114114114116</c:v>
                </c:pt>
                <c:pt idx="641">
                  <c:v>64.214214214214209</c:v>
                </c:pt>
                <c:pt idx="642">
                  <c:v>64.314314314314316</c:v>
                </c:pt>
                <c:pt idx="643">
                  <c:v>64.414414414414409</c:v>
                </c:pt>
                <c:pt idx="644">
                  <c:v>64.514514514514516</c:v>
                </c:pt>
                <c:pt idx="645">
                  <c:v>64.614614614614609</c:v>
                </c:pt>
                <c:pt idx="646">
                  <c:v>64.714714714714717</c:v>
                </c:pt>
                <c:pt idx="647">
                  <c:v>64.81481481481481</c:v>
                </c:pt>
                <c:pt idx="648">
                  <c:v>64.914914914914917</c:v>
                </c:pt>
                <c:pt idx="649">
                  <c:v>65.01501501501501</c:v>
                </c:pt>
                <c:pt idx="650">
                  <c:v>65.115115115115117</c:v>
                </c:pt>
                <c:pt idx="651">
                  <c:v>65.21521521521521</c:v>
                </c:pt>
                <c:pt idx="652">
                  <c:v>65.315315315315317</c:v>
                </c:pt>
                <c:pt idx="653">
                  <c:v>65.41541541541541</c:v>
                </c:pt>
                <c:pt idx="654">
                  <c:v>65.515515515515517</c:v>
                </c:pt>
                <c:pt idx="655">
                  <c:v>65.61561561561561</c:v>
                </c:pt>
                <c:pt idx="656">
                  <c:v>65.715715715715717</c:v>
                </c:pt>
                <c:pt idx="657">
                  <c:v>65.81581581581581</c:v>
                </c:pt>
                <c:pt idx="658">
                  <c:v>65.915915915915917</c:v>
                </c:pt>
                <c:pt idx="659">
                  <c:v>66.01601601601601</c:v>
                </c:pt>
                <c:pt idx="660">
                  <c:v>66.116116116116117</c:v>
                </c:pt>
                <c:pt idx="661">
                  <c:v>66.21621621621621</c:v>
                </c:pt>
                <c:pt idx="662">
                  <c:v>66.316316316316318</c:v>
                </c:pt>
                <c:pt idx="663">
                  <c:v>66.416416416416411</c:v>
                </c:pt>
                <c:pt idx="664">
                  <c:v>66.516516516516518</c:v>
                </c:pt>
                <c:pt idx="665">
                  <c:v>66.616616616616611</c:v>
                </c:pt>
                <c:pt idx="666">
                  <c:v>66.716716716716718</c:v>
                </c:pt>
                <c:pt idx="667">
                  <c:v>66.816816816816811</c:v>
                </c:pt>
                <c:pt idx="668">
                  <c:v>66.916916916916918</c:v>
                </c:pt>
                <c:pt idx="669">
                  <c:v>67.017017017017011</c:v>
                </c:pt>
                <c:pt idx="670">
                  <c:v>67.117117117117118</c:v>
                </c:pt>
                <c:pt idx="671">
                  <c:v>67.217217217217211</c:v>
                </c:pt>
                <c:pt idx="672">
                  <c:v>67.317317317317318</c:v>
                </c:pt>
                <c:pt idx="673">
                  <c:v>67.417417417417411</c:v>
                </c:pt>
                <c:pt idx="674">
                  <c:v>67.517517517517518</c:v>
                </c:pt>
                <c:pt idx="675">
                  <c:v>67.617617617617611</c:v>
                </c:pt>
                <c:pt idx="676">
                  <c:v>67.717717717717719</c:v>
                </c:pt>
                <c:pt idx="677">
                  <c:v>67.817817817817811</c:v>
                </c:pt>
                <c:pt idx="678">
                  <c:v>67.917917917917919</c:v>
                </c:pt>
                <c:pt idx="679">
                  <c:v>68.018018018018012</c:v>
                </c:pt>
                <c:pt idx="680">
                  <c:v>68.118118118118119</c:v>
                </c:pt>
                <c:pt idx="681">
                  <c:v>68.218218218218212</c:v>
                </c:pt>
                <c:pt idx="682">
                  <c:v>68.318318318318319</c:v>
                </c:pt>
                <c:pt idx="683">
                  <c:v>68.418418418418426</c:v>
                </c:pt>
                <c:pt idx="684">
                  <c:v>68.518518518518519</c:v>
                </c:pt>
                <c:pt idx="685">
                  <c:v>68.618618618618626</c:v>
                </c:pt>
                <c:pt idx="686">
                  <c:v>68.718718718718719</c:v>
                </c:pt>
                <c:pt idx="687">
                  <c:v>68.818818818818826</c:v>
                </c:pt>
                <c:pt idx="688">
                  <c:v>68.918918918918919</c:v>
                </c:pt>
                <c:pt idx="689">
                  <c:v>69.019019019019026</c:v>
                </c:pt>
                <c:pt idx="690">
                  <c:v>69.119119119119119</c:v>
                </c:pt>
                <c:pt idx="691">
                  <c:v>69.219219219219227</c:v>
                </c:pt>
                <c:pt idx="692">
                  <c:v>69.31931931931932</c:v>
                </c:pt>
                <c:pt idx="693">
                  <c:v>69.419419419419427</c:v>
                </c:pt>
                <c:pt idx="694">
                  <c:v>69.51951951951952</c:v>
                </c:pt>
                <c:pt idx="695">
                  <c:v>69.619619619619627</c:v>
                </c:pt>
                <c:pt idx="696">
                  <c:v>69.71971971971972</c:v>
                </c:pt>
                <c:pt idx="697">
                  <c:v>69.819819819819827</c:v>
                </c:pt>
                <c:pt idx="698">
                  <c:v>69.91991991991992</c:v>
                </c:pt>
                <c:pt idx="699">
                  <c:v>70.020020020020027</c:v>
                </c:pt>
                <c:pt idx="700">
                  <c:v>70.12012012012012</c:v>
                </c:pt>
                <c:pt idx="701">
                  <c:v>70.220220220220227</c:v>
                </c:pt>
                <c:pt idx="702">
                  <c:v>70.32032032032032</c:v>
                </c:pt>
                <c:pt idx="703">
                  <c:v>70.420420420420427</c:v>
                </c:pt>
                <c:pt idx="704">
                  <c:v>70.52052052052052</c:v>
                </c:pt>
                <c:pt idx="705">
                  <c:v>70.620620620620628</c:v>
                </c:pt>
                <c:pt idx="706">
                  <c:v>70.72072072072072</c:v>
                </c:pt>
                <c:pt idx="707">
                  <c:v>70.820820820820828</c:v>
                </c:pt>
                <c:pt idx="708">
                  <c:v>70.920920920920921</c:v>
                </c:pt>
                <c:pt idx="709">
                  <c:v>71.021021021021028</c:v>
                </c:pt>
                <c:pt idx="710">
                  <c:v>71.121121121121121</c:v>
                </c:pt>
                <c:pt idx="711">
                  <c:v>71.221221221221228</c:v>
                </c:pt>
                <c:pt idx="712">
                  <c:v>71.321321321321321</c:v>
                </c:pt>
                <c:pt idx="713">
                  <c:v>71.421421421421428</c:v>
                </c:pt>
                <c:pt idx="714">
                  <c:v>71.521521521521521</c:v>
                </c:pt>
                <c:pt idx="715">
                  <c:v>71.621621621621628</c:v>
                </c:pt>
                <c:pt idx="716">
                  <c:v>71.721721721721721</c:v>
                </c:pt>
                <c:pt idx="717">
                  <c:v>71.821821821821828</c:v>
                </c:pt>
                <c:pt idx="718">
                  <c:v>71.921921921921921</c:v>
                </c:pt>
                <c:pt idx="719">
                  <c:v>72.022022022022028</c:v>
                </c:pt>
                <c:pt idx="720">
                  <c:v>72.122122122122121</c:v>
                </c:pt>
                <c:pt idx="721">
                  <c:v>72.222222222222229</c:v>
                </c:pt>
                <c:pt idx="722">
                  <c:v>72.322322322322321</c:v>
                </c:pt>
                <c:pt idx="723">
                  <c:v>72.422422422422429</c:v>
                </c:pt>
                <c:pt idx="724">
                  <c:v>72.522522522522522</c:v>
                </c:pt>
                <c:pt idx="725">
                  <c:v>72.622622622622629</c:v>
                </c:pt>
                <c:pt idx="726">
                  <c:v>72.722722722722722</c:v>
                </c:pt>
                <c:pt idx="727">
                  <c:v>72.822822822822829</c:v>
                </c:pt>
                <c:pt idx="728">
                  <c:v>72.922922922922922</c:v>
                </c:pt>
                <c:pt idx="729">
                  <c:v>73.023023023023029</c:v>
                </c:pt>
                <c:pt idx="730">
                  <c:v>73.123123123123122</c:v>
                </c:pt>
                <c:pt idx="731">
                  <c:v>73.223223223223229</c:v>
                </c:pt>
                <c:pt idx="732">
                  <c:v>73.323323323323322</c:v>
                </c:pt>
                <c:pt idx="733">
                  <c:v>73.423423423423429</c:v>
                </c:pt>
                <c:pt idx="734">
                  <c:v>73.523523523523522</c:v>
                </c:pt>
                <c:pt idx="735">
                  <c:v>73.623623623623629</c:v>
                </c:pt>
                <c:pt idx="736">
                  <c:v>73.723723723723722</c:v>
                </c:pt>
                <c:pt idx="737">
                  <c:v>73.82382382382383</c:v>
                </c:pt>
                <c:pt idx="738">
                  <c:v>73.923923923923923</c:v>
                </c:pt>
                <c:pt idx="739">
                  <c:v>74.02402402402403</c:v>
                </c:pt>
                <c:pt idx="740">
                  <c:v>74.124124124124123</c:v>
                </c:pt>
                <c:pt idx="741">
                  <c:v>74.22422422422423</c:v>
                </c:pt>
                <c:pt idx="742">
                  <c:v>74.324324324324323</c:v>
                </c:pt>
                <c:pt idx="743">
                  <c:v>74.42442442442443</c:v>
                </c:pt>
                <c:pt idx="744">
                  <c:v>74.524524524524523</c:v>
                </c:pt>
                <c:pt idx="745">
                  <c:v>74.62462462462463</c:v>
                </c:pt>
                <c:pt idx="746">
                  <c:v>74.724724724724723</c:v>
                </c:pt>
                <c:pt idx="747">
                  <c:v>74.82482482482483</c:v>
                </c:pt>
                <c:pt idx="748">
                  <c:v>74.924924924924923</c:v>
                </c:pt>
                <c:pt idx="749">
                  <c:v>75.02502502502503</c:v>
                </c:pt>
                <c:pt idx="750">
                  <c:v>75.125125125125123</c:v>
                </c:pt>
                <c:pt idx="751">
                  <c:v>75.22522522522523</c:v>
                </c:pt>
                <c:pt idx="752">
                  <c:v>75.325325325325323</c:v>
                </c:pt>
                <c:pt idx="753">
                  <c:v>75.425425425425431</c:v>
                </c:pt>
                <c:pt idx="754">
                  <c:v>75.525525525525524</c:v>
                </c:pt>
                <c:pt idx="755">
                  <c:v>75.625625625625631</c:v>
                </c:pt>
                <c:pt idx="756">
                  <c:v>75.725725725725724</c:v>
                </c:pt>
                <c:pt idx="757">
                  <c:v>75.825825825825831</c:v>
                </c:pt>
                <c:pt idx="758">
                  <c:v>75.925925925925924</c:v>
                </c:pt>
                <c:pt idx="759">
                  <c:v>76.026026026026031</c:v>
                </c:pt>
                <c:pt idx="760">
                  <c:v>76.126126126126124</c:v>
                </c:pt>
                <c:pt idx="761">
                  <c:v>76.226226226226231</c:v>
                </c:pt>
                <c:pt idx="762">
                  <c:v>76.326326326326324</c:v>
                </c:pt>
                <c:pt idx="763">
                  <c:v>76.426426426426431</c:v>
                </c:pt>
                <c:pt idx="764">
                  <c:v>76.526526526526524</c:v>
                </c:pt>
                <c:pt idx="765">
                  <c:v>76.626626626626631</c:v>
                </c:pt>
                <c:pt idx="766">
                  <c:v>76.726726726726724</c:v>
                </c:pt>
                <c:pt idx="767">
                  <c:v>76.826826826826832</c:v>
                </c:pt>
                <c:pt idx="768">
                  <c:v>76.926926926926924</c:v>
                </c:pt>
                <c:pt idx="769">
                  <c:v>77.027027027027032</c:v>
                </c:pt>
                <c:pt idx="770">
                  <c:v>77.127127127127125</c:v>
                </c:pt>
                <c:pt idx="771">
                  <c:v>77.227227227227232</c:v>
                </c:pt>
                <c:pt idx="772">
                  <c:v>77.327327327327325</c:v>
                </c:pt>
                <c:pt idx="773">
                  <c:v>77.427427427427432</c:v>
                </c:pt>
                <c:pt idx="774">
                  <c:v>77.527527527527525</c:v>
                </c:pt>
                <c:pt idx="775">
                  <c:v>77.627627627627632</c:v>
                </c:pt>
                <c:pt idx="776">
                  <c:v>77.727727727727725</c:v>
                </c:pt>
                <c:pt idx="777">
                  <c:v>77.827827827827832</c:v>
                </c:pt>
                <c:pt idx="778">
                  <c:v>77.927927927927925</c:v>
                </c:pt>
                <c:pt idx="779">
                  <c:v>78.028028028028032</c:v>
                </c:pt>
                <c:pt idx="780">
                  <c:v>78.128128128128125</c:v>
                </c:pt>
                <c:pt idx="781">
                  <c:v>78.228228228228232</c:v>
                </c:pt>
                <c:pt idx="782">
                  <c:v>78.328328328328325</c:v>
                </c:pt>
                <c:pt idx="783">
                  <c:v>78.428428428428433</c:v>
                </c:pt>
                <c:pt idx="784">
                  <c:v>78.528528528528525</c:v>
                </c:pt>
                <c:pt idx="785">
                  <c:v>78.628628628628633</c:v>
                </c:pt>
                <c:pt idx="786">
                  <c:v>78.728728728728726</c:v>
                </c:pt>
                <c:pt idx="787">
                  <c:v>78.828828828828833</c:v>
                </c:pt>
                <c:pt idx="788">
                  <c:v>78.928928928928926</c:v>
                </c:pt>
                <c:pt idx="789">
                  <c:v>79.029029029029033</c:v>
                </c:pt>
                <c:pt idx="790">
                  <c:v>79.129129129129126</c:v>
                </c:pt>
                <c:pt idx="791">
                  <c:v>79.229229229229233</c:v>
                </c:pt>
                <c:pt idx="792">
                  <c:v>79.329329329329326</c:v>
                </c:pt>
                <c:pt idx="793">
                  <c:v>79.429429429429433</c:v>
                </c:pt>
                <c:pt idx="794">
                  <c:v>79.529529529529526</c:v>
                </c:pt>
                <c:pt idx="795">
                  <c:v>79.629629629629633</c:v>
                </c:pt>
                <c:pt idx="796">
                  <c:v>79.729729729729726</c:v>
                </c:pt>
                <c:pt idx="797">
                  <c:v>79.829829829829833</c:v>
                </c:pt>
                <c:pt idx="798">
                  <c:v>79.929929929929926</c:v>
                </c:pt>
                <c:pt idx="799">
                  <c:v>80.030030030030034</c:v>
                </c:pt>
                <c:pt idx="800">
                  <c:v>80.130130130130127</c:v>
                </c:pt>
                <c:pt idx="801">
                  <c:v>80.230230230230234</c:v>
                </c:pt>
                <c:pt idx="802">
                  <c:v>80.330330330330327</c:v>
                </c:pt>
                <c:pt idx="803">
                  <c:v>80.430430430430434</c:v>
                </c:pt>
                <c:pt idx="804">
                  <c:v>80.530530530530527</c:v>
                </c:pt>
                <c:pt idx="805">
                  <c:v>80.630630630630634</c:v>
                </c:pt>
                <c:pt idx="806">
                  <c:v>80.730730730730727</c:v>
                </c:pt>
                <c:pt idx="807">
                  <c:v>80.830830830830834</c:v>
                </c:pt>
                <c:pt idx="808">
                  <c:v>80.930930930930927</c:v>
                </c:pt>
                <c:pt idx="809">
                  <c:v>81.031031031031034</c:v>
                </c:pt>
                <c:pt idx="810">
                  <c:v>81.131131131131127</c:v>
                </c:pt>
                <c:pt idx="811">
                  <c:v>81.231231231231234</c:v>
                </c:pt>
                <c:pt idx="812">
                  <c:v>81.331331331331327</c:v>
                </c:pt>
                <c:pt idx="813">
                  <c:v>81.431431431431434</c:v>
                </c:pt>
                <c:pt idx="814">
                  <c:v>81.531531531531527</c:v>
                </c:pt>
                <c:pt idx="815">
                  <c:v>81.631631631631635</c:v>
                </c:pt>
                <c:pt idx="816">
                  <c:v>81.731731731731728</c:v>
                </c:pt>
                <c:pt idx="817">
                  <c:v>81.831831831831835</c:v>
                </c:pt>
                <c:pt idx="818">
                  <c:v>81.931931931931928</c:v>
                </c:pt>
                <c:pt idx="819">
                  <c:v>82.032032032032035</c:v>
                </c:pt>
                <c:pt idx="820">
                  <c:v>82.132132132132128</c:v>
                </c:pt>
                <c:pt idx="821">
                  <c:v>82.232232232232235</c:v>
                </c:pt>
                <c:pt idx="822">
                  <c:v>82.332332332332328</c:v>
                </c:pt>
                <c:pt idx="823">
                  <c:v>82.432432432432435</c:v>
                </c:pt>
                <c:pt idx="824">
                  <c:v>82.532532532532528</c:v>
                </c:pt>
                <c:pt idx="825">
                  <c:v>82.632632632632635</c:v>
                </c:pt>
                <c:pt idx="826">
                  <c:v>82.732732732732728</c:v>
                </c:pt>
                <c:pt idx="827">
                  <c:v>82.832832832832835</c:v>
                </c:pt>
                <c:pt idx="828">
                  <c:v>82.932932932932928</c:v>
                </c:pt>
                <c:pt idx="829">
                  <c:v>83.033033033033036</c:v>
                </c:pt>
                <c:pt idx="830">
                  <c:v>83.133133133133128</c:v>
                </c:pt>
                <c:pt idx="831">
                  <c:v>83.233233233233236</c:v>
                </c:pt>
                <c:pt idx="832">
                  <c:v>83.333333333333329</c:v>
                </c:pt>
                <c:pt idx="833">
                  <c:v>83.433433433433436</c:v>
                </c:pt>
                <c:pt idx="834">
                  <c:v>83.533533533533529</c:v>
                </c:pt>
                <c:pt idx="835">
                  <c:v>83.633633633633636</c:v>
                </c:pt>
                <c:pt idx="836">
                  <c:v>83.733733733733729</c:v>
                </c:pt>
                <c:pt idx="837">
                  <c:v>83.833833833833836</c:v>
                </c:pt>
                <c:pt idx="838">
                  <c:v>83.933933933933929</c:v>
                </c:pt>
                <c:pt idx="839">
                  <c:v>84.034034034034036</c:v>
                </c:pt>
                <c:pt idx="840">
                  <c:v>84.134134134134129</c:v>
                </c:pt>
                <c:pt idx="841">
                  <c:v>84.234234234234236</c:v>
                </c:pt>
                <c:pt idx="842">
                  <c:v>84.334334334334329</c:v>
                </c:pt>
                <c:pt idx="843">
                  <c:v>84.434434434434436</c:v>
                </c:pt>
                <c:pt idx="844">
                  <c:v>84.534534534534529</c:v>
                </c:pt>
                <c:pt idx="845">
                  <c:v>84.634634634634637</c:v>
                </c:pt>
                <c:pt idx="846">
                  <c:v>84.734734734734729</c:v>
                </c:pt>
                <c:pt idx="847">
                  <c:v>84.834834834834837</c:v>
                </c:pt>
                <c:pt idx="848">
                  <c:v>84.93493493493493</c:v>
                </c:pt>
                <c:pt idx="849">
                  <c:v>85.035035035035037</c:v>
                </c:pt>
                <c:pt idx="850">
                  <c:v>85.13513513513513</c:v>
                </c:pt>
                <c:pt idx="851">
                  <c:v>85.235235235235237</c:v>
                </c:pt>
                <c:pt idx="852">
                  <c:v>85.33533533533533</c:v>
                </c:pt>
                <c:pt idx="853">
                  <c:v>85.435435435435437</c:v>
                </c:pt>
                <c:pt idx="854">
                  <c:v>85.535535535535544</c:v>
                </c:pt>
                <c:pt idx="855">
                  <c:v>85.635635635635637</c:v>
                </c:pt>
                <c:pt idx="856">
                  <c:v>85.735735735735744</c:v>
                </c:pt>
                <c:pt idx="857">
                  <c:v>85.835835835835837</c:v>
                </c:pt>
                <c:pt idx="858">
                  <c:v>85.935935935935944</c:v>
                </c:pt>
                <c:pt idx="859">
                  <c:v>86.036036036036037</c:v>
                </c:pt>
                <c:pt idx="860">
                  <c:v>86.136136136136145</c:v>
                </c:pt>
                <c:pt idx="861">
                  <c:v>86.236236236236238</c:v>
                </c:pt>
                <c:pt idx="862">
                  <c:v>86.336336336336345</c:v>
                </c:pt>
                <c:pt idx="863">
                  <c:v>86.436436436436438</c:v>
                </c:pt>
                <c:pt idx="864">
                  <c:v>86.536536536536545</c:v>
                </c:pt>
                <c:pt idx="865">
                  <c:v>86.636636636636638</c:v>
                </c:pt>
                <c:pt idx="866">
                  <c:v>86.736736736736745</c:v>
                </c:pt>
                <c:pt idx="867">
                  <c:v>86.836836836836838</c:v>
                </c:pt>
                <c:pt idx="868">
                  <c:v>86.936936936936945</c:v>
                </c:pt>
                <c:pt idx="869">
                  <c:v>87.037037037037038</c:v>
                </c:pt>
                <c:pt idx="870">
                  <c:v>87.137137137137145</c:v>
                </c:pt>
                <c:pt idx="871">
                  <c:v>87.237237237237238</c:v>
                </c:pt>
                <c:pt idx="872">
                  <c:v>87.337337337337345</c:v>
                </c:pt>
                <c:pt idx="873">
                  <c:v>87.437437437437438</c:v>
                </c:pt>
                <c:pt idx="874">
                  <c:v>87.537537537537546</c:v>
                </c:pt>
                <c:pt idx="875">
                  <c:v>87.637637637637638</c:v>
                </c:pt>
                <c:pt idx="876">
                  <c:v>87.737737737737746</c:v>
                </c:pt>
                <c:pt idx="877">
                  <c:v>87.837837837837839</c:v>
                </c:pt>
                <c:pt idx="878">
                  <c:v>87.937937937937946</c:v>
                </c:pt>
                <c:pt idx="879">
                  <c:v>88.038038038038039</c:v>
                </c:pt>
                <c:pt idx="880">
                  <c:v>88.138138138138146</c:v>
                </c:pt>
                <c:pt idx="881">
                  <c:v>88.238238238238239</c:v>
                </c:pt>
                <c:pt idx="882">
                  <c:v>88.338338338338346</c:v>
                </c:pt>
                <c:pt idx="883">
                  <c:v>88.438438438438439</c:v>
                </c:pt>
                <c:pt idx="884">
                  <c:v>88.538538538538546</c:v>
                </c:pt>
                <c:pt idx="885">
                  <c:v>88.638638638638639</c:v>
                </c:pt>
                <c:pt idx="886">
                  <c:v>88.738738738738746</c:v>
                </c:pt>
                <c:pt idx="887">
                  <c:v>88.838838838838839</c:v>
                </c:pt>
                <c:pt idx="888">
                  <c:v>88.938938938938946</c:v>
                </c:pt>
                <c:pt idx="889">
                  <c:v>89.039039039039039</c:v>
                </c:pt>
                <c:pt idx="890">
                  <c:v>89.139139139139147</c:v>
                </c:pt>
                <c:pt idx="891">
                  <c:v>89.23923923923924</c:v>
                </c:pt>
                <c:pt idx="892">
                  <c:v>89.339339339339347</c:v>
                </c:pt>
                <c:pt idx="893">
                  <c:v>89.43943943943944</c:v>
                </c:pt>
                <c:pt idx="894">
                  <c:v>89.539539539539547</c:v>
                </c:pt>
                <c:pt idx="895">
                  <c:v>89.63963963963964</c:v>
                </c:pt>
                <c:pt idx="896">
                  <c:v>89.739739739739747</c:v>
                </c:pt>
                <c:pt idx="897">
                  <c:v>89.83983983983984</c:v>
                </c:pt>
                <c:pt idx="898">
                  <c:v>89.939939939939947</c:v>
                </c:pt>
                <c:pt idx="899">
                  <c:v>90.04004004004004</c:v>
                </c:pt>
                <c:pt idx="900">
                  <c:v>90.140140140140147</c:v>
                </c:pt>
                <c:pt idx="901">
                  <c:v>90.24024024024024</c:v>
                </c:pt>
                <c:pt idx="902">
                  <c:v>90.340340340340347</c:v>
                </c:pt>
                <c:pt idx="903">
                  <c:v>90.44044044044044</c:v>
                </c:pt>
                <c:pt idx="904">
                  <c:v>90.540540540540547</c:v>
                </c:pt>
                <c:pt idx="905">
                  <c:v>90.64064064064064</c:v>
                </c:pt>
                <c:pt idx="906">
                  <c:v>90.740740740740748</c:v>
                </c:pt>
                <c:pt idx="907">
                  <c:v>90.840840840840841</c:v>
                </c:pt>
                <c:pt idx="908">
                  <c:v>90.940940940940948</c:v>
                </c:pt>
                <c:pt idx="909">
                  <c:v>91.041041041041041</c:v>
                </c:pt>
                <c:pt idx="910">
                  <c:v>91.141141141141148</c:v>
                </c:pt>
                <c:pt idx="911">
                  <c:v>91.241241241241241</c:v>
                </c:pt>
                <c:pt idx="912">
                  <c:v>91.341341341341348</c:v>
                </c:pt>
                <c:pt idx="913">
                  <c:v>91.441441441441441</c:v>
                </c:pt>
                <c:pt idx="914">
                  <c:v>91.541541541541548</c:v>
                </c:pt>
                <c:pt idx="915">
                  <c:v>91.641641641641641</c:v>
                </c:pt>
                <c:pt idx="916">
                  <c:v>91.741741741741748</c:v>
                </c:pt>
                <c:pt idx="917">
                  <c:v>91.841841841841841</c:v>
                </c:pt>
                <c:pt idx="918">
                  <c:v>91.941941941941948</c:v>
                </c:pt>
                <c:pt idx="919">
                  <c:v>92.042042042042041</c:v>
                </c:pt>
                <c:pt idx="920">
                  <c:v>92.142142142142148</c:v>
                </c:pt>
                <c:pt idx="921">
                  <c:v>92.242242242242241</c:v>
                </c:pt>
                <c:pt idx="922">
                  <c:v>92.342342342342349</c:v>
                </c:pt>
                <c:pt idx="923">
                  <c:v>92.442442442442442</c:v>
                </c:pt>
                <c:pt idx="924">
                  <c:v>92.542542542542549</c:v>
                </c:pt>
                <c:pt idx="925">
                  <c:v>92.642642642642642</c:v>
                </c:pt>
                <c:pt idx="926">
                  <c:v>92.742742742742749</c:v>
                </c:pt>
                <c:pt idx="927">
                  <c:v>92.842842842842842</c:v>
                </c:pt>
                <c:pt idx="928">
                  <c:v>92.942942942942949</c:v>
                </c:pt>
                <c:pt idx="929">
                  <c:v>93.043043043043042</c:v>
                </c:pt>
                <c:pt idx="930">
                  <c:v>93.143143143143149</c:v>
                </c:pt>
                <c:pt idx="931">
                  <c:v>93.243243243243242</c:v>
                </c:pt>
                <c:pt idx="932">
                  <c:v>93.343343343343349</c:v>
                </c:pt>
                <c:pt idx="933">
                  <c:v>93.443443443443442</c:v>
                </c:pt>
                <c:pt idx="934">
                  <c:v>93.543543543543549</c:v>
                </c:pt>
                <c:pt idx="935">
                  <c:v>93.643643643643642</c:v>
                </c:pt>
                <c:pt idx="936">
                  <c:v>93.74374374374375</c:v>
                </c:pt>
                <c:pt idx="937">
                  <c:v>93.843843843843842</c:v>
                </c:pt>
                <c:pt idx="938">
                  <c:v>93.94394394394395</c:v>
                </c:pt>
                <c:pt idx="939">
                  <c:v>94.044044044044043</c:v>
                </c:pt>
                <c:pt idx="940">
                  <c:v>94.14414414414415</c:v>
                </c:pt>
                <c:pt idx="941">
                  <c:v>94.244244244244243</c:v>
                </c:pt>
                <c:pt idx="942">
                  <c:v>94.34434434434435</c:v>
                </c:pt>
                <c:pt idx="943">
                  <c:v>94.444444444444443</c:v>
                </c:pt>
                <c:pt idx="944">
                  <c:v>94.54454454454455</c:v>
                </c:pt>
                <c:pt idx="945">
                  <c:v>94.644644644644643</c:v>
                </c:pt>
                <c:pt idx="946">
                  <c:v>94.74474474474475</c:v>
                </c:pt>
                <c:pt idx="947">
                  <c:v>94.844844844844843</c:v>
                </c:pt>
                <c:pt idx="948">
                  <c:v>94.94494494494495</c:v>
                </c:pt>
                <c:pt idx="949">
                  <c:v>95.045045045045043</c:v>
                </c:pt>
                <c:pt idx="950">
                  <c:v>95.14514514514515</c:v>
                </c:pt>
                <c:pt idx="951">
                  <c:v>95.245245245245243</c:v>
                </c:pt>
                <c:pt idx="952">
                  <c:v>95.345345345345351</c:v>
                </c:pt>
                <c:pt idx="953">
                  <c:v>95.445445445445444</c:v>
                </c:pt>
                <c:pt idx="954">
                  <c:v>95.545545545545551</c:v>
                </c:pt>
                <c:pt idx="955">
                  <c:v>95.645645645645644</c:v>
                </c:pt>
                <c:pt idx="956">
                  <c:v>95.745745745745751</c:v>
                </c:pt>
                <c:pt idx="957">
                  <c:v>95.845845845845844</c:v>
                </c:pt>
                <c:pt idx="958">
                  <c:v>95.945945945945951</c:v>
                </c:pt>
                <c:pt idx="959">
                  <c:v>96.046046046046044</c:v>
                </c:pt>
                <c:pt idx="960">
                  <c:v>96.146146146146151</c:v>
                </c:pt>
                <c:pt idx="961">
                  <c:v>96.246246246246244</c:v>
                </c:pt>
                <c:pt idx="962">
                  <c:v>96.346346346346351</c:v>
                </c:pt>
                <c:pt idx="963">
                  <c:v>96.446446446446444</c:v>
                </c:pt>
                <c:pt idx="964">
                  <c:v>96.546546546546551</c:v>
                </c:pt>
                <c:pt idx="965">
                  <c:v>96.646646646646644</c:v>
                </c:pt>
                <c:pt idx="966">
                  <c:v>96.746746746746751</c:v>
                </c:pt>
                <c:pt idx="967">
                  <c:v>96.846846846846844</c:v>
                </c:pt>
                <c:pt idx="968">
                  <c:v>96.946946946946952</c:v>
                </c:pt>
                <c:pt idx="969">
                  <c:v>97.047047047047045</c:v>
                </c:pt>
                <c:pt idx="970">
                  <c:v>97.147147147147152</c:v>
                </c:pt>
                <c:pt idx="971">
                  <c:v>97.247247247247245</c:v>
                </c:pt>
                <c:pt idx="972">
                  <c:v>97.347347347347352</c:v>
                </c:pt>
                <c:pt idx="973">
                  <c:v>97.447447447447445</c:v>
                </c:pt>
                <c:pt idx="974">
                  <c:v>97.547547547547552</c:v>
                </c:pt>
                <c:pt idx="975">
                  <c:v>97.647647647647645</c:v>
                </c:pt>
                <c:pt idx="976">
                  <c:v>97.747747747747752</c:v>
                </c:pt>
                <c:pt idx="977">
                  <c:v>97.847847847847845</c:v>
                </c:pt>
                <c:pt idx="978">
                  <c:v>97.947947947947952</c:v>
                </c:pt>
                <c:pt idx="979">
                  <c:v>98.048048048048045</c:v>
                </c:pt>
                <c:pt idx="980">
                  <c:v>98.148148148148152</c:v>
                </c:pt>
                <c:pt idx="981">
                  <c:v>98.248248248248245</c:v>
                </c:pt>
                <c:pt idx="982">
                  <c:v>98.348348348348352</c:v>
                </c:pt>
                <c:pt idx="983">
                  <c:v>98.448448448448445</c:v>
                </c:pt>
                <c:pt idx="984">
                  <c:v>98.548548548548553</c:v>
                </c:pt>
                <c:pt idx="985">
                  <c:v>98.648648648648646</c:v>
                </c:pt>
                <c:pt idx="986">
                  <c:v>98.748748748748753</c:v>
                </c:pt>
                <c:pt idx="987">
                  <c:v>98.848848848848846</c:v>
                </c:pt>
                <c:pt idx="988">
                  <c:v>98.948948948948953</c:v>
                </c:pt>
                <c:pt idx="989">
                  <c:v>99.049049049049046</c:v>
                </c:pt>
                <c:pt idx="990">
                  <c:v>99.149149149149153</c:v>
                </c:pt>
                <c:pt idx="991">
                  <c:v>99.249249249249246</c:v>
                </c:pt>
                <c:pt idx="992">
                  <c:v>99.349349349349353</c:v>
                </c:pt>
                <c:pt idx="993">
                  <c:v>99.449449449449446</c:v>
                </c:pt>
                <c:pt idx="994">
                  <c:v>99.549549549549553</c:v>
                </c:pt>
                <c:pt idx="995">
                  <c:v>99.649649649649646</c:v>
                </c:pt>
                <c:pt idx="996">
                  <c:v>99.749749749749753</c:v>
                </c:pt>
                <c:pt idx="997">
                  <c:v>99.849849849849846</c:v>
                </c:pt>
                <c:pt idx="998">
                  <c:v>99.949949949949954</c:v>
                </c:pt>
              </c:numCache>
            </c:numRef>
          </c:xVal>
          <c:yVal>
            <c:numRef>
              <c:f>Sheet11!$G$25:$G$1023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93-424D-B3C7-BECF75865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21951"/>
        <c:axId val="1200622911"/>
      </c:scatterChart>
      <c:valAx>
        <c:axId val="120062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622911"/>
        <c:crosses val="autoZero"/>
        <c:crossBetween val="midCat"/>
      </c:valAx>
      <c:valAx>
        <c:axId val="1200622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6219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7</xdr:row>
      <xdr:rowOff>52387</xdr:rowOff>
    </xdr:from>
    <xdr:to>
      <xdr:col>21</xdr:col>
      <xdr:colOff>76200</xdr:colOff>
      <xdr:row>22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90D01-9362-FF7E-A374-759E9D498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66675</xdr:rowOff>
    </xdr:from>
    <xdr:to>
      <xdr:col>12</xdr:col>
      <xdr:colOff>142875</xdr:colOff>
      <xdr:row>10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75739-D2C3-48F7-96D8-ECF371D7F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314325</xdr:colOff>
      <xdr:row>1</xdr:row>
      <xdr:rowOff>142875</xdr:rowOff>
    </xdr:from>
    <xdr:to>
      <xdr:col>18</xdr:col>
      <xdr:colOff>314325</xdr:colOff>
      <xdr:row>11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49F2F-A7E7-4994-A443-564F18CAD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561975</xdr:colOff>
      <xdr:row>12</xdr:row>
      <xdr:rowOff>66675</xdr:rowOff>
    </xdr:from>
    <xdr:to>
      <xdr:col>16</xdr:col>
      <xdr:colOff>561975</xdr:colOff>
      <xdr:row>22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740B6-DB3B-4911-B9DB-F69EE26F7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D" refreshedDate="46024.897886458333" createdVersion="8" refreshedVersion="8" minRefreshableVersion="3" recordCount="1000" xr:uid="{86A29307-2C2D-4761-906E-03EFE658F58C}">
  <cacheSource type="worksheet">
    <worksheetSource name="SalesTbl"/>
  </cacheSource>
  <cacheFields count="18">
    <cacheField name="Customer ID" numFmtId="0">
      <sharedItems/>
    </cacheField>
    <cacheField name="Gender" numFmtId="0">
      <sharedItems/>
    </cacheField>
    <cacheField name="Region" numFmtId="0">
      <sharedItems/>
    </cacheField>
    <cacheField name="Product Name" numFmtId="0">
      <sharedItems/>
    </cacheField>
    <cacheField name="Category" numFmtId="0">
      <sharedItems count="3">
        <s v="Electronics"/>
        <s v="Accessories"/>
        <s v="Wearables"/>
      </sharedItems>
    </cacheField>
    <cacheField name="Age" numFmtId="0">
      <sharedItems containsSemiMixedTypes="0" containsString="0" containsNumber="1" containsInteger="1" minValue="18" maxValue="69"/>
    </cacheField>
    <cacheField name="Unit Price" numFmtId="0">
      <sharedItems containsSemiMixedTypes="0" containsString="0" containsNumber="1" minValue="30" maxValue="3109.5606124866499"/>
    </cacheField>
    <cacheField name="Quantity" numFmtId="0">
      <sharedItems containsSemiMixedTypes="0" containsString="0" containsNumber="1" containsInteger="1" minValue="1" maxValue="5"/>
    </cacheField>
    <cacheField name="Total Price" numFmtId="0">
      <sharedItems containsSemiMixedTypes="0" containsString="0" containsNumber="1" containsInteger="1" minValue="30" maxValue="7500"/>
    </cacheField>
    <cacheField name="Shipping Fee" numFmtId="0">
      <sharedItems containsSemiMixedTypes="0" containsString="0" containsNumber="1" minValue="5" maxValue="19.98"/>
    </cacheField>
    <cacheField name="Order Date" numFmtId="14">
      <sharedItems containsSemiMixedTypes="0" containsNonDate="0" containsDate="1" containsString="0" minDate="2023-01-01T00:00:00" maxDate="2024-01-04T00:00:00"/>
    </cacheField>
    <cacheField name="Shipping Status" numFmtId="0">
      <sharedItems/>
    </cacheField>
    <cacheField name="Revenue" numFmtId="0">
      <sharedItems containsSemiMixedTypes="0" containsString="0" containsNumber="1" minValue="30" maxValue="15547.80306243325"/>
    </cacheField>
    <cacheField name="Year" numFmtId="0">
      <sharedItems containsSemiMixedTypes="0" containsString="0" containsNumber="1" containsInteger="1" minValue="2023" maxValue="2024"/>
    </cacheField>
    <cacheField name="YYYY-MM'" numFmtId="0">
      <sharedItems count="13">
        <s v="2023-12"/>
        <s v="2023-04"/>
        <s v="2023-08"/>
        <s v="2023-01"/>
        <s v="2023-10"/>
        <s v="2023-06"/>
        <s v="2023-02"/>
        <s v="2023-09"/>
        <s v="2023-07"/>
        <s v="2023-05"/>
        <s v="2023-11"/>
        <s v="2023-03"/>
        <s v="2024-01"/>
      </sharedItems>
    </cacheField>
    <cacheField name="Weeks     " numFmtId="0">
      <sharedItems containsSemiMixedTypes="0" containsString="0" containsNumber="1" containsInteger="1" minValue="1" maxValue="53"/>
    </cacheField>
    <cacheField name="Median Quantity'" numFmtId="0">
      <sharedItems containsSemiMixedTypes="0" containsString="0" containsNumber="1" containsInteger="1" minValue="3" maxValue="3"/>
    </cacheField>
    <cacheField name="if blank fill blannk with mean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268"/>
    <s v="Male"/>
    <s v="North"/>
    <s v="Monitor"/>
    <x v="0"/>
    <n v="49"/>
    <n v="300"/>
    <n v="5"/>
    <n v="1500"/>
    <n v="13.31"/>
    <d v="2023-12-08T00:00:00"/>
    <s v="Returned"/>
    <n v="1500"/>
    <n v="2023"/>
    <x v="0"/>
    <n v="50"/>
    <n v="3"/>
    <n v="5"/>
  </r>
  <r>
    <s v="CUST0046"/>
    <s v="Male"/>
    <s v="West"/>
    <s v="Headphones"/>
    <x v="1"/>
    <n v="22"/>
    <n v="100"/>
    <n v="2"/>
    <n v="200"/>
    <n v="6.93"/>
    <d v="2023-04-09T00:00:00"/>
    <s v="In Transit"/>
    <n v="200"/>
    <n v="2023"/>
    <x v="1"/>
    <n v="15"/>
    <n v="3"/>
    <n v="2"/>
  </r>
  <r>
    <s v="CUST0169"/>
    <s v="Female"/>
    <s v="South"/>
    <s v="Monitor"/>
    <x v="0"/>
    <n v="54"/>
    <n v="300"/>
    <n v="1"/>
    <n v="300"/>
    <n v="11.31"/>
    <d v="2023-08-28T00:00:00"/>
    <s v="Returned"/>
    <n v="300"/>
    <n v="2023"/>
    <x v="2"/>
    <n v="36"/>
    <n v="3"/>
    <n v="1"/>
  </r>
  <r>
    <s v="CUST0002"/>
    <s v="Male"/>
    <s v="North"/>
    <s v="Headphones"/>
    <x v="1"/>
    <n v="23"/>
    <n v="100"/>
    <n v="5"/>
    <n v="500"/>
    <n v="12.22"/>
    <d v="2023-01-18T00:00:00"/>
    <s v="Delivered"/>
    <n v="500"/>
    <n v="2023"/>
    <x v="3"/>
    <n v="4"/>
    <n v="3"/>
    <n v="5"/>
  </r>
  <r>
    <s v="CUST0173"/>
    <s v="Female"/>
    <s v="South"/>
    <s v="Laptop"/>
    <x v="0"/>
    <n v="49"/>
    <n v="1500"/>
    <n v="3"/>
    <n v="4500"/>
    <n v="5.4"/>
    <d v="2023-01-19T00:00:00"/>
    <s v="Delivered"/>
    <n v="4500"/>
    <n v="2023"/>
    <x v="3"/>
    <n v="4"/>
    <n v="3"/>
    <n v="3"/>
  </r>
  <r>
    <s v="CUST0147"/>
    <s v="Male"/>
    <s v="North"/>
    <s v="Smartwatch"/>
    <x v="2"/>
    <n v="64"/>
    <n v="200"/>
    <n v="2"/>
    <n v="400"/>
    <n v="11.26"/>
    <d v="2023-01-11T00:00:00"/>
    <s v="In Transit"/>
    <n v="400"/>
    <n v="2023"/>
    <x v="3"/>
    <n v="3"/>
    <n v="3"/>
    <n v="2"/>
  </r>
  <r>
    <s v="CUST0262"/>
    <s v="Male"/>
    <s v="East"/>
    <s v="Smartwatch"/>
    <x v="2"/>
    <n v="27"/>
    <n v="200"/>
    <n v="1"/>
    <n v="200"/>
    <n v="18.38"/>
    <d v="2023-10-23T00:00:00"/>
    <s v="In Transit"/>
    <n v="200"/>
    <n v="2023"/>
    <x v="4"/>
    <n v="44"/>
    <n v="3"/>
    <n v="1"/>
  </r>
  <r>
    <s v="CUST0159"/>
    <s v="Female"/>
    <s v="South"/>
    <s v="Keyboard"/>
    <x v="1"/>
    <n v="18"/>
    <n v="50"/>
    <n v="2"/>
    <n v="100"/>
    <n v="15.08"/>
    <d v="2023-06-15T00:00:00"/>
    <s v="Returned"/>
    <n v="100"/>
    <n v="2023"/>
    <x v="5"/>
    <n v="25"/>
    <n v="3"/>
    <n v="2"/>
  </r>
  <r>
    <s v="CUST0046"/>
    <s v="Female"/>
    <s v="East"/>
    <s v="Mouse"/>
    <x v="1"/>
    <n v="22"/>
    <n v="30"/>
    <n v="1"/>
    <n v="30"/>
    <n v="8.2200000000000006"/>
    <d v="2023-02-25T00:00:00"/>
    <s v="Returned"/>
    <n v="30"/>
    <n v="2023"/>
    <x v="6"/>
    <n v="9"/>
    <n v="3"/>
    <n v="1"/>
  </r>
  <r>
    <s v="CUST0023"/>
    <s v="Male"/>
    <s v="West"/>
    <s v="Headphones"/>
    <x v="1"/>
    <n v="29"/>
    <n v="100"/>
    <n v="3"/>
    <n v="300"/>
    <n v="10.7"/>
    <d v="2023-04-23T00:00:00"/>
    <s v="Delivered"/>
    <n v="300"/>
    <n v="2023"/>
    <x v="1"/>
    <n v="17"/>
    <n v="3"/>
    <n v="3"/>
  </r>
  <r>
    <s v="CUST0201"/>
    <s v="Female"/>
    <s v="East"/>
    <s v="Headphones"/>
    <x v="1"/>
    <n v="49"/>
    <n v="100"/>
    <n v="2"/>
    <n v="200"/>
    <n v="9.8000000000000007"/>
    <d v="2023-06-01T00:00:00"/>
    <s v="Returned"/>
    <n v="200"/>
    <n v="2023"/>
    <x v="5"/>
    <n v="23"/>
    <n v="3"/>
    <n v="2"/>
  </r>
  <r>
    <s v="CUST0283"/>
    <s v="Female"/>
    <s v="West"/>
    <s v="Mouse"/>
    <x v="1"/>
    <n v="67"/>
    <n v="30"/>
    <n v="3"/>
    <n v="90"/>
    <n v="5.65"/>
    <d v="2023-09-13T00:00:00"/>
    <s v="In Transit"/>
    <n v="90"/>
    <n v="2023"/>
    <x v="7"/>
    <n v="38"/>
    <n v="3"/>
    <n v="3"/>
  </r>
  <r>
    <s v="CUST0199"/>
    <s v="Female"/>
    <s v="West"/>
    <s v="Keyboard"/>
    <x v="1"/>
    <n v="41"/>
    <n v="50"/>
    <n v="5"/>
    <n v="250"/>
    <n v="7.13"/>
    <d v="2023-02-17T00:00:00"/>
    <s v="Delivered"/>
    <n v="250"/>
    <n v="2023"/>
    <x v="6"/>
    <n v="8"/>
    <n v="3"/>
    <n v="5"/>
  </r>
  <r>
    <s v="CUST0039"/>
    <s v="Male"/>
    <s v="South"/>
    <s v="Keyboard"/>
    <x v="1"/>
    <n v="60"/>
    <n v="50"/>
    <n v="4"/>
    <n v="200"/>
    <n v="10.91"/>
    <d v="2023-12-10T00:00:00"/>
    <s v="Returned"/>
    <n v="200"/>
    <n v="2023"/>
    <x v="0"/>
    <n v="50"/>
    <n v="3"/>
    <n v="4"/>
  </r>
  <r>
    <s v="CUST0276"/>
    <s v="Male"/>
    <s v="West"/>
    <s v="Mouse"/>
    <x v="1"/>
    <n v="66"/>
    <n v="30"/>
    <n v="1"/>
    <n v="30"/>
    <n v="11.36"/>
    <d v="2023-06-29T00:00:00"/>
    <s v="In Transit"/>
    <n v="30"/>
    <n v="2023"/>
    <x v="5"/>
    <n v="27"/>
    <n v="3"/>
    <n v="1"/>
  </r>
  <r>
    <s v="CUST0143"/>
    <s v="Female"/>
    <s v="Unknown"/>
    <s v="Smartwatch"/>
    <x v="2"/>
    <n v="36"/>
    <n v="200"/>
    <n v="3"/>
    <n v="600"/>
    <n v="7.89"/>
    <d v="2023-07-14T00:00:00"/>
    <s v="Delivered"/>
    <n v="600"/>
    <n v="2023"/>
    <x v="8"/>
    <n v="29"/>
    <n v="3"/>
    <n v="3"/>
  </r>
  <r>
    <s v="CUST0139"/>
    <s v="Male"/>
    <s v="North"/>
    <s v="Laptop"/>
    <x v="0"/>
    <n v="57"/>
    <n v="1500"/>
    <n v="4"/>
    <n v="6000"/>
    <n v="10.92"/>
    <d v="2023-05-13T00:00:00"/>
    <s v="In Transit"/>
    <n v="6000"/>
    <n v="2023"/>
    <x v="9"/>
    <n v="20"/>
    <n v="3"/>
    <n v="4"/>
  </r>
  <r>
    <s v="CUST0210"/>
    <s v="Male"/>
    <s v="South"/>
    <s v="Smartphone"/>
    <x v="0"/>
    <n v="30"/>
    <n v="800"/>
    <n v="2"/>
    <n v="1600"/>
    <n v="11.44"/>
    <d v="2023-06-09T00:00:00"/>
    <s v="Returned"/>
    <n v="1600"/>
    <n v="2023"/>
    <x v="5"/>
    <n v="24"/>
    <n v="3"/>
    <n v="2"/>
  </r>
  <r>
    <s v="CUST0293"/>
    <s v="Female"/>
    <s v="East"/>
    <s v="Smartwatch"/>
    <x v="2"/>
    <n v="32"/>
    <n v="200"/>
    <n v="5"/>
    <n v="1000"/>
    <n v="7.16"/>
    <d v="2023-06-21T00:00:00"/>
    <s v="In Transit"/>
    <n v="1000"/>
    <n v="2023"/>
    <x v="5"/>
    <n v="26"/>
    <n v="3"/>
    <n v="5"/>
  </r>
  <r>
    <s v="CUST0049"/>
    <s v="Female"/>
    <s v="West"/>
    <s v="Monitor"/>
    <x v="0"/>
    <n v="59"/>
    <n v="300"/>
    <n v="4"/>
    <n v="1200"/>
    <n v="17.37"/>
    <d v="2023-11-26T00:00:00"/>
    <s v="In Transit"/>
    <n v="1200"/>
    <n v="2023"/>
    <x v="10"/>
    <n v="48"/>
    <n v="3"/>
    <n v="4"/>
  </r>
  <r>
    <s v="CUST0283"/>
    <s v="Female"/>
    <s v="East"/>
    <s v="Smartphone"/>
    <x v="0"/>
    <n v="67"/>
    <n v="800"/>
    <n v="5"/>
    <n v="4000"/>
    <n v="12.17"/>
    <d v="2023-11-08T00:00:00"/>
    <s v="Delivered"/>
    <n v="4000"/>
    <n v="2023"/>
    <x v="10"/>
    <n v="46"/>
    <n v="3"/>
    <n v="5"/>
  </r>
  <r>
    <s v="CUST0196"/>
    <s v="Female"/>
    <s v="South"/>
    <s v="Mouse"/>
    <x v="1"/>
    <n v="37"/>
    <n v="30"/>
    <n v="3"/>
    <n v="90"/>
    <n v="19.41"/>
    <d v="2023-12-27T00:00:00"/>
    <s v="Returned"/>
    <n v="90"/>
    <n v="2023"/>
    <x v="0"/>
    <n v="53"/>
    <n v="3"/>
    <n v="3"/>
  </r>
  <r>
    <s v="CUST0050"/>
    <s v="Male"/>
    <s v="North"/>
    <s v="Mouse"/>
    <x v="1"/>
    <n v="49"/>
    <n v="30"/>
    <n v="3"/>
    <n v="90"/>
    <n v="6.97"/>
    <d v="2023-06-06T00:00:00"/>
    <s v="Returned"/>
    <n v="90"/>
    <n v="2023"/>
    <x v="5"/>
    <n v="24"/>
    <n v="3"/>
    <n v="3"/>
  </r>
  <r>
    <s v="CUST0007"/>
    <s v="Female"/>
    <s v="East"/>
    <s v="Headphones"/>
    <x v="1"/>
    <n v="52"/>
    <n v="100"/>
    <n v="2"/>
    <n v="200"/>
    <n v="12"/>
    <d v="2023-10-28T00:00:00"/>
    <s v="In Transit"/>
    <n v="200"/>
    <n v="2023"/>
    <x v="4"/>
    <n v="44"/>
    <n v="3"/>
    <n v="2"/>
  </r>
  <r>
    <s v="CUST0242"/>
    <s v="Male"/>
    <s v="North"/>
    <s v="Smartphone"/>
    <x v="0"/>
    <n v="58"/>
    <n v="800"/>
    <n v="4"/>
    <n v="3200"/>
    <n v="18.11"/>
    <d v="2023-12-30T00:00:00"/>
    <s v="Unknown"/>
    <n v="3200"/>
    <n v="2023"/>
    <x v="0"/>
    <n v="53"/>
    <n v="3"/>
    <n v="4"/>
  </r>
  <r>
    <s v="CUST0042"/>
    <s v="Female"/>
    <s v="South"/>
    <s v="Keyboard"/>
    <x v="1"/>
    <n v="57"/>
    <n v="50"/>
    <n v="1"/>
    <n v="50"/>
    <n v="9.6"/>
    <d v="2023-12-04T00:00:00"/>
    <s v="Delivered"/>
    <n v="50"/>
    <n v="2023"/>
    <x v="0"/>
    <n v="50"/>
    <n v="3"/>
    <n v="1"/>
  </r>
  <r>
    <s v="CUST0264"/>
    <s v="Male"/>
    <s v="East"/>
    <s v="Smartphone"/>
    <x v="0"/>
    <n v="59"/>
    <n v="1658.43232665954"/>
    <n v="2"/>
    <n v="1600"/>
    <n v="11.59"/>
    <d v="2023-02-01T00:00:00"/>
    <s v="In Transit"/>
    <n v="3316.8646533190799"/>
    <n v="2023"/>
    <x v="6"/>
    <n v="6"/>
    <n v="3"/>
    <n v="2"/>
  </r>
  <r>
    <s v="CUST0053"/>
    <s v="Female"/>
    <s v="North"/>
    <s v="Smartwatch"/>
    <x v="2"/>
    <n v="25"/>
    <n v="200"/>
    <n v="1"/>
    <n v="200"/>
    <n v="14.9"/>
    <d v="2023-08-14T00:00:00"/>
    <s v="Delivered"/>
    <n v="200"/>
    <n v="2023"/>
    <x v="2"/>
    <n v="34"/>
    <n v="3"/>
    <n v="1"/>
  </r>
  <r>
    <s v="CUST0154"/>
    <s v="Female"/>
    <s v="East"/>
    <s v="Smartphone"/>
    <x v="0"/>
    <n v="31"/>
    <n v="800"/>
    <n v="1"/>
    <n v="800"/>
    <n v="19.22"/>
    <d v="2023-12-07T00:00:00"/>
    <s v="In Transit"/>
    <n v="800"/>
    <n v="2023"/>
    <x v="0"/>
    <n v="50"/>
    <n v="3"/>
    <n v="1"/>
  </r>
  <r>
    <s v="CUST0190"/>
    <s v="Male"/>
    <s v="North"/>
    <s v="Keyboard"/>
    <x v="1"/>
    <n v="28"/>
    <n v="50"/>
    <n v="4"/>
    <n v="200"/>
    <n v="15.31"/>
    <d v="2023-06-28T00:00:00"/>
    <s v="Delivered"/>
    <n v="200"/>
    <n v="2023"/>
    <x v="5"/>
    <n v="27"/>
    <n v="3"/>
    <n v="4"/>
  </r>
  <r>
    <s v="CUST0038"/>
    <s v="Female"/>
    <s v="East"/>
    <s v="Monitor"/>
    <x v="0"/>
    <n v="57"/>
    <n v="300"/>
    <n v="2"/>
    <n v="600"/>
    <n v="12.38"/>
    <d v="2023-11-17T00:00:00"/>
    <s v="Returned"/>
    <n v="600"/>
    <n v="2023"/>
    <x v="10"/>
    <n v="47"/>
    <n v="3"/>
    <n v="2"/>
  </r>
  <r>
    <s v="CUST0288"/>
    <s v="Female"/>
    <s v="South"/>
    <s v="Laptop"/>
    <x v="0"/>
    <n v="49"/>
    <n v="1500"/>
    <n v="4"/>
    <n v="6000"/>
    <n v="12.91"/>
    <d v="2023-01-25T00:00:00"/>
    <s v="Delivered"/>
    <n v="6000"/>
    <n v="2023"/>
    <x v="3"/>
    <n v="5"/>
    <n v="3"/>
    <n v="4"/>
  </r>
  <r>
    <s v="CUST0124"/>
    <s v="Female"/>
    <s v="South"/>
    <s v="Monitor"/>
    <x v="0"/>
    <n v="53"/>
    <n v="300"/>
    <n v="2"/>
    <n v="600"/>
    <n v="18.38"/>
    <d v="2023-09-05T00:00:00"/>
    <s v="In Transit"/>
    <n v="600"/>
    <n v="2023"/>
    <x v="7"/>
    <n v="37"/>
    <n v="3"/>
    <n v="2"/>
  </r>
  <r>
    <s v="CUST0298"/>
    <s v="Female"/>
    <s v="South"/>
    <s v="Headphones"/>
    <x v="1"/>
    <n v="58"/>
    <n v="100"/>
    <n v="5"/>
    <n v="500"/>
    <n v="7.41"/>
    <d v="2023-09-17T00:00:00"/>
    <s v="Delivered"/>
    <n v="500"/>
    <n v="2023"/>
    <x v="7"/>
    <n v="38"/>
    <n v="3"/>
    <n v="5"/>
  </r>
  <r>
    <s v="CUST0211"/>
    <s v="Female"/>
    <s v="South"/>
    <s v="Mouse"/>
    <x v="1"/>
    <n v="35"/>
    <n v="30"/>
    <n v="3"/>
    <n v="90"/>
    <n v="11.42"/>
    <d v="2023-12-25T00:00:00"/>
    <s v="Delivered"/>
    <n v="90"/>
    <n v="2023"/>
    <x v="0"/>
    <n v="53"/>
    <n v="3"/>
    <n v="3"/>
  </r>
  <r>
    <s v="CUST0060"/>
    <s v="Male"/>
    <s v="North"/>
    <s v="Laptop"/>
    <x v="0"/>
    <n v="41"/>
    <n v="1500"/>
    <n v="4"/>
    <n v="6000"/>
    <n v="7.13"/>
    <d v="2023-01-14T00:00:00"/>
    <s v="Delivered"/>
    <n v="6000"/>
    <n v="2023"/>
    <x v="3"/>
    <n v="3"/>
    <n v="3"/>
    <n v="4"/>
  </r>
  <r>
    <s v="CUST0284"/>
    <s v="Female"/>
    <s v="West"/>
    <s v="Monitor"/>
    <x v="0"/>
    <n v="64"/>
    <n v="300"/>
    <n v="1"/>
    <n v="300"/>
    <n v="6.55"/>
    <d v="2023-08-01T00:00:00"/>
    <s v="Returned"/>
    <n v="300"/>
    <n v="2023"/>
    <x v="2"/>
    <n v="32"/>
    <n v="3"/>
    <n v="1"/>
  </r>
  <r>
    <s v="CUST0282"/>
    <s v="Male"/>
    <s v="North"/>
    <s v="Smartphone"/>
    <x v="0"/>
    <n v="49"/>
    <n v="800"/>
    <n v="2"/>
    <n v="1600"/>
    <n v="9.7200000000000006"/>
    <d v="2023-02-12T00:00:00"/>
    <s v="Delivered"/>
    <n v="1600"/>
    <n v="2023"/>
    <x v="6"/>
    <n v="7"/>
    <n v="3"/>
    <n v="2"/>
  </r>
  <r>
    <s v="CUST0205"/>
    <s v="Female"/>
    <s v="South"/>
    <s v="Monitor"/>
    <x v="0"/>
    <n v="43"/>
    <n v="300"/>
    <n v="2"/>
    <n v="600"/>
    <n v="18.27"/>
    <d v="2023-05-18T00:00:00"/>
    <s v="In Transit"/>
    <n v="600"/>
    <n v="2023"/>
    <x v="9"/>
    <n v="21"/>
    <n v="3"/>
    <n v="2"/>
  </r>
  <r>
    <s v="CUST0222"/>
    <s v="Female"/>
    <s v="Unknown"/>
    <s v="Smartphone"/>
    <x v="0"/>
    <n v="61"/>
    <n v="800"/>
    <n v="2"/>
    <n v="1600"/>
    <n v="6.01"/>
    <d v="2023-10-03T00:00:00"/>
    <s v="Returned"/>
    <n v="1600"/>
    <n v="2023"/>
    <x v="4"/>
    <n v="41"/>
    <n v="3"/>
    <n v="2"/>
  </r>
  <r>
    <s v="CUST0299"/>
    <s v="Male"/>
    <s v="East"/>
    <s v="Keyboard"/>
    <x v="1"/>
    <n v="58"/>
    <n v="50"/>
    <n v="2"/>
    <n v="100"/>
    <n v="9.57"/>
    <d v="2023-08-30T00:00:00"/>
    <s v="Returned"/>
    <n v="100"/>
    <n v="2023"/>
    <x v="2"/>
    <n v="36"/>
    <n v="3"/>
    <n v="2"/>
  </r>
  <r>
    <s v="CUST0064"/>
    <s v="Male"/>
    <s v="West"/>
    <s v="Monitor"/>
    <x v="0"/>
    <n v="61"/>
    <n v="300"/>
    <n v="1"/>
    <n v="300"/>
    <n v="13.82"/>
    <d v="2023-09-15T00:00:00"/>
    <s v="Returned"/>
    <n v="300"/>
    <n v="2023"/>
    <x v="7"/>
    <n v="38"/>
    <n v="3"/>
    <n v="1"/>
  </r>
  <r>
    <s v="CUST0073"/>
    <s v="Male"/>
    <s v="East"/>
    <s v="Keyboard"/>
    <x v="1"/>
    <n v="19"/>
    <n v="50"/>
    <n v="4"/>
    <n v="200"/>
    <n v="5.32"/>
    <d v="2023-02-14T00:00:00"/>
    <s v="Delivered"/>
    <n v="200"/>
    <n v="2023"/>
    <x v="6"/>
    <n v="8"/>
    <n v="3"/>
    <n v="4"/>
  </r>
  <r>
    <s v="CUST0154"/>
    <s v="Male"/>
    <s v="North"/>
    <s v="Keyboard"/>
    <x v="1"/>
    <n v="31"/>
    <n v="50"/>
    <n v="3"/>
    <n v="150"/>
    <n v="7.46"/>
    <d v="2023-02-27T00:00:00"/>
    <s v="Delivered"/>
    <n v="150"/>
    <n v="2023"/>
    <x v="6"/>
    <n v="10"/>
    <n v="3"/>
    <n v="3"/>
  </r>
  <r>
    <s v="CUST0081"/>
    <s v="Male"/>
    <s v="North"/>
    <s v="Monitor"/>
    <x v="0"/>
    <n v="38"/>
    <n v="300"/>
    <n v="1"/>
    <n v="300"/>
    <n v="17.22"/>
    <d v="2023-08-13T00:00:00"/>
    <s v="Returned"/>
    <n v="300"/>
    <n v="2023"/>
    <x v="2"/>
    <n v="33"/>
    <n v="3"/>
    <n v="1"/>
  </r>
  <r>
    <s v="CUST0247"/>
    <s v="Male"/>
    <s v="East"/>
    <s v="Headphones"/>
    <x v="1"/>
    <n v="44"/>
    <n v="100"/>
    <n v="2"/>
    <n v="200"/>
    <n v="8.15"/>
    <d v="2023-05-09T00:00:00"/>
    <s v="In Transit"/>
    <n v="200"/>
    <n v="2023"/>
    <x v="9"/>
    <n v="20"/>
    <n v="3"/>
    <n v="2"/>
  </r>
  <r>
    <s v="CUST0130"/>
    <s v="Male"/>
    <s v="East"/>
    <s v="Monitor"/>
    <x v="0"/>
    <n v="68"/>
    <n v="300"/>
    <n v="2"/>
    <n v="600"/>
    <n v="9.56"/>
    <d v="2023-12-23T00:00:00"/>
    <s v="Unknown"/>
    <n v="600"/>
    <n v="2023"/>
    <x v="0"/>
    <n v="52"/>
    <n v="3"/>
    <n v="2"/>
  </r>
  <r>
    <s v="CUST0178"/>
    <s v="Male"/>
    <s v="West"/>
    <s v="Smartwatch"/>
    <x v="2"/>
    <n v="44"/>
    <n v="200"/>
    <n v="3"/>
    <n v="600"/>
    <n v="18.09"/>
    <d v="2023-10-28T00:00:00"/>
    <s v="In Transit"/>
    <n v="600"/>
    <n v="2023"/>
    <x v="4"/>
    <n v="44"/>
    <n v="3"/>
    <n v="3"/>
  </r>
  <r>
    <s v="CUST0131"/>
    <s v="Female"/>
    <s v="West"/>
    <s v="Laptop"/>
    <x v="0"/>
    <n v="67"/>
    <n v="1500"/>
    <n v="4"/>
    <n v="6000"/>
    <n v="7.01"/>
    <d v="2023-09-01T00:00:00"/>
    <s v="Delivered"/>
    <n v="6000"/>
    <n v="2023"/>
    <x v="7"/>
    <n v="36"/>
    <n v="3"/>
    <n v="4"/>
  </r>
  <r>
    <s v="CUST0070"/>
    <s v="Male"/>
    <s v="West"/>
    <s v="Monitor"/>
    <x v="0"/>
    <n v="23"/>
    <n v="300"/>
    <n v="3"/>
    <n v="900"/>
    <n v="12.58"/>
    <d v="2023-04-16T00:00:00"/>
    <s v="Returned"/>
    <n v="900"/>
    <n v="2023"/>
    <x v="1"/>
    <n v="16"/>
    <n v="3"/>
    <n v="3"/>
  </r>
  <r>
    <s v="CUST0122"/>
    <s v="Male"/>
    <s v="West"/>
    <s v="Headphones"/>
    <x v="1"/>
    <n v="68"/>
    <n v="100"/>
    <n v="2"/>
    <n v="200"/>
    <n v="13.49"/>
    <d v="2023-12-13T00:00:00"/>
    <s v="In Transit"/>
    <n v="200"/>
    <n v="2023"/>
    <x v="0"/>
    <n v="51"/>
    <n v="3"/>
    <n v="2"/>
  </r>
  <r>
    <s v="CUST0168"/>
    <s v="Female"/>
    <s v="East"/>
    <s v="Monitor"/>
    <x v="0"/>
    <n v="42"/>
    <n v="300"/>
    <n v="4"/>
    <n v="1200"/>
    <n v="18.149999999999999"/>
    <d v="2023-03-27T00:00:00"/>
    <s v="In Transit"/>
    <n v="1200"/>
    <n v="2023"/>
    <x v="11"/>
    <n v="14"/>
    <n v="3"/>
    <n v="4"/>
  </r>
  <r>
    <s v="CUST0176"/>
    <s v="Male"/>
    <s v="South"/>
    <s v="Laptop"/>
    <x v="0"/>
    <n v="51"/>
    <n v="1500"/>
    <n v="2"/>
    <n v="3000"/>
    <n v="7.43"/>
    <d v="2023-11-16T00:00:00"/>
    <s v="Delivered"/>
    <n v="3000"/>
    <n v="2023"/>
    <x v="10"/>
    <n v="47"/>
    <n v="3"/>
    <n v="2"/>
  </r>
  <r>
    <s v="CUST0064"/>
    <s v="Female"/>
    <s v="West"/>
    <s v="Laptop"/>
    <x v="0"/>
    <n v="61"/>
    <n v="1500"/>
    <n v="2"/>
    <n v="3000"/>
    <n v="5.42"/>
    <d v="2023-06-14T00:00:00"/>
    <s v="Returned"/>
    <n v="3000"/>
    <n v="2023"/>
    <x v="5"/>
    <n v="25"/>
    <n v="3"/>
    <n v="2"/>
  </r>
  <r>
    <s v="CUST0125"/>
    <s v="Female"/>
    <s v="South"/>
    <s v="Smartphone"/>
    <x v="0"/>
    <n v="46"/>
    <n v="800"/>
    <n v="5"/>
    <n v="4000"/>
    <n v="10.62"/>
    <d v="2023-01-26T00:00:00"/>
    <s v="Returned"/>
    <n v="4000"/>
    <n v="2023"/>
    <x v="3"/>
    <n v="5"/>
    <n v="3"/>
    <n v="5"/>
  </r>
  <r>
    <s v="CUST0165"/>
    <s v="Female"/>
    <s v="West"/>
    <s v="Keyboard"/>
    <x v="1"/>
    <n v="49"/>
    <n v="50"/>
    <n v="4"/>
    <n v="200"/>
    <n v="19.72"/>
    <d v="2023-12-25T00:00:00"/>
    <s v="Unknown"/>
    <n v="200"/>
    <n v="2023"/>
    <x v="0"/>
    <n v="53"/>
    <n v="3"/>
    <n v="4"/>
  </r>
  <r>
    <s v="CUST0057"/>
    <s v="Male"/>
    <s v="North"/>
    <s v="Keyboard"/>
    <x v="1"/>
    <n v="62"/>
    <n v="50"/>
    <n v="4"/>
    <n v="200"/>
    <n v="12.79"/>
    <d v="2023-09-29T00:00:00"/>
    <s v="Delivered"/>
    <n v="200"/>
    <n v="2023"/>
    <x v="7"/>
    <n v="40"/>
    <n v="3"/>
    <n v="4"/>
  </r>
  <r>
    <s v="CUST0207"/>
    <s v="Male"/>
    <s v="South"/>
    <s v="Laptop"/>
    <x v="0"/>
    <n v="54"/>
    <n v="1500"/>
    <n v="1"/>
    <n v="1500"/>
    <n v="5.16"/>
    <d v="2023-03-14T00:00:00"/>
    <s v="Delivered"/>
    <n v="1500"/>
    <n v="2023"/>
    <x v="11"/>
    <n v="12"/>
    <n v="3"/>
    <n v="1"/>
  </r>
  <r>
    <s v="CUST0167"/>
    <s v="Female"/>
    <s v="North"/>
    <s v="Headphones"/>
    <x v="1"/>
    <n v="67"/>
    <n v="100"/>
    <n v="2"/>
    <n v="200"/>
    <n v="11.65"/>
    <d v="2023-12-14T00:00:00"/>
    <s v="Returned"/>
    <n v="200"/>
    <n v="2023"/>
    <x v="0"/>
    <n v="51"/>
    <n v="3"/>
    <n v="2"/>
  </r>
  <r>
    <s v="CUST0006"/>
    <s v="Male"/>
    <s v="South"/>
    <s v="Laptop"/>
    <x v="0"/>
    <n v="52"/>
    <n v="1500"/>
    <n v="5"/>
    <n v="7500"/>
    <n v="19.690000000000001"/>
    <d v="2023-09-17T00:00:00"/>
    <s v="In Transit"/>
    <n v="7500"/>
    <n v="2023"/>
    <x v="7"/>
    <n v="38"/>
    <n v="3"/>
    <n v="5"/>
  </r>
  <r>
    <s v="CUST0041"/>
    <s v="Male"/>
    <s v="East"/>
    <s v="Smartphone"/>
    <x v="0"/>
    <n v="64"/>
    <n v="800"/>
    <n v="4"/>
    <n v="3200"/>
    <n v="17.27"/>
    <d v="2023-08-08T00:00:00"/>
    <s v="In Transit"/>
    <n v="3200"/>
    <n v="2023"/>
    <x v="2"/>
    <n v="33"/>
    <n v="3"/>
    <n v="4"/>
  </r>
  <r>
    <s v="CUST0112"/>
    <s v="Male"/>
    <s v="North"/>
    <s v="Monitor"/>
    <x v="0"/>
    <n v="33"/>
    <n v="300"/>
    <n v="4"/>
    <n v="1200"/>
    <n v="14.88"/>
    <d v="2023-04-12T00:00:00"/>
    <s v="Delivered"/>
    <n v="1200"/>
    <n v="2023"/>
    <x v="1"/>
    <n v="16"/>
    <n v="3"/>
    <n v="4"/>
  </r>
  <r>
    <s v="CUST0244"/>
    <s v="Female"/>
    <s v="West"/>
    <s v="Headphones"/>
    <x v="1"/>
    <n v="24"/>
    <n v="100"/>
    <n v="3"/>
    <n v="300"/>
    <n v="8.49"/>
    <d v="2023-02-21T00:00:00"/>
    <s v="In Transit"/>
    <n v="300"/>
    <n v="2023"/>
    <x v="6"/>
    <n v="9"/>
    <n v="3"/>
    <n v="3"/>
  </r>
  <r>
    <s v="CUST0218"/>
    <s v="Male"/>
    <s v="East"/>
    <s v="Headphones"/>
    <x v="1"/>
    <n v="36"/>
    <n v="100"/>
    <n v="2"/>
    <n v="200"/>
    <n v="7.71"/>
    <d v="2023-11-03T00:00:00"/>
    <s v="Returned"/>
    <n v="200"/>
    <n v="2023"/>
    <x v="10"/>
    <n v="45"/>
    <n v="3"/>
    <n v="2"/>
  </r>
  <r>
    <s v="CUST0073"/>
    <s v="Male"/>
    <s v="North"/>
    <s v="Monitor"/>
    <x v="0"/>
    <n v="19"/>
    <n v="300"/>
    <n v="5"/>
    <n v="1500"/>
    <n v="13.7"/>
    <d v="2023-01-16T00:00:00"/>
    <s v="In Transit"/>
    <n v="1500"/>
    <n v="2023"/>
    <x v="3"/>
    <n v="4"/>
    <n v="3"/>
    <n v="5"/>
  </r>
  <r>
    <s v="CUST0083"/>
    <s v="Male"/>
    <s v="East"/>
    <s v="Monitor"/>
    <x v="0"/>
    <n v="28"/>
    <n v="300"/>
    <n v="1"/>
    <n v="300"/>
    <n v="17.98"/>
    <d v="2024-01-03T00:00:00"/>
    <s v="Returned"/>
    <n v="300"/>
    <n v="2024"/>
    <x v="12"/>
    <n v="1"/>
    <n v="3"/>
    <n v="1"/>
  </r>
  <r>
    <s v="CUST0065"/>
    <s v="Female"/>
    <s v="East"/>
    <s v="Headphones"/>
    <x v="1"/>
    <n v="49"/>
    <n v="100"/>
    <n v="2"/>
    <n v="200"/>
    <n v="13.06"/>
    <d v="2023-02-05T00:00:00"/>
    <s v="Returned"/>
    <n v="200"/>
    <n v="2023"/>
    <x v="6"/>
    <n v="6"/>
    <n v="3"/>
    <n v="2"/>
  </r>
  <r>
    <s v="CUST0096"/>
    <s v="Female"/>
    <s v="Unknown"/>
    <s v="Smartphone"/>
    <x v="0"/>
    <n v="61"/>
    <n v="800"/>
    <n v="4"/>
    <n v="3200"/>
    <n v="11.79"/>
    <d v="2023-02-07T00:00:00"/>
    <s v="In Transit"/>
    <n v="3200"/>
    <n v="2023"/>
    <x v="6"/>
    <n v="7"/>
    <n v="3"/>
    <n v="4"/>
  </r>
  <r>
    <s v="CUST0060"/>
    <s v="Male"/>
    <s v="South"/>
    <s v="Keyboard"/>
    <x v="1"/>
    <n v="41"/>
    <n v="50"/>
    <n v="4"/>
    <n v="200"/>
    <n v="19.12"/>
    <d v="2023-04-03T00:00:00"/>
    <s v="Returned"/>
    <n v="200"/>
    <n v="2023"/>
    <x v="1"/>
    <n v="15"/>
    <n v="3"/>
    <n v="4"/>
  </r>
  <r>
    <s v="CUST0045"/>
    <s v="Male"/>
    <s v="East"/>
    <s v="Mouse"/>
    <x v="1"/>
    <n v="21"/>
    <n v="30"/>
    <n v="1"/>
    <n v="30"/>
    <n v="6.17"/>
    <d v="2023-10-23T00:00:00"/>
    <s v="In Transit"/>
    <n v="30"/>
    <n v="2023"/>
    <x v="4"/>
    <n v="44"/>
    <n v="3"/>
    <n v="1"/>
  </r>
  <r>
    <s v="CUST0296"/>
    <s v="Female"/>
    <s v="North"/>
    <s v="Keyboard"/>
    <x v="1"/>
    <n v="50"/>
    <n v="50"/>
    <n v="2"/>
    <n v="100"/>
    <n v="13.82"/>
    <d v="2023-07-25T00:00:00"/>
    <s v="In Transit"/>
    <n v="100"/>
    <n v="2023"/>
    <x v="8"/>
    <n v="31"/>
    <n v="3"/>
    <n v="2"/>
  </r>
  <r>
    <s v="CUST0261"/>
    <s v="Male"/>
    <s v="West"/>
    <s v="Laptop"/>
    <x v="0"/>
    <n v="48"/>
    <n v="1500"/>
    <n v="5"/>
    <n v="7500"/>
    <n v="15.95"/>
    <d v="2023-10-01T00:00:00"/>
    <s v="Returned"/>
    <n v="7500"/>
    <n v="2023"/>
    <x v="4"/>
    <n v="40"/>
    <n v="3"/>
    <n v="5"/>
  </r>
  <r>
    <s v="CUST0077"/>
    <s v="Male"/>
    <s v="South"/>
    <s v="Keyboard"/>
    <x v="1"/>
    <n v="50"/>
    <n v="50"/>
    <n v="5"/>
    <n v="250"/>
    <n v="10.89"/>
    <d v="2023-03-19T00:00:00"/>
    <s v="Delivered"/>
    <n v="250"/>
    <n v="2023"/>
    <x v="11"/>
    <n v="12"/>
    <n v="3"/>
    <n v="5"/>
  </r>
  <r>
    <s v="CUST0227"/>
    <s v="Female"/>
    <s v="West"/>
    <s v="Keyboard"/>
    <x v="1"/>
    <n v="54"/>
    <n v="50"/>
    <n v="4"/>
    <n v="200"/>
    <n v="9.2200000000000006"/>
    <d v="2023-10-05T00:00:00"/>
    <s v="Returned"/>
    <n v="200"/>
    <n v="2023"/>
    <x v="4"/>
    <n v="41"/>
    <n v="3"/>
    <n v="4"/>
  </r>
  <r>
    <s v="CUST0284"/>
    <s v="Female"/>
    <s v="North"/>
    <s v="Keyboard"/>
    <x v="1"/>
    <n v="64"/>
    <n v="50"/>
    <n v="3"/>
    <n v="150"/>
    <n v="17.760000000000002"/>
    <d v="2023-04-11T00:00:00"/>
    <s v="In Transit"/>
    <n v="150"/>
    <n v="2023"/>
    <x v="1"/>
    <n v="16"/>
    <n v="3"/>
    <n v="3"/>
  </r>
  <r>
    <s v="CUST0245"/>
    <s v="Male"/>
    <s v="North"/>
    <s v="Mouse"/>
    <x v="1"/>
    <n v="63"/>
    <n v="30"/>
    <n v="1"/>
    <n v="30"/>
    <n v="13.28"/>
    <d v="2023-09-11T00:00:00"/>
    <s v="Returned"/>
    <n v="30"/>
    <n v="2023"/>
    <x v="7"/>
    <n v="38"/>
    <n v="3"/>
    <n v="1"/>
  </r>
  <r>
    <s v="CUST0133"/>
    <s v="Female"/>
    <s v="North"/>
    <s v="Smartphone"/>
    <x v="0"/>
    <n v="47"/>
    <n v="800"/>
    <n v="1"/>
    <n v="800"/>
    <n v="11.29"/>
    <d v="2023-10-28T00:00:00"/>
    <s v="Returned"/>
    <n v="800"/>
    <n v="2023"/>
    <x v="4"/>
    <n v="44"/>
    <n v="3"/>
    <n v="1"/>
  </r>
  <r>
    <s v="CUST0179"/>
    <s v="Male"/>
    <s v="North"/>
    <s v="Keyboard"/>
    <x v="1"/>
    <n v="45"/>
    <n v="50"/>
    <n v="2"/>
    <n v="100"/>
    <n v="19.04"/>
    <d v="2023-03-16T00:00:00"/>
    <s v="Delivered"/>
    <n v="100"/>
    <n v="2023"/>
    <x v="11"/>
    <n v="12"/>
    <n v="3"/>
    <n v="2"/>
  </r>
  <r>
    <s v="CUST0022"/>
    <s v="Female"/>
    <s v="North"/>
    <s v="Smartwatch"/>
    <x v="2"/>
    <n v="33"/>
    <n v="200"/>
    <n v="2"/>
    <n v="400"/>
    <n v="10.07"/>
    <d v="2023-11-21T00:00:00"/>
    <s v="Delivered"/>
    <n v="400"/>
    <n v="2023"/>
    <x v="10"/>
    <n v="48"/>
    <n v="3"/>
    <n v="2"/>
  </r>
  <r>
    <s v="CUST0269"/>
    <s v="Female"/>
    <s v="East"/>
    <s v="Laptop"/>
    <x v="0"/>
    <n v="64"/>
    <n v="1500"/>
    <n v="5"/>
    <n v="7500"/>
    <n v="6.53"/>
    <d v="2023-12-03T00:00:00"/>
    <s v="Returned"/>
    <n v="7500"/>
    <n v="2023"/>
    <x v="0"/>
    <n v="49"/>
    <n v="3"/>
    <n v="5"/>
  </r>
  <r>
    <s v="CUST0181"/>
    <s v="Male"/>
    <s v="East"/>
    <s v="Smartwatch"/>
    <x v="2"/>
    <n v="59"/>
    <n v="200"/>
    <n v="3"/>
    <n v="600"/>
    <n v="9.82"/>
    <d v="2023-02-08T00:00:00"/>
    <s v="In Transit"/>
    <n v="600"/>
    <n v="2023"/>
    <x v="6"/>
    <n v="7"/>
    <n v="3"/>
    <n v="3"/>
  </r>
  <r>
    <s v="CUST0170"/>
    <s v="Female"/>
    <s v="South"/>
    <s v="Mouse"/>
    <x v="1"/>
    <n v="40"/>
    <n v="30"/>
    <n v="5"/>
    <n v="150"/>
    <n v="8.64"/>
    <d v="2023-12-22T00:00:00"/>
    <s v="Delivered"/>
    <n v="150"/>
    <n v="2023"/>
    <x v="0"/>
    <n v="52"/>
    <n v="3"/>
    <n v="5"/>
  </r>
  <r>
    <s v="CUST0182"/>
    <s v="Male"/>
    <s v="West"/>
    <s v="Monitor"/>
    <x v="0"/>
    <n v="49"/>
    <n v="300"/>
    <n v="5"/>
    <n v="1500"/>
    <n v="7.77"/>
    <d v="2023-10-24T00:00:00"/>
    <s v="In Transit"/>
    <n v="1500"/>
    <n v="2023"/>
    <x v="4"/>
    <n v="44"/>
    <n v="3"/>
    <n v="5"/>
  </r>
  <r>
    <s v="CUST0219"/>
    <s v="Male"/>
    <s v="Unknown"/>
    <s v="Mouse"/>
    <x v="1"/>
    <n v="48"/>
    <n v="62.191212249732999"/>
    <n v="2"/>
    <n v="60"/>
    <n v="7.4"/>
    <d v="2023-08-20T00:00:00"/>
    <s v="Returned"/>
    <n v="124.382424499466"/>
    <n v="2023"/>
    <x v="2"/>
    <n v="34"/>
    <n v="3"/>
    <n v="2"/>
  </r>
  <r>
    <s v="CUST0037"/>
    <s v="Male"/>
    <s v="West"/>
    <s v="Keyboard"/>
    <x v="1"/>
    <n v="51"/>
    <n v="103.65202041622101"/>
    <n v="4"/>
    <n v="200"/>
    <n v="11.41"/>
    <d v="2023-05-20T00:00:00"/>
    <s v="Returned"/>
    <n v="414.60808166488403"/>
    <n v="2023"/>
    <x v="9"/>
    <n v="21"/>
    <n v="3"/>
    <n v="4"/>
  </r>
  <r>
    <s v="CUST0006"/>
    <s v="Female"/>
    <s v="West"/>
    <s v="Monitor"/>
    <x v="0"/>
    <n v="52"/>
    <n v="300"/>
    <n v="3"/>
    <n v="900"/>
    <n v="5.66"/>
    <d v="2023-02-18T00:00:00"/>
    <s v="Delivered"/>
    <n v="900"/>
    <n v="2023"/>
    <x v="6"/>
    <n v="8"/>
    <n v="3"/>
    <n v="3"/>
  </r>
  <r>
    <s v="CUST0125"/>
    <s v="Female"/>
    <s v="West"/>
    <s v="Mouse"/>
    <x v="1"/>
    <n v="46"/>
    <n v="30"/>
    <n v="4"/>
    <n v="120"/>
    <n v="5.71"/>
    <d v="2024-01-03T00:00:00"/>
    <s v="Delivered"/>
    <n v="120"/>
    <n v="2024"/>
    <x v="12"/>
    <n v="1"/>
    <n v="3"/>
    <n v="4"/>
  </r>
  <r>
    <s v="CUST0006"/>
    <s v="Male"/>
    <s v="North"/>
    <s v="Smartwatch"/>
    <x v="2"/>
    <n v="52"/>
    <n v="200"/>
    <n v="1"/>
    <n v="200"/>
    <n v="13.68"/>
    <d v="2023-08-02T00:00:00"/>
    <s v="Delivered"/>
    <n v="200"/>
    <n v="2023"/>
    <x v="2"/>
    <n v="32"/>
    <n v="3"/>
    <n v="1"/>
  </r>
  <r>
    <s v="CUST0091"/>
    <s v="Female"/>
    <s v="South"/>
    <s v="Mouse"/>
    <x v="1"/>
    <n v="30"/>
    <n v="30"/>
    <n v="1"/>
    <n v="30"/>
    <n v="18.29"/>
    <d v="2023-04-19T00:00:00"/>
    <s v="In Transit"/>
    <n v="30"/>
    <n v="2023"/>
    <x v="1"/>
    <n v="17"/>
    <n v="3"/>
    <n v="1"/>
  </r>
  <r>
    <s v="CUST0064"/>
    <s v="Male"/>
    <s v="North"/>
    <s v="Smartphone"/>
    <x v="0"/>
    <n v="61"/>
    <n v="800"/>
    <n v="5"/>
    <n v="4000"/>
    <n v="6.31"/>
    <d v="2023-06-29T00:00:00"/>
    <s v="Delivered"/>
    <n v="4000"/>
    <n v="2023"/>
    <x v="5"/>
    <n v="27"/>
    <n v="3"/>
    <n v="5"/>
  </r>
  <r>
    <s v="CUST0286"/>
    <s v="Female"/>
    <s v="North"/>
    <s v="Laptop"/>
    <x v="0"/>
    <n v="63"/>
    <n v="1500"/>
    <n v="1"/>
    <n v="1500"/>
    <n v="13.15"/>
    <d v="2023-03-08T00:00:00"/>
    <s v="Delivered"/>
    <n v="1500"/>
    <n v="2023"/>
    <x v="11"/>
    <n v="11"/>
    <n v="3"/>
    <n v="1"/>
  </r>
  <r>
    <s v="CUST0288"/>
    <s v="Male"/>
    <s v="West"/>
    <s v="Headphones"/>
    <x v="1"/>
    <n v="55"/>
    <n v="100"/>
    <n v="2"/>
    <n v="200"/>
    <n v="16.23"/>
    <d v="2023-07-04T00:00:00"/>
    <s v="Returned"/>
    <n v="200"/>
    <n v="2023"/>
    <x v="8"/>
    <n v="28"/>
    <n v="3"/>
    <n v="2"/>
  </r>
  <r>
    <s v="CUST0019"/>
    <s v="Female"/>
    <s v="East"/>
    <s v="Keyboard"/>
    <x v="1"/>
    <n v="69"/>
    <n v="50"/>
    <n v="1"/>
    <n v="50"/>
    <n v="14.53"/>
    <d v="2023-04-23T00:00:00"/>
    <s v="Returned"/>
    <n v="50"/>
    <n v="2023"/>
    <x v="1"/>
    <n v="17"/>
    <n v="3"/>
    <n v="1"/>
  </r>
  <r>
    <s v="CUST0236"/>
    <s v="Male"/>
    <s v="East"/>
    <s v="Keyboard"/>
    <x v="1"/>
    <n v="18"/>
    <n v="50"/>
    <n v="2"/>
    <n v="100"/>
    <n v="11.25"/>
    <d v="2023-03-24T00:00:00"/>
    <s v="Returned"/>
    <n v="100"/>
    <n v="2023"/>
    <x v="11"/>
    <n v="13"/>
    <n v="3"/>
    <n v="2"/>
  </r>
  <r>
    <s v="CUST0159"/>
    <s v="Male"/>
    <s v="West"/>
    <s v="Keyboard"/>
    <x v="1"/>
    <n v="18"/>
    <n v="50"/>
    <n v="5"/>
    <n v="250"/>
    <n v="11.11"/>
    <d v="2023-09-11T00:00:00"/>
    <s v="Returned"/>
    <n v="250"/>
    <n v="2023"/>
    <x v="7"/>
    <n v="38"/>
    <n v="3"/>
    <n v="5"/>
  </r>
  <r>
    <s v="CUST0251"/>
    <s v="Male"/>
    <s v="North"/>
    <s v="Mouse"/>
    <x v="1"/>
    <n v="42"/>
    <n v="30"/>
    <n v="2"/>
    <n v="60"/>
    <n v="18.98"/>
    <d v="2023-02-02T00:00:00"/>
    <s v="In Transit"/>
    <n v="60"/>
    <n v="2023"/>
    <x v="6"/>
    <n v="6"/>
    <n v="3"/>
    <n v="2"/>
  </r>
  <r>
    <s v="CUST0159"/>
    <s v="Male"/>
    <s v="North"/>
    <s v="Headphones"/>
    <x v="1"/>
    <n v="18"/>
    <n v="100"/>
    <n v="1"/>
    <n v="100"/>
    <n v="18.47"/>
    <d v="2023-08-13T00:00:00"/>
    <s v="Delivered"/>
    <n v="100"/>
    <n v="2023"/>
    <x v="2"/>
    <n v="33"/>
    <n v="3"/>
    <n v="1"/>
  </r>
  <r>
    <s v="CUST0064"/>
    <s v="Male"/>
    <s v="West"/>
    <s v="Monitor"/>
    <x v="0"/>
    <n v="61"/>
    <n v="300"/>
    <n v="4"/>
    <n v="1200"/>
    <n v="18.5"/>
    <d v="2023-05-23T00:00:00"/>
    <s v="Returned"/>
    <n v="1200"/>
    <n v="2023"/>
    <x v="9"/>
    <n v="22"/>
    <n v="3"/>
    <n v="4"/>
  </r>
  <r>
    <s v="CUST0099"/>
    <s v="Female"/>
    <s v="South"/>
    <s v="Laptop"/>
    <x v="0"/>
    <n v="26"/>
    <n v="1500"/>
    <n v="4"/>
    <n v="6000"/>
    <n v="15.74"/>
    <d v="2023-08-12T00:00:00"/>
    <s v="Returned"/>
    <n v="6000"/>
    <n v="2023"/>
    <x v="2"/>
    <n v="33"/>
    <n v="3"/>
    <n v="4"/>
  </r>
  <r>
    <s v="CUST0228"/>
    <s v="Male"/>
    <s v="North"/>
    <s v="Smartphone"/>
    <x v="0"/>
    <n v="25"/>
    <n v="800"/>
    <n v="4"/>
    <n v="3200"/>
    <n v="18.2"/>
    <d v="2023-01-24T00:00:00"/>
    <s v="In Transit"/>
    <n v="3200"/>
    <n v="2023"/>
    <x v="3"/>
    <n v="5"/>
    <n v="3"/>
    <n v="4"/>
  </r>
  <r>
    <s v="CUST0024"/>
    <s v="Female"/>
    <s v="East"/>
    <s v="Smartwatch"/>
    <x v="2"/>
    <n v="57"/>
    <n v="200"/>
    <n v="2"/>
    <n v="400"/>
    <n v="17.940000000000001"/>
    <d v="2023-12-08T00:00:00"/>
    <s v="In Transit"/>
    <n v="400"/>
    <n v="2023"/>
    <x v="0"/>
    <n v="50"/>
    <n v="3"/>
    <n v="2"/>
  </r>
  <r>
    <s v="CUST0113"/>
    <s v="Male"/>
    <s v="South"/>
    <s v="Smartphone"/>
    <x v="0"/>
    <n v="38"/>
    <n v="800"/>
    <n v="2"/>
    <n v="1600"/>
    <n v="16.510000000000002"/>
    <d v="2023-09-14T00:00:00"/>
    <s v="In Transit"/>
    <n v="1600"/>
    <n v="2023"/>
    <x v="7"/>
    <n v="38"/>
    <n v="3"/>
    <n v="2"/>
  </r>
  <r>
    <s v="CUST0192"/>
    <s v="Female"/>
    <s v="North"/>
    <s v="Smartwatch"/>
    <x v="2"/>
    <n v="58"/>
    <n v="200"/>
    <n v="4"/>
    <n v="800"/>
    <n v="9.9700000000000006"/>
    <d v="2023-11-12T00:00:00"/>
    <s v="Delivered"/>
    <n v="800"/>
    <n v="2023"/>
    <x v="10"/>
    <n v="46"/>
    <n v="3"/>
    <n v="4"/>
  </r>
  <r>
    <s v="CUST0153"/>
    <s v="Female"/>
    <s v="East"/>
    <s v="Monitor"/>
    <x v="0"/>
    <n v="40"/>
    <n v="300"/>
    <n v="1"/>
    <n v="300"/>
    <n v="6.85"/>
    <d v="2023-06-21T00:00:00"/>
    <s v="Returned"/>
    <n v="300"/>
    <n v="2023"/>
    <x v="5"/>
    <n v="26"/>
    <n v="3"/>
    <n v="1"/>
  </r>
  <r>
    <s v="CUST0057"/>
    <s v="Female"/>
    <s v="East"/>
    <s v="Keyboard"/>
    <x v="1"/>
    <n v="62"/>
    <n v="50"/>
    <n v="5"/>
    <n v="250"/>
    <n v="14.04"/>
    <d v="2024-01-03T00:00:00"/>
    <s v="Unknown"/>
    <n v="250"/>
    <n v="2024"/>
    <x v="12"/>
    <n v="1"/>
    <n v="3"/>
    <n v="5"/>
  </r>
  <r>
    <s v="CUST0192"/>
    <s v="Male"/>
    <s v="Unknown"/>
    <s v="Keyboard"/>
    <x v="1"/>
    <n v="58"/>
    <n v="50"/>
    <n v="3"/>
    <n v="150"/>
    <n v="6.37"/>
    <d v="2024-01-03T00:00:00"/>
    <s v="In Transit"/>
    <n v="150"/>
    <n v="2024"/>
    <x v="12"/>
    <n v="1"/>
    <n v="3"/>
    <n v="3"/>
  </r>
  <r>
    <s v="CUST0150"/>
    <s v="Female"/>
    <s v="North"/>
    <s v="Laptop"/>
    <x v="0"/>
    <n v="63"/>
    <n v="1500"/>
    <n v="3"/>
    <n v="4500"/>
    <n v="18.66"/>
    <d v="2023-05-06T00:00:00"/>
    <s v="Returned"/>
    <n v="4500"/>
    <n v="2023"/>
    <x v="9"/>
    <n v="19"/>
    <n v="3"/>
    <n v="3"/>
  </r>
  <r>
    <s v="CUST0203"/>
    <s v="Male"/>
    <s v="South"/>
    <s v="Mouse"/>
    <x v="1"/>
    <n v="33"/>
    <n v="30"/>
    <n v="1"/>
    <n v="30"/>
    <n v="7.78"/>
    <d v="2023-01-03T00:00:00"/>
    <s v="In Transit"/>
    <n v="30"/>
    <n v="2023"/>
    <x v="3"/>
    <n v="2"/>
    <n v="3"/>
    <n v="1"/>
  </r>
  <r>
    <s v="CUST0163"/>
    <s v="Female"/>
    <s v="North"/>
    <s v="Headphones"/>
    <x v="1"/>
    <n v="22"/>
    <n v="100"/>
    <n v="3"/>
    <n v="300"/>
    <n v="6.16"/>
    <d v="2023-10-12T00:00:00"/>
    <s v="Returned"/>
    <n v="300"/>
    <n v="2023"/>
    <x v="4"/>
    <n v="42"/>
    <n v="3"/>
    <n v="3"/>
  </r>
  <r>
    <s v="CUST0203"/>
    <s v="Female"/>
    <s v="East"/>
    <s v="Laptop"/>
    <x v="0"/>
    <n v="33"/>
    <n v="1500"/>
    <n v="3"/>
    <n v="4500"/>
    <n v="6.92"/>
    <d v="2023-06-26T00:00:00"/>
    <s v="Returned"/>
    <n v="4500"/>
    <n v="2023"/>
    <x v="5"/>
    <n v="27"/>
    <n v="3"/>
    <n v="3"/>
  </r>
  <r>
    <s v="CUST0223"/>
    <s v="Female"/>
    <s v="Unknown"/>
    <s v="Mouse"/>
    <x v="1"/>
    <n v="20"/>
    <n v="62.191212249732999"/>
    <n v="2"/>
    <n v="60"/>
    <n v="15.12"/>
    <d v="2023-05-26T00:00:00"/>
    <s v="In Transit"/>
    <n v="124.382424499466"/>
    <n v="2023"/>
    <x v="9"/>
    <n v="22"/>
    <n v="3"/>
    <n v="2"/>
  </r>
  <r>
    <s v="CUST0266"/>
    <s v="Male"/>
    <s v="North"/>
    <s v="Mouse"/>
    <x v="1"/>
    <n v="49"/>
    <n v="30"/>
    <n v="5"/>
    <n v="150"/>
    <n v="16.86"/>
    <d v="2023-11-08T00:00:00"/>
    <s v="Returned"/>
    <n v="150"/>
    <n v="2023"/>
    <x v="10"/>
    <n v="46"/>
    <n v="3"/>
    <n v="5"/>
  </r>
  <r>
    <s v="CUST0227"/>
    <s v="Male"/>
    <s v="West"/>
    <s v="Smartphone"/>
    <x v="0"/>
    <n v="54"/>
    <n v="800"/>
    <n v="3"/>
    <n v="2400"/>
    <n v="18.760000000000002"/>
    <d v="2023-12-07T00:00:00"/>
    <s v="In Transit"/>
    <n v="2400"/>
    <n v="2023"/>
    <x v="0"/>
    <n v="50"/>
    <n v="3"/>
    <n v="3"/>
  </r>
  <r>
    <s v="CUST0289"/>
    <s v="Male"/>
    <s v="West"/>
    <s v="Laptop"/>
    <x v="0"/>
    <n v="37"/>
    <n v="1500"/>
    <n v="5"/>
    <n v="7500"/>
    <n v="6.68"/>
    <d v="2023-07-06T00:00:00"/>
    <s v="Delivered"/>
    <n v="7500"/>
    <n v="2023"/>
    <x v="8"/>
    <n v="28"/>
    <n v="3"/>
    <n v="5"/>
  </r>
  <r>
    <s v="CUST0046"/>
    <s v="Female"/>
    <s v="South"/>
    <s v="Laptop"/>
    <x v="0"/>
    <n v="22"/>
    <n v="1500"/>
    <n v="3"/>
    <n v="4500"/>
    <n v="11.69"/>
    <d v="2023-06-20T00:00:00"/>
    <s v="Delivered"/>
    <n v="4500"/>
    <n v="2023"/>
    <x v="5"/>
    <n v="26"/>
    <n v="3"/>
    <n v="3"/>
  </r>
  <r>
    <s v="CUST0173"/>
    <s v="Male"/>
    <s v="Unknown"/>
    <s v="Headphones"/>
    <x v="1"/>
    <n v="65"/>
    <n v="100"/>
    <n v="1"/>
    <n v="100"/>
    <n v="19.28"/>
    <d v="2023-02-11T00:00:00"/>
    <s v="Returned"/>
    <n v="100"/>
    <n v="2023"/>
    <x v="6"/>
    <n v="7"/>
    <n v="3"/>
    <n v="1"/>
  </r>
  <r>
    <s v="CUST0008"/>
    <s v="Female"/>
    <s v="North"/>
    <s v="Headphones"/>
    <x v="1"/>
    <n v="49"/>
    <n v="100"/>
    <n v="5"/>
    <n v="500"/>
    <n v="16.04"/>
    <d v="2023-02-02T00:00:00"/>
    <s v="Delivered"/>
    <n v="500"/>
    <n v="2023"/>
    <x v="6"/>
    <n v="6"/>
    <n v="3"/>
    <n v="5"/>
  </r>
  <r>
    <s v="CUST0015"/>
    <s v="Male"/>
    <s v="West"/>
    <s v="Headphones"/>
    <x v="1"/>
    <n v="58"/>
    <n v="100"/>
    <n v="3"/>
    <n v="300"/>
    <n v="6.08"/>
    <d v="2023-03-22T00:00:00"/>
    <s v="Returned"/>
    <n v="300"/>
    <n v="2023"/>
    <x v="11"/>
    <n v="13"/>
    <n v="3"/>
    <n v="3"/>
  </r>
  <r>
    <s v="CUST0002"/>
    <s v="Male"/>
    <s v="East"/>
    <s v="Smartphone"/>
    <x v="0"/>
    <n v="23"/>
    <n v="800"/>
    <n v="1"/>
    <n v="800"/>
    <n v="12.64"/>
    <d v="2023-09-10T00:00:00"/>
    <s v="Returned"/>
    <n v="800"/>
    <n v="2023"/>
    <x v="7"/>
    <n v="37"/>
    <n v="3"/>
    <n v="1"/>
  </r>
  <r>
    <s v="CUST0189"/>
    <s v="Female"/>
    <s v="South"/>
    <s v="Mouse"/>
    <x v="1"/>
    <n v="38"/>
    <n v="30"/>
    <n v="1"/>
    <n v="30"/>
    <n v="10.92"/>
    <d v="2023-02-22T00:00:00"/>
    <s v="Delivered"/>
    <n v="30"/>
    <n v="2023"/>
    <x v="6"/>
    <n v="9"/>
    <n v="3"/>
    <n v="1"/>
  </r>
  <r>
    <s v="CUST0137"/>
    <s v="Male"/>
    <s v="North"/>
    <s v="Smartphone"/>
    <x v="0"/>
    <n v="19"/>
    <n v="800"/>
    <n v="3"/>
    <n v="2400"/>
    <n v="16.82"/>
    <d v="2023-05-20T00:00:00"/>
    <s v="In Transit"/>
    <n v="2400"/>
    <n v="2023"/>
    <x v="9"/>
    <n v="21"/>
    <n v="3"/>
    <n v="3"/>
  </r>
  <r>
    <s v="CUST0139"/>
    <s v="Male"/>
    <s v="South"/>
    <s v="Smartwatch"/>
    <x v="2"/>
    <n v="49"/>
    <n v="200"/>
    <n v="2"/>
    <n v="400"/>
    <n v="9.18"/>
    <d v="2023-06-26T00:00:00"/>
    <s v="Delivered"/>
    <n v="400"/>
    <n v="2023"/>
    <x v="5"/>
    <n v="27"/>
    <n v="3"/>
    <n v="2"/>
  </r>
  <r>
    <s v="CUST0033"/>
    <s v="Female"/>
    <s v="South"/>
    <s v="Monitor"/>
    <x v="0"/>
    <n v="49"/>
    <n v="300"/>
    <n v="2"/>
    <n v="600"/>
    <n v="15.3"/>
    <d v="2023-04-12T00:00:00"/>
    <s v="Delivered"/>
    <n v="600"/>
    <n v="2023"/>
    <x v="1"/>
    <n v="16"/>
    <n v="3"/>
    <n v="2"/>
  </r>
  <r>
    <s v="CUST0297"/>
    <s v="Male"/>
    <s v="North"/>
    <s v="Monitor"/>
    <x v="0"/>
    <n v="61"/>
    <n v="300"/>
    <n v="2"/>
    <n v="600"/>
    <n v="13.84"/>
    <d v="2023-10-10T00:00:00"/>
    <s v="In Transit"/>
    <n v="600"/>
    <n v="2023"/>
    <x v="4"/>
    <n v="42"/>
    <n v="3"/>
    <n v="2"/>
  </r>
  <r>
    <s v="CUST0008"/>
    <s v="Female"/>
    <s v="North"/>
    <s v="Keyboard"/>
    <x v="1"/>
    <n v="18"/>
    <n v="50"/>
    <n v="3"/>
    <n v="150"/>
    <n v="13.86"/>
    <d v="2023-05-29T00:00:00"/>
    <s v="Delivered"/>
    <n v="150"/>
    <n v="2023"/>
    <x v="9"/>
    <n v="23"/>
    <n v="3"/>
    <n v="3"/>
  </r>
  <r>
    <s v="CUST0267"/>
    <s v="Male"/>
    <s v="North"/>
    <s v="Laptop"/>
    <x v="0"/>
    <n v="29"/>
    <n v="1500"/>
    <n v="3"/>
    <n v="4500"/>
    <n v="14.23"/>
    <d v="2023-06-01T00:00:00"/>
    <s v="Returned"/>
    <n v="4500"/>
    <n v="2023"/>
    <x v="5"/>
    <n v="23"/>
    <n v="3"/>
    <n v="3"/>
  </r>
  <r>
    <s v="CUST0028"/>
    <s v="Male"/>
    <s v="Unknown"/>
    <s v="Smartwatch"/>
    <x v="2"/>
    <n v="50"/>
    <n v="200"/>
    <n v="5"/>
    <n v="1000"/>
    <n v="6.09"/>
    <d v="2023-08-22T00:00:00"/>
    <s v="In Transit"/>
    <n v="1000"/>
    <n v="2023"/>
    <x v="2"/>
    <n v="35"/>
    <n v="3"/>
    <n v="5"/>
  </r>
  <r>
    <s v="CUST0078"/>
    <s v="Female"/>
    <s v="North"/>
    <s v="Laptop"/>
    <x v="0"/>
    <n v="38"/>
    <n v="1500"/>
    <n v="3"/>
    <n v="4500"/>
    <n v="19.98"/>
    <d v="2023-05-10T00:00:00"/>
    <s v="In Transit"/>
    <n v="4500"/>
    <n v="2023"/>
    <x v="9"/>
    <n v="20"/>
    <n v="3"/>
    <n v="3"/>
  </r>
  <r>
    <s v="CUST0003"/>
    <s v="Male"/>
    <s v="North"/>
    <s v="Smartphone"/>
    <x v="0"/>
    <n v="63"/>
    <n v="800"/>
    <n v="5"/>
    <n v="4000"/>
    <n v="11.1"/>
    <d v="2023-11-06T00:00:00"/>
    <s v="In Transit"/>
    <n v="4000"/>
    <n v="2023"/>
    <x v="10"/>
    <n v="46"/>
    <n v="3"/>
    <n v="5"/>
  </r>
  <r>
    <s v="CUST0049"/>
    <s v="Female"/>
    <s v="North"/>
    <s v="Laptop"/>
    <x v="0"/>
    <n v="59"/>
    <n v="1500"/>
    <n v="1"/>
    <n v="1500"/>
    <n v="12.63"/>
    <d v="2023-02-06T00:00:00"/>
    <s v="Returned"/>
    <n v="1500"/>
    <n v="2023"/>
    <x v="6"/>
    <n v="7"/>
    <n v="3"/>
    <n v="1"/>
  </r>
  <r>
    <s v="CUST0212"/>
    <s v="Female"/>
    <s v="North"/>
    <s v="Laptop"/>
    <x v="0"/>
    <n v="49"/>
    <n v="1500"/>
    <n v="5"/>
    <n v="7500"/>
    <n v="10.18"/>
    <d v="2023-11-18T00:00:00"/>
    <s v="In Transit"/>
    <n v="7500"/>
    <n v="2023"/>
    <x v="10"/>
    <n v="47"/>
    <n v="3"/>
    <n v="5"/>
  </r>
  <r>
    <s v="CUST0146"/>
    <s v="Male"/>
    <s v="North"/>
    <s v="Smartphone"/>
    <x v="0"/>
    <n v="47"/>
    <n v="800"/>
    <n v="1"/>
    <n v="800"/>
    <n v="10.16"/>
    <d v="2023-01-13T00:00:00"/>
    <s v="Unknown"/>
    <n v="800"/>
    <n v="2023"/>
    <x v="3"/>
    <n v="3"/>
    <n v="3"/>
    <n v="1"/>
  </r>
  <r>
    <s v="CUST0082"/>
    <s v="Female"/>
    <s v="Unknown"/>
    <s v="Smartwatch"/>
    <x v="2"/>
    <n v="49"/>
    <n v="200"/>
    <n v="1"/>
    <n v="200"/>
    <n v="6.03"/>
    <d v="2023-04-21T00:00:00"/>
    <s v="Returned"/>
    <n v="200"/>
    <n v="2023"/>
    <x v="1"/>
    <n v="17"/>
    <n v="3"/>
    <n v="1"/>
  </r>
  <r>
    <s v="CUST0036"/>
    <s v="Female"/>
    <s v="North"/>
    <s v="Keyboard"/>
    <x v="1"/>
    <n v="33"/>
    <n v="50"/>
    <n v="1"/>
    <n v="50"/>
    <n v="6.06"/>
    <d v="2023-08-02T00:00:00"/>
    <s v="Delivered"/>
    <n v="50"/>
    <n v="2023"/>
    <x v="2"/>
    <n v="32"/>
    <n v="3"/>
    <n v="1"/>
  </r>
  <r>
    <s v="CUST0155"/>
    <s v="Female"/>
    <s v="North"/>
    <s v="Laptop"/>
    <x v="0"/>
    <n v="41"/>
    <n v="1500"/>
    <n v="2"/>
    <n v="3000"/>
    <n v="9.2100000000000009"/>
    <d v="2023-02-02T00:00:00"/>
    <s v="Returned"/>
    <n v="3000"/>
    <n v="2023"/>
    <x v="6"/>
    <n v="6"/>
    <n v="3"/>
    <n v="2"/>
  </r>
  <r>
    <s v="CUST0138"/>
    <s v="Male"/>
    <s v="North"/>
    <s v="Keyboard"/>
    <x v="1"/>
    <n v="46"/>
    <n v="50"/>
    <n v="3"/>
    <n v="150"/>
    <n v="5.09"/>
    <d v="2023-03-16T00:00:00"/>
    <s v="Returned"/>
    <n v="150"/>
    <n v="2023"/>
    <x v="11"/>
    <n v="12"/>
    <n v="3"/>
    <n v="3"/>
  </r>
  <r>
    <s v="CUST0201"/>
    <s v="Female"/>
    <s v="North"/>
    <s v="Mouse"/>
    <x v="1"/>
    <n v="49"/>
    <n v="30"/>
    <n v="2"/>
    <n v="60"/>
    <n v="8.39"/>
    <d v="2023-11-03T00:00:00"/>
    <s v="In Transit"/>
    <n v="60"/>
    <n v="2023"/>
    <x v="10"/>
    <n v="45"/>
    <n v="3"/>
    <n v="2"/>
  </r>
  <r>
    <s v="CUST0197"/>
    <s v="Female"/>
    <s v="West"/>
    <s v="Mouse"/>
    <x v="1"/>
    <n v="54"/>
    <n v="30"/>
    <n v="2"/>
    <n v="60"/>
    <n v="8.59"/>
    <d v="2023-06-04T00:00:00"/>
    <s v="Delivered"/>
    <n v="60"/>
    <n v="2023"/>
    <x v="5"/>
    <n v="23"/>
    <n v="3"/>
    <n v="2"/>
  </r>
  <r>
    <s v="CUST0082"/>
    <s v="Male"/>
    <s v="West"/>
    <s v="Laptop"/>
    <x v="0"/>
    <n v="30"/>
    <n v="1500"/>
    <n v="1"/>
    <n v="1500"/>
    <n v="9.98"/>
    <d v="2023-12-04T00:00:00"/>
    <s v="Delivered"/>
    <n v="1500"/>
    <n v="2023"/>
    <x v="0"/>
    <n v="50"/>
    <n v="3"/>
    <n v="1"/>
  </r>
  <r>
    <s v="CUST0091"/>
    <s v="Male"/>
    <s v="East"/>
    <s v="Laptop"/>
    <x v="0"/>
    <n v="30"/>
    <n v="1500"/>
    <n v="5"/>
    <n v="7500"/>
    <n v="7.58"/>
    <d v="2023-09-26T00:00:00"/>
    <s v="Delivered"/>
    <n v="7500"/>
    <n v="2023"/>
    <x v="7"/>
    <n v="40"/>
    <n v="3"/>
    <n v="5"/>
  </r>
  <r>
    <s v="CUST0066"/>
    <s v="Male"/>
    <s v="West"/>
    <s v="Laptop"/>
    <x v="0"/>
    <n v="37"/>
    <n v="1500"/>
    <n v="2"/>
    <n v="3000"/>
    <n v="5.69"/>
    <d v="2023-01-18T00:00:00"/>
    <s v="Returned"/>
    <n v="3000"/>
    <n v="2023"/>
    <x v="3"/>
    <n v="4"/>
    <n v="3"/>
    <n v="2"/>
  </r>
  <r>
    <s v="CUST0026"/>
    <s v="Female"/>
    <s v="East"/>
    <s v="Monitor"/>
    <x v="0"/>
    <n v="27"/>
    <n v="300"/>
    <n v="1"/>
    <n v="300"/>
    <n v="16.61"/>
    <d v="2023-11-23T00:00:00"/>
    <s v="In Transit"/>
    <n v="300"/>
    <n v="2023"/>
    <x v="10"/>
    <n v="48"/>
    <n v="3"/>
    <n v="1"/>
  </r>
  <r>
    <s v="CUST0078"/>
    <s v="Female"/>
    <s v="West"/>
    <s v="Smartwatch"/>
    <x v="2"/>
    <n v="38"/>
    <n v="200"/>
    <n v="4"/>
    <n v="800"/>
    <n v="18.89"/>
    <d v="2023-05-03T00:00:00"/>
    <s v="Returned"/>
    <n v="800"/>
    <n v="2023"/>
    <x v="9"/>
    <n v="19"/>
    <n v="3"/>
    <n v="4"/>
  </r>
  <r>
    <s v="CUST0281"/>
    <s v="Male"/>
    <s v="West"/>
    <s v="Keyboard"/>
    <x v="1"/>
    <n v="44"/>
    <n v="50"/>
    <n v="4"/>
    <n v="200"/>
    <n v="19.809999999999999"/>
    <d v="2023-08-27T00:00:00"/>
    <s v="In Transit"/>
    <n v="200"/>
    <n v="2023"/>
    <x v="2"/>
    <n v="35"/>
    <n v="3"/>
    <n v="4"/>
  </r>
  <r>
    <s v="CUST0299"/>
    <s v="Male"/>
    <s v="West"/>
    <s v="Headphones"/>
    <x v="1"/>
    <n v="58"/>
    <n v="100"/>
    <n v="5"/>
    <n v="500"/>
    <n v="14.5"/>
    <d v="2023-01-16T00:00:00"/>
    <s v="Returned"/>
    <n v="500"/>
    <n v="2023"/>
    <x v="3"/>
    <n v="4"/>
    <n v="3"/>
    <n v="5"/>
  </r>
  <r>
    <s v="CUST0053"/>
    <s v="Female"/>
    <s v="East"/>
    <s v="Smartwatch"/>
    <x v="2"/>
    <n v="25"/>
    <n v="200"/>
    <n v="5"/>
    <n v="1000"/>
    <n v="16.41"/>
    <d v="2023-07-25T00:00:00"/>
    <s v="In Transit"/>
    <n v="1000"/>
    <n v="2023"/>
    <x v="8"/>
    <n v="31"/>
    <n v="3"/>
    <n v="5"/>
  </r>
  <r>
    <s v="CUST0239"/>
    <s v="Male"/>
    <s v="North"/>
    <s v="Smartwatch"/>
    <x v="2"/>
    <n v="35"/>
    <n v="200"/>
    <n v="1"/>
    <n v="200"/>
    <n v="7.32"/>
    <d v="2023-11-18T00:00:00"/>
    <s v="Delivered"/>
    <n v="200"/>
    <n v="2023"/>
    <x v="10"/>
    <n v="47"/>
    <n v="3"/>
    <n v="1"/>
  </r>
  <r>
    <s v="CUST0069"/>
    <s v="Male"/>
    <s v="East"/>
    <s v="Headphones"/>
    <x v="1"/>
    <n v="49"/>
    <n v="100"/>
    <n v="3"/>
    <n v="300"/>
    <n v="10.81"/>
    <d v="2023-12-07T00:00:00"/>
    <s v="Returned"/>
    <n v="300"/>
    <n v="2023"/>
    <x v="0"/>
    <n v="50"/>
    <n v="3"/>
    <n v="3"/>
  </r>
  <r>
    <s v="CUST0245"/>
    <s v="Male"/>
    <s v="West"/>
    <s v="Mouse"/>
    <x v="1"/>
    <n v="63"/>
    <n v="30"/>
    <n v="3"/>
    <n v="90"/>
    <n v="13.95"/>
    <d v="2023-05-15T00:00:00"/>
    <s v="Returned"/>
    <n v="90"/>
    <n v="2023"/>
    <x v="9"/>
    <n v="21"/>
    <n v="3"/>
    <n v="3"/>
  </r>
  <r>
    <s v="CUST0258"/>
    <s v="Female"/>
    <s v="South"/>
    <s v="Monitor"/>
    <x v="0"/>
    <n v="39"/>
    <n v="300"/>
    <n v="4"/>
    <n v="1200"/>
    <n v="9.5500000000000007"/>
    <d v="2023-05-16T00:00:00"/>
    <s v="In Transit"/>
    <n v="1200"/>
    <n v="2023"/>
    <x v="9"/>
    <n v="21"/>
    <n v="3"/>
    <n v="4"/>
  </r>
  <r>
    <s v="CUST0177"/>
    <s v="Male"/>
    <s v="South"/>
    <s v="Smartwatch"/>
    <x v="2"/>
    <n v="29"/>
    <n v="200"/>
    <n v="3"/>
    <n v="600"/>
    <n v="13.87"/>
    <d v="2023-03-18T00:00:00"/>
    <s v="In Transit"/>
    <n v="600"/>
    <n v="2023"/>
    <x v="11"/>
    <n v="12"/>
    <n v="3"/>
    <n v="3"/>
  </r>
  <r>
    <s v="CUST0140"/>
    <s v="Male"/>
    <s v="East"/>
    <s v="Headphones"/>
    <x v="1"/>
    <n v="49"/>
    <n v="100"/>
    <n v="2"/>
    <n v="200"/>
    <n v="10.96"/>
    <d v="2023-03-08T00:00:00"/>
    <s v="Delivered"/>
    <n v="200"/>
    <n v="2023"/>
    <x v="11"/>
    <n v="11"/>
    <n v="3"/>
    <n v="2"/>
  </r>
  <r>
    <s v="CUST0089"/>
    <s v="Female"/>
    <s v="North"/>
    <s v="Mouse"/>
    <x v="1"/>
    <n v="27"/>
    <n v="30"/>
    <n v="3"/>
    <n v="90"/>
    <n v="6.45"/>
    <d v="2023-09-19T00:00:00"/>
    <s v="In Transit"/>
    <n v="90"/>
    <n v="2023"/>
    <x v="7"/>
    <n v="39"/>
    <n v="3"/>
    <n v="3"/>
  </r>
  <r>
    <s v="CUST0168"/>
    <s v="Female"/>
    <s v="West"/>
    <s v="Smartphone"/>
    <x v="0"/>
    <n v="42"/>
    <n v="800"/>
    <n v="2"/>
    <n v="1600"/>
    <n v="13.79"/>
    <d v="2023-09-25T00:00:00"/>
    <s v="In Transit"/>
    <n v="1600"/>
    <n v="2023"/>
    <x v="7"/>
    <n v="40"/>
    <n v="3"/>
    <n v="2"/>
  </r>
  <r>
    <s v="CUST0176"/>
    <s v="Male"/>
    <s v="East"/>
    <s v="Laptop"/>
    <x v="0"/>
    <n v="51"/>
    <n v="1500"/>
    <n v="3"/>
    <n v="4500"/>
    <n v="16.420000000000002"/>
    <d v="2023-10-28T00:00:00"/>
    <s v="In Transit"/>
    <n v="4500"/>
    <n v="2023"/>
    <x v="4"/>
    <n v="44"/>
    <n v="3"/>
    <n v="3"/>
  </r>
  <r>
    <s v="CUST0089"/>
    <s v="Female"/>
    <s v="South"/>
    <s v="Monitor"/>
    <x v="0"/>
    <n v="27"/>
    <n v="300"/>
    <n v="3"/>
    <n v="900"/>
    <n v="7.99"/>
    <d v="2023-02-21T00:00:00"/>
    <s v="In Transit"/>
    <n v="900"/>
    <n v="2023"/>
    <x v="6"/>
    <n v="9"/>
    <n v="3"/>
    <n v="3"/>
  </r>
  <r>
    <s v="CUST0281"/>
    <s v="Female"/>
    <s v="West"/>
    <s v="Keyboard"/>
    <x v="1"/>
    <n v="44"/>
    <n v="50"/>
    <n v="2"/>
    <n v="100"/>
    <n v="6.45"/>
    <d v="2023-08-28T00:00:00"/>
    <s v="Returned"/>
    <n v="100"/>
    <n v="2023"/>
    <x v="2"/>
    <n v="36"/>
    <n v="3"/>
    <n v="2"/>
  </r>
  <r>
    <s v="CUST0044"/>
    <s v="Male"/>
    <s v="East"/>
    <s v="Mouse"/>
    <x v="1"/>
    <n v="30"/>
    <n v="30"/>
    <n v="5"/>
    <n v="150"/>
    <n v="16.62"/>
    <d v="2023-10-28T00:00:00"/>
    <s v="Returned"/>
    <n v="150"/>
    <n v="2023"/>
    <x v="4"/>
    <n v="44"/>
    <n v="3"/>
    <n v="5"/>
  </r>
  <r>
    <s v="CUST0137"/>
    <s v="Female"/>
    <s v="South"/>
    <s v="Monitor"/>
    <x v="0"/>
    <n v="49"/>
    <n v="300"/>
    <n v="5"/>
    <n v="1500"/>
    <n v="6"/>
    <d v="2023-11-08T00:00:00"/>
    <s v="Delivered"/>
    <n v="1500"/>
    <n v="2023"/>
    <x v="10"/>
    <n v="46"/>
    <n v="3"/>
    <n v="5"/>
  </r>
  <r>
    <s v="CUST0174"/>
    <s v="Female"/>
    <s v="East"/>
    <s v="Laptop"/>
    <x v="0"/>
    <n v="68"/>
    <n v="1500"/>
    <n v="1"/>
    <n v="1500"/>
    <n v="16.34"/>
    <d v="2023-05-07T00:00:00"/>
    <s v="Delivered"/>
    <n v="1500"/>
    <n v="2023"/>
    <x v="9"/>
    <n v="19"/>
    <n v="3"/>
    <n v="1"/>
  </r>
  <r>
    <s v="CUST0141"/>
    <s v="Female"/>
    <s v="East"/>
    <s v="Mouse"/>
    <x v="1"/>
    <n v="58"/>
    <n v="30"/>
    <n v="1"/>
    <n v="30"/>
    <n v="12.22"/>
    <d v="2023-10-03T00:00:00"/>
    <s v="In Transit"/>
    <n v="30"/>
    <n v="2023"/>
    <x v="4"/>
    <n v="41"/>
    <n v="3"/>
    <n v="1"/>
  </r>
  <r>
    <s v="CUST0202"/>
    <s v="Male"/>
    <s v="South"/>
    <s v="Mouse"/>
    <x v="1"/>
    <n v="56"/>
    <n v="30"/>
    <n v="3"/>
    <n v="90"/>
    <n v="5.07"/>
    <d v="2023-01-05T00:00:00"/>
    <s v="Delivered"/>
    <n v="90"/>
    <n v="2023"/>
    <x v="3"/>
    <n v="2"/>
    <n v="3"/>
    <n v="3"/>
  </r>
  <r>
    <s v="CUST0259"/>
    <s v="Male"/>
    <s v="West"/>
    <s v="Laptop"/>
    <x v="0"/>
    <n v="59"/>
    <n v="1500"/>
    <n v="2"/>
    <n v="3000"/>
    <n v="7.5"/>
    <d v="2023-08-22T00:00:00"/>
    <s v="Delivered"/>
    <n v="3000"/>
    <n v="2023"/>
    <x v="2"/>
    <n v="35"/>
    <n v="3"/>
    <n v="2"/>
  </r>
  <r>
    <s v="CUST0045"/>
    <s v="Female"/>
    <s v="East"/>
    <s v="Smartphone"/>
    <x v="0"/>
    <n v="21"/>
    <n v="800"/>
    <n v="3"/>
    <n v="2400"/>
    <n v="15.78"/>
    <d v="2023-11-07T00:00:00"/>
    <s v="Delivered"/>
    <n v="2400"/>
    <n v="2023"/>
    <x v="10"/>
    <n v="46"/>
    <n v="3"/>
    <n v="3"/>
  </r>
  <r>
    <s v="CUST0168"/>
    <s v="Female"/>
    <s v="West"/>
    <s v="Keyboard"/>
    <x v="1"/>
    <n v="42"/>
    <n v="50"/>
    <n v="1"/>
    <n v="50"/>
    <n v="15.92"/>
    <d v="2023-06-24T00:00:00"/>
    <s v="Delivered"/>
    <n v="50"/>
    <n v="2023"/>
    <x v="5"/>
    <n v="26"/>
    <n v="3"/>
    <n v="1"/>
  </r>
  <r>
    <s v="CUST0027"/>
    <s v="Female"/>
    <s v="Unknown"/>
    <s v="Keyboard"/>
    <x v="1"/>
    <n v="36"/>
    <n v="50"/>
    <n v="5"/>
    <n v="250"/>
    <n v="11.09"/>
    <d v="2023-06-06T00:00:00"/>
    <s v="Returned"/>
    <n v="250"/>
    <n v="2023"/>
    <x v="5"/>
    <n v="24"/>
    <n v="3"/>
    <n v="5"/>
  </r>
  <r>
    <s v="CUST0228"/>
    <s v="Male"/>
    <s v="South"/>
    <s v="Mouse"/>
    <x v="1"/>
    <n v="25"/>
    <n v="30"/>
    <n v="4"/>
    <n v="120"/>
    <n v="18.600000000000001"/>
    <d v="2023-06-29T00:00:00"/>
    <s v="Returned"/>
    <n v="120"/>
    <n v="2023"/>
    <x v="5"/>
    <n v="27"/>
    <n v="3"/>
    <n v="4"/>
  </r>
  <r>
    <s v="CUST0199"/>
    <s v="Female"/>
    <s v="South"/>
    <s v="Smartphone"/>
    <x v="0"/>
    <n v="41"/>
    <n v="800"/>
    <n v="4"/>
    <n v="3200"/>
    <n v="16.45"/>
    <d v="2023-01-18T00:00:00"/>
    <s v="In Transit"/>
    <n v="3200"/>
    <n v="2023"/>
    <x v="3"/>
    <n v="4"/>
    <n v="3"/>
    <n v="4"/>
  </r>
  <r>
    <s v="CUST0065"/>
    <s v="Male"/>
    <s v="North"/>
    <s v="Headphones"/>
    <x v="1"/>
    <n v="41"/>
    <n v="100"/>
    <n v="5"/>
    <n v="500"/>
    <n v="19.62"/>
    <d v="2023-03-04T00:00:00"/>
    <s v="Delivered"/>
    <n v="500"/>
    <n v="2023"/>
    <x v="11"/>
    <n v="10"/>
    <n v="3"/>
    <n v="5"/>
  </r>
  <r>
    <s v="CUST0146"/>
    <s v="Female"/>
    <s v="East"/>
    <s v="Laptop"/>
    <x v="0"/>
    <n v="47"/>
    <n v="1500"/>
    <n v="3"/>
    <n v="4500"/>
    <n v="8.8699999999999992"/>
    <d v="2023-09-11T00:00:00"/>
    <s v="Delivered"/>
    <n v="4500"/>
    <n v="2023"/>
    <x v="7"/>
    <n v="38"/>
    <n v="3"/>
    <n v="3"/>
  </r>
  <r>
    <s v="CUST0093"/>
    <s v="Male"/>
    <s v="North"/>
    <s v="Monitor"/>
    <x v="0"/>
    <n v="66"/>
    <n v="300"/>
    <n v="1"/>
    <n v="300"/>
    <n v="16.579999999999998"/>
    <d v="2023-02-27T00:00:00"/>
    <s v="Delivered"/>
    <n v="300"/>
    <n v="2023"/>
    <x v="6"/>
    <n v="10"/>
    <n v="3"/>
    <n v="1"/>
  </r>
  <r>
    <s v="CUST0168"/>
    <s v="Female"/>
    <s v="South"/>
    <s v="Monitor"/>
    <x v="0"/>
    <n v="42"/>
    <n v="300"/>
    <n v="1"/>
    <n v="300"/>
    <n v="14.7"/>
    <d v="2023-11-16T00:00:00"/>
    <s v="Delivered"/>
    <n v="300"/>
    <n v="2023"/>
    <x v="10"/>
    <n v="47"/>
    <n v="3"/>
    <n v="1"/>
  </r>
  <r>
    <s v="CUST0216"/>
    <s v="Male"/>
    <s v="South"/>
    <s v="Smartphone"/>
    <x v="0"/>
    <n v="53"/>
    <n v="800"/>
    <n v="2"/>
    <n v="1600"/>
    <n v="16.23"/>
    <d v="2023-07-19T00:00:00"/>
    <s v="In Transit"/>
    <n v="1600"/>
    <n v="2023"/>
    <x v="8"/>
    <n v="30"/>
    <n v="3"/>
    <n v="2"/>
  </r>
  <r>
    <s v="CUST0062"/>
    <s v="Male"/>
    <s v="West"/>
    <s v="Headphones"/>
    <x v="1"/>
    <n v="43"/>
    <n v="100"/>
    <n v="4"/>
    <n v="400"/>
    <n v="11.4"/>
    <d v="2023-04-24T00:00:00"/>
    <s v="Returned"/>
    <n v="400"/>
    <n v="2023"/>
    <x v="1"/>
    <n v="18"/>
    <n v="3"/>
    <n v="4"/>
  </r>
  <r>
    <s v="CUST0125"/>
    <s v="Male"/>
    <s v="West"/>
    <s v="Smartphone"/>
    <x v="0"/>
    <n v="46"/>
    <n v="800"/>
    <n v="5"/>
    <n v="4000"/>
    <n v="19.079999999999998"/>
    <d v="2023-05-01T00:00:00"/>
    <s v="In Transit"/>
    <n v="4000"/>
    <n v="2023"/>
    <x v="9"/>
    <n v="19"/>
    <n v="3"/>
    <n v="5"/>
  </r>
  <r>
    <s v="CUST0060"/>
    <s v="Male"/>
    <s v="Unknown"/>
    <s v="Keyboard"/>
    <x v="1"/>
    <n v="41"/>
    <n v="50"/>
    <n v="1"/>
    <n v="50"/>
    <n v="5.56"/>
    <d v="2023-06-26T00:00:00"/>
    <s v="Delivered"/>
    <n v="50"/>
    <n v="2023"/>
    <x v="5"/>
    <n v="27"/>
    <n v="3"/>
    <n v="1"/>
  </r>
  <r>
    <s v="CUST0056"/>
    <s v="Female"/>
    <s v="South"/>
    <s v="Smartwatch"/>
    <x v="2"/>
    <n v="23"/>
    <n v="200"/>
    <n v="2"/>
    <n v="400"/>
    <n v="5.73"/>
    <d v="2024-01-03T00:00:00"/>
    <s v="Returned"/>
    <n v="400"/>
    <n v="2024"/>
    <x v="12"/>
    <n v="1"/>
    <n v="3"/>
    <n v="2"/>
  </r>
  <r>
    <s v="CUST0247"/>
    <s v="Male"/>
    <s v="South"/>
    <s v="Smartphone"/>
    <x v="0"/>
    <n v="44"/>
    <n v="800"/>
    <n v="1"/>
    <n v="800"/>
    <n v="7.11"/>
    <d v="2023-01-19T00:00:00"/>
    <s v="In Transit"/>
    <n v="800"/>
    <n v="2023"/>
    <x v="3"/>
    <n v="4"/>
    <n v="3"/>
    <n v="1"/>
  </r>
  <r>
    <s v="CUST0131"/>
    <s v="Female"/>
    <s v="East"/>
    <s v="Monitor"/>
    <x v="0"/>
    <n v="67"/>
    <n v="300"/>
    <n v="1"/>
    <n v="300"/>
    <n v="15.92"/>
    <d v="2023-05-03T00:00:00"/>
    <s v="Unknown"/>
    <n v="300"/>
    <n v="2023"/>
    <x v="9"/>
    <n v="19"/>
    <n v="3"/>
    <n v="1"/>
  </r>
  <r>
    <s v="CUST0114"/>
    <s v="Female"/>
    <s v="West"/>
    <s v="Monitor"/>
    <x v="0"/>
    <n v="60"/>
    <n v="300"/>
    <n v="3"/>
    <n v="900"/>
    <n v="18.61"/>
    <d v="2023-07-21T00:00:00"/>
    <s v="In Transit"/>
    <n v="900"/>
    <n v="2023"/>
    <x v="8"/>
    <n v="30"/>
    <n v="3"/>
    <n v="3"/>
  </r>
  <r>
    <s v="CUST0082"/>
    <s v="Female"/>
    <s v="Unknown"/>
    <s v="Smartphone"/>
    <x v="0"/>
    <n v="49"/>
    <n v="800"/>
    <n v="4"/>
    <n v="3200"/>
    <n v="13.77"/>
    <d v="2023-10-11T00:00:00"/>
    <s v="Delivered"/>
    <n v="3200"/>
    <n v="2023"/>
    <x v="4"/>
    <n v="42"/>
    <n v="3"/>
    <n v="4"/>
  </r>
  <r>
    <s v="CUST0184"/>
    <s v="Female"/>
    <s v="West"/>
    <s v="Mouse"/>
    <x v="1"/>
    <n v="54"/>
    <n v="30"/>
    <n v="3"/>
    <n v="90"/>
    <n v="14.78"/>
    <d v="2023-06-15T00:00:00"/>
    <s v="Returned"/>
    <n v="90"/>
    <n v="2023"/>
    <x v="5"/>
    <n v="25"/>
    <n v="3"/>
    <n v="3"/>
  </r>
  <r>
    <s v="CUST0075"/>
    <s v="Female"/>
    <s v="South"/>
    <s v="Monitor"/>
    <x v="0"/>
    <n v="56"/>
    <n v="300"/>
    <n v="2"/>
    <n v="600"/>
    <n v="13.6"/>
    <d v="2023-08-16T00:00:00"/>
    <s v="Delivered"/>
    <n v="600"/>
    <n v="2023"/>
    <x v="2"/>
    <n v="34"/>
    <n v="3"/>
    <n v="2"/>
  </r>
  <r>
    <s v="CUST0142"/>
    <s v="Male"/>
    <s v="East"/>
    <s v="Monitor"/>
    <x v="0"/>
    <n v="32"/>
    <n v="300"/>
    <n v="1"/>
    <n v="300"/>
    <n v="15.5"/>
    <d v="2023-04-14T00:00:00"/>
    <s v="Delivered"/>
    <n v="300"/>
    <n v="2023"/>
    <x v="1"/>
    <n v="16"/>
    <n v="3"/>
    <n v="1"/>
  </r>
  <r>
    <s v="CUST0076"/>
    <s v="Male"/>
    <s v="East"/>
    <s v="Headphones"/>
    <x v="1"/>
    <n v="26"/>
    <n v="100"/>
    <n v="5"/>
    <n v="500"/>
    <n v="16.96"/>
    <d v="2023-10-24T00:00:00"/>
    <s v="Delivered"/>
    <n v="500"/>
    <n v="2023"/>
    <x v="4"/>
    <n v="44"/>
    <n v="3"/>
    <n v="5"/>
  </r>
  <r>
    <s v="CUST0105"/>
    <s v="Male"/>
    <s v="East"/>
    <s v="Smartwatch"/>
    <x v="2"/>
    <n v="27"/>
    <n v="200"/>
    <n v="5"/>
    <n v="1000"/>
    <n v="12"/>
    <d v="2023-07-14T00:00:00"/>
    <s v="In Transit"/>
    <n v="1000"/>
    <n v="2023"/>
    <x v="8"/>
    <n v="29"/>
    <n v="3"/>
    <n v="5"/>
  </r>
  <r>
    <s v="CUST0004"/>
    <s v="Female"/>
    <s v="West"/>
    <s v="Keyboard"/>
    <x v="1"/>
    <n v="65"/>
    <n v="50"/>
    <n v="3"/>
    <n v="150"/>
    <n v="19.62"/>
    <d v="2023-12-06T00:00:00"/>
    <s v="In Transit"/>
    <n v="150"/>
    <n v="2023"/>
    <x v="0"/>
    <n v="50"/>
    <n v="3"/>
    <n v="3"/>
  </r>
  <r>
    <s v="CUST0127"/>
    <s v="Male"/>
    <s v="North"/>
    <s v="Smartwatch"/>
    <x v="2"/>
    <n v="62"/>
    <n v="200"/>
    <n v="2"/>
    <n v="400"/>
    <n v="11.66"/>
    <d v="2023-08-31T00:00:00"/>
    <s v="Delivered"/>
    <n v="400"/>
    <n v="2023"/>
    <x v="2"/>
    <n v="36"/>
    <n v="3"/>
    <n v="2"/>
  </r>
  <r>
    <s v="CUST0072"/>
    <s v="Male"/>
    <s v="South"/>
    <s v="Headphones"/>
    <x v="1"/>
    <n v="21"/>
    <n v="100"/>
    <n v="1"/>
    <n v="100"/>
    <n v="11.24"/>
    <d v="2023-09-02T00:00:00"/>
    <s v="Delivered"/>
    <n v="100"/>
    <n v="2023"/>
    <x v="7"/>
    <n v="36"/>
    <n v="3"/>
    <n v="1"/>
  </r>
  <r>
    <s v="CUST0216"/>
    <s v="Male"/>
    <s v="North"/>
    <s v="Smartphone"/>
    <x v="0"/>
    <n v="53"/>
    <n v="800"/>
    <n v="4"/>
    <n v="3200"/>
    <n v="6.27"/>
    <d v="2023-04-06T00:00:00"/>
    <s v="Returned"/>
    <n v="3200"/>
    <n v="2023"/>
    <x v="1"/>
    <n v="15"/>
    <n v="3"/>
    <n v="4"/>
  </r>
  <r>
    <s v="CUST0156"/>
    <s v="Female"/>
    <s v="South"/>
    <s v="Smartphone"/>
    <x v="0"/>
    <n v="57"/>
    <n v="800"/>
    <n v="4"/>
    <n v="3200"/>
    <n v="16.09"/>
    <d v="2023-12-29T00:00:00"/>
    <s v="In Transit"/>
    <n v="3200"/>
    <n v="2023"/>
    <x v="0"/>
    <n v="53"/>
    <n v="3"/>
    <n v="4"/>
  </r>
  <r>
    <s v="CUST0052"/>
    <s v="Male"/>
    <s v="North"/>
    <s v="Mouse"/>
    <x v="1"/>
    <n v="66"/>
    <n v="30"/>
    <n v="4"/>
    <n v="120"/>
    <n v="8.24"/>
    <d v="2023-06-09T00:00:00"/>
    <s v="Returned"/>
    <n v="120"/>
    <n v="2023"/>
    <x v="5"/>
    <n v="24"/>
    <n v="3"/>
    <n v="4"/>
  </r>
  <r>
    <s v="CUST0226"/>
    <s v="Female"/>
    <s v="West"/>
    <s v="Smartphone"/>
    <x v="0"/>
    <n v="49"/>
    <n v="800"/>
    <n v="4"/>
    <n v="3200"/>
    <n v="17.91"/>
    <d v="2023-06-14T00:00:00"/>
    <s v="In Transit"/>
    <n v="3200"/>
    <n v="2023"/>
    <x v="5"/>
    <n v="25"/>
    <n v="3"/>
    <n v="4"/>
  </r>
  <r>
    <s v="CUST0270"/>
    <s v="Female"/>
    <s v="West"/>
    <s v="Laptop"/>
    <x v="0"/>
    <n v="64"/>
    <n v="1500"/>
    <n v="1"/>
    <n v="1500"/>
    <n v="18.88"/>
    <d v="2023-07-14T00:00:00"/>
    <s v="Returned"/>
    <n v="1500"/>
    <n v="2023"/>
    <x v="8"/>
    <n v="29"/>
    <n v="3"/>
    <n v="1"/>
  </r>
  <r>
    <s v="CUST0269"/>
    <s v="Male"/>
    <s v="North"/>
    <s v="Monitor"/>
    <x v="0"/>
    <n v="64"/>
    <n v="621.91212249732996"/>
    <n v="5"/>
    <n v="1500"/>
    <n v="6.93"/>
    <d v="2023-04-23T00:00:00"/>
    <s v="Delivered"/>
    <n v="3109.5606124866499"/>
    <n v="2023"/>
    <x v="1"/>
    <n v="17"/>
    <n v="3"/>
    <n v="5"/>
  </r>
  <r>
    <s v="CUST0183"/>
    <s v="Female"/>
    <s v="West"/>
    <s v="Smartphone"/>
    <x v="0"/>
    <n v="42"/>
    <n v="800"/>
    <n v="3"/>
    <n v="2400"/>
    <n v="7.22"/>
    <d v="2023-10-21T00:00:00"/>
    <s v="Delivered"/>
    <n v="2400"/>
    <n v="2023"/>
    <x v="4"/>
    <n v="43"/>
    <n v="3"/>
    <n v="3"/>
  </r>
  <r>
    <s v="CUST0205"/>
    <s v="Male"/>
    <s v="South"/>
    <s v="Keyboard"/>
    <x v="1"/>
    <n v="43"/>
    <n v="50"/>
    <n v="2"/>
    <n v="100"/>
    <n v="5.05"/>
    <d v="2023-10-09T00:00:00"/>
    <s v="Delivered"/>
    <n v="100"/>
    <n v="2023"/>
    <x v="4"/>
    <n v="42"/>
    <n v="3"/>
    <n v="2"/>
  </r>
  <r>
    <s v="CUST0080"/>
    <s v="Female"/>
    <s v="East"/>
    <s v="Headphones"/>
    <x v="1"/>
    <n v="51"/>
    <n v="100"/>
    <n v="1"/>
    <n v="100"/>
    <n v="19.84"/>
    <d v="2023-05-27T00:00:00"/>
    <s v="Delivered"/>
    <n v="100"/>
    <n v="2023"/>
    <x v="9"/>
    <n v="22"/>
    <n v="3"/>
    <n v="1"/>
  </r>
  <r>
    <s v="CUST0208"/>
    <s v="Female"/>
    <s v="West"/>
    <s v="Laptop"/>
    <x v="0"/>
    <n v="57"/>
    <n v="1500"/>
    <n v="1"/>
    <n v="1500"/>
    <n v="16.28"/>
    <d v="2023-02-01T00:00:00"/>
    <s v="Returned"/>
    <n v="1500"/>
    <n v="2023"/>
    <x v="6"/>
    <n v="6"/>
    <n v="3"/>
    <n v="1"/>
  </r>
  <r>
    <s v="CUST0186"/>
    <s v="Female"/>
    <s v="West"/>
    <s v="Mouse"/>
    <x v="1"/>
    <n v="55"/>
    <n v="30"/>
    <n v="5"/>
    <n v="150"/>
    <n v="17.36"/>
    <d v="2023-05-07T00:00:00"/>
    <s v="In Transit"/>
    <n v="150"/>
    <n v="2023"/>
    <x v="9"/>
    <n v="19"/>
    <n v="3"/>
    <n v="5"/>
  </r>
  <r>
    <s v="CUST0109"/>
    <s v="Female"/>
    <s v="Unknown"/>
    <s v="Mouse"/>
    <x v="1"/>
    <n v="57"/>
    <n v="30"/>
    <n v="1"/>
    <n v="30"/>
    <n v="9.59"/>
    <d v="2023-03-12T00:00:00"/>
    <s v="In Transit"/>
    <n v="30"/>
    <n v="2023"/>
    <x v="11"/>
    <n v="11"/>
    <n v="3"/>
    <n v="1"/>
  </r>
  <r>
    <s v="CUST0028"/>
    <s v="Female"/>
    <s v="East"/>
    <s v="Headphones"/>
    <x v="1"/>
    <n v="50"/>
    <n v="100"/>
    <n v="5"/>
    <n v="500"/>
    <n v="16.11"/>
    <d v="2023-11-07T00:00:00"/>
    <s v="In Transit"/>
    <n v="500"/>
    <n v="2023"/>
    <x v="10"/>
    <n v="46"/>
    <n v="3"/>
    <n v="5"/>
  </r>
  <r>
    <s v="CUST0083"/>
    <s v="Male"/>
    <s v="West"/>
    <s v="Keyboard"/>
    <x v="1"/>
    <n v="28"/>
    <n v="50"/>
    <n v="2"/>
    <n v="100"/>
    <n v="9.48"/>
    <d v="2023-09-14T00:00:00"/>
    <s v="Returned"/>
    <n v="100"/>
    <n v="2023"/>
    <x v="7"/>
    <n v="38"/>
    <n v="3"/>
    <n v="2"/>
  </r>
  <r>
    <s v="CUST0027"/>
    <s v="Female"/>
    <s v="South"/>
    <s v="Monitor"/>
    <x v="0"/>
    <n v="36"/>
    <n v="300"/>
    <n v="2"/>
    <n v="600"/>
    <n v="18.440000000000001"/>
    <d v="2023-03-19T00:00:00"/>
    <s v="Returned"/>
    <n v="600"/>
    <n v="2023"/>
    <x v="11"/>
    <n v="12"/>
    <n v="3"/>
    <n v="2"/>
  </r>
  <r>
    <s v="CUST0203"/>
    <s v="Female"/>
    <s v="South"/>
    <s v="Keyboard"/>
    <x v="1"/>
    <n v="33"/>
    <n v="50"/>
    <n v="5"/>
    <n v="250"/>
    <n v="8.43"/>
    <d v="2023-10-05T00:00:00"/>
    <s v="In Transit"/>
    <n v="250"/>
    <n v="2023"/>
    <x v="4"/>
    <n v="41"/>
    <n v="3"/>
    <n v="5"/>
  </r>
  <r>
    <s v="CUST0095"/>
    <s v="Female"/>
    <s v="East"/>
    <s v="Laptop"/>
    <x v="0"/>
    <n v="49"/>
    <n v="1500"/>
    <n v="5"/>
    <n v="7500"/>
    <n v="7.38"/>
    <d v="2023-06-18T00:00:00"/>
    <s v="Returned"/>
    <n v="7500"/>
    <n v="2023"/>
    <x v="5"/>
    <n v="25"/>
    <n v="3"/>
    <n v="5"/>
  </r>
  <r>
    <s v="CUST0204"/>
    <s v="Male"/>
    <s v="North"/>
    <s v="Smartphone"/>
    <x v="0"/>
    <n v="54"/>
    <n v="800"/>
    <n v="2"/>
    <n v="1600"/>
    <n v="6.45"/>
    <d v="2023-03-16T00:00:00"/>
    <s v="Delivered"/>
    <n v="1600"/>
    <n v="2023"/>
    <x v="11"/>
    <n v="12"/>
    <n v="3"/>
    <n v="2"/>
  </r>
  <r>
    <s v="CUST0165"/>
    <s v="Male"/>
    <s v="West"/>
    <s v="Keyboard"/>
    <x v="1"/>
    <n v="49"/>
    <n v="50"/>
    <n v="1"/>
    <n v="50"/>
    <n v="8.9700000000000006"/>
    <d v="2023-05-23T00:00:00"/>
    <s v="Returned"/>
    <n v="50"/>
    <n v="2023"/>
    <x v="9"/>
    <n v="22"/>
    <n v="3"/>
    <n v="1"/>
  </r>
  <r>
    <s v="CUST0269"/>
    <s v="Male"/>
    <s v="North"/>
    <s v="Headphones"/>
    <x v="1"/>
    <n v="64"/>
    <n v="100"/>
    <n v="3"/>
    <n v="300"/>
    <n v="11.64"/>
    <d v="2023-11-24T00:00:00"/>
    <s v="Returned"/>
    <n v="300"/>
    <n v="2023"/>
    <x v="10"/>
    <n v="48"/>
    <n v="3"/>
    <n v="3"/>
  </r>
  <r>
    <s v="CUST0134"/>
    <s v="Male"/>
    <s v="North"/>
    <s v="Monitor"/>
    <x v="0"/>
    <n v="49"/>
    <n v="621.91212249732996"/>
    <n v="5"/>
    <n v="1500"/>
    <n v="7.22"/>
    <d v="2023-08-05T00:00:00"/>
    <s v="Returned"/>
    <n v="3109.5606124866499"/>
    <n v="2023"/>
    <x v="2"/>
    <n v="32"/>
    <n v="3"/>
    <n v="5"/>
  </r>
  <r>
    <s v="CUST0116"/>
    <s v="Female"/>
    <s v="East"/>
    <s v="Headphones"/>
    <x v="1"/>
    <n v="49"/>
    <n v="100"/>
    <n v="2"/>
    <n v="200"/>
    <n v="15.13"/>
    <d v="2023-01-23T00:00:00"/>
    <s v="Delivered"/>
    <n v="200"/>
    <n v="2023"/>
    <x v="3"/>
    <n v="5"/>
    <n v="3"/>
    <n v="2"/>
  </r>
  <r>
    <s v="CUST0137"/>
    <s v="Female"/>
    <s v="West"/>
    <s v="Smartphone"/>
    <x v="0"/>
    <n v="19"/>
    <n v="800"/>
    <n v="3"/>
    <n v="2400"/>
    <n v="11.21"/>
    <d v="2023-08-01T00:00:00"/>
    <s v="Returned"/>
    <n v="2400"/>
    <n v="2023"/>
    <x v="2"/>
    <n v="32"/>
    <n v="3"/>
    <n v="3"/>
  </r>
  <r>
    <s v="CUST0100"/>
    <s v="Male"/>
    <s v="West"/>
    <s v="Keyboard"/>
    <x v="1"/>
    <n v="29"/>
    <n v="50"/>
    <n v="2"/>
    <n v="100"/>
    <n v="5.18"/>
    <d v="2023-04-14T00:00:00"/>
    <s v="Returned"/>
    <n v="100"/>
    <n v="2023"/>
    <x v="1"/>
    <n v="16"/>
    <n v="3"/>
    <n v="2"/>
  </r>
  <r>
    <s v="CUST0282"/>
    <s v="Male"/>
    <s v="North"/>
    <s v="Smartwatch"/>
    <x v="2"/>
    <n v="68"/>
    <n v="200"/>
    <n v="3"/>
    <n v="600"/>
    <n v="7.93"/>
    <d v="2023-06-22T00:00:00"/>
    <s v="In Transit"/>
    <n v="600"/>
    <n v="2023"/>
    <x v="5"/>
    <n v="26"/>
    <n v="3"/>
    <n v="3"/>
  </r>
  <r>
    <s v="CUST0094"/>
    <s v="Male"/>
    <s v="North"/>
    <s v="Laptop"/>
    <x v="0"/>
    <n v="30"/>
    <n v="1500"/>
    <n v="1"/>
    <n v="1500"/>
    <n v="14.53"/>
    <d v="2023-04-18T00:00:00"/>
    <s v="In Transit"/>
    <n v="1500"/>
    <n v="2023"/>
    <x v="1"/>
    <n v="17"/>
    <n v="3"/>
    <n v="1"/>
  </r>
  <r>
    <s v="CUST0194"/>
    <s v="Female"/>
    <s v="West"/>
    <s v="Mouse"/>
    <x v="1"/>
    <n v="61"/>
    <n v="62.191212249732999"/>
    <n v="1"/>
    <n v="30"/>
    <n v="10.41"/>
    <d v="2023-01-28T00:00:00"/>
    <s v="Returned"/>
    <n v="62.191212249732999"/>
    <n v="2023"/>
    <x v="3"/>
    <n v="5"/>
    <n v="3"/>
    <n v="1"/>
  </r>
  <r>
    <s v="CUST0174"/>
    <s v="Female"/>
    <s v="North"/>
    <s v="Smartphone"/>
    <x v="0"/>
    <n v="49"/>
    <n v="800"/>
    <n v="4"/>
    <n v="3200"/>
    <n v="9.4499999999999993"/>
    <d v="2023-05-08T00:00:00"/>
    <s v="Returned"/>
    <n v="3200"/>
    <n v="2023"/>
    <x v="9"/>
    <n v="20"/>
    <n v="3"/>
    <n v="4"/>
  </r>
  <r>
    <s v="CUST0273"/>
    <s v="Female"/>
    <s v="South"/>
    <s v="Laptop"/>
    <x v="0"/>
    <n v="49"/>
    <n v="1500"/>
    <n v="2"/>
    <n v="3000"/>
    <n v="9.01"/>
    <d v="2023-06-07T00:00:00"/>
    <s v="In Transit"/>
    <n v="3000"/>
    <n v="2023"/>
    <x v="5"/>
    <n v="24"/>
    <n v="3"/>
    <n v="2"/>
  </r>
  <r>
    <s v="CUST0188"/>
    <s v="Male"/>
    <s v="North"/>
    <s v="Smartphone"/>
    <x v="0"/>
    <n v="29"/>
    <n v="800"/>
    <n v="5"/>
    <n v="4000"/>
    <n v="6.06"/>
    <d v="2023-02-24T00:00:00"/>
    <s v="Delivered"/>
    <n v="4000"/>
    <n v="2023"/>
    <x v="6"/>
    <n v="9"/>
    <n v="3"/>
    <n v="5"/>
  </r>
  <r>
    <s v="CUST0109"/>
    <s v="Male"/>
    <s v="West"/>
    <s v="Keyboard"/>
    <x v="1"/>
    <n v="57"/>
    <n v="50"/>
    <n v="3"/>
    <n v="150"/>
    <n v="11.12"/>
    <d v="2023-02-16T00:00:00"/>
    <s v="In Transit"/>
    <n v="150"/>
    <n v="2023"/>
    <x v="6"/>
    <n v="8"/>
    <n v="3"/>
    <n v="3"/>
  </r>
  <r>
    <s v="CUST0081"/>
    <s v="Male"/>
    <s v="West"/>
    <s v="Smartwatch"/>
    <x v="2"/>
    <n v="38"/>
    <n v="200"/>
    <n v="3"/>
    <n v="600"/>
    <n v="19.89"/>
    <d v="2023-08-07T00:00:00"/>
    <s v="Returned"/>
    <n v="600"/>
    <n v="2023"/>
    <x v="2"/>
    <n v="33"/>
    <n v="3"/>
    <n v="3"/>
  </r>
  <r>
    <s v="CUST0298"/>
    <s v="Male"/>
    <s v="North"/>
    <s v="Smartphone"/>
    <x v="0"/>
    <n v="58"/>
    <n v="800"/>
    <n v="4"/>
    <n v="3200"/>
    <n v="18.55"/>
    <d v="2023-04-04T00:00:00"/>
    <s v="Unknown"/>
    <n v="3200"/>
    <n v="2023"/>
    <x v="1"/>
    <n v="15"/>
    <n v="3"/>
    <n v="4"/>
  </r>
  <r>
    <s v="CUST0189"/>
    <s v="Female"/>
    <s v="East"/>
    <s v="Monitor"/>
    <x v="0"/>
    <n v="38"/>
    <n v="300"/>
    <n v="1"/>
    <n v="300"/>
    <n v="11.89"/>
    <d v="2023-05-01T00:00:00"/>
    <s v="In Transit"/>
    <n v="300"/>
    <n v="2023"/>
    <x v="9"/>
    <n v="19"/>
    <n v="3"/>
    <n v="1"/>
  </r>
  <r>
    <s v="CUST0092"/>
    <s v="Female"/>
    <s v="East"/>
    <s v="Smartphone"/>
    <x v="0"/>
    <n v="32"/>
    <n v="800"/>
    <n v="3"/>
    <n v="2400"/>
    <n v="14.12"/>
    <d v="2023-09-28T00:00:00"/>
    <s v="In Transit"/>
    <n v="2400"/>
    <n v="2023"/>
    <x v="7"/>
    <n v="40"/>
    <n v="3"/>
    <n v="3"/>
  </r>
  <r>
    <s v="CUST0254"/>
    <s v="Female"/>
    <s v="West"/>
    <s v="Mouse"/>
    <x v="1"/>
    <n v="49"/>
    <n v="30"/>
    <n v="2"/>
    <n v="60"/>
    <n v="7.56"/>
    <d v="2023-12-25T00:00:00"/>
    <s v="Delivered"/>
    <n v="60"/>
    <n v="2023"/>
    <x v="0"/>
    <n v="53"/>
    <n v="3"/>
    <n v="2"/>
  </r>
  <r>
    <s v="CUST0150"/>
    <s v="Male"/>
    <s v="South"/>
    <s v="Headphones"/>
    <x v="1"/>
    <n v="63"/>
    <n v="100"/>
    <n v="4"/>
    <n v="400"/>
    <n v="11.39"/>
    <d v="2023-05-06T00:00:00"/>
    <s v="Delivered"/>
    <n v="400"/>
    <n v="2023"/>
    <x v="9"/>
    <n v="19"/>
    <n v="3"/>
    <n v="4"/>
  </r>
  <r>
    <s v="CUST0264"/>
    <s v="Female"/>
    <s v="West"/>
    <s v="Keyboard"/>
    <x v="1"/>
    <n v="59"/>
    <n v="103.65202041622101"/>
    <n v="4"/>
    <n v="200"/>
    <n v="10.49"/>
    <d v="2023-08-21T00:00:00"/>
    <s v="Delivered"/>
    <n v="414.60808166488403"/>
    <n v="2023"/>
    <x v="2"/>
    <n v="35"/>
    <n v="3"/>
    <n v="4"/>
  </r>
  <r>
    <s v="CUST0105"/>
    <s v="Male"/>
    <s v="West"/>
    <s v="Headphones"/>
    <x v="1"/>
    <n v="27"/>
    <n v="100"/>
    <n v="3"/>
    <n v="300"/>
    <n v="17.920000000000002"/>
    <d v="2023-03-13T00:00:00"/>
    <s v="Returned"/>
    <n v="300"/>
    <n v="2023"/>
    <x v="11"/>
    <n v="12"/>
    <n v="3"/>
    <n v="3"/>
  </r>
  <r>
    <s v="CUST0253"/>
    <s v="Female"/>
    <s v="West"/>
    <s v="Laptop"/>
    <x v="0"/>
    <n v="51"/>
    <n v="1500"/>
    <n v="1"/>
    <n v="1500"/>
    <n v="12.36"/>
    <d v="2023-02-28T00:00:00"/>
    <s v="Returned"/>
    <n v="1500"/>
    <n v="2023"/>
    <x v="6"/>
    <n v="10"/>
    <n v="3"/>
    <n v="1"/>
  </r>
  <r>
    <s v="CUST0188"/>
    <s v="Male"/>
    <s v="West"/>
    <s v="Monitor"/>
    <x v="0"/>
    <n v="29"/>
    <n v="300"/>
    <n v="4"/>
    <n v="1200"/>
    <n v="8.15"/>
    <d v="2023-07-26T00:00:00"/>
    <s v="Delivered"/>
    <n v="1200"/>
    <n v="2023"/>
    <x v="8"/>
    <n v="31"/>
    <n v="3"/>
    <n v="4"/>
  </r>
  <r>
    <s v="CUST0052"/>
    <s v="Male"/>
    <s v="East"/>
    <s v="Monitor"/>
    <x v="0"/>
    <n v="66"/>
    <n v="300"/>
    <n v="2"/>
    <n v="600"/>
    <n v="19.100000000000001"/>
    <d v="2023-07-02T00:00:00"/>
    <s v="Unknown"/>
    <n v="600"/>
    <n v="2023"/>
    <x v="8"/>
    <n v="27"/>
    <n v="3"/>
    <n v="2"/>
  </r>
  <r>
    <s v="CUST0204"/>
    <s v="Male"/>
    <s v="East"/>
    <s v="Smartwatch"/>
    <x v="2"/>
    <n v="54"/>
    <n v="200"/>
    <n v="5"/>
    <n v="1000"/>
    <n v="10.029999999999999"/>
    <d v="2023-10-17T00:00:00"/>
    <s v="Returned"/>
    <n v="1000"/>
    <n v="2023"/>
    <x v="4"/>
    <n v="43"/>
    <n v="3"/>
    <n v="5"/>
  </r>
  <r>
    <s v="CUST0180"/>
    <s v="Male"/>
    <s v="East"/>
    <s v="Monitor"/>
    <x v="0"/>
    <n v="68"/>
    <n v="300"/>
    <n v="3"/>
    <n v="900"/>
    <n v="5"/>
    <d v="2023-10-18T00:00:00"/>
    <s v="In Transit"/>
    <n v="900"/>
    <n v="2023"/>
    <x v="4"/>
    <n v="43"/>
    <n v="3"/>
    <n v="3"/>
  </r>
  <r>
    <s v="CUST0189"/>
    <s v="Female"/>
    <s v="West"/>
    <s v="Laptop"/>
    <x v="0"/>
    <n v="49"/>
    <n v="1500"/>
    <n v="3"/>
    <n v="4500"/>
    <n v="9.92"/>
    <d v="2023-04-06T00:00:00"/>
    <s v="Delivered"/>
    <n v="4500"/>
    <n v="2023"/>
    <x v="1"/>
    <n v="15"/>
    <n v="3"/>
    <n v="3"/>
  </r>
  <r>
    <s v="CUST0023"/>
    <s v="Female"/>
    <s v="South"/>
    <s v="Monitor"/>
    <x v="0"/>
    <n v="29"/>
    <n v="300"/>
    <n v="3"/>
    <n v="900"/>
    <n v="18.32"/>
    <d v="2023-07-20T00:00:00"/>
    <s v="Delivered"/>
    <n v="900"/>
    <n v="2023"/>
    <x v="8"/>
    <n v="30"/>
    <n v="3"/>
    <n v="3"/>
  </r>
  <r>
    <s v="CUST0263"/>
    <s v="Female"/>
    <s v="West"/>
    <s v="Smartwatch"/>
    <x v="2"/>
    <n v="40"/>
    <n v="200"/>
    <n v="1"/>
    <n v="200"/>
    <n v="8.82"/>
    <d v="2023-04-08T00:00:00"/>
    <s v="Returned"/>
    <n v="200"/>
    <n v="2023"/>
    <x v="1"/>
    <n v="15"/>
    <n v="3"/>
    <n v="1"/>
  </r>
  <r>
    <s v="CUST0195"/>
    <s v="Male"/>
    <s v="West"/>
    <s v="Keyboard"/>
    <x v="1"/>
    <n v="48"/>
    <n v="50"/>
    <n v="3"/>
    <n v="150"/>
    <n v="16.84"/>
    <d v="2023-01-08T00:00:00"/>
    <s v="Returned"/>
    <n v="150"/>
    <n v="2023"/>
    <x v="3"/>
    <n v="2"/>
    <n v="3"/>
    <n v="3"/>
  </r>
  <r>
    <s v="CUST0272"/>
    <s v="Female"/>
    <s v="West"/>
    <s v="Laptop"/>
    <x v="0"/>
    <n v="52"/>
    <n v="1500"/>
    <n v="5"/>
    <n v="7500"/>
    <n v="9.4499999999999993"/>
    <d v="2023-05-13T00:00:00"/>
    <s v="Unknown"/>
    <n v="7500"/>
    <n v="2023"/>
    <x v="9"/>
    <n v="20"/>
    <n v="3"/>
    <n v="5"/>
  </r>
  <r>
    <s v="CUST0256"/>
    <s v="Male"/>
    <s v="East"/>
    <s v="Monitor"/>
    <x v="0"/>
    <n v="69"/>
    <n v="300"/>
    <n v="4"/>
    <n v="1200"/>
    <n v="8.25"/>
    <d v="2023-08-15T00:00:00"/>
    <s v="Returned"/>
    <n v="1200"/>
    <n v="2023"/>
    <x v="2"/>
    <n v="34"/>
    <n v="3"/>
    <n v="4"/>
  </r>
  <r>
    <s v="CUST0131"/>
    <s v="Male"/>
    <s v="North"/>
    <s v="Smartphone"/>
    <x v="0"/>
    <n v="67"/>
    <n v="800"/>
    <n v="4"/>
    <n v="3200"/>
    <n v="14.61"/>
    <d v="2023-09-18T00:00:00"/>
    <s v="In Transit"/>
    <n v="3200"/>
    <n v="2023"/>
    <x v="7"/>
    <n v="39"/>
    <n v="3"/>
    <n v="4"/>
  </r>
  <r>
    <s v="CUST0279"/>
    <s v="Female"/>
    <s v="North"/>
    <s v="Mouse"/>
    <x v="1"/>
    <n v="59"/>
    <n v="30"/>
    <n v="1"/>
    <n v="30"/>
    <n v="6.08"/>
    <d v="2023-02-15T00:00:00"/>
    <s v="Returned"/>
    <n v="30"/>
    <n v="2023"/>
    <x v="6"/>
    <n v="8"/>
    <n v="3"/>
    <n v="1"/>
  </r>
  <r>
    <s v="CUST0250"/>
    <s v="Female"/>
    <s v="West"/>
    <s v="Smartwatch"/>
    <x v="2"/>
    <n v="64"/>
    <n v="200"/>
    <n v="2"/>
    <n v="400"/>
    <n v="15.94"/>
    <d v="2023-11-28T00:00:00"/>
    <s v="Delivered"/>
    <n v="400"/>
    <n v="2023"/>
    <x v="10"/>
    <n v="49"/>
    <n v="3"/>
    <n v="2"/>
  </r>
  <r>
    <s v="CUST0012"/>
    <s v="Male"/>
    <s v="East"/>
    <s v="Mouse"/>
    <x v="1"/>
    <n v="49"/>
    <n v="30"/>
    <n v="3"/>
    <n v="90"/>
    <n v="16.489999999999998"/>
    <d v="2023-07-29T00:00:00"/>
    <s v="In Transit"/>
    <n v="90"/>
    <n v="2023"/>
    <x v="8"/>
    <n v="31"/>
    <n v="3"/>
    <n v="3"/>
  </r>
  <r>
    <s v="CUST0127"/>
    <s v="Female"/>
    <s v="South"/>
    <s v="Smartphone"/>
    <x v="0"/>
    <n v="62"/>
    <n v="800"/>
    <n v="4"/>
    <n v="3200"/>
    <n v="6.66"/>
    <d v="2023-07-10T00:00:00"/>
    <s v="In Transit"/>
    <n v="3200"/>
    <n v="2023"/>
    <x v="8"/>
    <n v="29"/>
    <n v="3"/>
    <n v="4"/>
  </r>
  <r>
    <s v="CUST0128"/>
    <s v="Female"/>
    <s v="North"/>
    <s v="Monitor"/>
    <x v="0"/>
    <n v="52"/>
    <n v="621.91212249732996"/>
    <n v="3"/>
    <n v="900"/>
    <n v="11.04"/>
    <d v="2023-10-25T00:00:00"/>
    <s v="Delivered"/>
    <n v="1865.7363674919898"/>
    <n v="2023"/>
    <x v="4"/>
    <n v="44"/>
    <n v="3"/>
    <n v="3"/>
  </r>
  <r>
    <s v="CUST0155"/>
    <s v="Male"/>
    <s v="West"/>
    <s v="Headphones"/>
    <x v="1"/>
    <n v="41"/>
    <n v="100"/>
    <n v="3"/>
    <n v="300"/>
    <n v="11.98"/>
    <d v="2023-06-12T00:00:00"/>
    <s v="Delivered"/>
    <n v="300"/>
    <n v="2023"/>
    <x v="5"/>
    <n v="25"/>
    <n v="3"/>
    <n v="3"/>
  </r>
  <r>
    <s v="CUST0115"/>
    <s v="Male"/>
    <s v="South"/>
    <s v="Headphones"/>
    <x v="1"/>
    <n v="53"/>
    <n v="100"/>
    <n v="5"/>
    <n v="500"/>
    <n v="5.93"/>
    <d v="2023-07-22T00:00:00"/>
    <s v="In Transit"/>
    <n v="500"/>
    <n v="2023"/>
    <x v="8"/>
    <n v="30"/>
    <n v="3"/>
    <n v="5"/>
  </r>
  <r>
    <s v="CUST0115"/>
    <s v="Male"/>
    <s v="West"/>
    <s v="Smartwatch"/>
    <x v="2"/>
    <n v="53"/>
    <n v="200"/>
    <n v="5"/>
    <n v="1000"/>
    <n v="19.43"/>
    <d v="2023-06-25T00:00:00"/>
    <s v="Returned"/>
    <n v="1000"/>
    <n v="2023"/>
    <x v="5"/>
    <n v="26"/>
    <n v="3"/>
    <n v="5"/>
  </r>
  <r>
    <s v="CUST0282"/>
    <s v="Male"/>
    <s v="East"/>
    <s v="Smartphone"/>
    <x v="0"/>
    <n v="68"/>
    <n v="800"/>
    <n v="3"/>
    <n v="2400"/>
    <n v="8.23"/>
    <d v="2023-11-29T00:00:00"/>
    <s v="Returned"/>
    <n v="2400"/>
    <n v="2023"/>
    <x v="10"/>
    <n v="49"/>
    <n v="3"/>
    <n v="3"/>
  </r>
  <r>
    <s v="CUST0158"/>
    <s v="Male"/>
    <s v="West"/>
    <s v="Smartphone"/>
    <x v="0"/>
    <n v="51"/>
    <n v="800"/>
    <n v="1"/>
    <n v="800"/>
    <n v="18.579999999999998"/>
    <d v="2023-10-03T00:00:00"/>
    <s v="Returned"/>
    <n v="800"/>
    <n v="2023"/>
    <x v="4"/>
    <n v="41"/>
    <n v="3"/>
    <n v="1"/>
  </r>
  <r>
    <s v="CUST0088"/>
    <s v="Female"/>
    <s v="South"/>
    <s v="Laptop"/>
    <x v="0"/>
    <n v="66"/>
    <n v="1500"/>
    <n v="1"/>
    <n v="1500"/>
    <n v="13.16"/>
    <d v="2023-02-06T00:00:00"/>
    <s v="In Transit"/>
    <n v="1500"/>
    <n v="2023"/>
    <x v="6"/>
    <n v="7"/>
    <n v="3"/>
    <n v="1"/>
  </r>
  <r>
    <s v="CUST0124"/>
    <s v="Male"/>
    <s v="South"/>
    <s v="Monitor"/>
    <x v="0"/>
    <n v="53"/>
    <n v="300"/>
    <n v="2"/>
    <n v="600"/>
    <n v="8.51"/>
    <d v="2023-05-17T00:00:00"/>
    <s v="Returned"/>
    <n v="600"/>
    <n v="2023"/>
    <x v="9"/>
    <n v="21"/>
    <n v="3"/>
    <n v="2"/>
  </r>
  <r>
    <s v="CUST0055"/>
    <s v="Female"/>
    <s v="North"/>
    <s v="Smartwatch"/>
    <x v="2"/>
    <n v="45"/>
    <n v="200"/>
    <n v="2"/>
    <n v="400"/>
    <n v="10.82"/>
    <d v="2023-09-23T00:00:00"/>
    <s v="Returned"/>
    <n v="400"/>
    <n v="2023"/>
    <x v="7"/>
    <n v="39"/>
    <n v="3"/>
    <n v="2"/>
  </r>
  <r>
    <s v="CUST0201"/>
    <s v="Female"/>
    <s v="South"/>
    <s v="Laptop"/>
    <x v="0"/>
    <n v="49"/>
    <n v="1500"/>
    <n v="3"/>
    <n v="4500"/>
    <n v="17.62"/>
    <d v="2023-12-25T00:00:00"/>
    <s v="Returned"/>
    <n v="4500"/>
    <n v="2023"/>
    <x v="0"/>
    <n v="53"/>
    <n v="3"/>
    <n v="3"/>
  </r>
  <r>
    <s v="CUST0256"/>
    <s v="Female"/>
    <s v="West"/>
    <s v="Mouse"/>
    <x v="1"/>
    <n v="69"/>
    <n v="30"/>
    <n v="5"/>
    <n v="150"/>
    <n v="9.07"/>
    <d v="2023-02-19T00:00:00"/>
    <s v="Delivered"/>
    <n v="150"/>
    <n v="2023"/>
    <x v="6"/>
    <n v="8"/>
    <n v="3"/>
    <n v="5"/>
  </r>
  <r>
    <s v="CUST0055"/>
    <s v="Male"/>
    <s v="East"/>
    <s v="Keyboard"/>
    <x v="1"/>
    <n v="45"/>
    <n v="50"/>
    <n v="1"/>
    <n v="50"/>
    <n v="11.27"/>
    <d v="2023-09-13T00:00:00"/>
    <s v="Returned"/>
    <n v="50"/>
    <n v="2023"/>
    <x v="7"/>
    <n v="38"/>
    <n v="3"/>
    <n v="1"/>
  </r>
  <r>
    <s v="CUST0076"/>
    <s v="Male"/>
    <s v="South"/>
    <s v="Monitor"/>
    <x v="0"/>
    <n v="26"/>
    <n v="300"/>
    <n v="4"/>
    <n v="1200"/>
    <n v="6.9"/>
    <d v="2023-11-05T00:00:00"/>
    <s v="Returned"/>
    <n v="1200"/>
    <n v="2023"/>
    <x v="10"/>
    <n v="45"/>
    <n v="3"/>
    <n v="4"/>
  </r>
  <r>
    <s v="CUST0273"/>
    <s v="Male"/>
    <s v="South"/>
    <s v="Monitor"/>
    <x v="0"/>
    <n v="55"/>
    <n v="300"/>
    <n v="3"/>
    <n v="900"/>
    <n v="7.31"/>
    <d v="2023-01-15T00:00:00"/>
    <s v="In Transit"/>
    <n v="900"/>
    <n v="2023"/>
    <x v="3"/>
    <n v="3"/>
    <n v="3"/>
    <n v="3"/>
  </r>
  <r>
    <s v="CUST0022"/>
    <s v="Female"/>
    <s v="Unknown"/>
    <s v="Mouse"/>
    <x v="1"/>
    <n v="33"/>
    <n v="30"/>
    <n v="1"/>
    <n v="30"/>
    <n v="15.29"/>
    <d v="2023-02-27T00:00:00"/>
    <s v="Delivered"/>
    <n v="30"/>
    <n v="2023"/>
    <x v="6"/>
    <n v="10"/>
    <n v="3"/>
    <n v="1"/>
  </r>
  <r>
    <s v="CUST0204"/>
    <s v="Male"/>
    <s v="East"/>
    <s v="Laptop"/>
    <x v="0"/>
    <n v="54"/>
    <n v="1500"/>
    <n v="2"/>
    <n v="3000"/>
    <n v="12.68"/>
    <d v="2023-05-11T00:00:00"/>
    <s v="Delivered"/>
    <n v="3000"/>
    <n v="2023"/>
    <x v="9"/>
    <n v="20"/>
    <n v="3"/>
    <n v="2"/>
  </r>
  <r>
    <s v="CUST0194"/>
    <s v="Female"/>
    <s v="South"/>
    <s v="Mouse"/>
    <x v="1"/>
    <n v="61"/>
    <n v="30"/>
    <n v="1"/>
    <n v="30"/>
    <n v="19.54"/>
    <d v="2023-04-16T00:00:00"/>
    <s v="In Transit"/>
    <n v="30"/>
    <n v="2023"/>
    <x v="1"/>
    <n v="16"/>
    <n v="3"/>
    <n v="1"/>
  </r>
  <r>
    <s v="CUST0138"/>
    <s v="Male"/>
    <s v="East"/>
    <s v="Smartphone"/>
    <x v="0"/>
    <n v="46"/>
    <n v="800"/>
    <n v="4"/>
    <n v="3200"/>
    <n v="17.82"/>
    <d v="2023-03-17T00:00:00"/>
    <s v="Unknown"/>
    <n v="3200"/>
    <n v="2023"/>
    <x v="11"/>
    <n v="12"/>
    <n v="3"/>
    <n v="4"/>
  </r>
  <r>
    <s v="CUST0071"/>
    <s v="Female"/>
    <s v="North"/>
    <s v="Mouse"/>
    <x v="1"/>
    <n v="46"/>
    <n v="30"/>
    <n v="4"/>
    <n v="120"/>
    <n v="10.01"/>
    <d v="2023-04-11T00:00:00"/>
    <s v="In Transit"/>
    <n v="120"/>
    <n v="2023"/>
    <x v="1"/>
    <n v="16"/>
    <n v="3"/>
    <n v="4"/>
  </r>
  <r>
    <s v="CUST0044"/>
    <s v="Female"/>
    <s v="North"/>
    <s v="Keyboard"/>
    <x v="1"/>
    <n v="30"/>
    <n v="50"/>
    <n v="4"/>
    <n v="200"/>
    <n v="16.61"/>
    <d v="2023-10-16T00:00:00"/>
    <s v="Returned"/>
    <n v="200"/>
    <n v="2023"/>
    <x v="4"/>
    <n v="43"/>
    <n v="3"/>
    <n v="4"/>
  </r>
  <r>
    <s v="CUST0273"/>
    <s v="Male"/>
    <s v="South"/>
    <s v="Headphones"/>
    <x v="1"/>
    <n v="55"/>
    <n v="100"/>
    <n v="4"/>
    <n v="400"/>
    <n v="18.989999999999998"/>
    <d v="2023-10-16T00:00:00"/>
    <s v="In Transit"/>
    <n v="400"/>
    <n v="2023"/>
    <x v="4"/>
    <n v="43"/>
    <n v="3"/>
    <n v="4"/>
  </r>
  <r>
    <s v="CUST0196"/>
    <s v="Female"/>
    <s v="East"/>
    <s v="Headphones"/>
    <x v="1"/>
    <n v="37"/>
    <n v="100"/>
    <n v="4"/>
    <n v="400"/>
    <n v="11.4"/>
    <d v="2023-02-22T00:00:00"/>
    <s v="Delivered"/>
    <n v="400"/>
    <n v="2023"/>
    <x v="6"/>
    <n v="9"/>
    <n v="3"/>
    <n v="4"/>
  </r>
  <r>
    <s v="CUST0212"/>
    <s v="Female"/>
    <s v="East"/>
    <s v="Mouse"/>
    <x v="1"/>
    <n v="62"/>
    <n v="30"/>
    <n v="2"/>
    <n v="60"/>
    <n v="8.36"/>
    <d v="2023-07-17T00:00:00"/>
    <s v="Delivered"/>
    <n v="60"/>
    <n v="2023"/>
    <x v="8"/>
    <n v="30"/>
    <n v="3"/>
    <n v="2"/>
  </r>
  <r>
    <s v="CUST0106"/>
    <s v="Female"/>
    <s v="East"/>
    <s v="Mouse"/>
    <x v="1"/>
    <n v="49"/>
    <n v="30"/>
    <n v="5"/>
    <n v="150"/>
    <n v="10.029999999999999"/>
    <d v="2023-06-30T00:00:00"/>
    <s v="Delivered"/>
    <n v="150"/>
    <n v="2023"/>
    <x v="5"/>
    <n v="27"/>
    <n v="3"/>
    <n v="5"/>
  </r>
  <r>
    <s v="CUST0133"/>
    <s v="Male"/>
    <s v="North"/>
    <s v="Headphones"/>
    <x v="1"/>
    <n v="47"/>
    <n v="100"/>
    <n v="3"/>
    <n v="300"/>
    <n v="15"/>
    <d v="2023-07-09T00:00:00"/>
    <s v="Delivered"/>
    <n v="300"/>
    <n v="2023"/>
    <x v="8"/>
    <n v="28"/>
    <n v="3"/>
    <n v="3"/>
  </r>
  <r>
    <s v="CUST0262"/>
    <s v="Male"/>
    <s v="West"/>
    <s v="Mouse"/>
    <x v="1"/>
    <n v="27"/>
    <n v="30"/>
    <n v="4"/>
    <n v="120"/>
    <n v="16.05"/>
    <d v="2023-05-07T00:00:00"/>
    <s v="Returned"/>
    <n v="120"/>
    <n v="2023"/>
    <x v="9"/>
    <n v="19"/>
    <n v="3"/>
    <n v="4"/>
  </r>
  <r>
    <s v="CUST0280"/>
    <s v="Female"/>
    <s v="East"/>
    <s v="Keyboard"/>
    <x v="1"/>
    <n v="44"/>
    <n v="50"/>
    <n v="4"/>
    <n v="200"/>
    <n v="12.3"/>
    <d v="2023-03-22T00:00:00"/>
    <s v="In Transit"/>
    <n v="200"/>
    <n v="2023"/>
    <x v="11"/>
    <n v="13"/>
    <n v="3"/>
    <n v="4"/>
  </r>
  <r>
    <s v="CUST0074"/>
    <s v="Male"/>
    <s v="North"/>
    <s v="Smartwatch"/>
    <x v="2"/>
    <n v="36"/>
    <n v="200"/>
    <n v="2"/>
    <n v="400"/>
    <n v="12.03"/>
    <d v="2023-08-28T00:00:00"/>
    <s v="Returned"/>
    <n v="400"/>
    <n v="2023"/>
    <x v="2"/>
    <n v="36"/>
    <n v="3"/>
    <n v="2"/>
  </r>
  <r>
    <s v="CUST0300"/>
    <s v="Female"/>
    <s v="East"/>
    <s v="Mouse"/>
    <x v="1"/>
    <n v="49"/>
    <n v="30"/>
    <n v="3"/>
    <n v="90"/>
    <n v="11.56"/>
    <d v="2023-01-17T00:00:00"/>
    <s v="In Transit"/>
    <n v="90"/>
    <n v="2023"/>
    <x v="3"/>
    <n v="4"/>
    <n v="3"/>
    <n v="3"/>
  </r>
  <r>
    <s v="CUST0027"/>
    <s v="Female"/>
    <s v="North"/>
    <s v="Laptop"/>
    <x v="0"/>
    <n v="36"/>
    <n v="1500"/>
    <n v="4"/>
    <n v="6000"/>
    <n v="11.21"/>
    <d v="2023-10-16T00:00:00"/>
    <s v="Unknown"/>
    <n v="6000"/>
    <n v="2023"/>
    <x v="4"/>
    <n v="43"/>
    <n v="3"/>
    <n v="4"/>
  </r>
  <r>
    <s v="CUST0016"/>
    <s v="Male"/>
    <s v="South"/>
    <s v="Smartphone"/>
    <x v="0"/>
    <n v="61"/>
    <n v="800"/>
    <n v="1"/>
    <n v="800"/>
    <n v="17.43"/>
    <d v="2023-01-10T00:00:00"/>
    <s v="Delivered"/>
    <n v="800"/>
    <n v="2023"/>
    <x v="3"/>
    <n v="3"/>
    <n v="3"/>
    <n v="1"/>
  </r>
  <r>
    <s v="CUST0152"/>
    <s v="Male"/>
    <s v="South"/>
    <s v="Smartphone"/>
    <x v="0"/>
    <n v="69"/>
    <n v="800"/>
    <n v="3"/>
    <n v="2400"/>
    <n v="13.57"/>
    <d v="2023-03-25T00:00:00"/>
    <s v="Returned"/>
    <n v="2400"/>
    <n v="2023"/>
    <x v="11"/>
    <n v="13"/>
    <n v="3"/>
    <n v="3"/>
  </r>
  <r>
    <s v="CUST0278"/>
    <s v="Female"/>
    <s v="East"/>
    <s v="Smartwatch"/>
    <x v="2"/>
    <n v="52"/>
    <n v="200"/>
    <n v="3"/>
    <n v="600"/>
    <n v="10.210000000000001"/>
    <d v="2023-01-29T00:00:00"/>
    <s v="In Transit"/>
    <n v="600"/>
    <n v="2023"/>
    <x v="3"/>
    <n v="5"/>
    <n v="3"/>
    <n v="3"/>
  </r>
  <r>
    <s v="CUST0095"/>
    <s v="Female"/>
    <s v="South"/>
    <s v="Smartphone"/>
    <x v="0"/>
    <n v="60"/>
    <n v="800"/>
    <n v="5"/>
    <n v="4000"/>
    <n v="18.75"/>
    <d v="2023-01-19T00:00:00"/>
    <s v="Delivered"/>
    <n v="4000"/>
    <n v="2023"/>
    <x v="3"/>
    <n v="4"/>
    <n v="3"/>
    <n v="5"/>
  </r>
  <r>
    <s v="CUST0229"/>
    <s v="Male"/>
    <s v="West"/>
    <s v="Monitor"/>
    <x v="0"/>
    <n v="45"/>
    <n v="300"/>
    <n v="1"/>
    <n v="300"/>
    <n v="16.7"/>
    <d v="2023-09-16T00:00:00"/>
    <s v="Delivered"/>
    <n v="300"/>
    <n v="2023"/>
    <x v="7"/>
    <n v="38"/>
    <n v="3"/>
    <n v="1"/>
  </r>
  <r>
    <s v="CUST0128"/>
    <s v="Male"/>
    <s v="West"/>
    <s v="Monitor"/>
    <x v="0"/>
    <n v="52"/>
    <n v="300"/>
    <n v="1"/>
    <n v="300"/>
    <n v="14.67"/>
    <d v="2023-07-21T00:00:00"/>
    <s v="Delivered"/>
    <n v="300"/>
    <n v="2023"/>
    <x v="8"/>
    <n v="30"/>
    <n v="3"/>
    <n v="1"/>
  </r>
  <r>
    <s v="CUST0032"/>
    <s v="Female"/>
    <s v="South"/>
    <s v="Monitor"/>
    <x v="0"/>
    <n v="63"/>
    <n v="300"/>
    <n v="5"/>
    <n v="1500"/>
    <n v="18"/>
    <d v="2023-03-21T00:00:00"/>
    <s v="Returned"/>
    <n v="1500"/>
    <n v="2023"/>
    <x v="11"/>
    <n v="13"/>
    <n v="3"/>
    <n v="5"/>
  </r>
  <r>
    <s v="CUST0283"/>
    <s v="Female"/>
    <s v="South"/>
    <s v="Keyboard"/>
    <x v="1"/>
    <n v="67"/>
    <n v="50"/>
    <n v="5"/>
    <n v="250"/>
    <n v="10.039999999999999"/>
    <d v="2023-05-03T00:00:00"/>
    <s v="In Transit"/>
    <n v="250"/>
    <n v="2023"/>
    <x v="9"/>
    <n v="19"/>
    <n v="3"/>
    <n v="5"/>
  </r>
  <r>
    <s v="CUST0238"/>
    <s v="Male"/>
    <s v="West"/>
    <s v="Keyboard"/>
    <x v="1"/>
    <n v="26"/>
    <n v="50"/>
    <n v="4"/>
    <n v="200"/>
    <n v="10.23"/>
    <d v="2023-01-24T00:00:00"/>
    <s v="Delivered"/>
    <n v="200"/>
    <n v="2023"/>
    <x v="3"/>
    <n v="5"/>
    <n v="3"/>
    <n v="4"/>
  </r>
  <r>
    <s v="CUST0051"/>
    <s v="Male"/>
    <s v="West"/>
    <s v="Smartwatch"/>
    <x v="2"/>
    <n v="41"/>
    <n v="200"/>
    <n v="4"/>
    <n v="800"/>
    <n v="8.56"/>
    <d v="2024-01-03T00:00:00"/>
    <s v="Returned"/>
    <n v="800"/>
    <n v="2024"/>
    <x v="12"/>
    <n v="1"/>
    <n v="3"/>
    <n v="4"/>
  </r>
  <r>
    <s v="CUST0144"/>
    <s v="Female"/>
    <s v="South"/>
    <s v="Smartphone"/>
    <x v="0"/>
    <n v="49"/>
    <n v="800"/>
    <n v="5"/>
    <n v="4000"/>
    <n v="10.52"/>
    <d v="2023-12-01T00:00:00"/>
    <s v="Delivered"/>
    <n v="4000"/>
    <n v="2023"/>
    <x v="0"/>
    <n v="49"/>
    <n v="3"/>
    <n v="5"/>
  </r>
  <r>
    <s v="CUST0134"/>
    <s v="Male"/>
    <s v="South"/>
    <s v="Monitor"/>
    <x v="0"/>
    <n v="58"/>
    <n v="300"/>
    <n v="5"/>
    <n v="1500"/>
    <n v="19.72"/>
    <d v="2023-05-16T00:00:00"/>
    <s v="Delivered"/>
    <n v="1500"/>
    <n v="2023"/>
    <x v="9"/>
    <n v="21"/>
    <n v="3"/>
    <n v="5"/>
  </r>
  <r>
    <s v="CUST0129"/>
    <s v="Male"/>
    <s v="South"/>
    <s v="Mouse"/>
    <x v="1"/>
    <n v="66"/>
    <n v="30"/>
    <n v="2"/>
    <n v="60"/>
    <n v="9.19"/>
    <d v="2023-05-07T00:00:00"/>
    <s v="In Transit"/>
    <n v="60"/>
    <n v="2023"/>
    <x v="9"/>
    <n v="19"/>
    <n v="3"/>
    <n v="2"/>
  </r>
  <r>
    <s v="CUST0148"/>
    <s v="Female"/>
    <s v="West"/>
    <s v="Headphones"/>
    <x v="1"/>
    <n v="67"/>
    <n v="100"/>
    <n v="2"/>
    <n v="200"/>
    <n v="19.579999999999998"/>
    <d v="2023-06-01T00:00:00"/>
    <s v="Returned"/>
    <n v="200"/>
    <n v="2023"/>
    <x v="5"/>
    <n v="23"/>
    <n v="3"/>
    <n v="2"/>
  </r>
  <r>
    <s v="CUST0211"/>
    <s v="Male"/>
    <s v="North"/>
    <s v="Smartphone"/>
    <x v="0"/>
    <n v="35"/>
    <n v="800"/>
    <n v="5"/>
    <n v="4000"/>
    <n v="15.61"/>
    <d v="2023-01-27T00:00:00"/>
    <s v="In Transit"/>
    <n v="4000"/>
    <n v="2023"/>
    <x v="3"/>
    <n v="5"/>
    <n v="3"/>
    <n v="5"/>
  </r>
  <r>
    <s v="CUST0272"/>
    <s v="Male"/>
    <s v="South"/>
    <s v="Keyboard"/>
    <x v="1"/>
    <n v="52"/>
    <n v="50"/>
    <n v="2"/>
    <n v="100"/>
    <n v="13.78"/>
    <d v="2023-09-04T00:00:00"/>
    <s v="Delivered"/>
    <n v="100"/>
    <n v="2023"/>
    <x v="7"/>
    <n v="37"/>
    <n v="3"/>
    <n v="2"/>
  </r>
  <r>
    <s v="CUST0092"/>
    <s v="Female"/>
    <s v="East"/>
    <s v="Mouse"/>
    <x v="1"/>
    <n v="32"/>
    <n v="30"/>
    <n v="5"/>
    <n v="150"/>
    <n v="15.68"/>
    <d v="2023-11-06T00:00:00"/>
    <s v="Delivered"/>
    <n v="150"/>
    <n v="2023"/>
    <x v="10"/>
    <n v="46"/>
    <n v="3"/>
    <n v="5"/>
  </r>
  <r>
    <s v="CUST0203"/>
    <s v="Female"/>
    <s v="Unknown"/>
    <s v="Smartwatch"/>
    <x v="2"/>
    <n v="33"/>
    <n v="200"/>
    <n v="1"/>
    <n v="200"/>
    <n v="14.86"/>
    <d v="2023-09-24T00:00:00"/>
    <s v="Returned"/>
    <n v="200"/>
    <n v="2023"/>
    <x v="7"/>
    <n v="39"/>
    <n v="3"/>
    <n v="1"/>
  </r>
  <r>
    <s v="CUST0109"/>
    <s v="Male"/>
    <s v="North"/>
    <s v="Smartwatch"/>
    <x v="2"/>
    <n v="57"/>
    <n v="200"/>
    <n v="1"/>
    <n v="200"/>
    <n v="13.34"/>
    <d v="2023-09-08T00:00:00"/>
    <s v="Returned"/>
    <n v="200"/>
    <n v="2023"/>
    <x v="7"/>
    <n v="37"/>
    <n v="3"/>
    <n v="1"/>
  </r>
  <r>
    <s v="CUST0204"/>
    <s v="Female"/>
    <s v="South"/>
    <s v="Laptop"/>
    <x v="0"/>
    <n v="54"/>
    <n v="1500"/>
    <n v="5"/>
    <n v="7500"/>
    <n v="5.0199999999999996"/>
    <d v="2023-08-28T00:00:00"/>
    <s v="Returned"/>
    <n v="7500"/>
    <n v="2023"/>
    <x v="2"/>
    <n v="36"/>
    <n v="3"/>
    <n v="5"/>
  </r>
  <r>
    <s v="CUST0291"/>
    <s v="Male"/>
    <s v="West"/>
    <s v="Smartwatch"/>
    <x v="2"/>
    <n v="49"/>
    <n v="200"/>
    <n v="4"/>
    <n v="800"/>
    <n v="18.559999999999999"/>
    <d v="2023-03-18T00:00:00"/>
    <s v="Delivered"/>
    <n v="800"/>
    <n v="2023"/>
    <x v="11"/>
    <n v="12"/>
    <n v="3"/>
    <n v="4"/>
  </r>
  <r>
    <s v="CUST0153"/>
    <s v="Female"/>
    <s v="South"/>
    <s v="Headphones"/>
    <x v="1"/>
    <n v="40"/>
    <n v="100"/>
    <n v="5"/>
    <n v="500"/>
    <n v="14.22"/>
    <d v="2023-02-02T00:00:00"/>
    <s v="Delivered"/>
    <n v="500"/>
    <n v="2023"/>
    <x v="6"/>
    <n v="6"/>
    <n v="3"/>
    <n v="5"/>
  </r>
  <r>
    <s v="CUST0220"/>
    <s v="Male"/>
    <s v="North"/>
    <s v="Headphones"/>
    <x v="1"/>
    <n v="67"/>
    <n v="100"/>
    <n v="5"/>
    <n v="500"/>
    <n v="13.85"/>
    <d v="2023-03-15T00:00:00"/>
    <s v="Returned"/>
    <n v="500"/>
    <n v="2023"/>
    <x v="11"/>
    <n v="12"/>
    <n v="3"/>
    <n v="5"/>
  </r>
  <r>
    <s v="CUST0199"/>
    <s v="Female"/>
    <s v="North"/>
    <s v="Mouse"/>
    <x v="1"/>
    <n v="41"/>
    <n v="30"/>
    <n v="3"/>
    <n v="90"/>
    <n v="18.37"/>
    <d v="2024-01-03T00:00:00"/>
    <s v="Returned"/>
    <n v="90"/>
    <n v="2024"/>
    <x v="12"/>
    <n v="1"/>
    <n v="3"/>
    <n v="3"/>
  </r>
  <r>
    <s v="CUST0245"/>
    <s v="Male"/>
    <s v="West"/>
    <s v="Smartphone"/>
    <x v="0"/>
    <n v="63"/>
    <n v="800"/>
    <n v="2"/>
    <n v="1600"/>
    <n v="19.63"/>
    <d v="2023-12-27T00:00:00"/>
    <s v="Delivered"/>
    <n v="1600"/>
    <n v="2023"/>
    <x v="0"/>
    <n v="53"/>
    <n v="3"/>
    <n v="2"/>
  </r>
  <r>
    <s v="CUST0228"/>
    <s v="Male"/>
    <s v="North"/>
    <s v="Smartphone"/>
    <x v="0"/>
    <n v="25"/>
    <n v="800"/>
    <n v="1"/>
    <n v="800"/>
    <n v="5.64"/>
    <d v="2023-09-23T00:00:00"/>
    <s v="In Transit"/>
    <n v="800"/>
    <n v="2023"/>
    <x v="7"/>
    <n v="39"/>
    <n v="3"/>
    <n v="1"/>
  </r>
  <r>
    <s v="CUST0106"/>
    <s v="Male"/>
    <s v="North"/>
    <s v="Laptop"/>
    <x v="0"/>
    <n v="50"/>
    <n v="1500"/>
    <n v="5"/>
    <n v="7500"/>
    <n v="15.14"/>
    <d v="2023-06-08T00:00:00"/>
    <s v="In Transit"/>
    <n v="7500"/>
    <n v="2023"/>
    <x v="5"/>
    <n v="24"/>
    <n v="3"/>
    <n v="5"/>
  </r>
  <r>
    <s v="CUST0174"/>
    <s v="Male"/>
    <s v="West"/>
    <s v="Mouse"/>
    <x v="1"/>
    <n v="68"/>
    <n v="30"/>
    <n v="4"/>
    <n v="120"/>
    <n v="14.02"/>
    <d v="2023-09-13T00:00:00"/>
    <s v="Returned"/>
    <n v="120"/>
    <n v="2023"/>
    <x v="7"/>
    <n v="38"/>
    <n v="3"/>
    <n v="4"/>
  </r>
  <r>
    <s v="CUST0161"/>
    <s v="Male"/>
    <s v="West"/>
    <s v="Smartwatch"/>
    <x v="2"/>
    <n v="62"/>
    <n v="200"/>
    <n v="3"/>
    <n v="600"/>
    <n v="17.899999999999999"/>
    <d v="2023-01-03T00:00:00"/>
    <s v="Returned"/>
    <n v="600"/>
    <n v="2023"/>
    <x v="3"/>
    <n v="2"/>
    <n v="3"/>
    <n v="3"/>
  </r>
  <r>
    <s v="CUST0204"/>
    <s v="Male"/>
    <s v="South"/>
    <s v="Smartphone"/>
    <x v="0"/>
    <n v="54"/>
    <n v="800"/>
    <n v="1"/>
    <n v="800"/>
    <n v="7.77"/>
    <d v="2023-07-23T00:00:00"/>
    <s v="Returned"/>
    <n v="800"/>
    <n v="2023"/>
    <x v="8"/>
    <n v="30"/>
    <n v="3"/>
    <n v="1"/>
  </r>
  <r>
    <s v="CUST0062"/>
    <s v="Male"/>
    <s v="West"/>
    <s v="Smartwatch"/>
    <x v="2"/>
    <n v="43"/>
    <n v="200"/>
    <n v="2"/>
    <n v="400"/>
    <n v="13.02"/>
    <d v="2023-10-08T00:00:00"/>
    <s v="Delivered"/>
    <n v="400"/>
    <n v="2023"/>
    <x v="4"/>
    <n v="41"/>
    <n v="3"/>
    <n v="2"/>
  </r>
  <r>
    <s v="CUST0114"/>
    <s v="Male"/>
    <s v="South"/>
    <s v="Keyboard"/>
    <x v="1"/>
    <n v="60"/>
    <n v="50"/>
    <n v="1"/>
    <n v="50"/>
    <n v="6.25"/>
    <d v="2023-02-06T00:00:00"/>
    <s v="In Transit"/>
    <n v="50"/>
    <n v="2023"/>
    <x v="6"/>
    <n v="7"/>
    <n v="3"/>
    <n v="1"/>
  </r>
  <r>
    <s v="CUST0102"/>
    <s v="Male"/>
    <s v="West"/>
    <s v="Monitor"/>
    <x v="0"/>
    <n v="25"/>
    <n v="300"/>
    <n v="3"/>
    <n v="900"/>
    <n v="9.94"/>
    <d v="2023-10-21T00:00:00"/>
    <s v="Delivered"/>
    <n v="900"/>
    <n v="2023"/>
    <x v="4"/>
    <n v="43"/>
    <n v="3"/>
    <n v="3"/>
  </r>
  <r>
    <s v="CUST0140"/>
    <s v="Male"/>
    <s v="East"/>
    <s v="Smartphone"/>
    <x v="0"/>
    <n v="50"/>
    <n v="800"/>
    <n v="1"/>
    <n v="800"/>
    <n v="10.36"/>
    <d v="2023-05-25T00:00:00"/>
    <s v="Returned"/>
    <n v="800"/>
    <n v="2023"/>
    <x v="9"/>
    <n v="22"/>
    <n v="3"/>
    <n v="1"/>
  </r>
  <r>
    <s v="CUST0142"/>
    <s v="Female"/>
    <s v="South"/>
    <s v="Smartphone"/>
    <x v="0"/>
    <n v="32"/>
    <n v="800"/>
    <n v="1"/>
    <n v="800"/>
    <n v="8.4499999999999993"/>
    <d v="2023-04-28T00:00:00"/>
    <s v="Returned"/>
    <n v="800"/>
    <n v="2023"/>
    <x v="1"/>
    <n v="18"/>
    <n v="3"/>
    <n v="1"/>
  </r>
  <r>
    <s v="CUST0016"/>
    <s v="Male"/>
    <s v="East"/>
    <s v="Smartphone"/>
    <x v="0"/>
    <n v="61"/>
    <n v="800"/>
    <n v="2"/>
    <n v="1600"/>
    <n v="19.07"/>
    <d v="2023-10-03T00:00:00"/>
    <s v="Delivered"/>
    <n v="1600"/>
    <n v="2023"/>
    <x v="4"/>
    <n v="41"/>
    <n v="3"/>
    <n v="2"/>
  </r>
  <r>
    <s v="CUST0023"/>
    <s v="Male"/>
    <s v="South"/>
    <s v="Keyboard"/>
    <x v="1"/>
    <n v="49"/>
    <n v="50"/>
    <n v="5"/>
    <n v="250"/>
    <n v="10.029999999999999"/>
    <d v="2023-11-01T00:00:00"/>
    <s v="Returned"/>
    <n v="250"/>
    <n v="2023"/>
    <x v="10"/>
    <n v="45"/>
    <n v="3"/>
    <n v="5"/>
  </r>
  <r>
    <s v="CUST0008"/>
    <s v="Female"/>
    <s v="West"/>
    <s v="Mouse"/>
    <x v="1"/>
    <n v="18"/>
    <n v="30"/>
    <n v="4"/>
    <n v="120"/>
    <n v="8.76"/>
    <d v="2023-06-30T00:00:00"/>
    <s v="In Transit"/>
    <n v="120"/>
    <n v="2023"/>
    <x v="5"/>
    <n v="27"/>
    <n v="3"/>
    <n v="4"/>
  </r>
  <r>
    <s v="CUST0268"/>
    <s v="Male"/>
    <s v="North"/>
    <s v="Monitor"/>
    <x v="0"/>
    <n v="21"/>
    <n v="300"/>
    <n v="2"/>
    <n v="600"/>
    <n v="5.69"/>
    <d v="2023-08-03T00:00:00"/>
    <s v="Returned"/>
    <n v="600"/>
    <n v="2023"/>
    <x v="2"/>
    <n v="32"/>
    <n v="3"/>
    <n v="2"/>
  </r>
  <r>
    <s v="CUST0162"/>
    <s v="Male"/>
    <s v="East"/>
    <s v="Headphones"/>
    <x v="1"/>
    <n v="69"/>
    <n v="100"/>
    <n v="1"/>
    <n v="100"/>
    <n v="6.43"/>
    <d v="2023-05-26T00:00:00"/>
    <s v="Returned"/>
    <n v="100"/>
    <n v="2023"/>
    <x v="9"/>
    <n v="22"/>
    <n v="3"/>
    <n v="1"/>
  </r>
  <r>
    <s v="CUST0121"/>
    <s v="Female"/>
    <s v="West"/>
    <s v="Smartwatch"/>
    <x v="2"/>
    <n v="66"/>
    <n v="200"/>
    <n v="5"/>
    <n v="1000"/>
    <n v="19.190000000000001"/>
    <d v="2023-09-19T00:00:00"/>
    <s v="Returned"/>
    <n v="1000"/>
    <n v="2023"/>
    <x v="7"/>
    <n v="39"/>
    <n v="3"/>
    <n v="5"/>
  </r>
  <r>
    <s v="CUST0047"/>
    <s v="Female"/>
    <s v="West"/>
    <s v="Smartwatch"/>
    <x v="2"/>
    <n v="41"/>
    <n v="200"/>
    <n v="3"/>
    <n v="600"/>
    <n v="10.92"/>
    <d v="2023-06-18T00:00:00"/>
    <s v="Returned"/>
    <n v="600"/>
    <n v="2023"/>
    <x v="5"/>
    <n v="25"/>
    <n v="3"/>
    <n v="3"/>
  </r>
  <r>
    <s v="CUST0148"/>
    <s v="Male"/>
    <s v="East"/>
    <s v="Keyboard"/>
    <x v="1"/>
    <n v="67"/>
    <n v="50"/>
    <n v="5"/>
    <n v="250"/>
    <n v="11.17"/>
    <d v="2023-03-03T00:00:00"/>
    <s v="In Transit"/>
    <n v="250"/>
    <n v="2023"/>
    <x v="11"/>
    <n v="10"/>
    <n v="3"/>
    <n v="5"/>
  </r>
  <r>
    <s v="CUST0251"/>
    <s v="Female"/>
    <s v="East"/>
    <s v="Smartphone"/>
    <x v="0"/>
    <n v="42"/>
    <n v="800"/>
    <n v="3"/>
    <n v="2400"/>
    <n v="10.65"/>
    <d v="2023-11-18T00:00:00"/>
    <s v="In Transit"/>
    <n v="2400"/>
    <n v="2023"/>
    <x v="10"/>
    <n v="47"/>
    <n v="3"/>
    <n v="3"/>
  </r>
  <r>
    <s v="CUST0028"/>
    <s v="Female"/>
    <s v="West"/>
    <s v="Monitor"/>
    <x v="0"/>
    <n v="50"/>
    <n v="300"/>
    <n v="1"/>
    <n v="300"/>
    <n v="14.36"/>
    <d v="2023-08-05T00:00:00"/>
    <s v="Delivered"/>
    <n v="300"/>
    <n v="2023"/>
    <x v="2"/>
    <n v="32"/>
    <n v="3"/>
    <n v="1"/>
  </r>
  <r>
    <s v="CUST0174"/>
    <s v="Female"/>
    <s v="East"/>
    <s v="Headphones"/>
    <x v="1"/>
    <n v="68"/>
    <n v="100"/>
    <n v="4"/>
    <n v="400"/>
    <n v="11.92"/>
    <d v="2023-10-31T00:00:00"/>
    <s v="In Transit"/>
    <n v="400"/>
    <n v="2023"/>
    <x v="4"/>
    <n v="45"/>
    <n v="3"/>
    <n v="4"/>
  </r>
  <r>
    <s v="CUST0296"/>
    <s v="Female"/>
    <s v="East"/>
    <s v="Smartphone"/>
    <x v="0"/>
    <n v="50"/>
    <n v="800"/>
    <n v="5"/>
    <n v="4000"/>
    <n v="13.43"/>
    <d v="2023-08-11T00:00:00"/>
    <s v="Returned"/>
    <n v="4000"/>
    <n v="2023"/>
    <x v="2"/>
    <n v="33"/>
    <n v="3"/>
    <n v="5"/>
  </r>
  <r>
    <s v="CUST0085"/>
    <s v="Male"/>
    <s v="Unknown"/>
    <s v="Smartphone"/>
    <x v="0"/>
    <n v="49"/>
    <n v="800"/>
    <n v="1"/>
    <n v="800"/>
    <n v="16.2"/>
    <d v="2023-11-25T00:00:00"/>
    <s v="Returned"/>
    <n v="800"/>
    <n v="2023"/>
    <x v="10"/>
    <n v="48"/>
    <n v="3"/>
    <n v="1"/>
  </r>
  <r>
    <s v="CUST0281"/>
    <s v="Male"/>
    <s v="West"/>
    <s v="Laptop"/>
    <x v="0"/>
    <n v="44"/>
    <n v="1500"/>
    <n v="5"/>
    <n v="7500"/>
    <n v="7.21"/>
    <d v="2023-11-21T00:00:00"/>
    <s v="Delivered"/>
    <n v="7500"/>
    <n v="2023"/>
    <x v="10"/>
    <n v="48"/>
    <n v="3"/>
    <n v="5"/>
  </r>
  <r>
    <s v="CUST0010"/>
    <s v="Female"/>
    <s v="East"/>
    <s v="Headphones"/>
    <x v="1"/>
    <n v="37"/>
    <n v="100"/>
    <n v="3"/>
    <n v="300"/>
    <n v="7.41"/>
    <d v="2023-03-27T00:00:00"/>
    <s v="Delivered"/>
    <n v="300"/>
    <n v="2023"/>
    <x v="11"/>
    <n v="14"/>
    <n v="3"/>
    <n v="3"/>
  </r>
  <r>
    <s v="CUST0186"/>
    <s v="Female"/>
    <s v="West"/>
    <s v="Laptop"/>
    <x v="0"/>
    <n v="55"/>
    <n v="1500"/>
    <n v="1"/>
    <n v="1500"/>
    <n v="19.04"/>
    <d v="2023-10-20T00:00:00"/>
    <s v="In Transit"/>
    <n v="1500"/>
    <n v="2023"/>
    <x v="4"/>
    <n v="43"/>
    <n v="3"/>
    <n v="1"/>
  </r>
  <r>
    <s v="CUST0281"/>
    <s v="Female"/>
    <s v="North"/>
    <s v="Laptop"/>
    <x v="0"/>
    <n v="44"/>
    <n v="1500"/>
    <n v="2"/>
    <n v="3000"/>
    <n v="9.8699999999999992"/>
    <d v="2023-11-27T00:00:00"/>
    <s v="Delivered"/>
    <n v="3000"/>
    <n v="2023"/>
    <x v="10"/>
    <n v="49"/>
    <n v="3"/>
    <n v="2"/>
  </r>
  <r>
    <s v="CUST0031"/>
    <s v="Female"/>
    <s v="East"/>
    <s v="Smartphone"/>
    <x v="0"/>
    <n v="67"/>
    <n v="800"/>
    <n v="5"/>
    <n v="4000"/>
    <n v="9.6"/>
    <d v="2023-10-22T00:00:00"/>
    <s v="In Transit"/>
    <n v="4000"/>
    <n v="2023"/>
    <x v="4"/>
    <n v="43"/>
    <n v="3"/>
    <n v="5"/>
  </r>
  <r>
    <s v="CUST0270"/>
    <s v="Female"/>
    <s v="East"/>
    <s v="Headphones"/>
    <x v="1"/>
    <n v="49"/>
    <n v="100"/>
    <n v="3"/>
    <n v="300"/>
    <n v="13.33"/>
    <d v="2023-02-10T00:00:00"/>
    <s v="Delivered"/>
    <n v="300"/>
    <n v="2023"/>
    <x v="6"/>
    <n v="7"/>
    <n v="3"/>
    <n v="3"/>
  </r>
  <r>
    <s v="CUST0039"/>
    <s v="Female"/>
    <s v="North"/>
    <s v="Smartphone"/>
    <x v="0"/>
    <n v="60"/>
    <n v="800"/>
    <n v="2"/>
    <n v="1600"/>
    <n v="19.2"/>
    <d v="2023-08-11T00:00:00"/>
    <s v="In Transit"/>
    <n v="1600"/>
    <n v="2023"/>
    <x v="2"/>
    <n v="33"/>
    <n v="3"/>
    <n v="2"/>
  </r>
  <r>
    <s v="CUST0063"/>
    <s v="Male"/>
    <s v="South"/>
    <s v="Keyboard"/>
    <x v="1"/>
    <n v="20"/>
    <n v="50"/>
    <n v="1"/>
    <n v="50"/>
    <n v="17.61"/>
    <d v="2023-08-13T00:00:00"/>
    <s v="Returned"/>
    <n v="50"/>
    <n v="2023"/>
    <x v="2"/>
    <n v="33"/>
    <n v="3"/>
    <n v="1"/>
  </r>
  <r>
    <s v="CUST0097"/>
    <s v="Female"/>
    <s v="East"/>
    <s v="Smartwatch"/>
    <x v="2"/>
    <n v="34"/>
    <n v="200"/>
    <n v="1"/>
    <n v="200"/>
    <n v="17.66"/>
    <d v="2023-05-21T00:00:00"/>
    <s v="Returned"/>
    <n v="200"/>
    <n v="2023"/>
    <x v="9"/>
    <n v="21"/>
    <n v="3"/>
    <n v="1"/>
  </r>
  <r>
    <s v="CUST0067"/>
    <s v="Female"/>
    <s v="North"/>
    <s v="Laptop"/>
    <x v="0"/>
    <n v="19"/>
    <n v="1500"/>
    <n v="4"/>
    <n v="6000"/>
    <n v="14.45"/>
    <d v="2023-11-08T00:00:00"/>
    <s v="Delivered"/>
    <n v="6000"/>
    <n v="2023"/>
    <x v="10"/>
    <n v="46"/>
    <n v="3"/>
    <n v="4"/>
  </r>
  <r>
    <s v="CUST0124"/>
    <s v="Female"/>
    <s v="East"/>
    <s v="Smartphone"/>
    <x v="0"/>
    <n v="49"/>
    <n v="800"/>
    <n v="4"/>
    <n v="3200"/>
    <n v="19.170000000000002"/>
    <d v="2023-06-17T00:00:00"/>
    <s v="In Transit"/>
    <n v="3200"/>
    <n v="2023"/>
    <x v="5"/>
    <n v="25"/>
    <n v="3"/>
    <n v="4"/>
  </r>
  <r>
    <s v="CUST0284"/>
    <s v="Female"/>
    <s v="South"/>
    <s v="Monitor"/>
    <x v="0"/>
    <n v="64"/>
    <n v="300"/>
    <n v="3"/>
    <n v="900"/>
    <n v="19.12"/>
    <d v="2023-06-17T00:00:00"/>
    <s v="In Transit"/>
    <n v="900"/>
    <n v="2023"/>
    <x v="5"/>
    <n v="25"/>
    <n v="3"/>
    <n v="3"/>
  </r>
  <r>
    <s v="CUST0010"/>
    <s v="Male"/>
    <s v="West"/>
    <s v="Monitor"/>
    <x v="0"/>
    <n v="37"/>
    <n v="300"/>
    <n v="1"/>
    <n v="300"/>
    <n v="9.7200000000000006"/>
    <d v="2023-03-30T00:00:00"/>
    <s v="Returned"/>
    <n v="300"/>
    <n v="2023"/>
    <x v="11"/>
    <n v="14"/>
    <n v="3"/>
    <n v="1"/>
  </r>
  <r>
    <s v="CUST0276"/>
    <s v="Female"/>
    <s v="West"/>
    <s v="Monitor"/>
    <x v="0"/>
    <n v="66"/>
    <n v="300"/>
    <n v="1"/>
    <n v="300"/>
    <n v="18.63"/>
    <d v="2023-11-01T00:00:00"/>
    <s v="Delivered"/>
    <n v="300"/>
    <n v="2023"/>
    <x v="10"/>
    <n v="45"/>
    <n v="3"/>
    <n v="1"/>
  </r>
  <r>
    <s v="CUST0256"/>
    <s v="Male"/>
    <s v="South"/>
    <s v="Smartphone"/>
    <x v="0"/>
    <n v="69"/>
    <n v="800"/>
    <n v="3"/>
    <n v="2400"/>
    <n v="5.26"/>
    <d v="2023-10-07T00:00:00"/>
    <s v="Unknown"/>
    <n v="2400"/>
    <n v="2023"/>
    <x v="4"/>
    <n v="41"/>
    <n v="3"/>
    <n v="3"/>
  </r>
  <r>
    <s v="CUST0221"/>
    <s v="Female"/>
    <s v="South"/>
    <s v="Mouse"/>
    <x v="1"/>
    <n v="33"/>
    <n v="30"/>
    <n v="2"/>
    <n v="60"/>
    <n v="15.69"/>
    <d v="2023-10-21T00:00:00"/>
    <s v="Delivered"/>
    <n v="60"/>
    <n v="2023"/>
    <x v="4"/>
    <n v="43"/>
    <n v="3"/>
    <n v="2"/>
  </r>
  <r>
    <s v="CUST0062"/>
    <s v="Female"/>
    <s v="West"/>
    <s v="Monitor"/>
    <x v="0"/>
    <n v="43"/>
    <n v="300"/>
    <n v="3"/>
    <n v="900"/>
    <n v="8.58"/>
    <d v="2023-11-02T00:00:00"/>
    <s v="Returned"/>
    <n v="900"/>
    <n v="2023"/>
    <x v="10"/>
    <n v="45"/>
    <n v="3"/>
    <n v="3"/>
  </r>
  <r>
    <s v="CUST0219"/>
    <s v="Female"/>
    <s v="South"/>
    <s v="Headphones"/>
    <x v="1"/>
    <n v="48"/>
    <n v="207.30404083244301"/>
    <n v="1"/>
    <n v="100"/>
    <n v="9.5500000000000007"/>
    <d v="2023-01-23T00:00:00"/>
    <s v="Delivered"/>
    <n v="207.30404083244301"/>
    <n v="2023"/>
    <x v="3"/>
    <n v="5"/>
    <n v="3"/>
    <n v="1"/>
  </r>
  <r>
    <s v="CUST0053"/>
    <s v="Male"/>
    <s v="Unknown"/>
    <s v="Keyboard"/>
    <x v="1"/>
    <n v="25"/>
    <n v="50"/>
    <n v="3"/>
    <n v="150"/>
    <n v="11.95"/>
    <d v="2023-10-18T00:00:00"/>
    <s v="Returned"/>
    <n v="150"/>
    <n v="2023"/>
    <x v="4"/>
    <n v="43"/>
    <n v="3"/>
    <n v="3"/>
  </r>
  <r>
    <s v="CUST0144"/>
    <s v="Female"/>
    <s v="South"/>
    <s v="Smartphone"/>
    <x v="0"/>
    <n v="54"/>
    <n v="800"/>
    <n v="4"/>
    <n v="3200"/>
    <n v="7.86"/>
    <d v="2023-08-07T00:00:00"/>
    <s v="Returned"/>
    <n v="3200"/>
    <n v="2023"/>
    <x v="2"/>
    <n v="33"/>
    <n v="3"/>
    <n v="4"/>
  </r>
  <r>
    <s v="CUST0081"/>
    <s v="Male"/>
    <s v="South"/>
    <s v="Monitor"/>
    <x v="0"/>
    <n v="38"/>
    <n v="300"/>
    <n v="5"/>
    <n v="1500"/>
    <n v="12.67"/>
    <d v="2023-01-05T00:00:00"/>
    <s v="In Transit"/>
    <n v="1500"/>
    <n v="2023"/>
    <x v="3"/>
    <n v="2"/>
    <n v="3"/>
    <n v="5"/>
  </r>
  <r>
    <s v="CUST0044"/>
    <s v="Female"/>
    <s v="South"/>
    <s v="Monitor"/>
    <x v="0"/>
    <n v="30"/>
    <n v="300"/>
    <n v="2"/>
    <n v="600"/>
    <n v="16.309999999999999"/>
    <d v="2023-07-25T00:00:00"/>
    <s v="Delivered"/>
    <n v="600"/>
    <n v="2023"/>
    <x v="8"/>
    <n v="31"/>
    <n v="3"/>
    <n v="2"/>
  </r>
  <r>
    <s v="CUST0055"/>
    <s v="Female"/>
    <s v="South"/>
    <s v="Smartwatch"/>
    <x v="2"/>
    <n v="45"/>
    <n v="200"/>
    <n v="3"/>
    <n v="600"/>
    <n v="18.239999999999998"/>
    <d v="2023-11-25T00:00:00"/>
    <s v="Returned"/>
    <n v="600"/>
    <n v="2023"/>
    <x v="10"/>
    <n v="48"/>
    <n v="3"/>
    <n v="3"/>
  </r>
  <r>
    <s v="CUST0272"/>
    <s v="Male"/>
    <s v="North"/>
    <s v="Mouse"/>
    <x v="1"/>
    <n v="52"/>
    <n v="30"/>
    <n v="3"/>
    <n v="90"/>
    <n v="11.88"/>
    <d v="2023-05-18T00:00:00"/>
    <s v="Returned"/>
    <n v="90"/>
    <n v="2023"/>
    <x v="9"/>
    <n v="21"/>
    <n v="3"/>
    <n v="3"/>
  </r>
  <r>
    <s v="CUST0126"/>
    <s v="Female"/>
    <s v="South"/>
    <s v="Mouse"/>
    <x v="1"/>
    <n v="66"/>
    <n v="30"/>
    <n v="2"/>
    <n v="60"/>
    <n v="5.53"/>
    <d v="2023-10-16T00:00:00"/>
    <s v="In Transit"/>
    <n v="60"/>
    <n v="2023"/>
    <x v="4"/>
    <n v="43"/>
    <n v="3"/>
    <n v="2"/>
  </r>
  <r>
    <s v="CUST0167"/>
    <s v="Male"/>
    <s v="South"/>
    <s v="Smartwatch"/>
    <x v="2"/>
    <n v="67"/>
    <n v="200"/>
    <n v="3"/>
    <n v="600"/>
    <n v="8.01"/>
    <d v="2023-03-27T00:00:00"/>
    <s v="Delivered"/>
    <n v="600"/>
    <n v="2023"/>
    <x v="11"/>
    <n v="14"/>
    <n v="3"/>
    <n v="3"/>
  </r>
  <r>
    <s v="CUST0043"/>
    <s v="Female"/>
    <s v="South"/>
    <s v="Mouse"/>
    <x v="1"/>
    <n v="22"/>
    <n v="30"/>
    <n v="4"/>
    <n v="120"/>
    <n v="19.239999999999998"/>
    <d v="2023-10-25T00:00:00"/>
    <s v="In Transit"/>
    <n v="120"/>
    <n v="2023"/>
    <x v="4"/>
    <n v="44"/>
    <n v="3"/>
    <n v="4"/>
  </r>
  <r>
    <s v="CUST0201"/>
    <s v="Male"/>
    <s v="West"/>
    <s v="Monitor"/>
    <x v="0"/>
    <n v="49"/>
    <n v="300"/>
    <n v="2"/>
    <n v="600"/>
    <n v="7"/>
    <d v="2023-09-21T00:00:00"/>
    <s v="In Transit"/>
    <n v="600"/>
    <n v="2023"/>
    <x v="7"/>
    <n v="39"/>
    <n v="3"/>
    <n v="2"/>
  </r>
  <r>
    <s v="CUST0237"/>
    <s v="Male"/>
    <s v="South"/>
    <s v="Smartwatch"/>
    <x v="2"/>
    <n v="65"/>
    <n v="200"/>
    <n v="3"/>
    <n v="600"/>
    <n v="6.94"/>
    <d v="2024-01-03T00:00:00"/>
    <s v="In Transit"/>
    <n v="600"/>
    <n v="2024"/>
    <x v="12"/>
    <n v="1"/>
    <n v="3"/>
    <n v="3"/>
  </r>
  <r>
    <s v="CUST0028"/>
    <s v="Female"/>
    <s v="East"/>
    <s v="Laptop"/>
    <x v="0"/>
    <n v="49"/>
    <n v="1500"/>
    <n v="1"/>
    <n v="1500"/>
    <n v="6.62"/>
    <d v="2023-02-22T00:00:00"/>
    <s v="Delivered"/>
    <n v="1500"/>
    <n v="2023"/>
    <x v="6"/>
    <n v="9"/>
    <n v="3"/>
    <n v="1"/>
  </r>
  <r>
    <s v="CUST0150"/>
    <s v="Female"/>
    <s v="North"/>
    <s v="Monitor"/>
    <x v="0"/>
    <n v="63"/>
    <n v="300"/>
    <n v="3"/>
    <n v="900"/>
    <n v="19.87"/>
    <d v="2023-08-23T00:00:00"/>
    <s v="Delivered"/>
    <n v="900"/>
    <n v="2023"/>
    <x v="2"/>
    <n v="35"/>
    <n v="3"/>
    <n v="3"/>
  </r>
  <r>
    <s v="CUST0247"/>
    <s v="Male"/>
    <s v="South"/>
    <s v="Keyboard"/>
    <x v="1"/>
    <n v="44"/>
    <n v="50"/>
    <n v="2"/>
    <n v="100"/>
    <n v="10.09"/>
    <d v="2023-08-01T00:00:00"/>
    <s v="Delivered"/>
    <n v="100"/>
    <n v="2023"/>
    <x v="2"/>
    <n v="32"/>
    <n v="3"/>
    <n v="2"/>
  </r>
  <r>
    <s v="CUST0058"/>
    <s v="Female"/>
    <s v="East"/>
    <s v="Monitor"/>
    <x v="0"/>
    <n v="42"/>
    <n v="300"/>
    <n v="2"/>
    <n v="600"/>
    <n v="6.22"/>
    <d v="2023-08-06T00:00:00"/>
    <s v="In Transit"/>
    <n v="600"/>
    <n v="2023"/>
    <x v="2"/>
    <n v="32"/>
    <n v="3"/>
    <n v="2"/>
  </r>
  <r>
    <s v="CUST0281"/>
    <s v="Male"/>
    <s v="West"/>
    <s v="Laptop"/>
    <x v="0"/>
    <n v="49"/>
    <n v="1500"/>
    <n v="4"/>
    <n v="6000"/>
    <n v="7.66"/>
    <d v="2023-01-01T00:00:00"/>
    <s v="Returned"/>
    <n v="6000"/>
    <n v="2023"/>
    <x v="3"/>
    <n v="1"/>
    <n v="3"/>
    <n v="4"/>
  </r>
  <r>
    <s v="CUST0041"/>
    <s v="Male"/>
    <s v="East"/>
    <s v="Smartphone"/>
    <x v="0"/>
    <n v="64"/>
    <n v="800"/>
    <n v="4"/>
    <n v="3200"/>
    <n v="5.82"/>
    <d v="2023-10-02T00:00:00"/>
    <s v="Returned"/>
    <n v="3200"/>
    <n v="2023"/>
    <x v="4"/>
    <n v="41"/>
    <n v="3"/>
    <n v="4"/>
  </r>
  <r>
    <s v="CUST0204"/>
    <s v="Male"/>
    <s v="East"/>
    <s v="Monitor"/>
    <x v="0"/>
    <n v="54"/>
    <n v="300"/>
    <n v="4"/>
    <n v="1200"/>
    <n v="18.399999999999999"/>
    <d v="2023-04-29T00:00:00"/>
    <s v="Delivered"/>
    <n v="1200"/>
    <n v="2023"/>
    <x v="1"/>
    <n v="18"/>
    <n v="3"/>
    <n v="4"/>
  </r>
  <r>
    <s v="CUST0095"/>
    <s v="Female"/>
    <s v="North"/>
    <s v="Smartwatch"/>
    <x v="2"/>
    <n v="60"/>
    <n v="200"/>
    <n v="2"/>
    <n v="400"/>
    <n v="18.88"/>
    <d v="2023-07-24T00:00:00"/>
    <s v="Delivered"/>
    <n v="400"/>
    <n v="2023"/>
    <x v="8"/>
    <n v="31"/>
    <n v="3"/>
    <n v="2"/>
  </r>
  <r>
    <s v="CUST0272"/>
    <s v="Female"/>
    <s v="North"/>
    <s v="Smartwatch"/>
    <x v="2"/>
    <n v="52"/>
    <n v="200"/>
    <n v="3"/>
    <n v="600"/>
    <n v="15.36"/>
    <d v="2023-09-17T00:00:00"/>
    <s v="In Transit"/>
    <n v="600"/>
    <n v="2023"/>
    <x v="7"/>
    <n v="38"/>
    <n v="3"/>
    <n v="3"/>
  </r>
  <r>
    <s v="CUST0069"/>
    <s v="Male"/>
    <s v="East"/>
    <s v="Monitor"/>
    <x v="0"/>
    <n v="49"/>
    <n v="300"/>
    <n v="4"/>
    <n v="1200"/>
    <n v="16.88"/>
    <d v="2023-09-26T00:00:00"/>
    <s v="In Transit"/>
    <n v="1200"/>
    <n v="2023"/>
    <x v="7"/>
    <n v="40"/>
    <n v="3"/>
    <n v="4"/>
  </r>
  <r>
    <s v="CUST0202"/>
    <s v="Male"/>
    <s v="South"/>
    <s v="Headphones"/>
    <x v="1"/>
    <n v="56"/>
    <n v="100"/>
    <n v="4"/>
    <n v="400"/>
    <n v="19.940000000000001"/>
    <d v="2023-06-07T00:00:00"/>
    <s v="In Transit"/>
    <n v="400"/>
    <n v="2023"/>
    <x v="5"/>
    <n v="24"/>
    <n v="3"/>
    <n v="4"/>
  </r>
  <r>
    <s v="CUST0054"/>
    <s v="Female"/>
    <s v="North"/>
    <s v="Headphones"/>
    <x v="1"/>
    <n v="64"/>
    <n v="100"/>
    <n v="1"/>
    <n v="100"/>
    <n v="10.32"/>
    <d v="2023-03-12T00:00:00"/>
    <s v="Delivered"/>
    <n v="100"/>
    <n v="2023"/>
    <x v="11"/>
    <n v="11"/>
    <n v="3"/>
    <n v="1"/>
  </r>
  <r>
    <s v="CUST0187"/>
    <s v="Female"/>
    <s v="East"/>
    <s v="Keyboard"/>
    <x v="1"/>
    <n v="25"/>
    <n v="50"/>
    <n v="4"/>
    <n v="200"/>
    <n v="7.33"/>
    <d v="2023-10-24T00:00:00"/>
    <s v="Delivered"/>
    <n v="200"/>
    <n v="2023"/>
    <x v="4"/>
    <n v="44"/>
    <n v="3"/>
    <n v="4"/>
  </r>
  <r>
    <s v="CUST0065"/>
    <s v="Male"/>
    <s v="South"/>
    <s v="Smartphone"/>
    <x v="0"/>
    <n v="41"/>
    <n v="800"/>
    <n v="5"/>
    <n v="4000"/>
    <n v="6.41"/>
    <d v="2023-12-01T00:00:00"/>
    <s v="In Transit"/>
    <n v="4000"/>
    <n v="2023"/>
    <x v="0"/>
    <n v="49"/>
    <n v="3"/>
    <n v="5"/>
  </r>
  <r>
    <s v="CUST0019"/>
    <s v="Male"/>
    <s v="West"/>
    <s v="Smartwatch"/>
    <x v="2"/>
    <n v="69"/>
    <n v="200"/>
    <n v="1"/>
    <n v="200"/>
    <n v="12.86"/>
    <d v="2023-08-16T00:00:00"/>
    <s v="In Transit"/>
    <n v="200"/>
    <n v="2023"/>
    <x v="2"/>
    <n v="34"/>
    <n v="3"/>
    <n v="1"/>
  </r>
  <r>
    <s v="CUST0054"/>
    <s v="Female"/>
    <s v="North"/>
    <s v="Keyboard"/>
    <x v="1"/>
    <n v="64"/>
    <n v="50"/>
    <n v="1"/>
    <n v="50"/>
    <n v="13.13"/>
    <d v="2023-02-13T00:00:00"/>
    <s v="In Transit"/>
    <n v="50"/>
    <n v="2023"/>
    <x v="6"/>
    <n v="8"/>
    <n v="3"/>
    <n v="1"/>
  </r>
  <r>
    <s v="CUST0018"/>
    <s v="Female"/>
    <s v="Unknown"/>
    <s v="Mouse"/>
    <x v="1"/>
    <n v="38"/>
    <n v="30"/>
    <n v="2"/>
    <n v="60"/>
    <n v="17.21"/>
    <d v="2023-11-28T00:00:00"/>
    <s v="In Transit"/>
    <n v="60"/>
    <n v="2023"/>
    <x v="10"/>
    <n v="49"/>
    <n v="3"/>
    <n v="2"/>
  </r>
  <r>
    <s v="CUST0059"/>
    <s v="Male"/>
    <s v="North"/>
    <s v="Laptop"/>
    <x v="0"/>
    <n v="18"/>
    <n v="1500"/>
    <n v="2"/>
    <n v="3000"/>
    <n v="7.81"/>
    <d v="2023-06-22T00:00:00"/>
    <s v="Returned"/>
    <n v="3000"/>
    <n v="2023"/>
    <x v="5"/>
    <n v="26"/>
    <n v="3"/>
    <n v="2"/>
  </r>
  <r>
    <s v="CUST0075"/>
    <s v="Female"/>
    <s v="South"/>
    <s v="Mouse"/>
    <x v="1"/>
    <n v="56"/>
    <n v="30"/>
    <n v="5"/>
    <n v="150"/>
    <n v="5.44"/>
    <d v="2023-06-23T00:00:00"/>
    <s v="In Transit"/>
    <n v="150"/>
    <n v="2023"/>
    <x v="5"/>
    <n v="26"/>
    <n v="3"/>
    <n v="5"/>
  </r>
  <r>
    <s v="CUST0129"/>
    <s v="Female"/>
    <s v="East"/>
    <s v="Smartphone"/>
    <x v="0"/>
    <n v="66"/>
    <n v="800"/>
    <n v="3"/>
    <n v="2400"/>
    <n v="19.63"/>
    <d v="2023-07-28T00:00:00"/>
    <s v="Delivered"/>
    <n v="2400"/>
    <n v="2023"/>
    <x v="8"/>
    <n v="31"/>
    <n v="3"/>
    <n v="3"/>
  </r>
  <r>
    <s v="CUST0103"/>
    <s v="Male"/>
    <s v="North"/>
    <s v="Smartphone"/>
    <x v="0"/>
    <n v="49"/>
    <n v="800"/>
    <n v="1"/>
    <n v="800"/>
    <n v="15.79"/>
    <d v="2023-10-30T00:00:00"/>
    <s v="In Transit"/>
    <n v="800"/>
    <n v="2023"/>
    <x v="4"/>
    <n v="45"/>
    <n v="3"/>
    <n v="1"/>
  </r>
  <r>
    <s v="CUST0176"/>
    <s v="Female"/>
    <s v="South"/>
    <s v="Laptop"/>
    <x v="0"/>
    <n v="51"/>
    <n v="1500"/>
    <n v="3"/>
    <n v="4500"/>
    <n v="5.72"/>
    <d v="2023-11-10T00:00:00"/>
    <s v="In Transit"/>
    <n v="4500"/>
    <n v="2023"/>
    <x v="10"/>
    <n v="46"/>
    <n v="3"/>
    <n v="3"/>
  </r>
  <r>
    <s v="CUST0299"/>
    <s v="Female"/>
    <s v="West"/>
    <s v="Smartwatch"/>
    <x v="2"/>
    <n v="58"/>
    <n v="200"/>
    <n v="3"/>
    <n v="600"/>
    <n v="9.69"/>
    <d v="2024-01-03T00:00:00"/>
    <s v="Returned"/>
    <n v="600"/>
    <n v="2024"/>
    <x v="12"/>
    <n v="1"/>
    <n v="3"/>
    <n v="3"/>
  </r>
  <r>
    <s v="CUST0178"/>
    <s v="Female"/>
    <s v="South"/>
    <s v="Smartphone"/>
    <x v="0"/>
    <n v="44"/>
    <n v="1658.43232665954"/>
    <n v="3"/>
    <n v="2400"/>
    <n v="19.309999999999999"/>
    <d v="2023-06-03T00:00:00"/>
    <s v="Delivered"/>
    <n v="4975.2969799786197"/>
    <n v="2023"/>
    <x v="5"/>
    <n v="23"/>
    <n v="3"/>
    <n v="3"/>
  </r>
  <r>
    <s v="CUST0138"/>
    <s v="Female"/>
    <s v="East"/>
    <s v="Laptop"/>
    <x v="0"/>
    <n v="46"/>
    <n v="1500"/>
    <n v="4"/>
    <n v="6000"/>
    <n v="16.309999999999999"/>
    <d v="2023-06-29T00:00:00"/>
    <s v="In Transit"/>
    <n v="6000"/>
    <n v="2023"/>
    <x v="5"/>
    <n v="27"/>
    <n v="3"/>
    <n v="4"/>
  </r>
  <r>
    <s v="CUST0152"/>
    <s v="Male"/>
    <s v="East"/>
    <s v="Mouse"/>
    <x v="1"/>
    <n v="69"/>
    <n v="30"/>
    <n v="1"/>
    <n v="30"/>
    <n v="10.99"/>
    <d v="2023-10-06T00:00:00"/>
    <s v="In Transit"/>
    <n v="30"/>
    <n v="2023"/>
    <x v="4"/>
    <n v="41"/>
    <n v="3"/>
    <n v="1"/>
  </r>
  <r>
    <s v="CUST0212"/>
    <s v="Female"/>
    <s v="West"/>
    <s v="Smartphone"/>
    <x v="0"/>
    <n v="62"/>
    <n v="800"/>
    <n v="3"/>
    <n v="2400"/>
    <n v="16.12"/>
    <d v="2023-08-01T00:00:00"/>
    <s v="In Transit"/>
    <n v="2400"/>
    <n v="2023"/>
    <x v="2"/>
    <n v="32"/>
    <n v="3"/>
    <n v="3"/>
  </r>
  <r>
    <s v="CUST0208"/>
    <s v="Female"/>
    <s v="South"/>
    <s v="Smartwatch"/>
    <x v="2"/>
    <n v="57"/>
    <n v="200"/>
    <n v="2"/>
    <n v="400"/>
    <n v="8.7100000000000009"/>
    <d v="2023-05-18T00:00:00"/>
    <s v="Unknown"/>
    <n v="400"/>
    <n v="2023"/>
    <x v="9"/>
    <n v="21"/>
    <n v="3"/>
    <n v="2"/>
  </r>
  <r>
    <s v="CUST0026"/>
    <s v="Male"/>
    <s v="East"/>
    <s v="Smartphone"/>
    <x v="0"/>
    <n v="27"/>
    <n v="800"/>
    <n v="5"/>
    <n v="4000"/>
    <n v="12.26"/>
    <d v="2023-05-02T00:00:00"/>
    <s v="Returned"/>
    <n v="4000"/>
    <n v="2023"/>
    <x v="9"/>
    <n v="19"/>
    <n v="3"/>
    <n v="5"/>
  </r>
  <r>
    <s v="CUST0224"/>
    <s v="Female"/>
    <s v="East"/>
    <s v="Smartphone"/>
    <x v="0"/>
    <n v="57"/>
    <n v="800"/>
    <n v="1"/>
    <n v="800"/>
    <n v="19.34"/>
    <d v="2023-11-20T00:00:00"/>
    <s v="Delivered"/>
    <n v="800"/>
    <n v="2023"/>
    <x v="10"/>
    <n v="48"/>
    <n v="3"/>
    <n v="1"/>
  </r>
  <r>
    <s v="CUST0131"/>
    <s v="Female"/>
    <s v="West"/>
    <s v="Laptop"/>
    <x v="0"/>
    <n v="67"/>
    <n v="1500"/>
    <n v="2"/>
    <n v="3000"/>
    <n v="18.809999999999999"/>
    <d v="2023-08-10T00:00:00"/>
    <s v="In Transit"/>
    <n v="3000"/>
    <n v="2023"/>
    <x v="2"/>
    <n v="33"/>
    <n v="3"/>
    <n v="2"/>
  </r>
  <r>
    <s v="CUST0019"/>
    <s v="Male"/>
    <s v="North"/>
    <s v="Monitor"/>
    <x v="0"/>
    <n v="69"/>
    <n v="300"/>
    <n v="1"/>
    <n v="300"/>
    <n v="14.91"/>
    <d v="2023-04-05T00:00:00"/>
    <s v="Delivered"/>
    <n v="300"/>
    <n v="2023"/>
    <x v="1"/>
    <n v="15"/>
    <n v="3"/>
    <n v="1"/>
  </r>
  <r>
    <s v="CUST0291"/>
    <s v="Female"/>
    <s v="North"/>
    <s v="Mouse"/>
    <x v="1"/>
    <n v="49"/>
    <n v="30"/>
    <n v="1"/>
    <n v="30"/>
    <n v="5.6"/>
    <d v="2023-04-19T00:00:00"/>
    <s v="Delivered"/>
    <n v="30"/>
    <n v="2023"/>
    <x v="1"/>
    <n v="17"/>
    <n v="3"/>
    <n v="1"/>
  </r>
  <r>
    <s v="CUST0032"/>
    <s v="Male"/>
    <s v="West"/>
    <s v="Laptop"/>
    <x v="0"/>
    <n v="63"/>
    <n v="1500"/>
    <n v="3"/>
    <n v="4500"/>
    <n v="19.690000000000001"/>
    <d v="2023-12-30T00:00:00"/>
    <s v="In Transit"/>
    <n v="4500"/>
    <n v="2023"/>
    <x v="0"/>
    <n v="53"/>
    <n v="3"/>
    <n v="3"/>
  </r>
  <r>
    <s v="CUST0230"/>
    <s v="Male"/>
    <s v="South"/>
    <s v="Laptop"/>
    <x v="0"/>
    <n v="49"/>
    <n v="1500"/>
    <n v="4"/>
    <n v="6000"/>
    <n v="15.12"/>
    <d v="2023-11-10T00:00:00"/>
    <s v="In Transit"/>
    <n v="6000"/>
    <n v="2023"/>
    <x v="10"/>
    <n v="46"/>
    <n v="3"/>
    <n v="4"/>
  </r>
  <r>
    <s v="CUST0285"/>
    <s v="Female"/>
    <s v="North"/>
    <s v="Headphones"/>
    <x v="1"/>
    <n v="58"/>
    <n v="100"/>
    <n v="1"/>
    <n v="100"/>
    <n v="5.25"/>
    <d v="2023-01-14T00:00:00"/>
    <s v="Delivered"/>
    <n v="100"/>
    <n v="2023"/>
    <x v="3"/>
    <n v="3"/>
    <n v="3"/>
    <n v="1"/>
  </r>
  <r>
    <s v="CUST0199"/>
    <s v="Male"/>
    <s v="North"/>
    <s v="Headphones"/>
    <x v="1"/>
    <n v="41"/>
    <n v="100"/>
    <n v="1"/>
    <n v="100"/>
    <n v="18.38"/>
    <d v="2023-07-05T00:00:00"/>
    <s v="Returned"/>
    <n v="100"/>
    <n v="2023"/>
    <x v="8"/>
    <n v="28"/>
    <n v="3"/>
    <n v="1"/>
  </r>
  <r>
    <s v="CUST0045"/>
    <s v="Female"/>
    <s v="East"/>
    <s v="Monitor"/>
    <x v="0"/>
    <n v="21"/>
    <n v="300"/>
    <n v="3"/>
    <n v="900"/>
    <n v="15.22"/>
    <d v="2024-01-03T00:00:00"/>
    <s v="In Transit"/>
    <n v="900"/>
    <n v="2024"/>
    <x v="12"/>
    <n v="1"/>
    <n v="3"/>
    <n v="3"/>
  </r>
  <r>
    <s v="CUST0063"/>
    <s v="Male"/>
    <s v="North"/>
    <s v="Monitor"/>
    <x v="0"/>
    <n v="20"/>
    <n v="300"/>
    <n v="4"/>
    <n v="1200"/>
    <n v="15.57"/>
    <d v="2023-11-06T00:00:00"/>
    <s v="Delivered"/>
    <n v="1200"/>
    <n v="2023"/>
    <x v="10"/>
    <n v="46"/>
    <n v="3"/>
    <n v="4"/>
  </r>
  <r>
    <s v="CUST0178"/>
    <s v="Male"/>
    <s v="East"/>
    <s v="Laptop"/>
    <x v="0"/>
    <n v="44"/>
    <n v="1500"/>
    <n v="5"/>
    <n v="7500"/>
    <n v="8.0299999999999994"/>
    <d v="2023-01-20T00:00:00"/>
    <s v="In Transit"/>
    <n v="7500"/>
    <n v="2023"/>
    <x v="3"/>
    <n v="4"/>
    <n v="3"/>
    <n v="5"/>
  </r>
  <r>
    <s v="CUST0210"/>
    <s v="Female"/>
    <s v="North"/>
    <s v="Monitor"/>
    <x v="0"/>
    <n v="30"/>
    <n v="300"/>
    <n v="5"/>
    <n v="1500"/>
    <n v="16.68"/>
    <d v="2023-05-06T00:00:00"/>
    <s v="Returned"/>
    <n v="1500"/>
    <n v="2023"/>
    <x v="9"/>
    <n v="19"/>
    <n v="3"/>
    <n v="5"/>
  </r>
  <r>
    <s v="CUST0105"/>
    <s v="Female"/>
    <s v="North"/>
    <s v="Headphones"/>
    <x v="1"/>
    <n v="27"/>
    <n v="100"/>
    <n v="2"/>
    <n v="200"/>
    <n v="12.44"/>
    <d v="2023-10-21T00:00:00"/>
    <s v="In Transit"/>
    <n v="200"/>
    <n v="2023"/>
    <x v="4"/>
    <n v="43"/>
    <n v="3"/>
    <n v="2"/>
  </r>
  <r>
    <s v="CUST0198"/>
    <s v="Male"/>
    <s v="South"/>
    <s v="Monitor"/>
    <x v="0"/>
    <n v="49"/>
    <n v="300"/>
    <n v="3"/>
    <n v="900"/>
    <n v="6.39"/>
    <d v="2023-12-30T00:00:00"/>
    <s v="Returned"/>
    <n v="900"/>
    <n v="2023"/>
    <x v="0"/>
    <n v="53"/>
    <n v="3"/>
    <n v="3"/>
  </r>
  <r>
    <s v="CUST0241"/>
    <s v="Female"/>
    <s v="East"/>
    <s v="Keyboard"/>
    <x v="1"/>
    <n v="27"/>
    <n v="50"/>
    <n v="1"/>
    <n v="50"/>
    <n v="11.72"/>
    <d v="2023-07-10T00:00:00"/>
    <s v="In Transit"/>
    <n v="50"/>
    <n v="2023"/>
    <x v="8"/>
    <n v="29"/>
    <n v="3"/>
    <n v="1"/>
  </r>
  <r>
    <s v="CUST0201"/>
    <s v="Female"/>
    <s v="West"/>
    <s v="Smartphone"/>
    <x v="0"/>
    <n v="49"/>
    <n v="800"/>
    <n v="2"/>
    <n v="1600"/>
    <n v="6.85"/>
    <d v="2024-01-03T00:00:00"/>
    <s v="Delivered"/>
    <n v="1600"/>
    <n v="2024"/>
    <x v="12"/>
    <n v="1"/>
    <n v="3"/>
    <n v="2"/>
  </r>
  <r>
    <s v="CUST0052"/>
    <s v="Male"/>
    <s v="South"/>
    <s v="Mouse"/>
    <x v="1"/>
    <n v="66"/>
    <n v="30"/>
    <n v="4"/>
    <n v="120"/>
    <n v="14.27"/>
    <d v="2023-02-05T00:00:00"/>
    <s v="In Transit"/>
    <n v="120"/>
    <n v="2023"/>
    <x v="6"/>
    <n v="6"/>
    <n v="3"/>
    <n v="4"/>
  </r>
  <r>
    <s v="CUST0258"/>
    <s v="Female"/>
    <s v="North"/>
    <s v="Laptop"/>
    <x v="0"/>
    <n v="39"/>
    <n v="1500"/>
    <n v="3"/>
    <n v="4500"/>
    <n v="15.91"/>
    <d v="2023-02-03T00:00:00"/>
    <s v="Returned"/>
    <n v="4500"/>
    <n v="2023"/>
    <x v="6"/>
    <n v="6"/>
    <n v="3"/>
    <n v="3"/>
  </r>
  <r>
    <s v="CUST0123"/>
    <s v="Male"/>
    <s v="South"/>
    <s v="Laptop"/>
    <x v="0"/>
    <n v="52"/>
    <n v="1500"/>
    <n v="5"/>
    <n v="7500"/>
    <n v="16.010000000000002"/>
    <d v="2023-11-22T00:00:00"/>
    <s v="In Transit"/>
    <n v="7500"/>
    <n v="2023"/>
    <x v="10"/>
    <n v="48"/>
    <n v="3"/>
    <n v="5"/>
  </r>
  <r>
    <s v="CUST0285"/>
    <s v="Male"/>
    <s v="South"/>
    <s v="Smartphone"/>
    <x v="0"/>
    <n v="49"/>
    <n v="800"/>
    <n v="3"/>
    <n v="2400"/>
    <n v="19.440000000000001"/>
    <d v="2023-06-03T00:00:00"/>
    <s v="In Transit"/>
    <n v="2400"/>
    <n v="2023"/>
    <x v="5"/>
    <n v="23"/>
    <n v="3"/>
    <n v="3"/>
  </r>
  <r>
    <s v="CUST0279"/>
    <s v="Female"/>
    <s v="West"/>
    <s v="Mouse"/>
    <x v="1"/>
    <n v="59"/>
    <n v="30"/>
    <n v="3"/>
    <n v="90"/>
    <n v="7.34"/>
    <d v="2023-04-26T00:00:00"/>
    <s v="Returned"/>
    <n v="90"/>
    <n v="2023"/>
    <x v="1"/>
    <n v="18"/>
    <n v="3"/>
    <n v="3"/>
  </r>
  <r>
    <s v="CUST0052"/>
    <s v="Female"/>
    <s v="East"/>
    <s v="Headphones"/>
    <x v="1"/>
    <n v="66"/>
    <n v="100"/>
    <n v="3"/>
    <n v="300"/>
    <n v="13.21"/>
    <d v="2023-03-13T00:00:00"/>
    <s v="In Transit"/>
    <n v="300"/>
    <n v="2023"/>
    <x v="11"/>
    <n v="12"/>
    <n v="3"/>
    <n v="3"/>
  </r>
  <r>
    <s v="CUST0200"/>
    <s v="Female"/>
    <s v="West"/>
    <s v="Laptop"/>
    <x v="0"/>
    <n v="49"/>
    <n v="1500"/>
    <n v="5"/>
    <n v="7500"/>
    <n v="11.03"/>
    <d v="2023-01-11T00:00:00"/>
    <s v="Returned"/>
    <n v="7500"/>
    <n v="2023"/>
    <x v="3"/>
    <n v="3"/>
    <n v="3"/>
    <n v="5"/>
  </r>
  <r>
    <s v="CUST0103"/>
    <s v="Female"/>
    <s v="South"/>
    <s v="Keyboard"/>
    <x v="1"/>
    <n v="23"/>
    <n v="50"/>
    <n v="5"/>
    <n v="250"/>
    <n v="14.12"/>
    <d v="2023-04-10T00:00:00"/>
    <s v="In Transit"/>
    <n v="250"/>
    <n v="2023"/>
    <x v="1"/>
    <n v="16"/>
    <n v="3"/>
    <n v="5"/>
  </r>
  <r>
    <s v="CUST0129"/>
    <s v="Female"/>
    <s v="North"/>
    <s v="Smartwatch"/>
    <x v="2"/>
    <n v="66"/>
    <n v="200"/>
    <n v="5"/>
    <n v="1000"/>
    <n v="10.43"/>
    <d v="2023-03-07T00:00:00"/>
    <s v="Delivered"/>
    <n v="1000"/>
    <n v="2023"/>
    <x v="11"/>
    <n v="11"/>
    <n v="3"/>
    <n v="5"/>
  </r>
  <r>
    <s v="CUST0012"/>
    <s v="Female"/>
    <s v="North"/>
    <s v="Laptop"/>
    <x v="0"/>
    <n v="28"/>
    <n v="1500"/>
    <n v="1"/>
    <n v="1500"/>
    <n v="12.71"/>
    <d v="2023-08-31T00:00:00"/>
    <s v="Returned"/>
    <n v="1500"/>
    <n v="2023"/>
    <x v="2"/>
    <n v="36"/>
    <n v="3"/>
    <n v="1"/>
  </r>
  <r>
    <s v="CUST0139"/>
    <s v="Male"/>
    <s v="East"/>
    <s v="Smartphone"/>
    <x v="0"/>
    <n v="57"/>
    <n v="800"/>
    <n v="2"/>
    <n v="1600"/>
    <n v="12.55"/>
    <d v="2023-01-02T00:00:00"/>
    <s v="Unknown"/>
    <n v="1600"/>
    <n v="2023"/>
    <x v="3"/>
    <n v="2"/>
    <n v="3"/>
    <n v="2"/>
  </r>
  <r>
    <s v="CUST0108"/>
    <s v="Male"/>
    <s v="South"/>
    <s v="Keyboard"/>
    <x v="1"/>
    <n v="49"/>
    <n v="50"/>
    <n v="2"/>
    <n v="100"/>
    <n v="6.85"/>
    <d v="2023-10-19T00:00:00"/>
    <s v="Returned"/>
    <n v="100"/>
    <n v="2023"/>
    <x v="4"/>
    <n v="43"/>
    <n v="3"/>
    <n v="2"/>
  </r>
  <r>
    <s v="CUST0196"/>
    <s v="Male"/>
    <s v="West"/>
    <s v="Laptop"/>
    <x v="0"/>
    <n v="37"/>
    <n v="1500"/>
    <n v="2"/>
    <n v="3000"/>
    <n v="17.23"/>
    <d v="2023-01-10T00:00:00"/>
    <s v="Returned"/>
    <n v="3000"/>
    <n v="2023"/>
    <x v="3"/>
    <n v="3"/>
    <n v="3"/>
    <n v="2"/>
  </r>
  <r>
    <s v="CUST0007"/>
    <s v="Male"/>
    <s v="East"/>
    <s v="Headphones"/>
    <x v="1"/>
    <n v="52"/>
    <n v="100"/>
    <n v="3"/>
    <n v="300"/>
    <n v="19.53"/>
    <d v="2023-01-16T00:00:00"/>
    <s v="In Transit"/>
    <n v="300"/>
    <n v="2023"/>
    <x v="3"/>
    <n v="4"/>
    <n v="3"/>
    <n v="3"/>
  </r>
  <r>
    <s v="CUST0118"/>
    <s v="Male"/>
    <s v="West"/>
    <s v="Smartwatch"/>
    <x v="2"/>
    <n v="49"/>
    <n v="200"/>
    <n v="3"/>
    <n v="600"/>
    <n v="18.62"/>
    <d v="2023-07-23T00:00:00"/>
    <s v="Delivered"/>
    <n v="600"/>
    <n v="2023"/>
    <x v="8"/>
    <n v="30"/>
    <n v="3"/>
    <n v="3"/>
  </r>
  <r>
    <s v="CUST0227"/>
    <s v="Female"/>
    <s v="East"/>
    <s v="Mouse"/>
    <x v="1"/>
    <n v="54"/>
    <n v="30"/>
    <n v="5"/>
    <n v="150"/>
    <n v="14.71"/>
    <d v="2023-12-04T00:00:00"/>
    <s v="In Transit"/>
    <n v="150"/>
    <n v="2023"/>
    <x v="0"/>
    <n v="50"/>
    <n v="3"/>
    <n v="5"/>
  </r>
  <r>
    <s v="CUST0219"/>
    <s v="Female"/>
    <s v="South"/>
    <s v="Keyboard"/>
    <x v="1"/>
    <n v="48"/>
    <n v="50"/>
    <n v="2"/>
    <n v="100"/>
    <n v="12.46"/>
    <d v="2023-04-09T00:00:00"/>
    <s v="In Transit"/>
    <n v="100"/>
    <n v="2023"/>
    <x v="1"/>
    <n v="15"/>
    <n v="3"/>
    <n v="2"/>
  </r>
  <r>
    <s v="CUST0297"/>
    <s v="Male"/>
    <s v="East"/>
    <s v="Monitor"/>
    <x v="0"/>
    <n v="61"/>
    <n v="300"/>
    <n v="2"/>
    <n v="600"/>
    <n v="12.26"/>
    <d v="2023-04-25T00:00:00"/>
    <s v="Returned"/>
    <n v="600"/>
    <n v="2023"/>
    <x v="1"/>
    <n v="18"/>
    <n v="3"/>
    <n v="2"/>
  </r>
  <r>
    <s v="CUST0098"/>
    <s v="Female"/>
    <s v="East"/>
    <s v="Headphones"/>
    <x v="1"/>
    <n v="57"/>
    <n v="100"/>
    <n v="4"/>
    <n v="400"/>
    <n v="8.84"/>
    <d v="2023-02-28T00:00:00"/>
    <s v="In Transit"/>
    <n v="400"/>
    <n v="2023"/>
    <x v="6"/>
    <n v="10"/>
    <n v="3"/>
    <n v="4"/>
  </r>
  <r>
    <s v="CUST0284"/>
    <s v="Female"/>
    <s v="South"/>
    <s v="Smartwatch"/>
    <x v="2"/>
    <n v="64"/>
    <n v="200"/>
    <n v="5"/>
    <n v="1000"/>
    <n v="13.46"/>
    <d v="2023-05-09T00:00:00"/>
    <s v="In Transit"/>
    <n v="1000"/>
    <n v="2023"/>
    <x v="9"/>
    <n v="20"/>
    <n v="3"/>
    <n v="5"/>
  </r>
  <r>
    <s v="CUST0137"/>
    <s v="Female"/>
    <s v="West"/>
    <s v="Monitor"/>
    <x v="0"/>
    <n v="19"/>
    <n v="300"/>
    <n v="5"/>
    <n v="1500"/>
    <n v="19.39"/>
    <d v="2023-12-08T00:00:00"/>
    <s v="Returned"/>
    <n v="1500"/>
    <n v="2023"/>
    <x v="0"/>
    <n v="50"/>
    <n v="3"/>
    <n v="5"/>
  </r>
  <r>
    <s v="CUST0127"/>
    <s v="Male"/>
    <s v="North"/>
    <s v="Headphones"/>
    <x v="1"/>
    <n v="62"/>
    <n v="100"/>
    <n v="2"/>
    <n v="200"/>
    <n v="5.13"/>
    <d v="2023-11-01T00:00:00"/>
    <s v="Delivered"/>
    <n v="200"/>
    <n v="2023"/>
    <x v="10"/>
    <n v="45"/>
    <n v="3"/>
    <n v="2"/>
  </r>
  <r>
    <s v="CUST0052"/>
    <s v="Male"/>
    <s v="East"/>
    <s v="Mouse"/>
    <x v="1"/>
    <n v="66"/>
    <n v="30"/>
    <n v="2"/>
    <n v="60"/>
    <n v="6.23"/>
    <d v="2023-06-11T00:00:00"/>
    <s v="In Transit"/>
    <n v="60"/>
    <n v="2023"/>
    <x v="5"/>
    <n v="24"/>
    <n v="3"/>
    <n v="2"/>
  </r>
  <r>
    <s v="CUST0162"/>
    <s v="Female"/>
    <s v="South"/>
    <s v="Smartwatch"/>
    <x v="2"/>
    <n v="69"/>
    <n v="200"/>
    <n v="4"/>
    <n v="800"/>
    <n v="12.26"/>
    <d v="2023-10-09T00:00:00"/>
    <s v="In Transit"/>
    <n v="800"/>
    <n v="2023"/>
    <x v="4"/>
    <n v="42"/>
    <n v="3"/>
    <n v="4"/>
  </r>
  <r>
    <s v="CUST0069"/>
    <s v="Female"/>
    <s v="East"/>
    <s v="Laptop"/>
    <x v="0"/>
    <n v="66"/>
    <n v="1500"/>
    <n v="4"/>
    <n v="6000"/>
    <n v="16.920000000000002"/>
    <d v="2023-09-23T00:00:00"/>
    <s v="In Transit"/>
    <n v="6000"/>
    <n v="2023"/>
    <x v="7"/>
    <n v="39"/>
    <n v="3"/>
    <n v="4"/>
  </r>
  <r>
    <s v="CUST0011"/>
    <s v="Female"/>
    <s v="West"/>
    <s v="Smartphone"/>
    <x v="0"/>
    <n v="54"/>
    <n v="1658.43232665954"/>
    <n v="2"/>
    <n v="1600"/>
    <n v="15.8"/>
    <d v="2023-04-06T00:00:00"/>
    <s v="In Transit"/>
    <n v="3316.8646533190799"/>
    <n v="2023"/>
    <x v="1"/>
    <n v="15"/>
    <n v="3"/>
    <n v="2"/>
  </r>
  <r>
    <s v="CUST0293"/>
    <s v="Male"/>
    <s v="South"/>
    <s v="Laptop"/>
    <x v="0"/>
    <n v="32"/>
    <n v="1500"/>
    <n v="3"/>
    <n v="4500"/>
    <n v="8.5299999999999994"/>
    <d v="2023-11-17T00:00:00"/>
    <s v="Returned"/>
    <n v="4500"/>
    <n v="2023"/>
    <x v="10"/>
    <n v="47"/>
    <n v="3"/>
    <n v="3"/>
  </r>
  <r>
    <s v="CUST0078"/>
    <s v="Female"/>
    <s v="East"/>
    <s v="Monitor"/>
    <x v="0"/>
    <n v="38"/>
    <n v="300"/>
    <n v="1"/>
    <n v="300"/>
    <n v="7.57"/>
    <d v="2023-02-07T00:00:00"/>
    <s v="Delivered"/>
    <n v="300"/>
    <n v="2023"/>
    <x v="6"/>
    <n v="7"/>
    <n v="3"/>
    <n v="1"/>
  </r>
  <r>
    <s v="CUST0290"/>
    <s v="Female"/>
    <s v="Unknown"/>
    <s v="Headphones"/>
    <x v="1"/>
    <n v="37"/>
    <n v="100"/>
    <n v="3"/>
    <n v="300"/>
    <n v="5.29"/>
    <d v="2023-09-30T00:00:00"/>
    <s v="Returned"/>
    <n v="300"/>
    <n v="2023"/>
    <x v="7"/>
    <n v="40"/>
    <n v="3"/>
    <n v="3"/>
  </r>
  <r>
    <s v="CUST0130"/>
    <s v="Female"/>
    <s v="West"/>
    <s v="Smartwatch"/>
    <x v="2"/>
    <n v="68"/>
    <n v="200"/>
    <n v="3"/>
    <n v="600"/>
    <n v="5.65"/>
    <d v="2023-08-18T00:00:00"/>
    <s v="In Transit"/>
    <n v="600"/>
    <n v="2023"/>
    <x v="2"/>
    <n v="34"/>
    <n v="3"/>
    <n v="3"/>
  </r>
  <r>
    <s v="CUST0186"/>
    <s v="Female"/>
    <s v="East"/>
    <s v="Smartwatch"/>
    <x v="2"/>
    <n v="55"/>
    <n v="200"/>
    <n v="5"/>
    <n v="1000"/>
    <n v="18.29"/>
    <d v="2023-01-10T00:00:00"/>
    <s v="Delivered"/>
    <n v="1000"/>
    <n v="2023"/>
    <x v="3"/>
    <n v="3"/>
    <n v="3"/>
    <n v="5"/>
  </r>
  <r>
    <s v="CUST0164"/>
    <s v="Male"/>
    <s v="South"/>
    <s v="Monitor"/>
    <x v="0"/>
    <n v="50"/>
    <n v="300"/>
    <n v="3"/>
    <n v="900"/>
    <n v="11.22"/>
    <d v="2023-03-16T00:00:00"/>
    <s v="In Transit"/>
    <n v="900"/>
    <n v="2023"/>
    <x v="11"/>
    <n v="12"/>
    <n v="3"/>
    <n v="3"/>
  </r>
  <r>
    <s v="CUST0024"/>
    <s v="Female"/>
    <s v="Unknown"/>
    <s v="Monitor"/>
    <x v="0"/>
    <n v="57"/>
    <n v="300"/>
    <n v="2"/>
    <n v="600"/>
    <n v="15.59"/>
    <d v="2023-09-02T00:00:00"/>
    <s v="Returned"/>
    <n v="600"/>
    <n v="2023"/>
    <x v="7"/>
    <n v="36"/>
    <n v="3"/>
    <n v="2"/>
  </r>
  <r>
    <s v="CUST0006"/>
    <s v="Female"/>
    <s v="East"/>
    <s v="Smartwatch"/>
    <x v="2"/>
    <n v="49"/>
    <n v="200"/>
    <n v="3"/>
    <n v="600"/>
    <n v="13.94"/>
    <d v="2023-04-07T00:00:00"/>
    <s v="Delivered"/>
    <n v="600"/>
    <n v="2023"/>
    <x v="1"/>
    <n v="15"/>
    <n v="3"/>
    <n v="3"/>
  </r>
  <r>
    <s v="CUST0124"/>
    <s v="Female"/>
    <s v="North"/>
    <s v="Monitor"/>
    <x v="0"/>
    <n v="53"/>
    <n v="300"/>
    <n v="1"/>
    <n v="300"/>
    <n v="16.32"/>
    <d v="2023-08-16T00:00:00"/>
    <s v="Delivered"/>
    <n v="300"/>
    <n v="2023"/>
    <x v="2"/>
    <n v="34"/>
    <n v="3"/>
    <n v="1"/>
  </r>
  <r>
    <s v="CUST0060"/>
    <s v="Female"/>
    <s v="West"/>
    <s v="Headphones"/>
    <x v="1"/>
    <n v="41"/>
    <n v="100"/>
    <n v="5"/>
    <n v="500"/>
    <n v="18.059999999999999"/>
    <d v="2023-03-15T00:00:00"/>
    <s v="Delivered"/>
    <n v="500"/>
    <n v="2023"/>
    <x v="11"/>
    <n v="12"/>
    <n v="3"/>
    <n v="5"/>
  </r>
  <r>
    <s v="CUST0046"/>
    <s v="Female"/>
    <s v="North"/>
    <s v="Mouse"/>
    <x v="1"/>
    <n v="22"/>
    <n v="30"/>
    <n v="1"/>
    <n v="30"/>
    <n v="8.9600000000000009"/>
    <d v="2023-03-03T00:00:00"/>
    <s v="Returned"/>
    <n v="30"/>
    <n v="2023"/>
    <x v="11"/>
    <n v="10"/>
    <n v="3"/>
    <n v="1"/>
  </r>
  <r>
    <s v="CUST0280"/>
    <s v="Male"/>
    <s v="South"/>
    <s v="Smartwatch"/>
    <x v="2"/>
    <n v="44"/>
    <n v="200"/>
    <n v="4"/>
    <n v="800"/>
    <n v="6.43"/>
    <d v="2023-03-03T00:00:00"/>
    <s v="Unknown"/>
    <n v="800"/>
    <n v="2023"/>
    <x v="11"/>
    <n v="10"/>
    <n v="3"/>
    <n v="4"/>
  </r>
  <r>
    <s v="CUST0012"/>
    <s v="Male"/>
    <s v="South"/>
    <s v="Headphones"/>
    <x v="1"/>
    <n v="28"/>
    <n v="100"/>
    <n v="3"/>
    <n v="300"/>
    <n v="17.16"/>
    <d v="2023-08-10T00:00:00"/>
    <s v="Returned"/>
    <n v="300"/>
    <n v="2023"/>
    <x v="2"/>
    <n v="33"/>
    <n v="3"/>
    <n v="3"/>
  </r>
  <r>
    <s v="CUST0095"/>
    <s v="Male"/>
    <s v="East"/>
    <s v="Mouse"/>
    <x v="1"/>
    <n v="60"/>
    <n v="30"/>
    <n v="3"/>
    <n v="90"/>
    <n v="18.420000000000002"/>
    <d v="2023-01-25T00:00:00"/>
    <s v="Delivered"/>
    <n v="90"/>
    <n v="2023"/>
    <x v="3"/>
    <n v="5"/>
    <n v="3"/>
    <n v="3"/>
  </r>
  <r>
    <s v="CUST0279"/>
    <s v="Female"/>
    <s v="Unknown"/>
    <s v="Mouse"/>
    <x v="1"/>
    <n v="49"/>
    <n v="30"/>
    <n v="2"/>
    <n v="60"/>
    <n v="11.28"/>
    <d v="2023-09-19T00:00:00"/>
    <s v="Returned"/>
    <n v="60"/>
    <n v="2023"/>
    <x v="7"/>
    <n v="39"/>
    <n v="3"/>
    <n v="2"/>
  </r>
  <r>
    <s v="CUST0158"/>
    <s v="Female"/>
    <s v="Unknown"/>
    <s v="Monitor"/>
    <x v="0"/>
    <n v="51"/>
    <n v="300"/>
    <n v="4"/>
    <n v="1200"/>
    <n v="6.91"/>
    <d v="2023-09-13T00:00:00"/>
    <s v="In Transit"/>
    <n v="1200"/>
    <n v="2023"/>
    <x v="7"/>
    <n v="38"/>
    <n v="3"/>
    <n v="4"/>
  </r>
  <r>
    <s v="CUST0193"/>
    <s v="Male"/>
    <s v="South"/>
    <s v="Keyboard"/>
    <x v="1"/>
    <n v="64"/>
    <n v="50"/>
    <n v="4"/>
    <n v="200"/>
    <n v="17.18"/>
    <d v="2023-11-06T00:00:00"/>
    <s v="In Transit"/>
    <n v="200"/>
    <n v="2023"/>
    <x v="10"/>
    <n v="46"/>
    <n v="3"/>
    <n v="4"/>
  </r>
  <r>
    <s v="CUST0270"/>
    <s v="Male"/>
    <s v="East"/>
    <s v="Keyboard"/>
    <x v="1"/>
    <n v="64"/>
    <n v="50"/>
    <n v="1"/>
    <n v="50"/>
    <n v="18.23"/>
    <d v="2023-05-24T00:00:00"/>
    <s v="Delivered"/>
    <n v="50"/>
    <n v="2023"/>
    <x v="9"/>
    <n v="22"/>
    <n v="3"/>
    <n v="1"/>
  </r>
  <r>
    <s v="CUST0005"/>
    <s v="Female"/>
    <s v="East"/>
    <s v="Mouse"/>
    <x v="1"/>
    <n v="56"/>
    <n v="30"/>
    <n v="2"/>
    <n v="60"/>
    <n v="7.58"/>
    <d v="2023-02-15T00:00:00"/>
    <s v="In Transit"/>
    <n v="60"/>
    <n v="2023"/>
    <x v="6"/>
    <n v="8"/>
    <n v="3"/>
    <n v="2"/>
  </r>
  <r>
    <s v="CUST0118"/>
    <s v="Female"/>
    <s v="West"/>
    <s v="Smartphone"/>
    <x v="0"/>
    <n v="23"/>
    <n v="800"/>
    <n v="2"/>
    <n v="1600"/>
    <n v="9.07"/>
    <d v="2023-10-19T00:00:00"/>
    <s v="In Transit"/>
    <n v="1600"/>
    <n v="2023"/>
    <x v="4"/>
    <n v="43"/>
    <n v="3"/>
    <n v="2"/>
  </r>
  <r>
    <s v="CUST0016"/>
    <s v="Female"/>
    <s v="North"/>
    <s v="Keyboard"/>
    <x v="1"/>
    <n v="61"/>
    <n v="50"/>
    <n v="1"/>
    <n v="50"/>
    <n v="19.39"/>
    <d v="2023-07-28T00:00:00"/>
    <s v="Delivered"/>
    <n v="50"/>
    <n v="2023"/>
    <x v="8"/>
    <n v="31"/>
    <n v="3"/>
    <n v="1"/>
  </r>
  <r>
    <s v="CUST0168"/>
    <s v="Female"/>
    <s v="South"/>
    <s v="Keyboard"/>
    <x v="1"/>
    <n v="42"/>
    <n v="50"/>
    <n v="2"/>
    <n v="100"/>
    <n v="12.44"/>
    <d v="2023-02-21T00:00:00"/>
    <s v="In Transit"/>
    <n v="100"/>
    <n v="2023"/>
    <x v="6"/>
    <n v="9"/>
    <n v="3"/>
    <n v="2"/>
  </r>
  <r>
    <s v="CUST0091"/>
    <s v="Male"/>
    <s v="North"/>
    <s v="Keyboard"/>
    <x v="1"/>
    <n v="30"/>
    <n v="50"/>
    <n v="1"/>
    <n v="50"/>
    <n v="19.02"/>
    <d v="2023-12-14T00:00:00"/>
    <s v="Delivered"/>
    <n v="50"/>
    <n v="2023"/>
    <x v="0"/>
    <n v="51"/>
    <n v="3"/>
    <n v="1"/>
  </r>
  <r>
    <s v="CUST0066"/>
    <s v="Female"/>
    <s v="West"/>
    <s v="Headphones"/>
    <x v="1"/>
    <n v="37"/>
    <n v="100"/>
    <n v="3"/>
    <n v="300"/>
    <n v="16.670000000000002"/>
    <d v="2023-03-07T00:00:00"/>
    <s v="Returned"/>
    <n v="300"/>
    <n v="2023"/>
    <x v="11"/>
    <n v="11"/>
    <n v="3"/>
    <n v="3"/>
  </r>
  <r>
    <s v="CUST0186"/>
    <s v="Female"/>
    <s v="East"/>
    <s v="Mouse"/>
    <x v="1"/>
    <n v="55"/>
    <n v="30"/>
    <n v="1"/>
    <n v="30"/>
    <n v="5.24"/>
    <d v="2023-05-25T00:00:00"/>
    <s v="Returned"/>
    <n v="30"/>
    <n v="2023"/>
    <x v="9"/>
    <n v="22"/>
    <n v="3"/>
    <n v="1"/>
  </r>
  <r>
    <s v="CUST0130"/>
    <s v="Female"/>
    <s v="North"/>
    <s v="Monitor"/>
    <x v="0"/>
    <n v="68"/>
    <n v="300"/>
    <n v="3"/>
    <n v="900"/>
    <n v="10.39"/>
    <d v="2023-02-09T00:00:00"/>
    <s v="Returned"/>
    <n v="900"/>
    <n v="2023"/>
    <x v="6"/>
    <n v="7"/>
    <n v="3"/>
    <n v="3"/>
  </r>
  <r>
    <s v="CUST0274"/>
    <s v="Female"/>
    <s v="West"/>
    <s v="Keyboard"/>
    <x v="1"/>
    <n v="51"/>
    <n v="50"/>
    <n v="3"/>
    <n v="150"/>
    <n v="19.79"/>
    <d v="2024-01-03T00:00:00"/>
    <s v="Delivered"/>
    <n v="150"/>
    <n v="2024"/>
    <x v="12"/>
    <n v="1"/>
    <n v="3"/>
    <n v="3"/>
  </r>
  <r>
    <s v="CUST0095"/>
    <s v="Female"/>
    <s v="East"/>
    <s v="Monitor"/>
    <x v="0"/>
    <n v="60"/>
    <n v="300"/>
    <n v="4"/>
    <n v="1200"/>
    <n v="7.26"/>
    <d v="2023-08-20T00:00:00"/>
    <s v="In Transit"/>
    <n v="1200"/>
    <n v="2023"/>
    <x v="2"/>
    <n v="34"/>
    <n v="3"/>
    <n v="4"/>
  </r>
  <r>
    <s v="CUST0128"/>
    <s v="Female"/>
    <s v="East"/>
    <s v="Smartwatch"/>
    <x v="2"/>
    <n v="52"/>
    <n v="200"/>
    <n v="5"/>
    <n v="1000"/>
    <n v="18.72"/>
    <d v="2023-03-02T00:00:00"/>
    <s v="Delivered"/>
    <n v="1000"/>
    <n v="2023"/>
    <x v="11"/>
    <n v="10"/>
    <n v="3"/>
    <n v="5"/>
  </r>
  <r>
    <s v="CUST0036"/>
    <s v="Male"/>
    <s v="South"/>
    <s v="Keyboard"/>
    <x v="1"/>
    <n v="49"/>
    <n v="50"/>
    <n v="3"/>
    <n v="150"/>
    <n v="9.99"/>
    <d v="2023-05-07T00:00:00"/>
    <s v="Unknown"/>
    <n v="150"/>
    <n v="2023"/>
    <x v="9"/>
    <n v="19"/>
    <n v="3"/>
    <n v="3"/>
  </r>
  <r>
    <s v="CUST0016"/>
    <s v="Female"/>
    <s v="East"/>
    <s v="Monitor"/>
    <x v="0"/>
    <n v="61"/>
    <n v="300"/>
    <n v="1"/>
    <n v="300"/>
    <n v="6.63"/>
    <d v="2023-01-14T00:00:00"/>
    <s v="In Transit"/>
    <n v="300"/>
    <n v="2023"/>
    <x v="3"/>
    <n v="3"/>
    <n v="3"/>
    <n v="1"/>
  </r>
  <r>
    <s v="CUST0192"/>
    <s v="Male"/>
    <s v="South"/>
    <s v="Mouse"/>
    <x v="1"/>
    <n v="58"/>
    <n v="30"/>
    <n v="1"/>
    <n v="30"/>
    <n v="11.39"/>
    <d v="2023-05-15T00:00:00"/>
    <s v="In Transit"/>
    <n v="30"/>
    <n v="2023"/>
    <x v="9"/>
    <n v="21"/>
    <n v="3"/>
    <n v="1"/>
  </r>
  <r>
    <s v="CUST0013"/>
    <s v="Female"/>
    <s v="East"/>
    <s v="Keyboard"/>
    <x v="1"/>
    <n v="55"/>
    <n v="50"/>
    <n v="4"/>
    <n v="200"/>
    <n v="6.66"/>
    <d v="2023-08-13T00:00:00"/>
    <s v="Unknown"/>
    <n v="200"/>
    <n v="2023"/>
    <x v="2"/>
    <n v="33"/>
    <n v="3"/>
    <n v="4"/>
  </r>
  <r>
    <s v="CUST0059"/>
    <s v="Female"/>
    <s v="East"/>
    <s v="Keyboard"/>
    <x v="1"/>
    <n v="18"/>
    <n v="50"/>
    <n v="4"/>
    <n v="200"/>
    <n v="7.76"/>
    <d v="2023-08-20T00:00:00"/>
    <s v="In Transit"/>
    <n v="200"/>
    <n v="2023"/>
    <x v="2"/>
    <n v="34"/>
    <n v="3"/>
    <n v="4"/>
  </r>
  <r>
    <s v="CUST0065"/>
    <s v="Female"/>
    <s v="South"/>
    <s v="Smartphone"/>
    <x v="0"/>
    <n v="41"/>
    <n v="800"/>
    <n v="1"/>
    <n v="800"/>
    <n v="6.24"/>
    <d v="2023-08-03T00:00:00"/>
    <s v="Delivered"/>
    <n v="800"/>
    <n v="2023"/>
    <x v="2"/>
    <n v="32"/>
    <n v="3"/>
    <n v="1"/>
  </r>
  <r>
    <s v="CUST0025"/>
    <s v="Female"/>
    <s v="South"/>
    <s v="Headphones"/>
    <x v="1"/>
    <n v="56"/>
    <n v="100"/>
    <n v="3"/>
    <n v="300"/>
    <n v="5.86"/>
    <d v="2023-11-25T00:00:00"/>
    <s v="In Transit"/>
    <n v="300"/>
    <n v="2023"/>
    <x v="10"/>
    <n v="48"/>
    <n v="3"/>
    <n v="3"/>
  </r>
  <r>
    <s v="CUST0160"/>
    <s v="Female"/>
    <s v="South"/>
    <s v="Laptop"/>
    <x v="0"/>
    <n v="69"/>
    <n v="1500"/>
    <n v="2"/>
    <n v="3000"/>
    <n v="5.35"/>
    <d v="2023-10-30T00:00:00"/>
    <s v="Returned"/>
    <n v="3000"/>
    <n v="2023"/>
    <x v="4"/>
    <n v="45"/>
    <n v="3"/>
    <n v="2"/>
  </r>
  <r>
    <s v="CUST0096"/>
    <s v="Female"/>
    <s v="North"/>
    <s v="Smartphone"/>
    <x v="0"/>
    <n v="61"/>
    <n v="800"/>
    <n v="5"/>
    <n v="4000"/>
    <n v="13.72"/>
    <d v="2023-03-09T00:00:00"/>
    <s v="Unknown"/>
    <n v="4000"/>
    <n v="2023"/>
    <x v="11"/>
    <n v="11"/>
    <n v="3"/>
    <n v="5"/>
  </r>
  <r>
    <s v="CUST0071"/>
    <s v="Male"/>
    <s v="East"/>
    <s v="Smartphone"/>
    <x v="0"/>
    <n v="46"/>
    <n v="800"/>
    <n v="2"/>
    <n v="1600"/>
    <n v="13.1"/>
    <d v="2023-01-07T00:00:00"/>
    <s v="In Transit"/>
    <n v="1600"/>
    <n v="2023"/>
    <x v="3"/>
    <n v="2"/>
    <n v="3"/>
    <n v="2"/>
  </r>
  <r>
    <s v="CUST0044"/>
    <s v="Male"/>
    <s v="East"/>
    <s v="Smartwatch"/>
    <x v="2"/>
    <n v="30"/>
    <n v="200"/>
    <n v="2"/>
    <n v="400"/>
    <n v="13.54"/>
    <d v="2023-08-08T00:00:00"/>
    <s v="In Transit"/>
    <n v="400"/>
    <n v="2023"/>
    <x v="2"/>
    <n v="33"/>
    <n v="3"/>
    <n v="2"/>
  </r>
  <r>
    <s v="CUST0299"/>
    <s v="Female"/>
    <s v="East"/>
    <s v="Smartphone"/>
    <x v="0"/>
    <n v="58"/>
    <n v="800"/>
    <n v="5"/>
    <n v="4000"/>
    <n v="5.65"/>
    <d v="2023-12-16T00:00:00"/>
    <s v="Delivered"/>
    <n v="4000"/>
    <n v="2023"/>
    <x v="0"/>
    <n v="51"/>
    <n v="3"/>
    <n v="5"/>
  </r>
  <r>
    <s v="CUST0291"/>
    <s v="Female"/>
    <s v="South"/>
    <s v="Monitor"/>
    <x v="0"/>
    <n v="49"/>
    <n v="300"/>
    <n v="3"/>
    <n v="900"/>
    <n v="17.93"/>
    <d v="2023-05-29T00:00:00"/>
    <s v="Delivered"/>
    <n v="900"/>
    <n v="2023"/>
    <x v="9"/>
    <n v="23"/>
    <n v="3"/>
    <n v="3"/>
  </r>
  <r>
    <s v="CUST0266"/>
    <s v="Female"/>
    <s v="North"/>
    <s v="Monitor"/>
    <x v="0"/>
    <n v="29"/>
    <n v="300"/>
    <n v="4"/>
    <n v="1200"/>
    <n v="5.79"/>
    <d v="2023-09-04T00:00:00"/>
    <s v="In Transit"/>
    <n v="1200"/>
    <n v="2023"/>
    <x v="7"/>
    <n v="37"/>
    <n v="3"/>
    <n v="4"/>
  </r>
  <r>
    <s v="CUST0184"/>
    <s v="Female"/>
    <s v="North"/>
    <s v="Smartphone"/>
    <x v="0"/>
    <n v="54"/>
    <n v="800"/>
    <n v="1"/>
    <n v="800"/>
    <n v="13.72"/>
    <d v="2023-08-30T00:00:00"/>
    <s v="In Transit"/>
    <n v="800"/>
    <n v="2023"/>
    <x v="2"/>
    <n v="36"/>
    <n v="3"/>
    <n v="1"/>
  </r>
  <r>
    <s v="CUST0130"/>
    <s v="Male"/>
    <s v="West"/>
    <s v="Keyboard"/>
    <x v="1"/>
    <n v="68"/>
    <n v="50"/>
    <n v="3"/>
    <n v="150"/>
    <n v="8.99"/>
    <d v="2023-02-02T00:00:00"/>
    <s v="Delivered"/>
    <n v="150"/>
    <n v="2023"/>
    <x v="6"/>
    <n v="6"/>
    <n v="3"/>
    <n v="3"/>
  </r>
  <r>
    <s v="CUST0052"/>
    <s v="Male"/>
    <s v="South"/>
    <s v="Monitor"/>
    <x v="0"/>
    <n v="66"/>
    <n v="300"/>
    <n v="4"/>
    <n v="1200"/>
    <n v="17.59"/>
    <d v="2023-09-12T00:00:00"/>
    <s v="Returned"/>
    <n v="1200"/>
    <n v="2023"/>
    <x v="7"/>
    <n v="38"/>
    <n v="3"/>
    <n v="4"/>
  </r>
  <r>
    <s v="CUST0240"/>
    <s v="Male"/>
    <s v="East"/>
    <s v="Keyboard"/>
    <x v="1"/>
    <n v="39"/>
    <n v="50"/>
    <n v="4"/>
    <n v="200"/>
    <n v="13.51"/>
    <d v="2023-12-21T00:00:00"/>
    <s v="Delivered"/>
    <n v="200"/>
    <n v="2023"/>
    <x v="0"/>
    <n v="52"/>
    <n v="3"/>
    <n v="4"/>
  </r>
  <r>
    <s v="CUST0054"/>
    <s v="Male"/>
    <s v="South"/>
    <s v="Smartphone"/>
    <x v="0"/>
    <n v="64"/>
    <n v="800"/>
    <n v="1"/>
    <n v="800"/>
    <n v="19.149999999999999"/>
    <d v="2023-10-07T00:00:00"/>
    <s v="Delivered"/>
    <n v="800"/>
    <n v="2023"/>
    <x v="4"/>
    <n v="41"/>
    <n v="3"/>
    <n v="1"/>
  </r>
  <r>
    <s v="CUST0038"/>
    <s v="Female"/>
    <s v="North"/>
    <s v="Keyboard"/>
    <x v="1"/>
    <n v="57"/>
    <n v="50"/>
    <n v="2"/>
    <n v="100"/>
    <n v="16.78"/>
    <d v="2023-11-16T00:00:00"/>
    <s v="Unknown"/>
    <n v="100"/>
    <n v="2023"/>
    <x v="10"/>
    <n v="47"/>
    <n v="3"/>
    <n v="2"/>
  </r>
  <r>
    <s v="CUST0023"/>
    <s v="Male"/>
    <s v="East"/>
    <s v="Monitor"/>
    <x v="0"/>
    <n v="49"/>
    <n v="300"/>
    <n v="5"/>
    <n v="1500"/>
    <n v="8.56"/>
    <d v="2023-10-30T00:00:00"/>
    <s v="In Transit"/>
    <n v="1500"/>
    <n v="2023"/>
    <x v="4"/>
    <n v="45"/>
    <n v="3"/>
    <n v="5"/>
  </r>
  <r>
    <s v="CUST0183"/>
    <s v="Male"/>
    <s v="North"/>
    <s v="Mouse"/>
    <x v="1"/>
    <n v="42"/>
    <n v="30"/>
    <n v="5"/>
    <n v="150"/>
    <n v="9.26"/>
    <d v="2023-02-21T00:00:00"/>
    <s v="Delivered"/>
    <n v="150"/>
    <n v="2023"/>
    <x v="6"/>
    <n v="9"/>
    <n v="3"/>
    <n v="5"/>
  </r>
  <r>
    <s v="CUST0012"/>
    <s v="Male"/>
    <s v="Unknown"/>
    <s v="Monitor"/>
    <x v="0"/>
    <n v="28"/>
    <n v="300"/>
    <n v="5"/>
    <n v="1500"/>
    <n v="13.09"/>
    <d v="2023-03-12T00:00:00"/>
    <s v="Delivered"/>
    <n v="1500"/>
    <n v="2023"/>
    <x v="11"/>
    <n v="11"/>
    <n v="3"/>
    <n v="5"/>
  </r>
  <r>
    <s v="CUST0136"/>
    <s v="Female"/>
    <s v="South"/>
    <s v="Mouse"/>
    <x v="1"/>
    <n v="36"/>
    <n v="30"/>
    <n v="5"/>
    <n v="150"/>
    <n v="6.58"/>
    <d v="2023-10-17T00:00:00"/>
    <s v="In Transit"/>
    <n v="150"/>
    <n v="2023"/>
    <x v="4"/>
    <n v="43"/>
    <n v="3"/>
    <n v="5"/>
  </r>
  <r>
    <s v="CUST0052"/>
    <s v="Female"/>
    <s v="South"/>
    <s v="Mouse"/>
    <x v="1"/>
    <n v="66"/>
    <n v="30"/>
    <n v="2"/>
    <n v="60"/>
    <n v="12.21"/>
    <d v="2023-06-05T00:00:00"/>
    <s v="Delivered"/>
    <n v="60"/>
    <n v="2023"/>
    <x v="5"/>
    <n v="24"/>
    <n v="3"/>
    <n v="2"/>
  </r>
  <r>
    <s v="CUST0141"/>
    <s v="Male"/>
    <s v="West"/>
    <s v="Monitor"/>
    <x v="0"/>
    <n v="58"/>
    <n v="300"/>
    <n v="4"/>
    <n v="1200"/>
    <n v="6.4"/>
    <d v="2023-03-03T00:00:00"/>
    <s v="Delivered"/>
    <n v="1200"/>
    <n v="2023"/>
    <x v="11"/>
    <n v="10"/>
    <n v="3"/>
    <n v="4"/>
  </r>
  <r>
    <s v="CUST0144"/>
    <s v="Male"/>
    <s v="South"/>
    <s v="Smartphone"/>
    <x v="0"/>
    <n v="54"/>
    <n v="800"/>
    <n v="5"/>
    <n v="4000"/>
    <n v="19.43"/>
    <d v="2023-07-12T00:00:00"/>
    <s v="In Transit"/>
    <n v="4000"/>
    <n v="2023"/>
    <x v="8"/>
    <n v="29"/>
    <n v="3"/>
    <n v="5"/>
  </r>
  <r>
    <s v="CUST0156"/>
    <s v="Female"/>
    <s v="North"/>
    <s v="Monitor"/>
    <x v="0"/>
    <n v="57"/>
    <n v="300"/>
    <n v="1"/>
    <n v="300"/>
    <n v="15.49"/>
    <d v="2023-02-05T00:00:00"/>
    <s v="In Transit"/>
    <n v="300"/>
    <n v="2023"/>
    <x v="6"/>
    <n v="6"/>
    <n v="3"/>
    <n v="1"/>
  </r>
  <r>
    <s v="CUST0199"/>
    <s v="Male"/>
    <s v="West"/>
    <s v="Smartphone"/>
    <x v="0"/>
    <n v="49"/>
    <n v="800"/>
    <n v="3"/>
    <n v="2400"/>
    <n v="6.95"/>
    <d v="2023-09-22T00:00:00"/>
    <s v="Returned"/>
    <n v="2400"/>
    <n v="2023"/>
    <x v="7"/>
    <n v="39"/>
    <n v="3"/>
    <n v="3"/>
  </r>
  <r>
    <s v="CUST0197"/>
    <s v="Male"/>
    <s v="North"/>
    <s v="Laptop"/>
    <x v="0"/>
    <n v="54"/>
    <n v="1500"/>
    <n v="4"/>
    <n v="6000"/>
    <n v="5.05"/>
    <d v="2023-07-12T00:00:00"/>
    <s v="Delivered"/>
    <n v="6000"/>
    <n v="2023"/>
    <x v="8"/>
    <n v="29"/>
    <n v="3"/>
    <n v="4"/>
  </r>
  <r>
    <s v="CUST0196"/>
    <s v="Female"/>
    <s v="West"/>
    <s v="Laptop"/>
    <x v="0"/>
    <n v="37"/>
    <n v="1500"/>
    <n v="1"/>
    <n v="1500"/>
    <n v="12.95"/>
    <d v="2023-11-06T00:00:00"/>
    <s v="Returned"/>
    <n v="1500"/>
    <n v="2023"/>
    <x v="10"/>
    <n v="46"/>
    <n v="3"/>
    <n v="1"/>
  </r>
  <r>
    <s v="CUST0243"/>
    <s v="Female"/>
    <s v="West"/>
    <s v="Headphones"/>
    <x v="1"/>
    <n v="58"/>
    <n v="100"/>
    <n v="5"/>
    <n v="500"/>
    <n v="19.98"/>
    <d v="2023-08-13T00:00:00"/>
    <s v="Returned"/>
    <n v="500"/>
    <n v="2023"/>
    <x v="2"/>
    <n v="33"/>
    <n v="3"/>
    <n v="5"/>
  </r>
  <r>
    <s v="CUST0182"/>
    <s v="Male"/>
    <s v="South"/>
    <s v="Smartphone"/>
    <x v="0"/>
    <n v="19"/>
    <n v="800"/>
    <n v="4"/>
    <n v="3200"/>
    <n v="12.3"/>
    <d v="2023-01-23T00:00:00"/>
    <s v="Delivered"/>
    <n v="3200"/>
    <n v="2023"/>
    <x v="3"/>
    <n v="5"/>
    <n v="3"/>
    <n v="4"/>
  </r>
  <r>
    <s v="CUST0296"/>
    <s v="Female"/>
    <s v="South"/>
    <s v="Monitor"/>
    <x v="0"/>
    <n v="50"/>
    <n v="300"/>
    <n v="4"/>
    <n v="1200"/>
    <n v="7.42"/>
    <d v="2023-10-07T00:00:00"/>
    <s v="Delivered"/>
    <n v="1200"/>
    <n v="2023"/>
    <x v="4"/>
    <n v="41"/>
    <n v="3"/>
    <n v="4"/>
  </r>
  <r>
    <s v="CUST0296"/>
    <s v="Female"/>
    <s v="West"/>
    <s v="Mouse"/>
    <x v="1"/>
    <n v="50"/>
    <n v="30"/>
    <n v="1"/>
    <n v="30"/>
    <n v="15.21"/>
    <d v="2023-11-15T00:00:00"/>
    <s v="In Transit"/>
    <n v="30"/>
    <n v="2023"/>
    <x v="10"/>
    <n v="47"/>
    <n v="3"/>
    <n v="1"/>
  </r>
  <r>
    <s v="CUST0264"/>
    <s v="Female"/>
    <s v="West"/>
    <s v="Monitor"/>
    <x v="0"/>
    <n v="59"/>
    <n v="300"/>
    <n v="3"/>
    <n v="900"/>
    <n v="19.8"/>
    <d v="2023-12-26T00:00:00"/>
    <s v="In Transit"/>
    <n v="900"/>
    <n v="2023"/>
    <x v="0"/>
    <n v="53"/>
    <n v="3"/>
    <n v="3"/>
  </r>
  <r>
    <s v="CUST0136"/>
    <s v="Female"/>
    <s v="West"/>
    <s v="Mouse"/>
    <x v="1"/>
    <n v="49"/>
    <n v="30"/>
    <n v="5"/>
    <n v="150"/>
    <n v="13.14"/>
    <d v="2023-11-11T00:00:00"/>
    <s v="Returned"/>
    <n v="150"/>
    <n v="2023"/>
    <x v="10"/>
    <n v="46"/>
    <n v="3"/>
    <n v="5"/>
  </r>
  <r>
    <s v="CUST0010"/>
    <s v="Male"/>
    <s v="West"/>
    <s v="Headphones"/>
    <x v="1"/>
    <n v="49"/>
    <n v="100"/>
    <n v="5"/>
    <n v="500"/>
    <n v="15.78"/>
    <d v="2023-04-21T00:00:00"/>
    <s v="Delivered"/>
    <n v="500"/>
    <n v="2023"/>
    <x v="1"/>
    <n v="17"/>
    <n v="3"/>
    <n v="5"/>
  </r>
  <r>
    <s v="CUST0131"/>
    <s v="Male"/>
    <s v="West"/>
    <s v="Keyboard"/>
    <x v="1"/>
    <n v="67"/>
    <n v="50"/>
    <n v="5"/>
    <n v="250"/>
    <n v="5.81"/>
    <d v="2023-05-18T00:00:00"/>
    <s v="Delivered"/>
    <n v="250"/>
    <n v="2023"/>
    <x v="9"/>
    <n v="21"/>
    <n v="3"/>
    <n v="5"/>
  </r>
  <r>
    <s v="CUST0252"/>
    <s v="Male"/>
    <s v="West"/>
    <s v="Headphones"/>
    <x v="1"/>
    <n v="55"/>
    <n v="100"/>
    <n v="5"/>
    <n v="500"/>
    <n v="7.98"/>
    <d v="2023-05-16T00:00:00"/>
    <s v="Returned"/>
    <n v="500"/>
    <n v="2023"/>
    <x v="9"/>
    <n v="21"/>
    <n v="3"/>
    <n v="5"/>
  </r>
  <r>
    <s v="CUST0294"/>
    <s v="Female"/>
    <s v="East"/>
    <s v="Mouse"/>
    <x v="1"/>
    <n v="49"/>
    <n v="30"/>
    <n v="5"/>
    <n v="150"/>
    <n v="19.829999999999998"/>
    <d v="2023-09-11T00:00:00"/>
    <s v="In Transit"/>
    <n v="150"/>
    <n v="2023"/>
    <x v="7"/>
    <n v="38"/>
    <n v="3"/>
    <n v="5"/>
  </r>
  <r>
    <s v="CUST0253"/>
    <s v="Male"/>
    <s v="West"/>
    <s v="Smartphone"/>
    <x v="0"/>
    <n v="51"/>
    <n v="800"/>
    <n v="5"/>
    <n v="4000"/>
    <n v="16.14"/>
    <d v="2023-06-12T00:00:00"/>
    <s v="Returned"/>
    <n v="4000"/>
    <n v="2023"/>
    <x v="5"/>
    <n v="25"/>
    <n v="3"/>
    <n v="5"/>
  </r>
  <r>
    <s v="CUST0289"/>
    <s v="Female"/>
    <s v="North"/>
    <s v="Mouse"/>
    <x v="1"/>
    <n v="37"/>
    <n v="30"/>
    <n v="4"/>
    <n v="120"/>
    <n v="9"/>
    <d v="2024-01-03T00:00:00"/>
    <s v="Returned"/>
    <n v="120"/>
    <n v="2024"/>
    <x v="12"/>
    <n v="1"/>
    <n v="3"/>
    <n v="4"/>
  </r>
  <r>
    <s v="CUST0126"/>
    <s v="Female"/>
    <s v="North"/>
    <s v="Smartphone"/>
    <x v="0"/>
    <n v="66"/>
    <n v="800"/>
    <n v="1"/>
    <n v="800"/>
    <n v="16.420000000000002"/>
    <d v="2023-09-26T00:00:00"/>
    <s v="In Transit"/>
    <n v="800"/>
    <n v="2023"/>
    <x v="7"/>
    <n v="40"/>
    <n v="3"/>
    <n v="1"/>
  </r>
  <r>
    <s v="CUST0024"/>
    <s v="Female"/>
    <s v="South"/>
    <s v="Laptop"/>
    <x v="0"/>
    <n v="57"/>
    <n v="1500"/>
    <n v="1"/>
    <n v="1500"/>
    <n v="9.69"/>
    <d v="2023-11-22T00:00:00"/>
    <s v="Delivered"/>
    <n v="1500"/>
    <n v="2023"/>
    <x v="10"/>
    <n v="48"/>
    <n v="3"/>
    <n v="1"/>
  </r>
  <r>
    <s v="CUST0058"/>
    <s v="Male"/>
    <s v="East"/>
    <s v="Laptop"/>
    <x v="0"/>
    <n v="49"/>
    <n v="1500"/>
    <n v="4"/>
    <n v="6000"/>
    <n v="16.489999999999998"/>
    <d v="2023-07-10T00:00:00"/>
    <s v="Delivered"/>
    <n v="6000"/>
    <n v="2023"/>
    <x v="8"/>
    <n v="29"/>
    <n v="3"/>
    <n v="4"/>
  </r>
  <r>
    <s v="CUST0170"/>
    <s v="Male"/>
    <s v="West"/>
    <s v="Keyboard"/>
    <x v="1"/>
    <n v="40"/>
    <n v="50"/>
    <n v="2"/>
    <n v="100"/>
    <n v="14"/>
    <d v="2023-11-23T00:00:00"/>
    <s v="Delivered"/>
    <n v="100"/>
    <n v="2023"/>
    <x v="10"/>
    <n v="48"/>
    <n v="3"/>
    <n v="2"/>
  </r>
  <r>
    <s v="CUST0064"/>
    <s v="Female"/>
    <s v="East"/>
    <s v="Laptop"/>
    <x v="0"/>
    <n v="61"/>
    <n v="1500"/>
    <n v="3"/>
    <n v="4500"/>
    <n v="12.21"/>
    <d v="2023-10-28T00:00:00"/>
    <s v="Returned"/>
    <n v="4500"/>
    <n v="2023"/>
    <x v="4"/>
    <n v="44"/>
    <n v="3"/>
    <n v="3"/>
  </r>
  <r>
    <s v="CUST0043"/>
    <s v="Male"/>
    <s v="North"/>
    <s v="Keyboard"/>
    <x v="1"/>
    <n v="22"/>
    <n v="50"/>
    <n v="4"/>
    <n v="200"/>
    <n v="9.82"/>
    <d v="2023-01-05T00:00:00"/>
    <s v="Delivered"/>
    <n v="200"/>
    <n v="2023"/>
    <x v="3"/>
    <n v="2"/>
    <n v="3"/>
    <n v="4"/>
  </r>
  <r>
    <s v="CUST0103"/>
    <s v="Male"/>
    <s v="North"/>
    <s v="Smartwatch"/>
    <x v="2"/>
    <n v="23"/>
    <n v="200"/>
    <n v="5"/>
    <n v="1000"/>
    <n v="14.5"/>
    <d v="2023-11-15T00:00:00"/>
    <s v="Delivered"/>
    <n v="1000"/>
    <n v="2023"/>
    <x v="10"/>
    <n v="47"/>
    <n v="3"/>
    <n v="5"/>
  </r>
  <r>
    <s v="CUST0032"/>
    <s v="Male"/>
    <s v="North"/>
    <s v="Mouse"/>
    <x v="1"/>
    <n v="63"/>
    <n v="30"/>
    <n v="4"/>
    <n v="120"/>
    <n v="14.68"/>
    <d v="2023-03-11T00:00:00"/>
    <s v="Returned"/>
    <n v="120"/>
    <n v="2023"/>
    <x v="11"/>
    <n v="11"/>
    <n v="3"/>
    <n v="4"/>
  </r>
  <r>
    <s v="CUST0182"/>
    <s v="Male"/>
    <s v="West"/>
    <s v="Mouse"/>
    <x v="1"/>
    <n v="19"/>
    <n v="30"/>
    <n v="1"/>
    <n v="30"/>
    <n v="17.329999999999998"/>
    <d v="2023-08-31T00:00:00"/>
    <s v="Delivered"/>
    <n v="30"/>
    <n v="2023"/>
    <x v="2"/>
    <n v="36"/>
    <n v="3"/>
    <n v="1"/>
  </r>
  <r>
    <s v="CUST0076"/>
    <s v="Male"/>
    <s v="North"/>
    <s v="Headphones"/>
    <x v="1"/>
    <n v="26"/>
    <n v="100"/>
    <n v="2"/>
    <n v="200"/>
    <n v="17.84"/>
    <d v="2023-12-12T00:00:00"/>
    <s v="Delivered"/>
    <n v="200"/>
    <n v="2023"/>
    <x v="0"/>
    <n v="51"/>
    <n v="3"/>
    <n v="2"/>
  </r>
  <r>
    <s v="CUST0215"/>
    <s v="Female"/>
    <s v="North"/>
    <s v="Monitor"/>
    <x v="0"/>
    <n v="35"/>
    <n v="300"/>
    <n v="5"/>
    <n v="1500"/>
    <n v="19.579999999999998"/>
    <d v="2023-01-22T00:00:00"/>
    <s v="Delivered"/>
    <n v="1500"/>
    <n v="2023"/>
    <x v="3"/>
    <n v="4"/>
    <n v="3"/>
    <n v="5"/>
  </r>
  <r>
    <s v="CUST0105"/>
    <s v="Male"/>
    <s v="South"/>
    <s v="Keyboard"/>
    <x v="1"/>
    <n v="27"/>
    <n v="50"/>
    <n v="5"/>
    <n v="250"/>
    <n v="17.690000000000001"/>
    <d v="2023-12-31T00:00:00"/>
    <s v="In Transit"/>
    <n v="250"/>
    <n v="2023"/>
    <x v="0"/>
    <n v="53"/>
    <n v="3"/>
    <n v="5"/>
  </r>
  <r>
    <s v="CUST0295"/>
    <s v="Female"/>
    <s v="East"/>
    <s v="Smartphone"/>
    <x v="0"/>
    <n v="26"/>
    <n v="800"/>
    <n v="5"/>
    <n v="4000"/>
    <n v="18.989999999999998"/>
    <d v="2023-12-31T00:00:00"/>
    <s v="In Transit"/>
    <n v="4000"/>
    <n v="2023"/>
    <x v="0"/>
    <n v="53"/>
    <n v="3"/>
    <n v="5"/>
  </r>
  <r>
    <s v="CUST0002"/>
    <s v="Female"/>
    <s v="South"/>
    <s v="Keyboard"/>
    <x v="1"/>
    <n v="23"/>
    <n v="50"/>
    <n v="5"/>
    <n v="250"/>
    <n v="17.96"/>
    <d v="2023-08-18T00:00:00"/>
    <s v="In Transit"/>
    <n v="250"/>
    <n v="2023"/>
    <x v="2"/>
    <n v="34"/>
    <n v="3"/>
    <n v="5"/>
  </r>
  <r>
    <s v="CUST0283"/>
    <s v="Female"/>
    <s v="East"/>
    <s v="Laptop"/>
    <x v="0"/>
    <n v="67"/>
    <n v="1500"/>
    <n v="1"/>
    <n v="1500"/>
    <n v="11.14"/>
    <d v="2023-06-25T00:00:00"/>
    <s v="In Transit"/>
    <n v="1500"/>
    <n v="2023"/>
    <x v="5"/>
    <n v="26"/>
    <n v="3"/>
    <n v="1"/>
  </r>
  <r>
    <s v="CUST0047"/>
    <s v="Female"/>
    <s v="West"/>
    <s v="Laptop"/>
    <x v="0"/>
    <n v="41"/>
    <n v="1500"/>
    <n v="1"/>
    <n v="1500"/>
    <n v="14.86"/>
    <d v="2023-10-21T00:00:00"/>
    <s v="Returned"/>
    <n v="1500"/>
    <n v="2023"/>
    <x v="4"/>
    <n v="43"/>
    <n v="3"/>
    <n v="1"/>
  </r>
  <r>
    <s v="CUST0153"/>
    <s v="Male"/>
    <s v="West"/>
    <s v="Mouse"/>
    <x v="1"/>
    <n v="49"/>
    <n v="30"/>
    <n v="2"/>
    <n v="60"/>
    <n v="6.54"/>
    <d v="2023-11-21T00:00:00"/>
    <s v="Returned"/>
    <n v="60"/>
    <n v="2023"/>
    <x v="10"/>
    <n v="48"/>
    <n v="3"/>
    <n v="2"/>
  </r>
  <r>
    <s v="CUST0047"/>
    <s v="Male"/>
    <s v="East"/>
    <s v="Headphones"/>
    <x v="1"/>
    <n v="41"/>
    <n v="207.30404083244301"/>
    <n v="2"/>
    <n v="200"/>
    <n v="9.15"/>
    <d v="2023-04-23T00:00:00"/>
    <s v="Returned"/>
    <n v="414.60808166488602"/>
    <n v="2023"/>
    <x v="1"/>
    <n v="17"/>
    <n v="3"/>
    <n v="2"/>
  </r>
  <r>
    <s v="CUST0269"/>
    <s v="Male"/>
    <s v="East"/>
    <s v="Monitor"/>
    <x v="0"/>
    <n v="64"/>
    <n v="300"/>
    <n v="4"/>
    <n v="1200"/>
    <n v="13.49"/>
    <d v="2023-09-09T00:00:00"/>
    <s v="Returned"/>
    <n v="1200"/>
    <n v="2023"/>
    <x v="7"/>
    <n v="37"/>
    <n v="3"/>
    <n v="4"/>
  </r>
  <r>
    <s v="CUST0022"/>
    <s v="Male"/>
    <s v="North"/>
    <s v="Laptop"/>
    <x v="0"/>
    <n v="49"/>
    <n v="1500"/>
    <n v="2"/>
    <n v="3000"/>
    <n v="8.24"/>
    <d v="2023-04-15T00:00:00"/>
    <s v="Delivered"/>
    <n v="3000"/>
    <n v="2023"/>
    <x v="1"/>
    <n v="16"/>
    <n v="3"/>
    <n v="2"/>
  </r>
  <r>
    <s v="CUST0106"/>
    <s v="Female"/>
    <s v="East"/>
    <s v="Smartphone"/>
    <x v="0"/>
    <n v="50"/>
    <n v="800"/>
    <n v="3"/>
    <n v="2400"/>
    <n v="10.130000000000001"/>
    <d v="2023-06-26T00:00:00"/>
    <s v="Returned"/>
    <n v="2400"/>
    <n v="2023"/>
    <x v="5"/>
    <n v="27"/>
    <n v="3"/>
    <n v="3"/>
  </r>
  <r>
    <s v="CUST0284"/>
    <s v="Male"/>
    <s v="South"/>
    <s v="Headphones"/>
    <x v="1"/>
    <n v="64"/>
    <n v="100"/>
    <n v="2"/>
    <n v="200"/>
    <n v="10.57"/>
    <d v="2023-06-03T00:00:00"/>
    <s v="In Transit"/>
    <n v="200"/>
    <n v="2023"/>
    <x v="5"/>
    <n v="23"/>
    <n v="3"/>
    <n v="2"/>
  </r>
  <r>
    <s v="CUST0149"/>
    <s v="Male"/>
    <s v="South"/>
    <s v="Laptop"/>
    <x v="0"/>
    <n v="40"/>
    <n v="1500"/>
    <n v="1"/>
    <n v="1500"/>
    <n v="14.19"/>
    <d v="2023-05-20T00:00:00"/>
    <s v="In Transit"/>
    <n v="1500"/>
    <n v="2023"/>
    <x v="9"/>
    <n v="21"/>
    <n v="3"/>
    <n v="1"/>
  </r>
  <r>
    <s v="CUST0068"/>
    <s v="Male"/>
    <s v="East"/>
    <s v="Smartwatch"/>
    <x v="2"/>
    <n v="64"/>
    <n v="200"/>
    <n v="3"/>
    <n v="600"/>
    <n v="5.7"/>
    <d v="2023-04-07T00:00:00"/>
    <s v="In Transit"/>
    <n v="600"/>
    <n v="2023"/>
    <x v="1"/>
    <n v="15"/>
    <n v="3"/>
    <n v="3"/>
  </r>
  <r>
    <s v="CUST0289"/>
    <s v="Female"/>
    <s v="East"/>
    <s v="Smartwatch"/>
    <x v="2"/>
    <n v="37"/>
    <n v="200"/>
    <n v="5"/>
    <n v="1000"/>
    <n v="5.6"/>
    <d v="2023-11-18T00:00:00"/>
    <s v="Returned"/>
    <n v="1000"/>
    <n v="2023"/>
    <x v="10"/>
    <n v="47"/>
    <n v="3"/>
    <n v="5"/>
  </r>
  <r>
    <s v="CUST0247"/>
    <s v="Male"/>
    <s v="South"/>
    <s v="Laptop"/>
    <x v="0"/>
    <n v="44"/>
    <n v="1500"/>
    <n v="3"/>
    <n v="4500"/>
    <n v="18.21"/>
    <d v="2023-05-01T00:00:00"/>
    <s v="In Transit"/>
    <n v="4500"/>
    <n v="2023"/>
    <x v="9"/>
    <n v="19"/>
    <n v="3"/>
    <n v="3"/>
  </r>
  <r>
    <s v="CUST0295"/>
    <s v="Male"/>
    <s v="West"/>
    <s v="Laptop"/>
    <x v="0"/>
    <n v="26"/>
    <n v="1500"/>
    <n v="3"/>
    <n v="4500"/>
    <n v="12.84"/>
    <d v="2023-05-27T00:00:00"/>
    <s v="Unknown"/>
    <n v="4500"/>
    <n v="2023"/>
    <x v="9"/>
    <n v="22"/>
    <n v="3"/>
    <n v="3"/>
  </r>
  <r>
    <s v="CUST0236"/>
    <s v="Male"/>
    <s v="West"/>
    <s v="Laptop"/>
    <x v="0"/>
    <n v="18"/>
    <n v="1500"/>
    <n v="2"/>
    <n v="3000"/>
    <n v="18.07"/>
    <d v="2023-01-23T00:00:00"/>
    <s v="Returned"/>
    <n v="3000"/>
    <n v="2023"/>
    <x v="3"/>
    <n v="5"/>
    <n v="3"/>
    <n v="2"/>
  </r>
  <r>
    <s v="CUST0148"/>
    <s v="Male"/>
    <s v="West"/>
    <s v="Keyboard"/>
    <x v="1"/>
    <n v="49"/>
    <n v="50"/>
    <n v="4"/>
    <n v="200"/>
    <n v="14.29"/>
    <d v="2023-10-08T00:00:00"/>
    <s v="Delivered"/>
    <n v="200"/>
    <n v="2023"/>
    <x v="4"/>
    <n v="41"/>
    <n v="3"/>
    <n v="4"/>
  </r>
  <r>
    <s v="CUST0122"/>
    <s v="Male"/>
    <s v="North"/>
    <s v="Headphones"/>
    <x v="1"/>
    <n v="68"/>
    <n v="100"/>
    <n v="4"/>
    <n v="400"/>
    <n v="11.52"/>
    <d v="2023-11-29T00:00:00"/>
    <s v="Returned"/>
    <n v="400"/>
    <n v="2023"/>
    <x v="10"/>
    <n v="49"/>
    <n v="3"/>
    <n v="4"/>
  </r>
  <r>
    <s v="CUST0246"/>
    <s v="Female"/>
    <s v="South"/>
    <s v="Monitor"/>
    <x v="0"/>
    <n v="64"/>
    <n v="300"/>
    <n v="3"/>
    <n v="900"/>
    <n v="15.77"/>
    <d v="2023-09-29T00:00:00"/>
    <s v="Delivered"/>
    <n v="900"/>
    <n v="2023"/>
    <x v="7"/>
    <n v="40"/>
    <n v="3"/>
    <n v="3"/>
  </r>
  <r>
    <s v="CUST0282"/>
    <s v="Male"/>
    <s v="North"/>
    <s v="Laptop"/>
    <x v="0"/>
    <n v="68"/>
    <n v="1500"/>
    <n v="4"/>
    <n v="6000"/>
    <n v="5.24"/>
    <d v="2023-11-07T00:00:00"/>
    <s v="Delivered"/>
    <n v="6000"/>
    <n v="2023"/>
    <x v="10"/>
    <n v="46"/>
    <n v="3"/>
    <n v="4"/>
  </r>
  <r>
    <s v="CUST0204"/>
    <s v="Male"/>
    <s v="West"/>
    <s v="Headphones"/>
    <x v="1"/>
    <n v="54"/>
    <n v="100"/>
    <n v="5"/>
    <n v="500"/>
    <n v="8.64"/>
    <d v="2023-10-20T00:00:00"/>
    <s v="Delivered"/>
    <n v="500"/>
    <n v="2023"/>
    <x v="4"/>
    <n v="43"/>
    <n v="3"/>
    <n v="5"/>
  </r>
  <r>
    <s v="CUST0053"/>
    <s v="Male"/>
    <s v="North"/>
    <s v="Laptop"/>
    <x v="0"/>
    <n v="25"/>
    <n v="1500"/>
    <n v="4"/>
    <n v="6000"/>
    <n v="13.08"/>
    <d v="2023-09-18T00:00:00"/>
    <s v="In Transit"/>
    <n v="6000"/>
    <n v="2023"/>
    <x v="7"/>
    <n v="39"/>
    <n v="3"/>
    <n v="4"/>
  </r>
  <r>
    <s v="CUST0036"/>
    <s v="Male"/>
    <s v="Unknown"/>
    <s v="Smartphone"/>
    <x v="0"/>
    <n v="33"/>
    <n v="800"/>
    <n v="4"/>
    <n v="3200"/>
    <n v="13.29"/>
    <d v="2023-07-23T00:00:00"/>
    <s v="Returned"/>
    <n v="3200"/>
    <n v="2023"/>
    <x v="8"/>
    <n v="30"/>
    <n v="3"/>
    <n v="4"/>
  </r>
  <r>
    <s v="CUST0085"/>
    <s v="Male"/>
    <s v="West"/>
    <s v="Smartphone"/>
    <x v="0"/>
    <n v="18"/>
    <n v="800"/>
    <n v="5"/>
    <n v="4000"/>
    <n v="13.44"/>
    <d v="2023-05-02T00:00:00"/>
    <s v="Delivered"/>
    <n v="4000"/>
    <n v="2023"/>
    <x v="9"/>
    <n v="19"/>
    <n v="3"/>
    <n v="5"/>
  </r>
  <r>
    <s v="CUST0071"/>
    <s v="Female"/>
    <s v="South"/>
    <s v="Headphones"/>
    <x v="1"/>
    <n v="49"/>
    <n v="100"/>
    <n v="1"/>
    <n v="100"/>
    <n v="14.98"/>
    <d v="2023-12-04T00:00:00"/>
    <s v="Delivered"/>
    <n v="100"/>
    <n v="2023"/>
    <x v="0"/>
    <n v="50"/>
    <n v="3"/>
    <n v="1"/>
  </r>
  <r>
    <s v="CUST0248"/>
    <s v="Male"/>
    <s v="East"/>
    <s v="Monitor"/>
    <x v="0"/>
    <n v="67"/>
    <n v="300"/>
    <n v="1"/>
    <n v="300"/>
    <n v="8.65"/>
    <d v="2023-08-27T00:00:00"/>
    <s v="Returned"/>
    <n v="300"/>
    <n v="2023"/>
    <x v="2"/>
    <n v="35"/>
    <n v="3"/>
    <n v="1"/>
  </r>
  <r>
    <s v="CUST0088"/>
    <s v="Female"/>
    <s v="West"/>
    <s v="Headphones"/>
    <x v="1"/>
    <n v="66"/>
    <n v="100"/>
    <n v="5"/>
    <n v="500"/>
    <n v="14.84"/>
    <d v="2023-06-08T00:00:00"/>
    <s v="Delivered"/>
    <n v="500"/>
    <n v="2023"/>
    <x v="5"/>
    <n v="24"/>
    <n v="3"/>
    <n v="5"/>
  </r>
  <r>
    <s v="CUST0020"/>
    <s v="Female"/>
    <s v="North"/>
    <s v="Monitor"/>
    <x v="0"/>
    <n v="55"/>
    <n v="300"/>
    <n v="1"/>
    <n v="300"/>
    <n v="7.38"/>
    <d v="2023-10-26T00:00:00"/>
    <s v="Delivered"/>
    <n v="300"/>
    <n v="2023"/>
    <x v="4"/>
    <n v="44"/>
    <n v="3"/>
    <n v="1"/>
  </r>
  <r>
    <s v="CUST0274"/>
    <s v="Female"/>
    <s v="East"/>
    <s v="Laptop"/>
    <x v="0"/>
    <n v="51"/>
    <n v="1500"/>
    <n v="5"/>
    <n v="7500"/>
    <n v="12.33"/>
    <d v="2023-01-07T00:00:00"/>
    <s v="In Transit"/>
    <n v="7500"/>
    <n v="2023"/>
    <x v="3"/>
    <n v="2"/>
    <n v="3"/>
    <n v="5"/>
  </r>
  <r>
    <s v="CUST0196"/>
    <s v="Male"/>
    <s v="East"/>
    <s v="Smartwatch"/>
    <x v="2"/>
    <n v="37"/>
    <n v="200"/>
    <n v="5"/>
    <n v="1000"/>
    <n v="19.55"/>
    <d v="2023-04-23T00:00:00"/>
    <s v="Delivered"/>
    <n v="1000"/>
    <n v="2023"/>
    <x v="1"/>
    <n v="17"/>
    <n v="3"/>
    <n v="5"/>
  </r>
  <r>
    <s v="CUST0022"/>
    <s v="Male"/>
    <s v="Unknown"/>
    <s v="Smartphone"/>
    <x v="0"/>
    <n v="33"/>
    <n v="800"/>
    <n v="3"/>
    <n v="2400"/>
    <n v="5.22"/>
    <d v="2023-09-12T00:00:00"/>
    <s v="Returned"/>
    <n v="2400"/>
    <n v="2023"/>
    <x v="7"/>
    <n v="38"/>
    <n v="3"/>
    <n v="3"/>
  </r>
  <r>
    <s v="CUST0211"/>
    <s v="Male"/>
    <s v="West"/>
    <s v="Keyboard"/>
    <x v="1"/>
    <n v="49"/>
    <n v="50"/>
    <n v="1"/>
    <n v="50"/>
    <n v="14.62"/>
    <d v="2023-01-28T00:00:00"/>
    <s v="Returned"/>
    <n v="50"/>
    <n v="2023"/>
    <x v="3"/>
    <n v="5"/>
    <n v="3"/>
    <n v="1"/>
  </r>
  <r>
    <s v="CUST0152"/>
    <s v="Female"/>
    <s v="South"/>
    <s v="Smartwatch"/>
    <x v="2"/>
    <n v="69"/>
    <n v="200"/>
    <n v="3"/>
    <n v="600"/>
    <n v="19.07"/>
    <d v="2023-07-16T00:00:00"/>
    <s v="Delivered"/>
    <n v="600"/>
    <n v="2023"/>
    <x v="8"/>
    <n v="29"/>
    <n v="3"/>
    <n v="3"/>
  </r>
  <r>
    <s v="CUST0042"/>
    <s v="Male"/>
    <s v="East"/>
    <s v="Smartwatch"/>
    <x v="2"/>
    <n v="57"/>
    <n v="200"/>
    <n v="5"/>
    <n v="1000"/>
    <n v="15.99"/>
    <d v="2023-01-04T00:00:00"/>
    <s v="Returned"/>
    <n v="1000"/>
    <n v="2023"/>
    <x v="3"/>
    <n v="2"/>
    <n v="3"/>
    <n v="5"/>
  </r>
  <r>
    <s v="CUST0235"/>
    <s v="Male"/>
    <s v="East"/>
    <s v="Headphones"/>
    <x v="1"/>
    <n v="19"/>
    <n v="100"/>
    <n v="5"/>
    <n v="500"/>
    <n v="19.53"/>
    <d v="2023-04-08T00:00:00"/>
    <s v="In Transit"/>
    <n v="500"/>
    <n v="2023"/>
    <x v="1"/>
    <n v="15"/>
    <n v="3"/>
    <n v="5"/>
  </r>
  <r>
    <s v="CUST0206"/>
    <s v="Male"/>
    <s v="South"/>
    <s v="Laptop"/>
    <x v="0"/>
    <n v="43"/>
    <n v="1500"/>
    <n v="5"/>
    <n v="7500"/>
    <n v="13.04"/>
    <d v="2023-05-03T00:00:00"/>
    <s v="In Transit"/>
    <n v="7500"/>
    <n v="2023"/>
    <x v="9"/>
    <n v="19"/>
    <n v="3"/>
    <n v="5"/>
  </r>
  <r>
    <s v="CUST0103"/>
    <s v="Female"/>
    <s v="Unknown"/>
    <s v="Mouse"/>
    <x v="1"/>
    <n v="23"/>
    <n v="30"/>
    <n v="2"/>
    <n v="60"/>
    <n v="18.45"/>
    <d v="2023-07-15T00:00:00"/>
    <s v="Returned"/>
    <n v="60"/>
    <n v="2023"/>
    <x v="8"/>
    <n v="29"/>
    <n v="3"/>
    <n v="2"/>
  </r>
  <r>
    <s v="CUST0179"/>
    <s v="Male"/>
    <s v="North"/>
    <s v="Smartphone"/>
    <x v="0"/>
    <n v="45"/>
    <n v="800"/>
    <n v="4"/>
    <n v="3200"/>
    <n v="15.02"/>
    <d v="2023-09-28T00:00:00"/>
    <s v="Returned"/>
    <n v="3200"/>
    <n v="2023"/>
    <x v="7"/>
    <n v="40"/>
    <n v="3"/>
    <n v="4"/>
  </r>
  <r>
    <s v="CUST0157"/>
    <s v="Female"/>
    <s v="East"/>
    <s v="Keyboard"/>
    <x v="1"/>
    <n v="48"/>
    <n v="50"/>
    <n v="4"/>
    <n v="200"/>
    <n v="8.27"/>
    <d v="2023-05-22T00:00:00"/>
    <s v="In Transit"/>
    <n v="200"/>
    <n v="2023"/>
    <x v="9"/>
    <n v="22"/>
    <n v="3"/>
    <n v="4"/>
  </r>
  <r>
    <s v="CUST0272"/>
    <s v="Male"/>
    <s v="South"/>
    <s v="Mouse"/>
    <x v="1"/>
    <n v="52"/>
    <n v="30"/>
    <n v="3"/>
    <n v="90"/>
    <n v="8.66"/>
    <d v="2023-03-30T00:00:00"/>
    <s v="In Transit"/>
    <n v="90"/>
    <n v="2023"/>
    <x v="11"/>
    <n v="14"/>
    <n v="3"/>
    <n v="3"/>
  </r>
  <r>
    <s v="CUST0071"/>
    <s v="Female"/>
    <s v="South"/>
    <s v="Headphones"/>
    <x v="1"/>
    <n v="46"/>
    <n v="100"/>
    <n v="5"/>
    <n v="500"/>
    <n v="11.88"/>
    <d v="2023-08-02T00:00:00"/>
    <s v="Returned"/>
    <n v="500"/>
    <n v="2023"/>
    <x v="2"/>
    <n v="32"/>
    <n v="3"/>
    <n v="5"/>
  </r>
  <r>
    <s v="CUST0268"/>
    <s v="Male"/>
    <s v="North"/>
    <s v="Keyboard"/>
    <x v="1"/>
    <n v="21"/>
    <n v="50"/>
    <n v="3"/>
    <n v="150"/>
    <n v="15.03"/>
    <d v="2023-05-20T00:00:00"/>
    <s v="In Transit"/>
    <n v="150"/>
    <n v="2023"/>
    <x v="9"/>
    <n v="21"/>
    <n v="3"/>
    <n v="3"/>
  </r>
  <r>
    <s v="CUST0017"/>
    <s v="Female"/>
    <s v="West"/>
    <s v="Keyboard"/>
    <x v="1"/>
    <n v="36"/>
    <n v="50"/>
    <n v="5"/>
    <n v="250"/>
    <n v="12.63"/>
    <d v="2023-12-17T00:00:00"/>
    <s v="Delivered"/>
    <n v="250"/>
    <n v="2023"/>
    <x v="0"/>
    <n v="51"/>
    <n v="3"/>
    <n v="5"/>
  </r>
  <r>
    <s v="CUST0221"/>
    <s v="Male"/>
    <s v="West"/>
    <s v="Monitor"/>
    <x v="0"/>
    <n v="33"/>
    <n v="300"/>
    <n v="3"/>
    <n v="900"/>
    <n v="7.25"/>
    <d v="2023-11-01T00:00:00"/>
    <s v="Returned"/>
    <n v="900"/>
    <n v="2023"/>
    <x v="10"/>
    <n v="45"/>
    <n v="3"/>
    <n v="3"/>
  </r>
  <r>
    <s v="CUST0207"/>
    <s v="Male"/>
    <s v="West"/>
    <s v="Headphones"/>
    <x v="1"/>
    <n v="54"/>
    <n v="100"/>
    <n v="2"/>
    <n v="200"/>
    <n v="6.22"/>
    <d v="2024-01-03T00:00:00"/>
    <s v="Returned"/>
    <n v="200"/>
    <n v="2024"/>
    <x v="12"/>
    <n v="1"/>
    <n v="3"/>
    <n v="2"/>
  </r>
  <r>
    <s v="CUST0077"/>
    <s v="Male"/>
    <s v="East"/>
    <s v="Monitor"/>
    <x v="0"/>
    <n v="50"/>
    <n v="300"/>
    <n v="3"/>
    <n v="900"/>
    <n v="14.75"/>
    <d v="2023-01-08T00:00:00"/>
    <s v="Delivered"/>
    <n v="900"/>
    <n v="2023"/>
    <x v="3"/>
    <n v="2"/>
    <n v="3"/>
    <n v="3"/>
  </r>
  <r>
    <s v="CUST0253"/>
    <s v="Female"/>
    <s v="East"/>
    <s v="Headphones"/>
    <x v="1"/>
    <n v="51"/>
    <n v="100"/>
    <n v="4"/>
    <n v="400"/>
    <n v="17.18"/>
    <d v="2023-09-25T00:00:00"/>
    <s v="In Transit"/>
    <n v="400"/>
    <n v="2023"/>
    <x v="7"/>
    <n v="40"/>
    <n v="3"/>
    <n v="4"/>
  </r>
  <r>
    <s v="CUST0253"/>
    <s v="Female"/>
    <s v="East"/>
    <s v="Keyboard"/>
    <x v="1"/>
    <n v="51"/>
    <n v="50"/>
    <n v="3"/>
    <n v="150"/>
    <n v="14.99"/>
    <d v="2023-04-18T00:00:00"/>
    <s v="In Transit"/>
    <n v="150"/>
    <n v="2023"/>
    <x v="1"/>
    <n v="17"/>
    <n v="3"/>
    <n v="3"/>
  </r>
  <r>
    <s v="CUST0225"/>
    <s v="Female"/>
    <s v="North"/>
    <s v="Smartwatch"/>
    <x v="2"/>
    <n v="49"/>
    <n v="200"/>
    <n v="1"/>
    <n v="200"/>
    <n v="17.3"/>
    <d v="2023-02-19T00:00:00"/>
    <s v="Delivered"/>
    <n v="200"/>
    <n v="2023"/>
    <x v="6"/>
    <n v="8"/>
    <n v="3"/>
    <n v="1"/>
  </r>
  <r>
    <s v="CUST0091"/>
    <s v="Female"/>
    <s v="West"/>
    <s v="Headphones"/>
    <x v="1"/>
    <n v="30"/>
    <n v="100"/>
    <n v="1"/>
    <n v="100"/>
    <n v="6.47"/>
    <d v="2023-06-01T00:00:00"/>
    <s v="Delivered"/>
    <n v="100"/>
    <n v="2023"/>
    <x v="5"/>
    <n v="23"/>
    <n v="3"/>
    <n v="1"/>
  </r>
  <r>
    <s v="CUST0142"/>
    <s v="Female"/>
    <s v="South"/>
    <s v="Keyboard"/>
    <x v="1"/>
    <n v="32"/>
    <n v="50"/>
    <n v="5"/>
    <n v="250"/>
    <n v="10.39"/>
    <d v="2023-06-28T00:00:00"/>
    <s v="In Transit"/>
    <n v="250"/>
    <n v="2023"/>
    <x v="5"/>
    <n v="27"/>
    <n v="3"/>
    <n v="5"/>
  </r>
  <r>
    <s v="CUST0142"/>
    <s v="Female"/>
    <s v="South"/>
    <s v="Monitor"/>
    <x v="0"/>
    <n v="32"/>
    <n v="300"/>
    <n v="1"/>
    <n v="300"/>
    <n v="9.57"/>
    <d v="2023-04-24T00:00:00"/>
    <s v="In Transit"/>
    <n v="300"/>
    <n v="2023"/>
    <x v="1"/>
    <n v="18"/>
    <n v="3"/>
    <n v="1"/>
  </r>
  <r>
    <s v="CUST0032"/>
    <s v="Male"/>
    <s v="North"/>
    <s v="Smartphone"/>
    <x v="0"/>
    <n v="63"/>
    <n v="800"/>
    <n v="2"/>
    <n v="1600"/>
    <n v="6.57"/>
    <d v="2023-12-08T00:00:00"/>
    <s v="Delivered"/>
    <n v="1600"/>
    <n v="2023"/>
    <x v="0"/>
    <n v="50"/>
    <n v="3"/>
    <n v="2"/>
  </r>
  <r>
    <s v="CUST0011"/>
    <s v="Male"/>
    <s v="West"/>
    <s v="Keyboard"/>
    <x v="1"/>
    <n v="54"/>
    <n v="50"/>
    <n v="1"/>
    <n v="50"/>
    <n v="13.9"/>
    <d v="2023-11-04T00:00:00"/>
    <s v="Delivered"/>
    <n v="50"/>
    <n v="2023"/>
    <x v="10"/>
    <n v="45"/>
    <n v="3"/>
    <n v="1"/>
  </r>
  <r>
    <s v="CUST0204"/>
    <s v="Male"/>
    <s v="West"/>
    <s v="Laptop"/>
    <x v="0"/>
    <n v="54"/>
    <n v="3109.5606124866499"/>
    <n v="5"/>
    <n v="7500"/>
    <n v="19.71"/>
    <d v="2023-04-18T00:00:00"/>
    <s v="Returned"/>
    <n v="15547.80306243325"/>
    <n v="2023"/>
    <x v="1"/>
    <n v="17"/>
    <n v="3"/>
    <n v="5"/>
  </r>
  <r>
    <s v="CUST0068"/>
    <s v="Male"/>
    <s v="East"/>
    <s v="Smartwatch"/>
    <x v="2"/>
    <n v="64"/>
    <n v="200"/>
    <n v="2"/>
    <n v="400"/>
    <n v="11.49"/>
    <d v="2023-09-24T00:00:00"/>
    <s v="Returned"/>
    <n v="400"/>
    <n v="2023"/>
    <x v="7"/>
    <n v="39"/>
    <n v="3"/>
    <n v="2"/>
  </r>
  <r>
    <s v="CUST0222"/>
    <s v="Female"/>
    <s v="East"/>
    <s v="Mouse"/>
    <x v="1"/>
    <n v="61"/>
    <n v="30"/>
    <n v="2"/>
    <n v="60"/>
    <n v="13.74"/>
    <d v="2023-11-13T00:00:00"/>
    <s v="Delivered"/>
    <n v="60"/>
    <n v="2023"/>
    <x v="10"/>
    <n v="47"/>
    <n v="3"/>
    <n v="2"/>
  </r>
  <r>
    <s v="CUST0145"/>
    <s v="Male"/>
    <s v="East"/>
    <s v="Laptop"/>
    <x v="0"/>
    <n v="51"/>
    <n v="1500"/>
    <n v="1"/>
    <n v="1500"/>
    <n v="15.23"/>
    <d v="2023-10-10T00:00:00"/>
    <s v="Returned"/>
    <n v="1500"/>
    <n v="2023"/>
    <x v="4"/>
    <n v="42"/>
    <n v="3"/>
    <n v="1"/>
  </r>
  <r>
    <s v="CUST0083"/>
    <s v="Female"/>
    <s v="South"/>
    <s v="Laptop"/>
    <x v="0"/>
    <n v="28"/>
    <n v="1500"/>
    <n v="1"/>
    <n v="1500"/>
    <n v="19.84"/>
    <d v="2023-02-17T00:00:00"/>
    <s v="Unknown"/>
    <n v="1500"/>
    <n v="2023"/>
    <x v="6"/>
    <n v="8"/>
    <n v="3"/>
    <n v="1"/>
  </r>
  <r>
    <s v="CUST0158"/>
    <s v="Female"/>
    <s v="North"/>
    <s v="Headphones"/>
    <x v="1"/>
    <n v="51"/>
    <n v="100"/>
    <n v="3"/>
    <n v="300"/>
    <n v="18.63"/>
    <d v="2023-03-20T00:00:00"/>
    <s v="Unknown"/>
    <n v="300"/>
    <n v="2023"/>
    <x v="11"/>
    <n v="13"/>
    <n v="3"/>
    <n v="3"/>
  </r>
  <r>
    <s v="CUST0063"/>
    <s v="Female"/>
    <s v="North"/>
    <s v="Laptop"/>
    <x v="0"/>
    <n v="20"/>
    <n v="1500"/>
    <n v="5"/>
    <n v="7500"/>
    <n v="15.07"/>
    <d v="2023-10-28T00:00:00"/>
    <s v="In Transit"/>
    <n v="7500"/>
    <n v="2023"/>
    <x v="4"/>
    <n v="44"/>
    <n v="3"/>
    <n v="5"/>
  </r>
  <r>
    <s v="CUST0249"/>
    <s v="Male"/>
    <s v="South"/>
    <s v="Monitor"/>
    <x v="0"/>
    <n v="33"/>
    <n v="300"/>
    <n v="5"/>
    <n v="1500"/>
    <n v="15.98"/>
    <d v="2023-01-16T00:00:00"/>
    <s v="In Transit"/>
    <n v="1500"/>
    <n v="2023"/>
    <x v="3"/>
    <n v="4"/>
    <n v="3"/>
    <n v="5"/>
  </r>
  <r>
    <s v="CUST0012"/>
    <s v="Male"/>
    <s v="West"/>
    <s v="Monitor"/>
    <x v="0"/>
    <n v="28"/>
    <n v="300"/>
    <n v="2"/>
    <n v="600"/>
    <n v="14.13"/>
    <d v="2023-02-11T00:00:00"/>
    <s v="Delivered"/>
    <n v="600"/>
    <n v="2023"/>
    <x v="6"/>
    <n v="7"/>
    <n v="3"/>
    <n v="2"/>
  </r>
  <r>
    <s v="CUST0038"/>
    <s v="Male"/>
    <s v="East"/>
    <s v="Monitor"/>
    <x v="0"/>
    <n v="57"/>
    <n v="300"/>
    <n v="2"/>
    <n v="600"/>
    <n v="17.670000000000002"/>
    <d v="2023-12-18T00:00:00"/>
    <s v="In Transit"/>
    <n v="600"/>
    <n v="2023"/>
    <x v="0"/>
    <n v="52"/>
    <n v="3"/>
    <n v="2"/>
  </r>
  <r>
    <s v="CUST0216"/>
    <s v="Female"/>
    <s v="West"/>
    <s v="Keyboard"/>
    <x v="1"/>
    <n v="53"/>
    <n v="50"/>
    <n v="5"/>
    <n v="250"/>
    <n v="15.62"/>
    <d v="2023-09-01T00:00:00"/>
    <s v="Returned"/>
    <n v="250"/>
    <n v="2023"/>
    <x v="7"/>
    <n v="36"/>
    <n v="3"/>
    <n v="5"/>
  </r>
  <r>
    <s v="CUST0172"/>
    <s v="Female"/>
    <s v="South"/>
    <s v="Monitor"/>
    <x v="0"/>
    <n v="56"/>
    <n v="300"/>
    <n v="5"/>
    <n v="1500"/>
    <n v="12.62"/>
    <d v="2023-07-20T00:00:00"/>
    <s v="Returned"/>
    <n v="1500"/>
    <n v="2023"/>
    <x v="8"/>
    <n v="30"/>
    <n v="3"/>
    <n v="5"/>
  </r>
  <r>
    <s v="CUST0048"/>
    <s v="Male"/>
    <s v="North"/>
    <s v="Monitor"/>
    <x v="0"/>
    <n v="34"/>
    <n v="300"/>
    <n v="2"/>
    <n v="600"/>
    <n v="11.88"/>
    <d v="2023-09-23T00:00:00"/>
    <s v="Returned"/>
    <n v="600"/>
    <n v="2023"/>
    <x v="7"/>
    <n v="39"/>
    <n v="3"/>
    <n v="2"/>
  </r>
  <r>
    <s v="CUST0260"/>
    <s v="Male"/>
    <s v="East"/>
    <s v="Monitor"/>
    <x v="0"/>
    <n v="32"/>
    <n v="300"/>
    <n v="2"/>
    <n v="600"/>
    <n v="12.92"/>
    <d v="2023-07-14T00:00:00"/>
    <s v="Returned"/>
    <n v="600"/>
    <n v="2023"/>
    <x v="8"/>
    <n v="29"/>
    <n v="3"/>
    <n v="2"/>
  </r>
  <r>
    <s v="CUST0063"/>
    <s v="Male"/>
    <s v="North"/>
    <s v="Smartwatch"/>
    <x v="2"/>
    <n v="20"/>
    <n v="200"/>
    <n v="4"/>
    <n v="800"/>
    <n v="15.78"/>
    <d v="2023-06-14T00:00:00"/>
    <s v="Delivered"/>
    <n v="800"/>
    <n v="2023"/>
    <x v="5"/>
    <n v="25"/>
    <n v="3"/>
    <n v="4"/>
  </r>
  <r>
    <s v="CUST0218"/>
    <s v="Male"/>
    <s v="Unknown"/>
    <s v="Laptop"/>
    <x v="0"/>
    <n v="36"/>
    <n v="1500"/>
    <n v="4"/>
    <n v="6000"/>
    <n v="14"/>
    <d v="2023-06-06T00:00:00"/>
    <s v="Returned"/>
    <n v="6000"/>
    <n v="2023"/>
    <x v="5"/>
    <n v="24"/>
    <n v="3"/>
    <n v="4"/>
  </r>
  <r>
    <s v="CUST0263"/>
    <s v="Male"/>
    <s v="North"/>
    <s v="Smartphone"/>
    <x v="0"/>
    <n v="49"/>
    <n v="800"/>
    <n v="2"/>
    <n v="1600"/>
    <n v="7.17"/>
    <d v="2023-01-09T00:00:00"/>
    <s v="Unknown"/>
    <n v="1600"/>
    <n v="2023"/>
    <x v="3"/>
    <n v="3"/>
    <n v="3"/>
    <n v="2"/>
  </r>
  <r>
    <s v="CUST0160"/>
    <s v="Male"/>
    <s v="South"/>
    <s v="Monitor"/>
    <x v="0"/>
    <n v="69"/>
    <n v="300"/>
    <n v="2"/>
    <n v="600"/>
    <n v="18.79"/>
    <d v="2023-07-29T00:00:00"/>
    <s v="Delivered"/>
    <n v="600"/>
    <n v="2023"/>
    <x v="8"/>
    <n v="31"/>
    <n v="3"/>
    <n v="2"/>
  </r>
  <r>
    <s v="CUST0250"/>
    <s v="Female"/>
    <s v="North"/>
    <s v="Smartphone"/>
    <x v="0"/>
    <n v="64"/>
    <n v="800"/>
    <n v="2"/>
    <n v="1600"/>
    <n v="17.54"/>
    <d v="2023-08-05T00:00:00"/>
    <s v="Returned"/>
    <n v="1600"/>
    <n v="2023"/>
    <x v="2"/>
    <n v="32"/>
    <n v="3"/>
    <n v="2"/>
  </r>
  <r>
    <s v="CUST0038"/>
    <s v="Male"/>
    <s v="North"/>
    <s v="Keyboard"/>
    <x v="1"/>
    <n v="57"/>
    <n v="50"/>
    <n v="3"/>
    <n v="150"/>
    <n v="18.440000000000001"/>
    <d v="2023-02-21T00:00:00"/>
    <s v="In Transit"/>
    <n v="150"/>
    <n v="2023"/>
    <x v="6"/>
    <n v="9"/>
    <n v="3"/>
    <n v="3"/>
  </r>
  <r>
    <s v="CUST0048"/>
    <s v="Male"/>
    <s v="North"/>
    <s v="Monitor"/>
    <x v="0"/>
    <n v="34"/>
    <n v="300"/>
    <n v="2"/>
    <n v="600"/>
    <n v="12.94"/>
    <d v="2023-05-05T00:00:00"/>
    <s v="In Transit"/>
    <n v="600"/>
    <n v="2023"/>
    <x v="9"/>
    <n v="19"/>
    <n v="3"/>
    <n v="2"/>
  </r>
  <r>
    <s v="CUST0183"/>
    <s v="Female"/>
    <s v="West"/>
    <s v="Monitor"/>
    <x v="0"/>
    <n v="42"/>
    <n v="300"/>
    <n v="3"/>
    <n v="900"/>
    <n v="14.11"/>
    <d v="2023-01-16T00:00:00"/>
    <s v="Returned"/>
    <n v="900"/>
    <n v="2023"/>
    <x v="3"/>
    <n v="4"/>
    <n v="3"/>
    <n v="3"/>
  </r>
  <r>
    <s v="CUST0240"/>
    <s v="Female"/>
    <s v="Unknown"/>
    <s v="Headphones"/>
    <x v="1"/>
    <n v="39"/>
    <n v="100"/>
    <n v="1"/>
    <n v="100"/>
    <n v="7.09"/>
    <d v="2023-06-26T00:00:00"/>
    <s v="Delivered"/>
    <n v="100"/>
    <n v="2023"/>
    <x v="5"/>
    <n v="27"/>
    <n v="3"/>
    <n v="1"/>
  </r>
  <r>
    <s v="CUST0155"/>
    <s v="Male"/>
    <s v="North"/>
    <s v="Smartwatch"/>
    <x v="2"/>
    <n v="41"/>
    <n v="200"/>
    <n v="1"/>
    <n v="200"/>
    <n v="18.84"/>
    <d v="2023-04-20T00:00:00"/>
    <s v="In Transit"/>
    <n v="200"/>
    <n v="2023"/>
    <x v="1"/>
    <n v="17"/>
    <n v="3"/>
    <n v="1"/>
  </r>
  <r>
    <s v="CUST0185"/>
    <s v="Male"/>
    <s v="North"/>
    <s v="Laptop"/>
    <x v="0"/>
    <n v="29"/>
    <n v="1500"/>
    <n v="5"/>
    <n v="7500"/>
    <n v="13.95"/>
    <d v="2023-10-30T00:00:00"/>
    <s v="Delivered"/>
    <n v="7500"/>
    <n v="2023"/>
    <x v="4"/>
    <n v="45"/>
    <n v="3"/>
    <n v="5"/>
  </r>
  <r>
    <s v="CUST0229"/>
    <s v="Female"/>
    <s v="North"/>
    <s v="Headphones"/>
    <x v="1"/>
    <n v="49"/>
    <n v="100"/>
    <n v="4"/>
    <n v="400"/>
    <n v="11.95"/>
    <d v="2023-09-04T00:00:00"/>
    <s v="Delivered"/>
    <n v="400"/>
    <n v="2023"/>
    <x v="7"/>
    <n v="37"/>
    <n v="3"/>
    <n v="4"/>
  </r>
  <r>
    <s v="CUST0229"/>
    <s v="Male"/>
    <s v="North"/>
    <s v="Mouse"/>
    <x v="1"/>
    <n v="45"/>
    <n v="30"/>
    <n v="3"/>
    <n v="90"/>
    <n v="10.06"/>
    <d v="2023-02-18T00:00:00"/>
    <s v="Delivered"/>
    <n v="90"/>
    <n v="2023"/>
    <x v="6"/>
    <n v="8"/>
    <n v="3"/>
    <n v="3"/>
  </r>
  <r>
    <s v="CUST0139"/>
    <s v="Male"/>
    <s v="North"/>
    <s v="Mouse"/>
    <x v="1"/>
    <n v="57"/>
    <n v="30"/>
    <n v="5"/>
    <n v="150"/>
    <n v="19.16"/>
    <d v="2023-01-07T00:00:00"/>
    <s v="Returned"/>
    <n v="150"/>
    <n v="2023"/>
    <x v="3"/>
    <n v="2"/>
    <n v="3"/>
    <n v="5"/>
  </r>
  <r>
    <s v="CUST0009"/>
    <s v="Male"/>
    <s v="West"/>
    <s v="Headphones"/>
    <x v="1"/>
    <n v="50"/>
    <n v="100"/>
    <n v="2"/>
    <n v="200"/>
    <n v="19.13"/>
    <d v="2023-10-08T00:00:00"/>
    <s v="Unknown"/>
    <n v="200"/>
    <n v="2023"/>
    <x v="4"/>
    <n v="41"/>
    <n v="3"/>
    <n v="2"/>
  </r>
  <r>
    <s v="CUST0095"/>
    <s v="Male"/>
    <s v="West"/>
    <s v="Keyboard"/>
    <x v="1"/>
    <n v="60"/>
    <n v="50"/>
    <n v="5"/>
    <n v="250"/>
    <n v="13"/>
    <d v="2023-12-19T00:00:00"/>
    <s v="Returned"/>
    <n v="250"/>
    <n v="2023"/>
    <x v="0"/>
    <n v="52"/>
    <n v="3"/>
    <n v="5"/>
  </r>
  <r>
    <s v="CUST0001"/>
    <s v="Female"/>
    <s v="East"/>
    <s v="Keyboard"/>
    <x v="1"/>
    <n v="38"/>
    <n v="50"/>
    <n v="3"/>
    <n v="150"/>
    <n v="6.14"/>
    <d v="2023-04-10T00:00:00"/>
    <s v="Returned"/>
    <n v="150"/>
    <n v="2023"/>
    <x v="1"/>
    <n v="16"/>
    <n v="3"/>
    <n v="3"/>
  </r>
  <r>
    <s v="CUST0200"/>
    <s v="Male"/>
    <s v="East"/>
    <s v="Laptop"/>
    <x v="0"/>
    <n v="68"/>
    <n v="1500"/>
    <n v="3"/>
    <n v="4500"/>
    <n v="11.29"/>
    <d v="2023-06-01T00:00:00"/>
    <s v="Returned"/>
    <n v="4500"/>
    <n v="2023"/>
    <x v="5"/>
    <n v="23"/>
    <n v="3"/>
    <n v="3"/>
  </r>
  <r>
    <s v="CUST0086"/>
    <s v="Male"/>
    <s v="West"/>
    <s v="Smartwatch"/>
    <x v="2"/>
    <n v="26"/>
    <n v="200"/>
    <n v="5"/>
    <n v="1000"/>
    <n v="14.83"/>
    <d v="2023-07-03T00:00:00"/>
    <s v="Delivered"/>
    <n v="1000"/>
    <n v="2023"/>
    <x v="8"/>
    <n v="28"/>
    <n v="3"/>
    <n v="5"/>
  </r>
  <r>
    <s v="CUST0193"/>
    <s v="Female"/>
    <s v="North"/>
    <s v="Monitor"/>
    <x v="0"/>
    <n v="64"/>
    <n v="300"/>
    <n v="3"/>
    <n v="900"/>
    <n v="15.97"/>
    <d v="2023-10-15T00:00:00"/>
    <s v="Delivered"/>
    <n v="900"/>
    <n v="2023"/>
    <x v="4"/>
    <n v="42"/>
    <n v="3"/>
    <n v="3"/>
  </r>
  <r>
    <s v="CUST0193"/>
    <s v="Female"/>
    <s v="East"/>
    <s v="Headphones"/>
    <x v="1"/>
    <n v="64"/>
    <n v="100"/>
    <n v="4"/>
    <n v="400"/>
    <n v="12.48"/>
    <d v="2023-06-10T00:00:00"/>
    <s v="In Transit"/>
    <n v="400"/>
    <n v="2023"/>
    <x v="5"/>
    <n v="24"/>
    <n v="3"/>
    <n v="4"/>
  </r>
  <r>
    <s v="CUST0044"/>
    <s v="Female"/>
    <s v="East"/>
    <s v="Monitor"/>
    <x v="0"/>
    <n v="30"/>
    <n v="300"/>
    <n v="4"/>
    <n v="1200"/>
    <n v="10.86"/>
    <d v="2023-09-03T00:00:00"/>
    <s v="Delivered"/>
    <n v="1200"/>
    <n v="2023"/>
    <x v="7"/>
    <n v="36"/>
    <n v="3"/>
    <n v="4"/>
  </r>
  <r>
    <s v="CUST0187"/>
    <s v="Male"/>
    <s v="East"/>
    <s v="Laptop"/>
    <x v="0"/>
    <n v="25"/>
    <n v="1500"/>
    <n v="5"/>
    <n v="7500"/>
    <n v="16.95"/>
    <d v="2023-03-04T00:00:00"/>
    <s v="Delivered"/>
    <n v="7500"/>
    <n v="2023"/>
    <x v="11"/>
    <n v="10"/>
    <n v="3"/>
    <n v="5"/>
  </r>
  <r>
    <s v="CUST0006"/>
    <s v="Female"/>
    <s v="East"/>
    <s v="Headphones"/>
    <x v="1"/>
    <n v="52"/>
    <n v="100"/>
    <n v="2"/>
    <n v="200"/>
    <n v="18.95"/>
    <d v="2023-01-24T00:00:00"/>
    <s v="In Transit"/>
    <n v="200"/>
    <n v="2023"/>
    <x v="3"/>
    <n v="5"/>
    <n v="3"/>
    <n v="2"/>
  </r>
  <r>
    <s v="CUST0021"/>
    <s v="Male"/>
    <s v="North"/>
    <s v="Mouse"/>
    <x v="1"/>
    <n v="43"/>
    <n v="30"/>
    <n v="4"/>
    <n v="120"/>
    <n v="10.77"/>
    <d v="2023-09-24T00:00:00"/>
    <s v="Unknown"/>
    <n v="120"/>
    <n v="2023"/>
    <x v="7"/>
    <n v="39"/>
    <n v="3"/>
    <n v="4"/>
  </r>
  <r>
    <s v="CUST0271"/>
    <s v="Female"/>
    <s v="South"/>
    <s v="Headphones"/>
    <x v="1"/>
    <n v="46"/>
    <n v="100"/>
    <n v="2"/>
    <n v="200"/>
    <n v="19.54"/>
    <d v="2023-06-20T00:00:00"/>
    <s v="Returned"/>
    <n v="200"/>
    <n v="2023"/>
    <x v="5"/>
    <n v="26"/>
    <n v="3"/>
    <n v="2"/>
  </r>
  <r>
    <s v="CUST0160"/>
    <s v="Male"/>
    <s v="East"/>
    <s v="Laptop"/>
    <x v="0"/>
    <n v="69"/>
    <n v="1500"/>
    <n v="4"/>
    <n v="6000"/>
    <n v="10"/>
    <d v="2023-11-15T00:00:00"/>
    <s v="Delivered"/>
    <n v="6000"/>
    <n v="2023"/>
    <x v="10"/>
    <n v="47"/>
    <n v="3"/>
    <n v="4"/>
  </r>
  <r>
    <s v="CUST0095"/>
    <s v="Female"/>
    <s v="East"/>
    <s v="Laptop"/>
    <x v="0"/>
    <n v="49"/>
    <n v="1500"/>
    <n v="5"/>
    <n v="7500"/>
    <n v="12.35"/>
    <d v="2023-04-28T00:00:00"/>
    <s v="In Transit"/>
    <n v="7500"/>
    <n v="2023"/>
    <x v="1"/>
    <n v="18"/>
    <n v="3"/>
    <n v="5"/>
  </r>
  <r>
    <s v="CUST0025"/>
    <s v="Female"/>
    <s v="East"/>
    <s v="Monitor"/>
    <x v="0"/>
    <n v="56"/>
    <n v="300"/>
    <n v="3"/>
    <n v="900"/>
    <n v="17.34"/>
    <d v="2023-05-22T00:00:00"/>
    <s v="Returned"/>
    <n v="900"/>
    <n v="2023"/>
    <x v="9"/>
    <n v="22"/>
    <n v="3"/>
    <n v="3"/>
  </r>
  <r>
    <s v="CUST0188"/>
    <s v="Male"/>
    <s v="West"/>
    <s v="Keyboard"/>
    <x v="1"/>
    <n v="29"/>
    <n v="50"/>
    <n v="3"/>
    <n v="150"/>
    <n v="12.06"/>
    <d v="2023-04-02T00:00:00"/>
    <s v="Returned"/>
    <n v="150"/>
    <n v="2023"/>
    <x v="1"/>
    <n v="14"/>
    <n v="3"/>
    <n v="3"/>
  </r>
  <r>
    <s v="CUST0238"/>
    <s v="Female"/>
    <s v="West"/>
    <s v="Mouse"/>
    <x v="1"/>
    <n v="49"/>
    <n v="30"/>
    <n v="2"/>
    <n v="60"/>
    <n v="14.07"/>
    <d v="2023-11-15T00:00:00"/>
    <s v="Unknown"/>
    <n v="60"/>
    <n v="2023"/>
    <x v="10"/>
    <n v="47"/>
    <n v="3"/>
    <n v="2"/>
  </r>
  <r>
    <s v="CUST0180"/>
    <s v="Male"/>
    <s v="North"/>
    <s v="Laptop"/>
    <x v="0"/>
    <n v="49"/>
    <n v="1500"/>
    <n v="2"/>
    <n v="3000"/>
    <n v="16.82"/>
    <d v="2023-10-05T00:00:00"/>
    <s v="Unknown"/>
    <n v="3000"/>
    <n v="2023"/>
    <x v="4"/>
    <n v="41"/>
    <n v="3"/>
    <n v="2"/>
  </r>
  <r>
    <s v="CUST0011"/>
    <s v="Female"/>
    <s v="North"/>
    <s v="Smartphone"/>
    <x v="0"/>
    <n v="54"/>
    <n v="800"/>
    <n v="5"/>
    <n v="4000"/>
    <n v="19.489999999999998"/>
    <d v="2023-08-22T00:00:00"/>
    <s v="Returned"/>
    <n v="4000"/>
    <n v="2023"/>
    <x v="2"/>
    <n v="35"/>
    <n v="3"/>
    <n v="5"/>
  </r>
  <r>
    <s v="CUST0264"/>
    <s v="Male"/>
    <s v="West"/>
    <s v="Keyboard"/>
    <x v="1"/>
    <n v="59"/>
    <n v="50"/>
    <n v="2"/>
    <n v="100"/>
    <n v="15.51"/>
    <d v="2023-07-16T00:00:00"/>
    <s v="Returned"/>
    <n v="100"/>
    <n v="2023"/>
    <x v="8"/>
    <n v="29"/>
    <n v="3"/>
    <n v="2"/>
  </r>
  <r>
    <s v="CUST0156"/>
    <s v="Male"/>
    <s v="East"/>
    <s v="Smartwatch"/>
    <x v="2"/>
    <n v="57"/>
    <n v="200"/>
    <n v="5"/>
    <n v="1000"/>
    <n v="9.77"/>
    <d v="2023-01-27T00:00:00"/>
    <s v="Returned"/>
    <n v="1000"/>
    <n v="2023"/>
    <x v="3"/>
    <n v="5"/>
    <n v="3"/>
    <n v="5"/>
  </r>
  <r>
    <s v="CUST0044"/>
    <s v="Male"/>
    <s v="West"/>
    <s v="Headphones"/>
    <x v="1"/>
    <n v="30"/>
    <n v="100"/>
    <n v="1"/>
    <n v="100"/>
    <n v="15.64"/>
    <d v="2023-09-06T00:00:00"/>
    <s v="Delivered"/>
    <n v="100"/>
    <n v="2023"/>
    <x v="7"/>
    <n v="37"/>
    <n v="3"/>
    <n v="1"/>
  </r>
  <r>
    <s v="CUST0202"/>
    <s v="Male"/>
    <s v="East"/>
    <s v="Smartphone"/>
    <x v="0"/>
    <n v="56"/>
    <n v="800"/>
    <n v="5"/>
    <n v="4000"/>
    <n v="12.22"/>
    <d v="2023-05-06T00:00:00"/>
    <s v="Delivered"/>
    <n v="4000"/>
    <n v="2023"/>
    <x v="9"/>
    <n v="19"/>
    <n v="3"/>
    <n v="5"/>
  </r>
  <r>
    <s v="CUST0171"/>
    <s v="Male"/>
    <s v="East"/>
    <s v="Headphones"/>
    <x v="1"/>
    <n v="21"/>
    <n v="100"/>
    <n v="5"/>
    <n v="500"/>
    <n v="13.7"/>
    <d v="2023-01-14T00:00:00"/>
    <s v="In Transit"/>
    <n v="500"/>
    <n v="2023"/>
    <x v="3"/>
    <n v="3"/>
    <n v="3"/>
    <n v="5"/>
  </r>
  <r>
    <s v="CUST0109"/>
    <s v="Female"/>
    <s v="Unknown"/>
    <s v="Laptop"/>
    <x v="0"/>
    <n v="57"/>
    <n v="1500"/>
    <n v="4"/>
    <n v="6000"/>
    <n v="12.77"/>
    <d v="2023-04-28T00:00:00"/>
    <s v="Delivered"/>
    <n v="6000"/>
    <n v="2023"/>
    <x v="1"/>
    <n v="18"/>
    <n v="3"/>
    <n v="4"/>
  </r>
  <r>
    <s v="CUST0213"/>
    <s v="Female"/>
    <s v="North"/>
    <s v="Monitor"/>
    <x v="0"/>
    <n v="45"/>
    <n v="300"/>
    <n v="4"/>
    <n v="1200"/>
    <n v="14.76"/>
    <d v="2023-01-02T00:00:00"/>
    <s v="Delivered"/>
    <n v="1200"/>
    <n v="2023"/>
    <x v="3"/>
    <n v="2"/>
    <n v="3"/>
    <n v="4"/>
  </r>
  <r>
    <s v="CUST0261"/>
    <s v="Male"/>
    <s v="North"/>
    <s v="Mouse"/>
    <x v="1"/>
    <n v="49"/>
    <n v="30"/>
    <n v="3"/>
    <n v="90"/>
    <n v="11.71"/>
    <d v="2023-11-09T00:00:00"/>
    <s v="Delivered"/>
    <n v="90"/>
    <n v="2023"/>
    <x v="10"/>
    <n v="46"/>
    <n v="3"/>
    <n v="3"/>
  </r>
  <r>
    <s v="CUST0030"/>
    <s v="Female"/>
    <s v="East"/>
    <s v="Smartphone"/>
    <x v="0"/>
    <n v="44"/>
    <n v="800"/>
    <n v="5"/>
    <n v="4000"/>
    <n v="17.36"/>
    <d v="2023-07-03T00:00:00"/>
    <s v="Returned"/>
    <n v="4000"/>
    <n v="2023"/>
    <x v="8"/>
    <n v="28"/>
    <n v="3"/>
    <n v="5"/>
  </r>
  <r>
    <s v="CUST0145"/>
    <s v="Male"/>
    <s v="North"/>
    <s v="Headphones"/>
    <x v="1"/>
    <n v="51"/>
    <n v="100"/>
    <n v="4"/>
    <n v="400"/>
    <n v="10.89"/>
    <d v="2023-01-14T00:00:00"/>
    <s v="Delivered"/>
    <n v="400"/>
    <n v="2023"/>
    <x v="3"/>
    <n v="3"/>
    <n v="3"/>
    <n v="4"/>
  </r>
  <r>
    <s v="CUST0044"/>
    <s v="Male"/>
    <s v="Unknown"/>
    <s v="Smartphone"/>
    <x v="0"/>
    <n v="30"/>
    <n v="800"/>
    <n v="1"/>
    <n v="800"/>
    <n v="14.23"/>
    <d v="2023-02-23T00:00:00"/>
    <s v="In Transit"/>
    <n v="800"/>
    <n v="2023"/>
    <x v="6"/>
    <n v="9"/>
    <n v="3"/>
    <n v="1"/>
  </r>
  <r>
    <s v="CUST0199"/>
    <s v="Male"/>
    <s v="North"/>
    <s v="Monitor"/>
    <x v="0"/>
    <n v="41"/>
    <n v="300"/>
    <n v="1"/>
    <n v="300"/>
    <n v="9.5"/>
    <d v="2023-06-11T00:00:00"/>
    <s v="Delivered"/>
    <n v="300"/>
    <n v="2023"/>
    <x v="5"/>
    <n v="24"/>
    <n v="3"/>
    <n v="1"/>
  </r>
  <r>
    <s v="CUST0111"/>
    <s v="Female"/>
    <s v="West"/>
    <s v="Monitor"/>
    <x v="0"/>
    <n v="19"/>
    <n v="300"/>
    <n v="3"/>
    <n v="900"/>
    <n v="13.79"/>
    <d v="2023-05-16T00:00:00"/>
    <s v="In Transit"/>
    <n v="900"/>
    <n v="2023"/>
    <x v="9"/>
    <n v="21"/>
    <n v="3"/>
    <n v="3"/>
  </r>
  <r>
    <s v="CUST0124"/>
    <s v="Male"/>
    <s v="South"/>
    <s v="Smartphone"/>
    <x v="0"/>
    <n v="53"/>
    <n v="800"/>
    <n v="1"/>
    <n v="800"/>
    <n v="5.36"/>
    <d v="2023-03-16T00:00:00"/>
    <s v="Returned"/>
    <n v="800"/>
    <n v="2023"/>
    <x v="11"/>
    <n v="12"/>
    <n v="3"/>
    <n v="1"/>
  </r>
  <r>
    <s v="CUST0299"/>
    <s v="Male"/>
    <s v="West"/>
    <s v="Smartphone"/>
    <x v="0"/>
    <n v="58"/>
    <n v="800"/>
    <n v="5"/>
    <n v="4000"/>
    <n v="19.93"/>
    <d v="2023-01-03T00:00:00"/>
    <s v="In Transit"/>
    <n v="4000"/>
    <n v="2023"/>
    <x v="3"/>
    <n v="2"/>
    <n v="3"/>
    <n v="5"/>
  </r>
  <r>
    <s v="CUST0241"/>
    <s v="Female"/>
    <s v="Unknown"/>
    <s v="Keyboard"/>
    <x v="1"/>
    <n v="27"/>
    <n v="50"/>
    <n v="2"/>
    <n v="100"/>
    <n v="19.920000000000002"/>
    <d v="2023-06-02T00:00:00"/>
    <s v="Delivered"/>
    <n v="100"/>
    <n v="2023"/>
    <x v="5"/>
    <n v="23"/>
    <n v="3"/>
    <n v="2"/>
  </r>
  <r>
    <s v="CUST0010"/>
    <s v="Male"/>
    <s v="South"/>
    <s v="Smartwatch"/>
    <x v="2"/>
    <n v="37"/>
    <n v="200"/>
    <n v="2"/>
    <n v="400"/>
    <n v="14.16"/>
    <d v="2023-06-06T00:00:00"/>
    <s v="Delivered"/>
    <n v="400"/>
    <n v="2023"/>
    <x v="5"/>
    <n v="24"/>
    <n v="3"/>
    <n v="2"/>
  </r>
  <r>
    <s v="CUST0293"/>
    <s v="Female"/>
    <s v="East"/>
    <s v="Laptop"/>
    <x v="0"/>
    <n v="32"/>
    <n v="1500"/>
    <n v="5"/>
    <n v="7500"/>
    <n v="7.52"/>
    <d v="2023-10-28T00:00:00"/>
    <s v="Returned"/>
    <n v="7500"/>
    <n v="2023"/>
    <x v="4"/>
    <n v="44"/>
    <n v="3"/>
    <n v="5"/>
  </r>
  <r>
    <s v="CUST0225"/>
    <s v="Male"/>
    <s v="West"/>
    <s v="Monitor"/>
    <x v="0"/>
    <n v="65"/>
    <n v="300"/>
    <n v="4"/>
    <n v="1200"/>
    <n v="10.09"/>
    <d v="2023-01-31T00:00:00"/>
    <s v="Returned"/>
    <n v="1200"/>
    <n v="2023"/>
    <x v="3"/>
    <n v="6"/>
    <n v="3"/>
    <n v="4"/>
  </r>
  <r>
    <s v="CUST0197"/>
    <s v="Male"/>
    <s v="North"/>
    <s v="Laptop"/>
    <x v="0"/>
    <n v="54"/>
    <n v="1500"/>
    <n v="4"/>
    <n v="6000"/>
    <n v="6.73"/>
    <d v="2023-04-28T00:00:00"/>
    <s v="In Transit"/>
    <n v="6000"/>
    <n v="2023"/>
    <x v="1"/>
    <n v="18"/>
    <n v="3"/>
    <n v="4"/>
  </r>
  <r>
    <s v="CUST0035"/>
    <s v="Female"/>
    <s v="West"/>
    <s v="Mouse"/>
    <x v="1"/>
    <n v="20"/>
    <n v="30"/>
    <n v="4"/>
    <n v="120"/>
    <n v="5.19"/>
    <d v="2023-07-22T00:00:00"/>
    <s v="Returned"/>
    <n v="120"/>
    <n v="2023"/>
    <x v="8"/>
    <n v="30"/>
    <n v="3"/>
    <n v="4"/>
  </r>
  <r>
    <s v="CUST0280"/>
    <s v="Male"/>
    <s v="Unknown"/>
    <s v="Keyboard"/>
    <x v="1"/>
    <n v="44"/>
    <n v="50"/>
    <n v="1"/>
    <n v="50"/>
    <n v="12.3"/>
    <d v="2023-06-12T00:00:00"/>
    <s v="Delivered"/>
    <n v="50"/>
    <n v="2023"/>
    <x v="5"/>
    <n v="25"/>
    <n v="3"/>
    <n v="1"/>
  </r>
  <r>
    <s v="CUST0129"/>
    <s v="Male"/>
    <s v="South"/>
    <s v="Laptop"/>
    <x v="0"/>
    <n v="66"/>
    <n v="1500"/>
    <n v="4"/>
    <n v="6000"/>
    <n v="13.08"/>
    <d v="2023-03-20T00:00:00"/>
    <s v="In Transit"/>
    <n v="6000"/>
    <n v="2023"/>
    <x v="11"/>
    <n v="13"/>
    <n v="3"/>
    <n v="4"/>
  </r>
  <r>
    <s v="CUST0144"/>
    <s v="Female"/>
    <s v="Unknown"/>
    <s v="Laptop"/>
    <x v="0"/>
    <n v="54"/>
    <n v="1500"/>
    <n v="4"/>
    <n v="6000"/>
    <n v="12"/>
    <d v="2023-04-14T00:00:00"/>
    <s v="Returned"/>
    <n v="6000"/>
    <n v="2023"/>
    <x v="1"/>
    <n v="16"/>
    <n v="3"/>
    <n v="4"/>
  </r>
  <r>
    <s v="CUST0174"/>
    <s v="Male"/>
    <s v="North"/>
    <s v="Mouse"/>
    <x v="1"/>
    <n v="68"/>
    <n v="30"/>
    <n v="2"/>
    <n v="60"/>
    <n v="9.2799999999999994"/>
    <d v="2023-05-04T00:00:00"/>
    <s v="Delivered"/>
    <n v="60"/>
    <n v="2023"/>
    <x v="9"/>
    <n v="19"/>
    <n v="3"/>
    <n v="2"/>
  </r>
  <r>
    <s v="CUST0219"/>
    <s v="Female"/>
    <s v="South"/>
    <s v="Keyboard"/>
    <x v="1"/>
    <n v="48"/>
    <n v="50"/>
    <n v="5"/>
    <n v="250"/>
    <n v="14.34"/>
    <d v="2023-09-28T00:00:00"/>
    <s v="Delivered"/>
    <n v="250"/>
    <n v="2023"/>
    <x v="7"/>
    <n v="40"/>
    <n v="3"/>
    <n v="5"/>
  </r>
  <r>
    <s v="CUST0198"/>
    <s v="Male"/>
    <s v="South"/>
    <s v="Monitor"/>
    <x v="0"/>
    <n v="56"/>
    <n v="300"/>
    <n v="2"/>
    <n v="600"/>
    <n v="17.13"/>
    <d v="2023-08-01T00:00:00"/>
    <s v="In Transit"/>
    <n v="600"/>
    <n v="2023"/>
    <x v="2"/>
    <n v="32"/>
    <n v="3"/>
    <n v="2"/>
  </r>
  <r>
    <s v="CUST0139"/>
    <s v="Male"/>
    <s v="North"/>
    <s v="Monitor"/>
    <x v="0"/>
    <n v="57"/>
    <n v="300"/>
    <n v="1"/>
    <n v="300"/>
    <n v="13.55"/>
    <d v="2023-09-26T00:00:00"/>
    <s v="Delivered"/>
    <n v="300"/>
    <n v="2023"/>
    <x v="7"/>
    <n v="40"/>
    <n v="3"/>
    <n v="1"/>
  </r>
  <r>
    <s v="CUST0149"/>
    <s v="Male"/>
    <s v="West"/>
    <s v="Mouse"/>
    <x v="1"/>
    <n v="40"/>
    <n v="30"/>
    <n v="5"/>
    <n v="150"/>
    <n v="9.01"/>
    <d v="2023-11-14T00:00:00"/>
    <s v="Returned"/>
    <n v="150"/>
    <n v="2023"/>
    <x v="10"/>
    <n v="47"/>
    <n v="3"/>
    <n v="5"/>
  </r>
  <r>
    <s v="CUST0031"/>
    <s v="Male"/>
    <s v="North"/>
    <s v="Laptop"/>
    <x v="0"/>
    <n v="67"/>
    <n v="1500"/>
    <n v="4"/>
    <n v="6000"/>
    <n v="13.3"/>
    <d v="2023-11-01T00:00:00"/>
    <s v="Delivered"/>
    <n v="6000"/>
    <n v="2023"/>
    <x v="10"/>
    <n v="45"/>
    <n v="3"/>
    <n v="4"/>
  </r>
  <r>
    <s v="CUST0036"/>
    <s v="Female"/>
    <s v="South"/>
    <s v="Headphones"/>
    <x v="1"/>
    <n v="33"/>
    <n v="100"/>
    <n v="5"/>
    <n v="500"/>
    <n v="8.27"/>
    <d v="2023-06-30T00:00:00"/>
    <s v="In Transit"/>
    <n v="500"/>
    <n v="2023"/>
    <x v="5"/>
    <n v="27"/>
    <n v="3"/>
    <n v="5"/>
  </r>
  <r>
    <s v="CUST0029"/>
    <s v="Female"/>
    <s v="West"/>
    <s v="Laptop"/>
    <x v="0"/>
    <n v="66"/>
    <n v="1500"/>
    <n v="2"/>
    <n v="3000"/>
    <n v="9.26"/>
    <d v="2023-10-10T00:00:00"/>
    <s v="In Transit"/>
    <n v="3000"/>
    <n v="2023"/>
    <x v="4"/>
    <n v="42"/>
    <n v="3"/>
    <n v="2"/>
  </r>
  <r>
    <s v="CUST0071"/>
    <s v="Male"/>
    <s v="West"/>
    <s v="Monitor"/>
    <x v="0"/>
    <n v="46"/>
    <n v="300"/>
    <n v="3"/>
    <n v="900"/>
    <n v="18.829999999999998"/>
    <d v="2023-09-19T00:00:00"/>
    <s v="Returned"/>
    <n v="900"/>
    <n v="2023"/>
    <x v="7"/>
    <n v="39"/>
    <n v="3"/>
    <n v="3"/>
  </r>
  <r>
    <s v="CUST0108"/>
    <s v="Female"/>
    <s v="East"/>
    <s v="Monitor"/>
    <x v="0"/>
    <n v="49"/>
    <n v="300"/>
    <n v="1"/>
    <n v="300"/>
    <n v="6.55"/>
    <d v="2024-01-03T00:00:00"/>
    <s v="Delivered"/>
    <n v="300"/>
    <n v="2024"/>
    <x v="12"/>
    <n v="1"/>
    <n v="3"/>
    <n v="1"/>
  </r>
  <r>
    <s v="CUST0251"/>
    <s v="Male"/>
    <s v="East"/>
    <s v="Laptop"/>
    <x v="0"/>
    <n v="42"/>
    <n v="1500"/>
    <n v="2"/>
    <n v="3000"/>
    <n v="12.17"/>
    <d v="2023-01-09T00:00:00"/>
    <s v="Unknown"/>
    <n v="3000"/>
    <n v="2023"/>
    <x v="3"/>
    <n v="3"/>
    <n v="3"/>
    <n v="2"/>
  </r>
  <r>
    <s v="CUST0142"/>
    <s v="Male"/>
    <s v="North"/>
    <s v="Laptop"/>
    <x v="0"/>
    <n v="32"/>
    <n v="1500"/>
    <n v="1"/>
    <n v="1500"/>
    <n v="8.5299999999999994"/>
    <d v="2023-08-11T00:00:00"/>
    <s v="In Transit"/>
    <n v="1500"/>
    <n v="2023"/>
    <x v="2"/>
    <n v="33"/>
    <n v="3"/>
    <n v="1"/>
  </r>
  <r>
    <s v="CUST0025"/>
    <s v="Male"/>
    <s v="West"/>
    <s v="Monitor"/>
    <x v="0"/>
    <n v="56"/>
    <n v="300"/>
    <n v="1"/>
    <n v="300"/>
    <n v="8.8699999999999992"/>
    <d v="2023-07-25T00:00:00"/>
    <s v="Returned"/>
    <n v="300"/>
    <n v="2023"/>
    <x v="8"/>
    <n v="31"/>
    <n v="3"/>
    <n v="1"/>
  </r>
  <r>
    <s v="CUST0031"/>
    <s v="Female"/>
    <s v="South"/>
    <s v="Smartwatch"/>
    <x v="2"/>
    <n v="67"/>
    <n v="200"/>
    <n v="1"/>
    <n v="200"/>
    <n v="5.45"/>
    <d v="2023-09-30T00:00:00"/>
    <s v="Returned"/>
    <n v="200"/>
    <n v="2023"/>
    <x v="7"/>
    <n v="40"/>
    <n v="3"/>
    <n v="1"/>
  </r>
  <r>
    <s v="CUST0159"/>
    <s v="Male"/>
    <s v="North"/>
    <s v="Headphones"/>
    <x v="1"/>
    <n v="49"/>
    <n v="100"/>
    <n v="2"/>
    <n v="200"/>
    <n v="10.39"/>
    <d v="2023-10-26T00:00:00"/>
    <s v="Returned"/>
    <n v="200"/>
    <n v="2023"/>
    <x v="4"/>
    <n v="44"/>
    <n v="3"/>
    <n v="2"/>
  </r>
  <r>
    <s v="CUST0094"/>
    <s v="Male"/>
    <s v="South"/>
    <s v="Headphones"/>
    <x v="1"/>
    <n v="30"/>
    <n v="100"/>
    <n v="4"/>
    <n v="400"/>
    <n v="13.94"/>
    <d v="2023-12-22T00:00:00"/>
    <s v="Delivered"/>
    <n v="400"/>
    <n v="2023"/>
    <x v="0"/>
    <n v="52"/>
    <n v="3"/>
    <n v="4"/>
  </r>
  <r>
    <s v="CUST0072"/>
    <s v="Male"/>
    <s v="East"/>
    <s v="Headphones"/>
    <x v="1"/>
    <n v="21"/>
    <n v="100"/>
    <n v="4"/>
    <n v="400"/>
    <n v="12.96"/>
    <d v="2023-09-13T00:00:00"/>
    <s v="In Transit"/>
    <n v="400"/>
    <n v="2023"/>
    <x v="7"/>
    <n v="38"/>
    <n v="3"/>
    <n v="4"/>
  </r>
  <r>
    <s v="CUST0078"/>
    <s v="Female"/>
    <s v="South"/>
    <s v="Keyboard"/>
    <x v="1"/>
    <n v="38"/>
    <n v="50"/>
    <n v="4"/>
    <n v="200"/>
    <n v="11"/>
    <d v="2023-12-26T00:00:00"/>
    <s v="Returned"/>
    <n v="200"/>
    <n v="2023"/>
    <x v="0"/>
    <n v="53"/>
    <n v="3"/>
    <n v="4"/>
  </r>
  <r>
    <s v="CUST0105"/>
    <s v="Male"/>
    <s v="West"/>
    <s v="Laptop"/>
    <x v="0"/>
    <n v="27"/>
    <n v="1500"/>
    <n v="2"/>
    <n v="3000"/>
    <n v="13.22"/>
    <d v="2023-09-06T00:00:00"/>
    <s v="In Transit"/>
    <n v="3000"/>
    <n v="2023"/>
    <x v="7"/>
    <n v="37"/>
    <n v="3"/>
    <n v="2"/>
  </r>
  <r>
    <s v="CUST0152"/>
    <s v="Male"/>
    <s v="North"/>
    <s v="Monitor"/>
    <x v="0"/>
    <n v="69"/>
    <n v="300"/>
    <n v="5"/>
    <n v="1500"/>
    <n v="17.75"/>
    <d v="2023-11-14T00:00:00"/>
    <s v="In Transit"/>
    <n v="1500"/>
    <n v="2023"/>
    <x v="10"/>
    <n v="47"/>
    <n v="3"/>
    <n v="5"/>
  </r>
  <r>
    <s v="CUST0160"/>
    <s v="Female"/>
    <s v="West"/>
    <s v="Smartphone"/>
    <x v="0"/>
    <n v="69"/>
    <n v="800"/>
    <n v="3"/>
    <n v="2400"/>
    <n v="15.53"/>
    <d v="2023-04-25T00:00:00"/>
    <s v="In Transit"/>
    <n v="2400"/>
    <n v="2023"/>
    <x v="1"/>
    <n v="18"/>
    <n v="3"/>
    <n v="3"/>
  </r>
  <r>
    <s v="CUST0248"/>
    <s v="Female"/>
    <s v="South"/>
    <s v="Laptop"/>
    <x v="0"/>
    <n v="67"/>
    <n v="1500"/>
    <n v="1"/>
    <n v="1500"/>
    <n v="13.92"/>
    <d v="2023-07-26T00:00:00"/>
    <s v="Delivered"/>
    <n v="1500"/>
    <n v="2023"/>
    <x v="8"/>
    <n v="31"/>
    <n v="3"/>
    <n v="1"/>
  </r>
  <r>
    <s v="CUST0133"/>
    <s v="Male"/>
    <s v="West"/>
    <s v="Smartwatch"/>
    <x v="2"/>
    <n v="47"/>
    <n v="200"/>
    <n v="3"/>
    <n v="600"/>
    <n v="13.73"/>
    <d v="2023-06-15T00:00:00"/>
    <s v="Delivered"/>
    <n v="600"/>
    <n v="2023"/>
    <x v="5"/>
    <n v="25"/>
    <n v="3"/>
    <n v="3"/>
  </r>
  <r>
    <s v="CUST0260"/>
    <s v="Male"/>
    <s v="West"/>
    <s v="Monitor"/>
    <x v="0"/>
    <n v="32"/>
    <n v="300"/>
    <n v="3"/>
    <n v="900"/>
    <n v="8.48"/>
    <d v="2023-05-22T00:00:00"/>
    <s v="Delivered"/>
    <n v="900"/>
    <n v="2023"/>
    <x v="9"/>
    <n v="22"/>
    <n v="3"/>
    <n v="3"/>
  </r>
  <r>
    <s v="CUST0051"/>
    <s v="Female"/>
    <s v="West"/>
    <s v="Laptop"/>
    <x v="0"/>
    <n v="41"/>
    <n v="1500"/>
    <n v="3"/>
    <n v="4500"/>
    <n v="13.82"/>
    <d v="2023-12-07T00:00:00"/>
    <s v="Delivered"/>
    <n v="4500"/>
    <n v="2023"/>
    <x v="0"/>
    <n v="50"/>
    <n v="3"/>
    <n v="3"/>
  </r>
  <r>
    <s v="CUST0177"/>
    <s v="Female"/>
    <s v="East"/>
    <s v="Mouse"/>
    <x v="1"/>
    <n v="29"/>
    <n v="30"/>
    <n v="1"/>
    <n v="30"/>
    <n v="11.33"/>
    <d v="2023-02-28T00:00:00"/>
    <s v="In Transit"/>
    <n v="30"/>
    <n v="2023"/>
    <x v="6"/>
    <n v="10"/>
    <n v="3"/>
    <n v="1"/>
  </r>
  <r>
    <s v="CUST0004"/>
    <s v="Male"/>
    <s v="North"/>
    <s v="Monitor"/>
    <x v="0"/>
    <n v="65"/>
    <n v="300"/>
    <n v="4"/>
    <n v="1200"/>
    <n v="11.14"/>
    <d v="2024-01-03T00:00:00"/>
    <s v="Unknown"/>
    <n v="1200"/>
    <n v="2024"/>
    <x v="12"/>
    <n v="1"/>
    <n v="3"/>
    <n v="4"/>
  </r>
  <r>
    <s v="CUST0195"/>
    <s v="Female"/>
    <s v="East"/>
    <s v="Smartwatch"/>
    <x v="2"/>
    <n v="48"/>
    <n v="200"/>
    <n v="5"/>
    <n v="1000"/>
    <n v="10.9"/>
    <d v="2023-05-04T00:00:00"/>
    <s v="In Transit"/>
    <n v="1000"/>
    <n v="2023"/>
    <x v="9"/>
    <n v="19"/>
    <n v="3"/>
    <n v="5"/>
  </r>
  <r>
    <s v="CUST0122"/>
    <s v="Male"/>
    <s v="East"/>
    <s v="Laptop"/>
    <x v="0"/>
    <n v="68"/>
    <n v="1500"/>
    <n v="1"/>
    <n v="1500"/>
    <n v="19.37"/>
    <d v="2023-08-27T00:00:00"/>
    <s v="Unknown"/>
    <n v="1500"/>
    <n v="2023"/>
    <x v="2"/>
    <n v="35"/>
    <n v="3"/>
    <n v="1"/>
  </r>
  <r>
    <s v="CUST0058"/>
    <s v="Female"/>
    <s v="North"/>
    <s v="Mouse"/>
    <x v="1"/>
    <n v="42"/>
    <n v="30"/>
    <n v="5"/>
    <n v="150"/>
    <n v="8.2799999999999994"/>
    <d v="2023-11-14T00:00:00"/>
    <s v="Returned"/>
    <n v="150"/>
    <n v="2023"/>
    <x v="10"/>
    <n v="47"/>
    <n v="3"/>
    <n v="5"/>
  </r>
  <r>
    <s v="CUST0039"/>
    <s v="Male"/>
    <s v="Unknown"/>
    <s v="Laptop"/>
    <x v="0"/>
    <n v="60"/>
    <n v="1500"/>
    <n v="1"/>
    <n v="1500"/>
    <n v="10.84"/>
    <d v="2023-09-06T00:00:00"/>
    <s v="In Transit"/>
    <n v="1500"/>
    <n v="2023"/>
    <x v="7"/>
    <n v="37"/>
    <n v="3"/>
    <n v="1"/>
  </r>
  <r>
    <s v="CUST0066"/>
    <s v="Female"/>
    <s v="North"/>
    <s v="Smartphone"/>
    <x v="0"/>
    <n v="37"/>
    <n v="800"/>
    <n v="1"/>
    <n v="800"/>
    <n v="12.78"/>
    <d v="2023-01-03T00:00:00"/>
    <s v="Returned"/>
    <n v="800"/>
    <n v="2023"/>
    <x v="3"/>
    <n v="2"/>
    <n v="3"/>
    <n v="1"/>
  </r>
  <r>
    <s v="CUST0204"/>
    <s v="Female"/>
    <s v="South"/>
    <s v="Laptop"/>
    <x v="0"/>
    <n v="54"/>
    <n v="1500"/>
    <n v="4"/>
    <n v="6000"/>
    <n v="12.84"/>
    <d v="2023-02-20T00:00:00"/>
    <s v="Delivered"/>
    <n v="6000"/>
    <n v="2023"/>
    <x v="6"/>
    <n v="9"/>
    <n v="3"/>
    <n v="4"/>
  </r>
  <r>
    <s v="CUST0208"/>
    <s v="Female"/>
    <s v="South"/>
    <s v="Monitor"/>
    <x v="0"/>
    <n v="57"/>
    <n v="300"/>
    <n v="1"/>
    <n v="300"/>
    <n v="6.55"/>
    <d v="2023-04-13T00:00:00"/>
    <s v="Delivered"/>
    <n v="300"/>
    <n v="2023"/>
    <x v="1"/>
    <n v="16"/>
    <n v="3"/>
    <n v="1"/>
  </r>
  <r>
    <s v="CUST0196"/>
    <s v="Female"/>
    <s v="East"/>
    <s v="Keyboard"/>
    <x v="1"/>
    <n v="37"/>
    <n v="50"/>
    <n v="4"/>
    <n v="200"/>
    <n v="12.81"/>
    <d v="2023-01-05T00:00:00"/>
    <s v="Delivered"/>
    <n v="200"/>
    <n v="2023"/>
    <x v="3"/>
    <n v="2"/>
    <n v="3"/>
    <n v="4"/>
  </r>
  <r>
    <s v="CUST0250"/>
    <s v="Female"/>
    <s v="North"/>
    <s v="Laptop"/>
    <x v="0"/>
    <n v="64"/>
    <n v="1500"/>
    <n v="1"/>
    <n v="1500"/>
    <n v="18.190000000000001"/>
    <d v="2023-05-22T00:00:00"/>
    <s v="In Transit"/>
    <n v="1500"/>
    <n v="2023"/>
    <x v="9"/>
    <n v="22"/>
    <n v="3"/>
    <n v="1"/>
  </r>
  <r>
    <s v="CUST0227"/>
    <s v="Male"/>
    <s v="South"/>
    <s v="Smartwatch"/>
    <x v="2"/>
    <n v="54"/>
    <n v="200"/>
    <n v="3"/>
    <n v="600"/>
    <n v="16.36"/>
    <d v="2023-08-10T00:00:00"/>
    <s v="In Transit"/>
    <n v="600"/>
    <n v="2023"/>
    <x v="2"/>
    <n v="33"/>
    <n v="3"/>
    <n v="3"/>
  </r>
  <r>
    <s v="CUST0107"/>
    <s v="Male"/>
    <s v="West"/>
    <s v="Laptop"/>
    <x v="0"/>
    <n v="67"/>
    <n v="1500"/>
    <n v="4"/>
    <n v="6000"/>
    <n v="14.85"/>
    <d v="2023-06-11T00:00:00"/>
    <s v="Delivered"/>
    <n v="6000"/>
    <n v="2023"/>
    <x v="5"/>
    <n v="24"/>
    <n v="3"/>
    <n v="4"/>
  </r>
  <r>
    <s v="CUST0177"/>
    <s v="Female"/>
    <s v="East"/>
    <s v="Smartwatch"/>
    <x v="2"/>
    <n v="29"/>
    <n v="200"/>
    <n v="4"/>
    <n v="800"/>
    <n v="17.93"/>
    <d v="2023-02-25T00:00:00"/>
    <s v="Delivered"/>
    <n v="800"/>
    <n v="2023"/>
    <x v="6"/>
    <n v="9"/>
    <n v="3"/>
    <n v="4"/>
  </r>
  <r>
    <s v="CUST0174"/>
    <s v="Female"/>
    <s v="South"/>
    <s v="Headphones"/>
    <x v="1"/>
    <n v="68"/>
    <n v="100"/>
    <n v="2"/>
    <n v="200"/>
    <n v="11.73"/>
    <d v="2023-06-05T00:00:00"/>
    <s v="Unknown"/>
    <n v="200"/>
    <n v="2023"/>
    <x v="5"/>
    <n v="24"/>
    <n v="3"/>
    <n v="2"/>
  </r>
  <r>
    <s v="CUST0066"/>
    <s v="Male"/>
    <s v="West"/>
    <s v="Mouse"/>
    <x v="1"/>
    <n v="37"/>
    <n v="30"/>
    <n v="3"/>
    <n v="90"/>
    <n v="13.86"/>
    <d v="2023-10-17T00:00:00"/>
    <s v="Delivered"/>
    <n v="90"/>
    <n v="2023"/>
    <x v="4"/>
    <n v="43"/>
    <n v="3"/>
    <n v="3"/>
  </r>
  <r>
    <s v="CUST0117"/>
    <s v="Male"/>
    <s v="North"/>
    <s v="Mouse"/>
    <x v="1"/>
    <n v="22"/>
    <n v="30"/>
    <n v="5"/>
    <n v="150"/>
    <n v="18.22"/>
    <d v="2023-01-25T00:00:00"/>
    <s v="Returned"/>
    <n v="150"/>
    <n v="2023"/>
    <x v="3"/>
    <n v="5"/>
    <n v="3"/>
    <n v="5"/>
  </r>
  <r>
    <s v="CUST0008"/>
    <s v="Male"/>
    <s v="Unknown"/>
    <s v="Monitor"/>
    <x v="0"/>
    <n v="18"/>
    <n v="300"/>
    <n v="2"/>
    <n v="600"/>
    <n v="8.33"/>
    <d v="2023-01-10T00:00:00"/>
    <s v="In Transit"/>
    <n v="600"/>
    <n v="2023"/>
    <x v="3"/>
    <n v="3"/>
    <n v="3"/>
    <n v="2"/>
  </r>
  <r>
    <s v="CUST0010"/>
    <s v="Female"/>
    <s v="West"/>
    <s v="Laptop"/>
    <x v="0"/>
    <n v="49"/>
    <n v="1500"/>
    <n v="3"/>
    <n v="4500"/>
    <n v="6.86"/>
    <d v="2023-12-27T00:00:00"/>
    <s v="In Transit"/>
    <n v="4500"/>
    <n v="2023"/>
    <x v="0"/>
    <n v="53"/>
    <n v="3"/>
    <n v="3"/>
  </r>
  <r>
    <s v="CUST0107"/>
    <s v="Male"/>
    <s v="South"/>
    <s v="Keyboard"/>
    <x v="1"/>
    <n v="49"/>
    <n v="50"/>
    <n v="5"/>
    <n v="250"/>
    <n v="9.8699999999999992"/>
    <d v="2023-11-03T00:00:00"/>
    <s v="Returned"/>
    <n v="250"/>
    <n v="2023"/>
    <x v="10"/>
    <n v="45"/>
    <n v="3"/>
    <n v="5"/>
  </r>
  <r>
    <s v="CUST0271"/>
    <s v="Male"/>
    <s v="West"/>
    <s v="Smartwatch"/>
    <x v="2"/>
    <n v="49"/>
    <n v="200"/>
    <n v="2"/>
    <n v="400"/>
    <n v="8.0500000000000007"/>
    <d v="2023-04-10T00:00:00"/>
    <s v="In Transit"/>
    <n v="400"/>
    <n v="2023"/>
    <x v="1"/>
    <n v="16"/>
    <n v="3"/>
    <n v="2"/>
  </r>
  <r>
    <s v="CUST0149"/>
    <s v="Male"/>
    <s v="North"/>
    <s v="Smartwatch"/>
    <x v="2"/>
    <n v="40"/>
    <n v="200"/>
    <n v="4"/>
    <n v="800"/>
    <n v="11.68"/>
    <d v="2023-12-27T00:00:00"/>
    <s v="Delivered"/>
    <n v="800"/>
    <n v="2023"/>
    <x v="0"/>
    <n v="53"/>
    <n v="3"/>
    <n v="4"/>
  </r>
  <r>
    <s v="CUST0173"/>
    <s v="Male"/>
    <s v="South"/>
    <s v="Laptop"/>
    <x v="0"/>
    <n v="65"/>
    <n v="1500"/>
    <n v="3"/>
    <n v="4500"/>
    <n v="13.18"/>
    <d v="2023-12-22T00:00:00"/>
    <s v="In Transit"/>
    <n v="4500"/>
    <n v="2023"/>
    <x v="0"/>
    <n v="52"/>
    <n v="3"/>
    <n v="3"/>
  </r>
  <r>
    <s v="CUST0042"/>
    <s v="Female"/>
    <s v="East"/>
    <s v="Smartphone"/>
    <x v="0"/>
    <n v="57"/>
    <n v="800"/>
    <n v="2"/>
    <n v="1600"/>
    <n v="9.01"/>
    <d v="2023-11-08T00:00:00"/>
    <s v="In Transit"/>
    <n v="1600"/>
    <n v="2023"/>
    <x v="10"/>
    <n v="46"/>
    <n v="3"/>
    <n v="2"/>
  </r>
  <r>
    <s v="CUST0106"/>
    <s v="Female"/>
    <s v="South"/>
    <s v="Headphones"/>
    <x v="1"/>
    <n v="50"/>
    <n v="100"/>
    <n v="3"/>
    <n v="300"/>
    <n v="17.63"/>
    <d v="2023-12-07T00:00:00"/>
    <s v="Delivered"/>
    <n v="300"/>
    <n v="2023"/>
    <x v="0"/>
    <n v="50"/>
    <n v="3"/>
    <n v="3"/>
  </r>
  <r>
    <s v="CUST0235"/>
    <s v="Male"/>
    <s v="West"/>
    <s v="Monitor"/>
    <x v="0"/>
    <n v="19"/>
    <n v="300"/>
    <n v="1"/>
    <n v="300"/>
    <n v="7.48"/>
    <d v="2023-03-06T00:00:00"/>
    <s v="In Transit"/>
    <n v="300"/>
    <n v="2023"/>
    <x v="11"/>
    <n v="11"/>
    <n v="3"/>
    <n v="1"/>
  </r>
  <r>
    <s v="CUST0220"/>
    <s v="Male"/>
    <s v="South"/>
    <s v="Mouse"/>
    <x v="1"/>
    <n v="49"/>
    <n v="30"/>
    <n v="1"/>
    <n v="30"/>
    <n v="6.7"/>
    <d v="2023-05-07T00:00:00"/>
    <s v="In Transit"/>
    <n v="30"/>
    <n v="2023"/>
    <x v="9"/>
    <n v="19"/>
    <n v="3"/>
    <n v="1"/>
  </r>
  <r>
    <s v="CUST0264"/>
    <s v="Female"/>
    <s v="South"/>
    <s v="Mouse"/>
    <x v="1"/>
    <n v="49"/>
    <n v="30"/>
    <n v="5"/>
    <n v="150"/>
    <n v="14.88"/>
    <d v="2023-12-07T00:00:00"/>
    <s v="Delivered"/>
    <n v="150"/>
    <n v="2023"/>
    <x v="0"/>
    <n v="50"/>
    <n v="3"/>
    <n v="5"/>
  </r>
  <r>
    <s v="CUST0020"/>
    <s v="Female"/>
    <s v="South"/>
    <s v="Smartphone"/>
    <x v="0"/>
    <n v="55"/>
    <n v="800"/>
    <n v="4"/>
    <n v="3200"/>
    <n v="8.31"/>
    <d v="2023-09-13T00:00:00"/>
    <s v="Returned"/>
    <n v="3200"/>
    <n v="2023"/>
    <x v="7"/>
    <n v="38"/>
    <n v="3"/>
    <n v="4"/>
  </r>
  <r>
    <s v="CUST0139"/>
    <s v="Female"/>
    <s v="Unknown"/>
    <s v="Smartphone"/>
    <x v="0"/>
    <n v="57"/>
    <n v="800"/>
    <n v="3"/>
    <n v="2400"/>
    <n v="19.61"/>
    <d v="2023-12-31T00:00:00"/>
    <s v="Returned"/>
    <n v="2400"/>
    <n v="2023"/>
    <x v="0"/>
    <n v="53"/>
    <n v="3"/>
    <n v="3"/>
  </r>
  <r>
    <s v="CUST0022"/>
    <s v="Female"/>
    <s v="South"/>
    <s v="Keyboard"/>
    <x v="1"/>
    <n v="33"/>
    <n v="50"/>
    <n v="2"/>
    <n v="100"/>
    <n v="16.28"/>
    <d v="2023-04-20T00:00:00"/>
    <s v="Returned"/>
    <n v="100"/>
    <n v="2023"/>
    <x v="1"/>
    <n v="17"/>
    <n v="3"/>
    <n v="2"/>
  </r>
  <r>
    <s v="CUST0101"/>
    <s v="Female"/>
    <s v="North"/>
    <s v="Monitor"/>
    <x v="0"/>
    <n v="53"/>
    <n v="300"/>
    <n v="4"/>
    <n v="1200"/>
    <n v="10.58"/>
    <d v="2023-03-31T00:00:00"/>
    <s v="Unknown"/>
    <n v="1200"/>
    <n v="2023"/>
    <x v="11"/>
    <n v="14"/>
    <n v="3"/>
    <n v="4"/>
  </r>
  <r>
    <s v="CUST0271"/>
    <s v="Male"/>
    <s v="East"/>
    <s v="Monitor"/>
    <x v="0"/>
    <n v="46"/>
    <n v="300"/>
    <n v="4"/>
    <n v="1200"/>
    <n v="19.38"/>
    <d v="2023-11-20T00:00:00"/>
    <s v="In Transit"/>
    <n v="1200"/>
    <n v="2023"/>
    <x v="10"/>
    <n v="48"/>
    <n v="3"/>
    <n v="4"/>
  </r>
  <r>
    <s v="CUST0197"/>
    <s v="Female"/>
    <s v="West"/>
    <s v="Mouse"/>
    <x v="1"/>
    <n v="54"/>
    <n v="30"/>
    <n v="3"/>
    <n v="90"/>
    <n v="14.77"/>
    <d v="2023-12-09T00:00:00"/>
    <s v="In Transit"/>
    <n v="90"/>
    <n v="2023"/>
    <x v="0"/>
    <n v="50"/>
    <n v="3"/>
    <n v="3"/>
  </r>
  <r>
    <s v="CUST0135"/>
    <s v="Male"/>
    <s v="West"/>
    <s v="Smartwatch"/>
    <x v="2"/>
    <n v="41"/>
    <n v="200"/>
    <n v="1"/>
    <n v="200"/>
    <n v="13.72"/>
    <d v="2023-06-06T00:00:00"/>
    <s v="In Transit"/>
    <n v="200"/>
    <n v="2023"/>
    <x v="5"/>
    <n v="24"/>
    <n v="3"/>
    <n v="1"/>
  </r>
  <r>
    <s v="CUST0174"/>
    <s v="Male"/>
    <s v="West"/>
    <s v="Mouse"/>
    <x v="1"/>
    <n v="68"/>
    <n v="30"/>
    <n v="5"/>
    <n v="150"/>
    <n v="16.66"/>
    <d v="2023-12-12T00:00:00"/>
    <s v="In Transit"/>
    <n v="150"/>
    <n v="2023"/>
    <x v="0"/>
    <n v="51"/>
    <n v="3"/>
    <n v="5"/>
  </r>
  <r>
    <s v="CUST0139"/>
    <s v="Male"/>
    <s v="West"/>
    <s v="Laptop"/>
    <x v="0"/>
    <n v="57"/>
    <n v="1500"/>
    <n v="5"/>
    <n v="7500"/>
    <n v="8.19"/>
    <d v="2023-07-30T00:00:00"/>
    <s v="In Transit"/>
    <n v="7500"/>
    <n v="2023"/>
    <x v="8"/>
    <n v="31"/>
    <n v="3"/>
    <n v="5"/>
  </r>
  <r>
    <s v="CUST0058"/>
    <s v="Male"/>
    <s v="West"/>
    <s v="Headphones"/>
    <x v="1"/>
    <n v="42"/>
    <n v="100"/>
    <n v="5"/>
    <n v="500"/>
    <n v="5.43"/>
    <d v="2023-10-24T00:00:00"/>
    <s v="Delivered"/>
    <n v="500"/>
    <n v="2023"/>
    <x v="4"/>
    <n v="44"/>
    <n v="3"/>
    <n v="5"/>
  </r>
  <r>
    <s v="CUST0152"/>
    <s v="Male"/>
    <s v="East"/>
    <s v="Smartwatch"/>
    <x v="2"/>
    <n v="69"/>
    <n v="200"/>
    <n v="5"/>
    <n v="1000"/>
    <n v="7.71"/>
    <d v="2023-10-25T00:00:00"/>
    <s v="In Transit"/>
    <n v="1000"/>
    <n v="2023"/>
    <x v="4"/>
    <n v="44"/>
    <n v="3"/>
    <n v="5"/>
  </r>
  <r>
    <s v="CUST0231"/>
    <s v="Male"/>
    <s v="South"/>
    <s v="Keyboard"/>
    <x v="1"/>
    <n v="49"/>
    <n v="50"/>
    <n v="2"/>
    <n v="100"/>
    <n v="13.53"/>
    <d v="2023-07-13T00:00:00"/>
    <s v="In Transit"/>
    <n v="100"/>
    <n v="2023"/>
    <x v="8"/>
    <n v="29"/>
    <n v="3"/>
    <n v="2"/>
  </r>
  <r>
    <s v="CUST0288"/>
    <s v="Male"/>
    <s v="North"/>
    <s v="Keyboard"/>
    <x v="1"/>
    <n v="49"/>
    <n v="50"/>
    <n v="3"/>
    <n v="150"/>
    <n v="6.88"/>
    <d v="2023-05-28T00:00:00"/>
    <s v="Returned"/>
    <n v="150"/>
    <n v="2023"/>
    <x v="9"/>
    <n v="22"/>
    <n v="3"/>
    <n v="3"/>
  </r>
  <r>
    <s v="CUST0296"/>
    <s v="Male"/>
    <s v="South"/>
    <s v="Monitor"/>
    <x v="0"/>
    <n v="50"/>
    <n v="300"/>
    <n v="5"/>
    <n v="1500"/>
    <n v="8.08"/>
    <d v="2024-01-03T00:00:00"/>
    <s v="Returned"/>
    <n v="1500"/>
    <n v="2024"/>
    <x v="12"/>
    <n v="1"/>
    <n v="3"/>
    <n v="5"/>
  </r>
  <r>
    <s v="CUST0155"/>
    <s v="Female"/>
    <s v="East"/>
    <s v="Monitor"/>
    <x v="0"/>
    <n v="41"/>
    <n v="300"/>
    <n v="1"/>
    <n v="300"/>
    <n v="16.71"/>
    <d v="2023-10-11T00:00:00"/>
    <s v="Delivered"/>
    <n v="300"/>
    <n v="2023"/>
    <x v="4"/>
    <n v="42"/>
    <n v="3"/>
    <n v="1"/>
  </r>
  <r>
    <s v="CUST0128"/>
    <s v="Female"/>
    <s v="South"/>
    <s v="Monitor"/>
    <x v="0"/>
    <n v="49"/>
    <n v="300"/>
    <n v="3"/>
    <n v="900"/>
    <n v="14.38"/>
    <d v="2023-02-28T00:00:00"/>
    <s v="Returned"/>
    <n v="900"/>
    <n v="2023"/>
    <x v="6"/>
    <n v="10"/>
    <n v="3"/>
    <n v="3"/>
  </r>
  <r>
    <s v="CUST0178"/>
    <s v="Male"/>
    <s v="North"/>
    <s v="Smartwatch"/>
    <x v="2"/>
    <n v="44"/>
    <n v="200"/>
    <n v="3"/>
    <n v="600"/>
    <n v="11.82"/>
    <d v="2023-04-18T00:00:00"/>
    <s v="Delivered"/>
    <n v="600"/>
    <n v="2023"/>
    <x v="1"/>
    <n v="17"/>
    <n v="3"/>
    <n v="3"/>
  </r>
  <r>
    <s v="CUST0298"/>
    <s v="Male"/>
    <s v="South"/>
    <s v="Smartphone"/>
    <x v="0"/>
    <n v="58"/>
    <n v="800"/>
    <n v="2"/>
    <n v="1600"/>
    <n v="12.94"/>
    <d v="2023-11-11T00:00:00"/>
    <s v="Returned"/>
    <n v="1600"/>
    <n v="2023"/>
    <x v="10"/>
    <n v="46"/>
    <n v="3"/>
    <n v="2"/>
  </r>
  <r>
    <s v="CUST0064"/>
    <s v="Male"/>
    <s v="West"/>
    <s v="Laptop"/>
    <x v="0"/>
    <n v="61"/>
    <n v="3109.5606124866499"/>
    <n v="1"/>
    <n v="1500"/>
    <n v="18.37"/>
    <d v="2023-09-01T00:00:00"/>
    <s v="In Transit"/>
    <n v="3109.5606124866499"/>
    <n v="2023"/>
    <x v="7"/>
    <n v="36"/>
    <n v="3"/>
    <n v="1"/>
  </r>
  <r>
    <s v="CUST0091"/>
    <s v="Female"/>
    <s v="West"/>
    <s v="Mouse"/>
    <x v="1"/>
    <n v="30"/>
    <n v="30"/>
    <n v="3"/>
    <n v="90"/>
    <n v="11.78"/>
    <d v="2023-08-14T00:00:00"/>
    <s v="Returned"/>
    <n v="90"/>
    <n v="2023"/>
    <x v="2"/>
    <n v="34"/>
    <n v="3"/>
    <n v="3"/>
  </r>
  <r>
    <s v="CUST0113"/>
    <s v="Female"/>
    <s v="East"/>
    <s v="Laptop"/>
    <x v="0"/>
    <n v="38"/>
    <n v="1500"/>
    <n v="3"/>
    <n v="4500"/>
    <n v="7.52"/>
    <d v="2023-02-03T00:00:00"/>
    <s v="Delivered"/>
    <n v="4500"/>
    <n v="2023"/>
    <x v="6"/>
    <n v="6"/>
    <n v="3"/>
    <n v="3"/>
  </r>
  <r>
    <s v="CUST0087"/>
    <s v="Female"/>
    <s v="Unknown"/>
    <s v="Mouse"/>
    <x v="1"/>
    <n v="49"/>
    <n v="30"/>
    <n v="2"/>
    <n v="60"/>
    <n v="17.46"/>
    <d v="2023-02-05T00:00:00"/>
    <s v="Delivered"/>
    <n v="60"/>
    <n v="2023"/>
    <x v="6"/>
    <n v="6"/>
    <n v="3"/>
    <n v="2"/>
  </r>
  <r>
    <s v="CUST0087"/>
    <s v="Male"/>
    <s v="South"/>
    <s v="Monitor"/>
    <x v="0"/>
    <n v="49"/>
    <n v="300"/>
    <n v="3"/>
    <n v="900"/>
    <n v="17.940000000000001"/>
    <d v="2023-01-20T00:00:00"/>
    <s v="Unknown"/>
    <n v="900"/>
    <n v="2023"/>
    <x v="3"/>
    <n v="4"/>
    <n v="3"/>
    <n v="3"/>
  </r>
  <r>
    <s v="CUST0255"/>
    <s v="Male"/>
    <s v="West"/>
    <s v="Smartphone"/>
    <x v="0"/>
    <n v="49"/>
    <n v="800"/>
    <n v="3"/>
    <n v="2400"/>
    <n v="10.5"/>
    <d v="2023-02-18T00:00:00"/>
    <s v="Delivered"/>
    <n v="2400"/>
    <n v="2023"/>
    <x v="6"/>
    <n v="8"/>
    <n v="3"/>
    <n v="3"/>
  </r>
  <r>
    <s v="CUST0044"/>
    <s v="Female"/>
    <s v="South"/>
    <s v="Monitor"/>
    <x v="0"/>
    <n v="30"/>
    <n v="300"/>
    <n v="1"/>
    <n v="300"/>
    <n v="14.91"/>
    <d v="2023-07-29T00:00:00"/>
    <s v="In Transit"/>
    <n v="300"/>
    <n v="2023"/>
    <x v="8"/>
    <n v="31"/>
    <n v="3"/>
    <n v="1"/>
  </r>
  <r>
    <s v="CUST0133"/>
    <s v="Female"/>
    <s v="East"/>
    <s v="Laptop"/>
    <x v="0"/>
    <n v="47"/>
    <n v="1500"/>
    <n v="3"/>
    <n v="4500"/>
    <n v="15.5"/>
    <d v="2023-07-25T00:00:00"/>
    <s v="Delivered"/>
    <n v="4500"/>
    <n v="2023"/>
    <x v="8"/>
    <n v="31"/>
    <n v="3"/>
    <n v="3"/>
  </r>
  <r>
    <s v="CUST0122"/>
    <s v="Male"/>
    <s v="East"/>
    <s v="Monitor"/>
    <x v="0"/>
    <n v="68"/>
    <n v="300"/>
    <n v="3"/>
    <n v="900"/>
    <n v="16.440000000000001"/>
    <d v="2023-12-16T00:00:00"/>
    <s v="Delivered"/>
    <n v="900"/>
    <n v="2023"/>
    <x v="0"/>
    <n v="51"/>
    <n v="3"/>
    <n v="3"/>
  </r>
  <r>
    <s v="CUST0220"/>
    <s v="Male"/>
    <s v="West"/>
    <s v="Laptop"/>
    <x v="0"/>
    <n v="67"/>
    <n v="1500"/>
    <n v="2"/>
    <n v="3000"/>
    <n v="13.04"/>
    <d v="2023-03-30T00:00:00"/>
    <s v="Returned"/>
    <n v="3000"/>
    <n v="2023"/>
    <x v="11"/>
    <n v="14"/>
    <n v="3"/>
    <n v="2"/>
  </r>
  <r>
    <s v="CUST0182"/>
    <s v="Male"/>
    <s v="East"/>
    <s v="Headphones"/>
    <x v="1"/>
    <n v="19"/>
    <n v="100"/>
    <n v="2"/>
    <n v="200"/>
    <n v="14.11"/>
    <d v="2023-01-22T00:00:00"/>
    <s v="Returned"/>
    <n v="200"/>
    <n v="2023"/>
    <x v="3"/>
    <n v="4"/>
    <n v="3"/>
    <n v="2"/>
  </r>
  <r>
    <s v="CUST0081"/>
    <s v="Male"/>
    <s v="North"/>
    <s v="Monitor"/>
    <x v="0"/>
    <n v="38"/>
    <n v="300"/>
    <n v="2"/>
    <n v="600"/>
    <n v="5.79"/>
    <d v="2023-01-19T00:00:00"/>
    <s v="Returned"/>
    <n v="600"/>
    <n v="2023"/>
    <x v="3"/>
    <n v="4"/>
    <n v="3"/>
    <n v="2"/>
  </r>
  <r>
    <s v="CUST0224"/>
    <s v="Male"/>
    <s v="South"/>
    <s v="Smartwatch"/>
    <x v="2"/>
    <n v="57"/>
    <n v="200"/>
    <n v="4"/>
    <n v="800"/>
    <n v="13.93"/>
    <d v="2023-12-13T00:00:00"/>
    <s v="Delivered"/>
    <n v="800"/>
    <n v="2023"/>
    <x v="0"/>
    <n v="51"/>
    <n v="3"/>
    <n v="4"/>
  </r>
  <r>
    <s v="CUST0070"/>
    <s v="Male"/>
    <s v="South"/>
    <s v="Smartphone"/>
    <x v="0"/>
    <n v="23"/>
    <n v="800"/>
    <n v="1"/>
    <n v="800"/>
    <n v="6.7"/>
    <d v="2023-07-06T00:00:00"/>
    <s v="Unknown"/>
    <n v="800"/>
    <n v="2023"/>
    <x v="8"/>
    <n v="28"/>
    <n v="3"/>
    <n v="1"/>
  </r>
  <r>
    <s v="CUST0263"/>
    <s v="Female"/>
    <s v="West"/>
    <s v="Monitor"/>
    <x v="0"/>
    <n v="40"/>
    <n v="300"/>
    <n v="1"/>
    <n v="300"/>
    <n v="11.65"/>
    <d v="2023-07-22T00:00:00"/>
    <s v="Delivered"/>
    <n v="300"/>
    <n v="2023"/>
    <x v="8"/>
    <n v="30"/>
    <n v="3"/>
    <n v="1"/>
  </r>
  <r>
    <s v="CUST0052"/>
    <s v="Female"/>
    <s v="North"/>
    <s v="Keyboard"/>
    <x v="1"/>
    <n v="66"/>
    <n v="50"/>
    <n v="4"/>
    <n v="200"/>
    <n v="14.49"/>
    <d v="2023-06-06T00:00:00"/>
    <s v="Delivered"/>
    <n v="200"/>
    <n v="2023"/>
    <x v="5"/>
    <n v="24"/>
    <n v="3"/>
    <n v="4"/>
  </r>
  <r>
    <s v="CUST0253"/>
    <s v="Male"/>
    <s v="North"/>
    <s v="Monitor"/>
    <x v="0"/>
    <n v="51"/>
    <n v="300"/>
    <n v="5"/>
    <n v="1500"/>
    <n v="14.23"/>
    <d v="2023-08-03T00:00:00"/>
    <s v="In Transit"/>
    <n v="1500"/>
    <n v="2023"/>
    <x v="2"/>
    <n v="32"/>
    <n v="3"/>
    <n v="5"/>
  </r>
  <r>
    <s v="CUST0095"/>
    <s v="Male"/>
    <s v="North"/>
    <s v="Monitor"/>
    <x v="0"/>
    <n v="60"/>
    <n v="300"/>
    <n v="2"/>
    <n v="600"/>
    <n v="15.88"/>
    <d v="2023-01-12T00:00:00"/>
    <s v="In Transit"/>
    <n v="600"/>
    <n v="2023"/>
    <x v="3"/>
    <n v="3"/>
    <n v="3"/>
    <n v="2"/>
  </r>
  <r>
    <s v="CUST0031"/>
    <s v="Male"/>
    <s v="East"/>
    <s v="Keyboard"/>
    <x v="1"/>
    <n v="67"/>
    <n v="50"/>
    <n v="1"/>
    <n v="50"/>
    <n v="19.41"/>
    <d v="2023-07-29T00:00:00"/>
    <s v="In Transit"/>
    <n v="50"/>
    <n v="2023"/>
    <x v="8"/>
    <n v="31"/>
    <n v="3"/>
    <n v="1"/>
  </r>
  <r>
    <s v="CUST0128"/>
    <s v="Male"/>
    <s v="Unknown"/>
    <s v="Smartphone"/>
    <x v="0"/>
    <n v="52"/>
    <n v="800"/>
    <n v="4"/>
    <n v="3200"/>
    <n v="15.79"/>
    <d v="2023-08-20T00:00:00"/>
    <s v="In Transit"/>
    <n v="3200"/>
    <n v="2023"/>
    <x v="2"/>
    <n v="34"/>
    <n v="3"/>
    <n v="4"/>
  </r>
  <r>
    <s v="CUST0077"/>
    <s v="Male"/>
    <s v="West"/>
    <s v="Mouse"/>
    <x v="1"/>
    <n v="50"/>
    <n v="30"/>
    <n v="4"/>
    <n v="120"/>
    <n v="17.84"/>
    <d v="2023-03-09T00:00:00"/>
    <s v="Returned"/>
    <n v="120"/>
    <n v="2023"/>
    <x v="11"/>
    <n v="11"/>
    <n v="3"/>
    <n v="4"/>
  </r>
  <r>
    <s v="CUST0073"/>
    <s v="Male"/>
    <s v="South"/>
    <s v="Smartwatch"/>
    <x v="2"/>
    <n v="19"/>
    <n v="200"/>
    <n v="3"/>
    <n v="600"/>
    <n v="10.07"/>
    <d v="2023-11-18T00:00:00"/>
    <s v="In Transit"/>
    <n v="600"/>
    <n v="2023"/>
    <x v="10"/>
    <n v="47"/>
    <n v="3"/>
    <n v="3"/>
  </r>
  <r>
    <s v="CUST0173"/>
    <s v="Male"/>
    <s v="West"/>
    <s v="Mouse"/>
    <x v="1"/>
    <n v="65"/>
    <n v="30"/>
    <n v="5"/>
    <n v="150"/>
    <n v="15.11"/>
    <d v="2023-08-31T00:00:00"/>
    <s v="Delivered"/>
    <n v="150"/>
    <n v="2023"/>
    <x v="2"/>
    <n v="36"/>
    <n v="3"/>
    <n v="5"/>
  </r>
  <r>
    <s v="CUST0218"/>
    <s v="Female"/>
    <s v="East"/>
    <s v="Monitor"/>
    <x v="0"/>
    <n v="36"/>
    <n v="300"/>
    <n v="4"/>
    <n v="1200"/>
    <n v="11.23"/>
    <d v="2023-08-17T00:00:00"/>
    <s v="In Transit"/>
    <n v="1200"/>
    <n v="2023"/>
    <x v="2"/>
    <n v="34"/>
    <n v="3"/>
    <n v="4"/>
  </r>
  <r>
    <s v="CUST0274"/>
    <s v="Male"/>
    <s v="South"/>
    <s v="Keyboard"/>
    <x v="1"/>
    <n v="51"/>
    <n v="50"/>
    <n v="5"/>
    <n v="250"/>
    <n v="15.38"/>
    <d v="2023-08-07T00:00:00"/>
    <s v="Returned"/>
    <n v="250"/>
    <n v="2023"/>
    <x v="2"/>
    <n v="33"/>
    <n v="3"/>
    <n v="5"/>
  </r>
  <r>
    <s v="CUST0034"/>
    <s v="Female"/>
    <s v="East"/>
    <s v="Keyboard"/>
    <x v="1"/>
    <n v="65"/>
    <n v="50"/>
    <n v="3"/>
    <n v="150"/>
    <n v="10.84"/>
    <d v="2023-11-17T00:00:00"/>
    <s v="Unknown"/>
    <n v="150"/>
    <n v="2023"/>
    <x v="10"/>
    <n v="47"/>
    <n v="3"/>
    <n v="3"/>
  </r>
  <r>
    <s v="CUST0285"/>
    <s v="Female"/>
    <s v="South"/>
    <s v="Monitor"/>
    <x v="0"/>
    <n v="58"/>
    <n v="300"/>
    <n v="4"/>
    <n v="1200"/>
    <n v="13.4"/>
    <d v="2023-03-31T00:00:00"/>
    <s v="Delivered"/>
    <n v="1200"/>
    <n v="2023"/>
    <x v="11"/>
    <n v="14"/>
    <n v="3"/>
    <n v="4"/>
  </r>
  <r>
    <s v="CUST0117"/>
    <s v="Female"/>
    <s v="South"/>
    <s v="Headphones"/>
    <x v="1"/>
    <n v="22"/>
    <n v="100"/>
    <n v="3"/>
    <n v="300"/>
    <n v="7.7"/>
    <d v="2023-07-20T00:00:00"/>
    <s v="Delivered"/>
    <n v="300"/>
    <n v="2023"/>
    <x v="8"/>
    <n v="30"/>
    <n v="3"/>
    <n v="3"/>
  </r>
  <r>
    <s v="CUST0208"/>
    <s v="Male"/>
    <s v="North"/>
    <s v="Mouse"/>
    <x v="1"/>
    <n v="57"/>
    <n v="30"/>
    <n v="4"/>
    <n v="120"/>
    <n v="15.44"/>
    <d v="2023-06-12T00:00:00"/>
    <s v="Delivered"/>
    <n v="120"/>
    <n v="2023"/>
    <x v="5"/>
    <n v="25"/>
    <n v="3"/>
    <n v="4"/>
  </r>
  <r>
    <s v="CUST0107"/>
    <s v="Female"/>
    <s v="South"/>
    <s v="Headphones"/>
    <x v="1"/>
    <n v="67"/>
    <n v="100"/>
    <n v="5"/>
    <n v="500"/>
    <n v="8.74"/>
    <d v="2023-06-08T00:00:00"/>
    <s v="Returned"/>
    <n v="500"/>
    <n v="2023"/>
    <x v="5"/>
    <n v="24"/>
    <n v="3"/>
    <n v="5"/>
  </r>
  <r>
    <s v="CUST0145"/>
    <s v="Male"/>
    <s v="North"/>
    <s v="Headphones"/>
    <x v="1"/>
    <n v="49"/>
    <n v="100"/>
    <n v="4"/>
    <n v="400"/>
    <n v="14.68"/>
    <d v="2023-12-08T00:00:00"/>
    <s v="In Transit"/>
    <n v="400"/>
    <n v="2023"/>
    <x v="0"/>
    <n v="50"/>
    <n v="3"/>
    <n v="4"/>
  </r>
  <r>
    <s v="CUST0232"/>
    <s v="Female"/>
    <s v="Unknown"/>
    <s v="Laptop"/>
    <x v="0"/>
    <n v="44"/>
    <n v="1500"/>
    <n v="5"/>
    <n v="7500"/>
    <n v="18.3"/>
    <d v="2023-11-07T00:00:00"/>
    <s v="Returned"/>
    <n v="7500"/>
    <n v="2023"/>
    <x v="10"/>
    <n v="46"/>
    <n v="3"/>
    <n v="5"/>
  </r>
  <r>
    <s v="CUST0039"/>
    <s v="Male"/>
    <s v="East"/>
    <s v="Smartwatch"/>
    <x v="2"/>
    <n v="60"/>
    <n v="200"/>
    <n v="1"/>
    <n v="200"/>
    <n v="10.14"/>
    <d v="2023-12-02T00:00:00"/>
    <s v="Unknown"/>
    <n v="200"/>
    <n v="2023"/>
    <x v="0"/>
    <n v="49"/>
    <n v="3"/>
    <n v="1"/>
  </r>
  <r>
    <s v="CUST0195"/>
    <s v="Female"/>
    <s v="West"/>
    <s v="Keyboard"/>
    <x v="1"/>
    <n v="48"/>
    <n v="50"/>
    <n v="3"/>
    <n v="150"/>
    <n v="6.42"/>
    <d v="2023-10-31T00:00:00"/>
    <s v="In Transit"/>
    <n v="150"/>
    <n v="2023"/>
    <x v="4"/>
    <n v="45"/>
    <n v="3"/>
    <n v="3"/>
  </r>
  <r>
    <s v="CUST0185"/>
    <s v="Female"/>
    <s v="South"/>
    <s v="Monitor"/>
    <x v="0"/>
    <n v="29"/>
    <n v="300"/>
    <n v="5"/>
    <n v="1500"/>
    <n v="18.18"/>
    <d v="2023-09-06T00:00:00"/>
    <s v="In Transit"/>
    <n v="1500"/>
    <n v="2023"/>
    <x v="7"/>
    <n v="37"/>
    <n v="3"/>
    <n v="5"/>
  </r>
  <r>
    <s v="CUST0281"/>
    <s v="Female"/>
    <s v="South"/>
    <s v="Keyboard"/>
    <x v="1"/>
    <n v="49"/>
    <n v="50"/>
    <n v="3"/>
    <n v="150"/>
    <n v="5.62"/>
    <d v="2023-03-05T00:00:00"/>
    <s v="In Transit"/>
    <n v="150"/>
    <n v="2023"/>
    <x v="11"/>
    <n v="10"/>
    <n v="3"/>
    <n v="3"/>
  </r>
  <r>
    <s v="CUST0061"/>
    <s v="Female"/>
    <s v="South"/>
    <s v="Smartphone"/>
    <x v="0"/>
    <n v="35"/>
    <n v="800"/>
    <n v="1"/>
    <n v="800"/>
    <n v="17.3"/>
    <d v="2023-05-07T00:00:00"/>
    <s v="In Transit"/>
    <n v="800"/>
    <n v="2023"/>
    <x v="9"/>
    <n v="19"/>
    <n v="3"/>
    <n v="1"/>
  </r>
  <r>
    <s v="CUST0232"/>
    <s v="Male"/>
    <s v="East"/>
    <s v="Mouse"/>
    <x v="1"/>
    <n v="44"/>
    <n v="30"/>
    <n v="3"/>
    <n v="90"/>
    <n v="14.91"/>
    <d v="2023-10-20T00:00:00"/>
    <s v="In Transit"/>
    <n v="90"/>
    <n v="2023"/>
    <x v="4"/>
    <n v="43"/>
    <n v="3"/>
    <n v="3"/>
  </r>
  <r>
    <s v="CUST0013"/>
    <s v="Female"/>
    <s v="South"/>
    <s v="Smartwatch"/>
    <x v="2"/>
    <n v="55"/>
    <n v="200"/>
    <n v="4"/>
    <n v="800"/>
    <n v="7.31"/>
    <d v="2023-03-16T00:00:00"/>
    <s v="Returned"/>
    <n v="800"/>
    <n v="2023"/>
    <x v="11"/>
    <n v="12"/>
    <n v="3"/>
    <n v="4"/>
  </r>
  <r>
    <s v="CUST0058"/>
    <s v="Female"/>
    <s v="West"/>
    <s v="Keyboard"/>
    <x v="1"/>
    <n v="42"/>
    <n v="50"/>
    <n v="1"/>
    <n v="50"/>
    <n v="8.0500000000000007"/>
    <d v="2023-07-13T00:00:00"/>
    <s v="Delivered"/>
    <n v="50"/>
    <n v="2023"/>
    <x v="8"/>
    <n v="29"/>
    <n v="3"/>
    <n v="1"/>
  </r>
  <r>
    <s v="CUST0159"/>
    <s v="Female"/>
    <s v="North"/>
    <s v="Laptop"/>
    <x v="0"/>
    <n v="18"/>
    <n v="1500"/>
    <n v="1"/>
    <n v="1500"/>
    <n v="5.29"/>
    <d v="2023-01-21T00:00:00"/>
    <s v="Returned"/>
    <n v="1500"/>
    <n v="2023"/>
    <x v="3"/>
    <n v="4"/>
    <n v="3"/>
    <n v="1"/>
  </r>
  <r>
    <s v="CUST0236"/>
    <s v="Male"/>
    <s v="West"/>
    <s v="Laptop"/>
    <x v="0"/>
    <n v="18"/>
    <n v="1500"/>
    <n v="3"/>
    <n v="4500"/>
    <n v="19.41"/>
    <d v="2023-08-19T00:00:00"/>
    <s v="Delivered"/>
    <n v="4500"/>
    <n v="2023"/>
    <x v="2"/>
    <n v="34"/>
    <n v="3"/>
    <n v="3"/>
  </r>
  <r>
    <s v="CUST0281"/>
    <s v="Female"/>
    <s v="North"/>
    <s v="Monitor"/>
    <x v="0"/>
    <n v="44"/>
    <n v="300"/>
    <n v="2"/>
    <n v="600"/>
    <n v="19.97"/>
    <d v="2023-09-30T00:00:00"/>
    <s v="In Transit"/>
    <n v="600"/>
    <n v="2023"/>
    <x v="7"/>
    <n v="40"/>
    <n v="3"/>
    <n v="2"/>
  </r>
  <r>
    <s v="CUST0213"/>
    <s v="Female"/>
    <s v="South"/>
    <s v="Smartwatch"/>
    <x v="2"/>
    <n v="49"/>
    <n v="200"/>
    <n v="5"/>
    <n v="1000"/>
    <n v="9.18"/>
    <d v="2023-10-31T00:00:00"/>
    <s v="In Transit"/>
    <n v="1000"/>
    <n v="2023"/>
    <x v="4"/>
    <n v="45"/>
    <n v="3"/>
    <n v="5"/>
  </r>
  <r>
    <s v="CUST0286"/>
    <s v="Male"/>
    <s v="West"/>
    <s v="Keyboard"/>
    <x v="1"/>
    <n v="63"/>
    <n v="50"/>
    <n v="2"/>
    <n v="100"/>
    <n v="6.28"/>
    <d v="2023-03-21T00:00:00"/>
    <s v="Returned"/>
    <n v="100"/>
    <n v="2023"/>
    <x v="11"/>
    <n v="13"/>
    <n v="3"/>
    <n v="2"/>
  </r>
  <r>
    <s v="CUST0136"/>
    <s v="Female"/>
    <s v="East"/>
    <s v="Keyboard"/>
    <x v="1"/>
    <n v="36"/>
    <n v="50"/>
    <n v="4"/>
    <n v="200"/>
    <n v="9.3000000000000007"/>
    <d v="2023-07-09T00:00:00"/>
    <s v="Returned"/>
    <n v="200"/>
    <n v="2023"/>
    <x v="8"/>
    <n v="28"/>
    <n v="3"/>
    <n v="4"/>
  </r>
  <r>
    <s v="CUST0228"/>
    <s v="Male"/>
    <s v="West"/>
    <s v="Keyboard"/>
    <x v="1"/>
    <n v="25"/>
    <n v="50"/>
    <n v="1"/>
    <n v="50"/>
    <n v="18.71"/>
    <d v="2023-12-07T00:00:00"/>
    <s v="In Transit"/>
    <n v="50"/>
    <n v="2023"/>
    <x v="0"/>
    <n v="50"/>
    <n v="3"/>
    <n v="1"/>
  </r>
  <r>
    <s v="CUST0124"/>
    <s v="Female"/>
    <s v="North"/>
    <s v="Headphones"/>
    <x v="1"/>
    <n v="49"/>
    <n v="100"/>
    <n v="5"/>
    <n v="500"/>
    <n v="14.28"/>
    <d v="2023-06-02T00:00:00"/>
    <s v="Returned"/>
    <n v="500"/>
    <n v="2023"/>
    <x v="5"/>
    <n v="23"/>
    <n v="3"/>
    <n v="5"/>
  </r>
  <r>
    <s v="CUST0201"/>
    <s v="Male"/>
    <s v="West"/>
    <s v="Smartphone"/>
    <x v="0"/>
    <n v="49"/>
    <n v="800"/>
    <n v="1"/>
    <n v="800"/>
    <n v="12.3"/>
    <d v="2023-05-30T00:00:00"/>
    <s v="Delivered"/>
    <n v="800"/>
    <n v="2023"/>
    <x v="9"/>
    <n v="23"/>
    <n v="3"/>
    <n v="1"/>
  </r>
  <r>
    <s v="CUST0038"/>
    <s v="Male"/>
    <s v="Unknown"/>
    <s v="Smartphone"/>
    <x v="0"/>
    <n v="57"/>
    <n v="800"/>
    <n v="2"/>
    <n v="1600"/>
    <n v="19.87"/>
    <d v="2023-06-01T00:00:00"/>
    <s v="Returned"/>
    <n v="1600"/>
    <n v="2023"/>
    <x v="5"/>
    <n v="23"/>
    <n v="3"/>
    <n v="2"/>
  </r>
  <r>
    <s v="CUST0276"/>
    <s v="Female"/>
    <s v="South"/>
    <s v="Laptop"/>
    <x v="0"/>
    <n v="66"/>
    <n v="1500"/>
    <n v="3"/>
    <n v="4500"/>
    <n v="14.73"/>
    <d v="2023-12-01T00:00:00"/>
    <s v="Delivered"/>
    <n v="4500"/>
    <n v="2023"/>
    <x v="0"/>
    <n v="49"/>
    <n v="3"/>
    <n v="3"/>
  </r>
  <r>
    <s v="CUST0201"/>
    <s v="Female"/>
    <s v="North"/>
    <s v="Smartwatch"/>
    <x v="2"/>
    <n v="49"/>
    <n v="200"/>
    <n v="3"/>
    <n v="600"/>
    <n v="9.26"/>
    <d v="2023-10-23T00:00:00"/>
    <s v="Delivered"/>
    <n v="600"/>
    <n v="2023"/>
    <x v="4"/>
    <n v="44"/>
    <n v="3"/>
    <n v="3"/>
  </r>
  <r>
    <s v="CUST0104"/>
    <s v="Female"/>
    <s v="East"/>
    <s v="Keyboard"/>
    <x v="1"/>
    <n v="40"/>
    <n v="50"/>
    <n v="4"/>
    <n v="200"/>
    <n v="15.14"/>
    <d v="2023-06-17T00:00:00"/>
    <s v="Delivered"/>
    <n v="200"/>
    <n v="2023"/>
    <x v="5"/>
    <n v="25"/>
    <n v="3"/>
    <n v="4"/>
  </r>
  <r>
    <s v="CUST0101"/>
    <s v="Female"/>
    <s v="East"/>
    <s v="Smartwatch"/>
    <x v="2"/>
    <n v="53"/>
    <n v="200"/>
    <n v="4"/>
    <n v="800"/>
    <n v="14.28"/>
    <d v="2023-11-05T00:00:00"/>
    <s v="Unknown"/>
    <n v="800"/>
    <n v="2023"/>
    <x v="10"/>
    <n v="45"/>
    <n v="3"/>
    <n v="4"/>
  </r>
  <r>
    <s v="CUST0138"/>
    <s v="Female"/>
    <s v="West"/>
    <s v="Laptop"/>
    <x v="0"/>
    <n v="46"/>
    <n v="3109.5606124866499"/>
    <n v="2"/>
    <n v="3000"/>
    <n v="6.44"/>
    <d v="2023-12-08T00:00:00"/>
    <s v="Delivered"/>
    <n v="6219.1212249732998"/>
    <n v="2023"/>
    <x v="0"/>
    <n v="50"/>
    <n v="3"/>
    <n v="2"/>
  </r>
  <r>
    <s v="CUST0035"/>
    <s v="Female"/>
    <s v="South"/>
    <s v="Keyboard"/>
    <x v="1"/>
    <n v="20"/>
    <n v="50"/>
    <n v="3"/>
    <n v="150"/>
    <n v="11.05"/>
    <d v="2023-09-16T00:00:00"/>
    <s v="Returned"/>
    <n v="150"/>
    <n v="2023"/>
    <x v="7"/>
    <n v="38"/>
    <n v="3"/>
    <n v="3"/>
  </r>
  <r>
    <s v="CUST0273"/>
    <s v="Female"/>
    <s v="South"/>
    <s v="Mouse"/>
    <x v="1"/>
    <n v="55"/>
    <n v="30"/>
    <n v="3"/>
    <n v="90"/>
    <n v="11.24"/>
    <d v="2023-09-09T00:00:00"/>
    <s v="Returned"/>
    <n v="90"/>
    <n v="2023"/>
    <x v="7"/>
    <n v="37"/>
    <n v="3"/>
    <n v="3"/>
  </r>
  <r>
    <s v="CUST0228"/>
    <s v="Female"/>
    <s v="West"/>
    <s v="Smartphone"/>
    <x v="0"/>
    <n v="25"/>
    <n v="800"/>
    <n v="1"/>
    <n v="800"/>
    <n v="7.25"/>
    <d v="2023-03-09T00:00:00"/>
    <s v="In Transit"/>
    <n v="800"/>
    <n v="2023"/>
    <x v="11"/>
    <n v="11"/>
    <n v="3"/>
    <n v="1"/>
  </r>
  <r>
    <s v="CUST0191"/>
    <s v="Female"/>
    <s v="Unknown"/>
    <s v="Laptop"/>
    <x v="0"/>
    <n v="41"/>
    <n v="1500"/>
    <n v="4"/>
    <n v="6000"/>
    <n v="6.76"/>
    <d v="2023-08-01T00:00:00"/>
    <s v="Unknown"/>
    <n v="6000"/>
    <n v="2023"/>
    <x v="2"/>
    <n v="32"/>
    <n v="3"/>
    <n v="4"/>
  </r>
  <r>
    <s v="CUST0087"/>
    <s v="Female"/>
    <s v="North"/>
    <s v="Headphones"/>
    <x v="1"/>
    <n v="49"/>
    <n v="100"/>
    <n v="2"/>
    <n v="200"/>
    <n v="19.07"/>
    <d v="2023-05-08T00:00:00"/>
    <s v="Unknown"/>
    <n v="200"/>
    <n v="2023"/>
    <x v="9"/>
    <n v="20"/>
    <n v="3"/>
    <n v="2"/>
  </r>
  <r>
    <s v="CUST0070"/>
    <s v="Female"/>
    <s v="West"/>
    <s v="Laptop"/>
    <x v="0"/>
    <n v="23"/>
    <n v="1500"/>
    <n v="5"/>
    <n v="7500"/>
    <n v="19.41"/>
    <d v="2023-12-21T00:00:00"/>
    <s v="Delivered"/>
    <n v="7500"/>
    <n v="2023"/>
    <x v="0"/>
    <n v="52"/>
    <n v="3"/>
    <n v="5"/>
  </r>
  <r>
    <s v="CUST0088"/>
    <s v="Male"/>
    <s v="West"/>
    <s v="Monitor"/>
    <x v="0"/>
    <n v="66"/>
    <n v="300"/>
    <n v="1"/>
    <n v="300"/>
    <n v="7.84"/>
    <d v="2023-12-08T00:00:00"/>
    <s v="In Transit"/>
    <n v="300"/>
    <n v="2023"/>
    <x v="0"/>
    <n v="50"/>
    <n v="3"/>
    <n v="1"/>
  </r>
  <r>
    <s v="CUST0287"/>
    <s v="Female"/>
    <s v="South"/>
    <s v="Smartphone"/>
    <x v="0"/>
    <n v="60"/>
    <n v="800"/>
    <n v="4"/>
    <n v="3200"/>
    <n v="9.99"/>
    <d v="2023-06-29T00:00:00"/>
    <s v="Returned"/>
    <n v="3200"/>
    <n v="2023"/>
    <x v="5"/>
    <n v="27"/>
    <n v="3"/>
    <n v="4"/>
  </r>
  <r>
    <s v="CUST0116"/>
    <s v="Male"/>
    <s v="South"/>
    <s v="Monitor"/>
    <x v="0"/>
    <n v="20"/>
    <n v="300"/>
    <n v="2"/>
    <n v="600"/>
    <n v="9.77"/>
    <d v="2023-09-24T00:00:00"/>
    <s v="Returned"/>
    <n v="600"/>
    <n v="2023"/>
    <x v="7"/>
    <n v="39"/>
    <n v="3"/>
    <n v="2"/>
  </r>
  <r>
    <s v="CUST0037"/>
    <s v="Female"/>
    <s v="West"/>
    <s v="Smartphone"/>
    <x v="0"/>
    <n v="51"/>
    <n v="800"/>
    <n v="3"/>
    <n v="2400"/>
    <n v="15.28"/>
    <d v="2023-05-22T00:00:00"/>
    <s v="In Transit"/>
    <n v="2400"/>
    <n v="2023"/>
    <x v="9"/>
    <n v="22"/>
    <n v="3"/>
    <n v="3"/>
  </r>
  <r>
    <s v="CUST0215"/>
    <s v="Female"/>
    <s v="East"/>
    <s v="Mouse"/>
    <x v="1"/>
    <n v="35"/>
    <n v="30"/>
    <n v="3"/>
    <n v="90"/>
    <n v="8.7899999999999991"/>
    <d v="2023-07-29T00:00:00"/>
    <s v="Returned"/>
    <n v="90"/>
    <n v="2023"/>
    <x v="8"/>
    <n v="31"/>
    <n v="3"/>
    <n v="3"/>
  </r>
  <r>
    <s v="CUST0104"/>
    <s v="Male"/>
    <s v="West"/>
    <s v="Keyboard"/>
    <x v="1"/>
    <n v="40"/>
    <n v="50"/>
    <n v="4"/>
    <n v="200"/>
    <n v="12.79"/>
    <d v="2023-10-19T00:00:00"/>
    <s v="Delivered"/>
    <n v="200"/>
    <n v="2023"/>
    <x v="4"/>
    <n v="43"/>
    <n v="3"/>
    <n v="4"/>
  </r>
  <r>
    <s v="CUST0197"/>
    <s v="Male"/>
    <s v="North"/>
    <s v="Smartphone"/>
    <x v="0"/>
    <n v="54"/>
    <n v="800"/>
    <n v="5"/>
    <n v="4000"/>
    <n v="9.5500000000000007"/>
    <d v="2023-09-02T00:00:00"/>
    <s v="Delivered"/>
    <n v="4000"/>
    <n v="2023"/>
    <x v="7"/>
    <n v="36"/>
    <n v="3"/>
    <n v="5"/>
  </r>
  <r>
    <s v="CUST0298"/>
    <s v="Female"/>
    <s v="East"/>
    <s v="Mouse"/>
    <x v="1"/>
    <n v="58"/>
    <n v="30"/>
    <n v="4"/>
    <n v="120"/>
    <n v="8.85"/>
    <d v="2023-06-21T00:00:00"/>
    <s v="Returned"/>
    <n v="120"/>
    <n v="2023"/>
    <x v="5"/>
    <n v="26"/>
    <n v="3"/>
    <n v="4"/>
  </r>
  <r>
    <s v="CUST0079"/>
    <s v="Male"/>
    <s v="South"/>
    <s v="Keyboard"/>
    <x v="1"/>
    <n v="26"/>
    <n v="50"/>
    <n v="2"/>
    <n v="100"/>
    <n v="9.76"/>
    <d v="2023-06-13T00:00:00"/>
    <s v="In Transit"/>
    <n v="100"/>
    <n v="2023"/>
    <x v="5"/>
    <n v="25"/>
    <n v="3"/>
    <n v="2"/>
  </r>
  <r>
    <s v="CUST0021"/>
    <s v="Female"/>
    <s v="East"/>
    <s v="Smartwatch"/>
    <x v="2"/>
    <n v="43"/>
    <n v="200"/>
    <n v="1"/>
    <n v="200"/>
    <n v="6.18"/>
    <d v="2023-12-28T00:00:00"/>
    <s v="In Transit"/>
    <n v="200"/>
    <n v="2023"/>
    <x v="0"/>
    <n v="53"/>
    <n v="3"/>
    <n v="1"/>
  </r>
  <r>
    <s v="CUST0162"/>
    <s v="Male"/>
    <s v="East"/>
    <s v="Laptop"/>
    <x v="0"/>
    <n v="69"/>
    <n v="1500"/>
    <n v="3"/>
    <n v="4500"/>
    <n v="6.08"/>
    <d v="2023-07-06T00:00:00"/>
    <s v="Returned"/>
    <n v="4500"/>
    <n v="2023"/>
    <x v="8"/>
    <n v="28"/>
    <n v="3"/>
    <n v="3"/>
  </r>
  <r>
    <s v="CUST0090"/>
    <s v="Male"/>
    <s v="West"/>
    <s v="Laptop"/>
    <x v="0"/>
    <n v="61"/>
    <n v="1500"/>
    <n v="4"/>
    <n v="6000"/>
    <n v="9.4600000000000009"/>
    <d v="2023-06-13T00:00:00"/>
    <s v="Delivered"/>
    <n v="6000"/>
    <n v="2023"/>
    <x v="5"/>
    <n v="25"/>
    <n v="3"/>
    <n v="4"/>
  </r>
  <r>
    <s v="CUST0064"/>
    <s v="Female"/>
    <s v="West"/>
    <s v="Headphones"/>
    <x v="1"/>
    <n v="61"/>
    <n v="100"/>
    <n v="1"/>
    <n v="100"/>
    <n v="6.6"/>
    <d v="2023-03-20T00:00:00"/>
    <s v="Returned"/>
    <n v="100"/>
    <n v="2023"/>
    <x v="11"/>
    <n v="13"/>
    <n v="3"/>
    <n v="1"/>
  </r>
  <r>
    <s v="CUST0148"/>
    <s v="Female"/>
    <s v="North"/>
    <s v="Mouse"/>
    <x v="1"/>
    <n v="67"/>
    <n v="30"/>
    <n v="4"/>
    <n v="120"/>
    <n v="19.59"/>
    <d v="2023-02-20T00:00:00"/>
    <s v="In Transit"/>
    <n v="120"/>
    <n v="2023"/>
    <x v="6"/>
    <n v="9"/>
    <n v="3"/>
    <n v="4"/>
  </r>
  <r>
    <s v="CUST0081"/>
    <s v="Female"/>
    <s v="West"/>
    <s v="Monitor"/>
    <x v="0"/>
    <n v="38"/>
    <n v="300"/>
    <n v="4"/>
    <n v="1200"/>
    <n v="12.55"/>
    <d v="2023-08-27T00:00:00"/>
    <s v="Delivered"/>
    <n v="1200"/>
    <n v="2023"/>
    <x v="2"/>
    <n v="35"/>
    <n v="3"/>
    <n v="4"/>
  </r>
  <r>
    <s v="CUST0160"/>
    <s v="Male"/>
    <s v="North"/>
    <s v="Keyboard"/>
    <x v="1"/>
    <n v="69"/>
    <n v="50"/>
    <n v="5"/>
    <n v="250"/>
    <n v="14.32"/>
    <d v="2023-02-03T00:00:00"/>
    <s v="Unknown"/>
    <n v="250"/>
    <n v="2023"/>
    <x v="6"/>
    <n v="6"/>
    <n v="3"/>
    <n v="5"/>
  </r>
  <r>
    <s v="CUST0080"/>
    <s v="Male"/>
    <s v="West"/>
    <s v="Smartphone"/>
    <x v="0"/>
    <n v="51"/>
    <n v="800"/>
    <n v="5"/>
    <n v="4000"/>
    <n v="6.74"/>
    <d v="2023-09-27T00:00:00"/>
    <s v="Delivered"/>
    <n v="4000"/>
    <n v="2023"/>
    <x v="7"/>
    <n v="40"/>
    <n v="3"/>
    <n v="5"/>
  </r>
  <r>
    <s v="CUST0091"/>
    <s v="Male"/>
    <s v="South"/>
    <s v="Headphones"/>
    <x v="1"/>
    <n v="30"/>
    <n v="100"/>
    <n v="2"/>
    <n v="200"/>
    <n v="7.01"/>
    <d v="2023-03-18T00:00:00"/>
    <s v="In Transit"/>
    <n v="200"/>
    <n v="2023"/>
    <x v="11"/>
    <n v="12"/>
    <n v="3"/>
    <n v="2"/>
  </r>
  <r>
    <s v="CUST0112"/>
    <s v="Male"/>
    <s v="East"/>
    <s v="Laptop"/>
    <x v="0"/>
    <n v="33"/>
    <n v="1500"/>
    <n v="2"/>
    <n v="3000"/>
    <n v="14.97"/>
    <d v="2023-01-17T00:00:00"/>
    <s v="Delivered"/>
    <n v="3000"/>
    <n v="2023"/>
    <x v="3"/>
    <n v="4"/>
    <n v="3"/>
    <n v="2"/>
  </r>
  <r>
    <s v="CUST0030"/>
    <s v="Female"/>
    <s v="West"/>
    <s v="Headphones"/>
    <x v="1"/>
    <n v="44"/>
    <n v="100"/>
    <n v="4"/>
    <n v="400"/>
    <n v="10.029999999999999"/>
    <d v="2023-05-11T00:00:00"/>
    <s v="In Transit"/>
    <n v="400"/>
    <n v="2023"/>
    <x v="9"/>
    <n v="20"/>
    <n v="3"/>
    <n v="4"/>
  </r>
  <r>
    <s v="CUST0276"/>
    <s v="Male"/>
    <s v="South"/>
    <s v="Keyboard"/>
    <x v="1"/>
    <n v="66"/>
    <n v="50"/>
    <n v="2"/>
    <n v="100"/>
    <n v="8.51"/>
    <d v="2023-03-10T00:00:00"/>
    <s v="In Transit"/>
    <n v="100"/>
    <n v="2023"/>
    <x v="11"/>
    <n v="11"/>
    <n v="3"/>
    <n v="2"/>
  </r>
  <r>
    <s v="CUST0034"/>
    <s v="Female"/>
    <s v="West"/>
    <s v="Keyboard"/>
    <x v="1"/>
    <n v="65"/>
    <n v="50"/>
    <n v="1"/>
    <n v="50"/>
    <n v="7.55"/>
    <d v="2023-06-27T00:00:00"/>
    <s v="Delivered"/>
    <n v="50"/>
    <n v="2023"/>
    <x v="5"/>
    <n v="27"/>
    <n v="3"/>
    <n v="1"/>
  </r>
  <r>
    <s v="CUST0271"/>
    <s v="Female"/>
    <s v="North"/>
    <s v="Mouse"/>
    <x v="1"/>
    <n v="46"/>
    <n v="30"/>
    <n v="4"/>
    <n v="120"/>
    <n v="18.309999999999999"/>
    <d v="2023-11-07T00:00:00"/>
    <s v="In Transit"/>
    <n v="120"/>
    <n v="2023"/>
    <x v="10"/>
    <n v="46"/>
    <n v="3"/>
    <n v="4"/>
  </r>
  <r>
    <s v="CUST0034"/>
    <s v="Male"/>
    <s v="North"/>
    <s v="Laptop"/>
    <x v="0"/>
    <n v="65"/>
    <n v="1500"/>
    <n v="5"/>
    <n v="7500"/>
    <n v="16.39"/>
    <d v="2023-04-08T00:00:00"/>
    <s v="Returned"/>
    <n v="7500"/>
    <n v="2023"/>
    <x v="1"/>
    <n v="15"/>
    <n v="3"/>
    <n v="5"/>
  </r>
  <r>
    <s v="CUST0122"/>
    <s v="Male"/>
    <s v="North"/>
    <s v="Laptop"/>
    <x v="0"/>
    <n v="68"/>
    <n v="1500"/>
    <n v="2"/>
    <n v="3000"/>
    <n v="18.77"/>
    <d v="2023-10-27T00:00:00"/>
    <s v="Returned"/>
    <n v="3000"/>
    <n v="2023"/>
    <x v="4"/>
    <n v="44"/>
    <n v="3"/>
    <n v="2"/>
  </r>
  <r>
    <s v="CUST0223"/>
    <s v="Female"/>
    <s v="East"/>
    <s v="Laptop"/>
    <x v="0"/>
    <n v="20"/>
    <n v="1500"/>
    <n v="5"/>
    <n v="7500"/>
    <n v="9.26"/>
    <d v="2023-02-01T00:00:00"/>
    <s v="Returned"/>
    <n v="7500"/>
    <n v="2023"/>
    <x v="6"/>
    <n v="6"/>
    <n v="3"/>
    <n v="5"/>
  </r>
  <r>
    <s v="CUST0052"/>
    <s v="Male"/>
    <s v="North"/>
    <s v="Smartphone"/>
    <x v="0"/>
    <n v="66"/>
    <n v="800"/>
    <n v="4"/>
    <n v="3200"/>
    <n v="15.69"/>
    <d v="2023-05-27T00:00:00"/>
    <s v="In Transit"/>
    <n v="3200"/>
    <n v="2023"/>
    <x v="9"/>
    <n v="22"/>
    <n v="3"/>
    <n v="4"/>
  </r>
  <r>
    <s v="CUST0176"/>
    <s v="Male"/>
    <s v="South"/>
    <s v="Keyboard"/>
    <x v="1"/>
    <n v="49"/>
    <n v="50"/>
    <n v="4"/>
    <n v="200"/>
    <n v="11.55"/>
    <d v="2023-10-01T00:00:00"/>
    <s v="Delivered"/>
    <n v="200"/>
    <n v="2023"/>
    <x v="4"/>
    <n v="40"/>
    <n v="3"/>
    <n v="4"/>
  </r>
  <r>
    <s v="CUST0276"/>
    <s v="Male"/>
    <s v="West"/>
    <s v="Smartphone"/>
    <x v="0"/>
    <n v="66"/>
    <n v="800"/>
    <n v="3"/>
    <n v="2400"/>
    <n v="15.27"/>
    <d v="2023-05-05T00:00:00"/>
    <s v="In Transit"/>
    <n v="2400"/>
    <n v="2023"/>
    <x v="9"/>
    <n v="19"/>
    <n v="3"/>
    <n v="3"/>
  </r>
  <r>
    <s v="CUST0185"/>
    <s v="Female"/>
    <s v="West"/>
    <s v="Keyboard"/>
    <x v="1"/>
    <n v="29"/>
    <n v="50"/>
    <n v="4"/>
    <n v="200"/>
    <n v="6.75"/>
    <d v="2023-12-22T00:00:00"/>
    <s v="Delivered"/>
    <n v="200"/>
    <n v="2023"/>
    <x v="0"/>
    <n v="52"/>
    <n v="3"/>
    <n v="4"/>
  </r>
  <r>
    <s v="CUST0253"/>
    <s v="Female"/>
    <s v="East"/>
    <s v="Headphones"/>
    <x v="1"/>
    <n v="51"/>
    <n v="100"/>
    <n v="2"/>
    <n v="200"/>
    <n v="5.79"/>
    <d v="2023-06-13T00:00:00"/>
    <s v="Delivered"/>
    <n v="200"/>
    <n v="2023"/>
    <x v="5"/>
    <n v="25"/>
    <n v="3"/>
    <n v="2"/>
  </r>
  <r>
    <s v="CUST0055"/>
    <s v="Male"/>
    <s v="East"/>
    <s v="Smartwatch"/>
    <x v="2"/>
    <n v="45"/>
    <n v="200"/>
    <n v="4"/>
    <n v="800"/>
    <n v="10.62"/>
    <d v="2023-01-11T00:00:00"/>
    <s v="Returned"/>
    <n v="800"/>
    <n v="2023"/>
    <x v="3"/>
    <n v="3"/>
    <n v="3"/>
    <n v="4"/>
  </r>
  <r>
    <s v="CUST0229"/>
    <s v="Female"/>
    <s v="North"/>
    <s v="Monitor"/>
    <x v="0"/>
    <n v="49"/>
    <n v="300"/>
    <n v="1"/>
    <n v="300"/>
    <n v="5.83"/>
    <d v="2023-02-07T00:00:00"/>
    <s v="Delivered"/>
    <n v="300"/>
    <n v="2023"/>
    <x v="6"/>
    <n v="7"/>
    <n v="3"/>
    <n v="1"/>
  </r>
  <r>
    <s v="CUST0149"/>
    <s v="Female"/>
    <s v="Unknown"/>
    <s v="Headphones"/>
    <x v="1"/>
    <n v="40"/>
    <n v="100"/>
    <n v="2"/>
    <n v="200"/>
    <n v="9.42"/>
    <d v="2023-07-14T00:00:00"/>
    <s v="Returned"/>
    <n v="200"/>
    <n v="2023"/>
    <x v="8"/>
    <n v="29"/>
    <n v="3"/>
    <n v="2"/>
  </r>
  <r>
    <s v="CUST0028"/>
    <s v="Male"/>
    <s v="East"/>
    <s v="Mouse"/>
    <x v="1"/>
    <n v="50"/>
    <n v="30"/>
    <n v="5"/>
    <n v="150"/>
    <n v="6.26"/>
    <d v="2023-04-07T00:00:00"/>
    <s v="Delivered"/>
    <n v="150"/>
    <n v="2023"/>
    <x v="1"/>
    <n v="15"/>
    <n v="3"/>
    <n v="5"/>
  </r>
  <r>
    <s v="CUST0011"/>
    <s v="Male"/>
    <s v="South"/>
    <s v="Headphones"/>
    <x v="1"/>
    <n v="54"/>
    <n v="100"/>
    <n v="1"/>
    <n v="100"/>
    <n v="19.25"/>
    <d v="2023-12-18T00:00:00"/>
    <s v="Delivered"/>
    <n v="100"/>
    <n v="2023"/>
    <x v="0"/>
    <n v="52"/>
    <n v="3"/>
    <n v="1"/>
  </r>
  <r>
    <s v="CUST0259"/>
    <s v="Male"/>
    <s v="West"/>
    <s v="Mouse"/>
    <x v="1"/>
    <n v="59"/>
    <n v="30"/>
    <n v="2"/>
    <n v="60"/>
    <n v="18.170000000000002"/>
    <d v="2023-11-17T00:00:00"/>
    <s v="In Transit"/>
    <n v="60"/>
    <n v="2023"/>
    <x v="10"/>
    <n v="47"/>
    <n v="3"/>
    <n v="2"/>
  </r>
  <r>
    <s v="CUST0296"/>
    <s v="Female"/>
    <s v="West"/>
    <s v="Monitor"/>
    <x v="0"/>
    <n v="50"/>
    <n v="300"/>
    <n v="1"/>
    <n v="300"/>
    <n v="5.94"/>
    <d v="2023-12-26T00:00:00"/>
    <s v="Returned"/>
    <n v="300"/>
    <n v="2023"/>
    <x v="0"/>
    <n v="53"/>
    <n v="3"/>
    <n v="1"/>
  </r>
  <r>
    <s v="CUST0101"/>
    <s v="Male"/>
    <s v="East"/>
    <s v="Headphones"/>
    <x v="1"/>
    <n v="53"/>
    <n v="100"/>
    <n v="3"/>
    <n v="300"/>
    <n v="15.61"/>
    <d v="2023-12-04T00:00:00"/>
    <s v="In Transit"/>
    <n v="300"/>
    <n v="2023"/>
    <x v="0"/>
    <n v="50"/>
    <n v="3"/>
    <n v="3"/>
  </r>
  <r>
    <s v="CUST0288"/>
    <s v="Male"/>
    <s v="West"/>
    <s v="Laptop"/>
    <x v="0"/>
    <n v="55"/>
    <n v="1500"/>
    <n v="2"/>
    <n v="3000"/>
    <n v="9.06"/>
    <d v="2023-06-08T00:00:00"/>
    <s v="Delivered"/>
    <n v="3000"/>
    <n v="2023"/>
    <x v="5"/>
    <n v="24"/>
    <n v="3"/>
    <n v="2"/>
  </r>
  <r>
    <s v="CUST0206"/>
    <s v="Female"/>
    <s v="Unknown"/>
    <s v="Keyboard"/>
    <x v="1"/>
    <n v="43"/>
    <n v="50"/>
    <n v="4"/>
    <n v="200"/>
    <n v="16.25"/>
    <d v="2023-08-14T00:00:00"/>
    <s v="In Transit"/>
    <n v="200"/>
    <n v="2023"/>
    <x v="2"/>
    <n v="34"/>
    <n v="3"/>
    <n v="4"/>
  </r>
  <r>
    <s v="CUST0179"/>
    <s v="Male"/>
    <s v="North"/>
    <s v="Monitor"/>
    <x v="0"/>
    <n v="45"/>
    <n v="300"/>
    <n v="4"/>
    <n v="1200"/>
    <n v="7.16"/>
    <d v="2023-11-13T00:00:00"/>
    <s v="In Transit"/>
    <n v="1200"/>
    <n v="2023"/>
    <x v="10"/>
    <n v="47"/>
    <n v="3"/>
    <n v="4"/>
  </r>
  <r>
    <s v="CUST0293"/>
    <s v="Male"/>
    <s v="West"/>
    <s v="Monitor"/>
    <x v="0"/>
    <n v="32"/>
    <n v="300"/>
    <n v="2"/>
    <n v="600"/>
    <n v="9.52"/>
    <d v="2023-10-17T00:00:00"/>
    <s v="In Transit"/>
    <n v="600"/>
    <n v="2023"/>
    <x v="4"/>
    <n v="43"/>
    <n v="3"/>
    <n v="2"/>
  </r>
  <r>
    <s v="CUST0120"/>
    <s v="Female"/>
    <s v="North"/>
    <s v="Headphones"/>
    <x v="1"/>
    <n v="35"/>
    <n v="100"/>
    <n v="4"/>
    <n v="400"/>
    <n v="12.85"/>
    <d v="2023-07-23T00:00:00"/>
    <s v="Delivered"/>
    <n v="400"/>
    <n v="2023"/>
    <x v="8"/>
    <n v="30"/>
    <n v="3"/>
    <n v="4"/>
  </r>
  <r>
    <s v="CUST0112"/>
    <s v="Male"/>
    <s v="West"/>
    <s v="Smartphone"/>
    <x v="0"/>
    <n v="33"/>
    <n v="800"/>
    <n v="5"/>
    <n v="4000"/>
    <n v="5.14"/>
    <d v="2023-06-15T00:00:00"/>
    <s v="Returned"/>
    <n v="4000"/>
    <n v="2023"/>
    <x v="5"/>
    <n v="25"/>
    <n v="3"/>
    <n v="5"/>
  </r>
  <r>
    <s v="CUST0218"/>
    <s v="Female"/>
    <s v="East"/>
    <s v="Mouse"/>
    <x v="1"/>
    <n v="36"/>
    <n v="30"/>
    <n v="5"/>
    <n v="150"/>
    <n v="6.78"/>
    <d v="2023-07-18T00:00:00"/>
    <s v="In Transit"/>
    <n v="150"/>
    <n v="2023"/>
    <x v="8"/>
    <n v="30"/>
    <n v="3"/>
    <n v="5"/>
  </r>
  <r>
    <s v="CUST0018"/>
    <s v="Female"/>
    <s v="South"/>
    <s v="Keyboard"/>
    <x v="1"/>
    <n v="38"/>
    <n v="50"/>
    <n v="5"/>
    <n v="250"/>
    <n v="12.25"/>
    <d v="2023-05-12T00:00:00"/>
    <s v="In Transit"/>
    <n v="250"/>
    <n v="2023"/>
    <x v="9"/>
    <n v="20"/>
    <n v="3"/>
    <n v="5"/>
  </r>
  <r>
    <s v="CUST0193"/>
    <s v="Male"/>
    <s v="North"/>
    <s v="Laptop"/>
    <x v="0"/>
    <n v="64"/>
    <n v="1500"/>
    <n v="4"/>
    <n v="6000"/>
    <n v="9.8699999999999992"/>
    <d v="2023-02-19T00:00:00"/>
    <s v="Delivered"/>
    <n v="6000"/>
    <n v="2023"/>
    <x v="6"/>
    <n v="8"/>
    <n v="3"/>
    <n v="4"/>
  </r>
  <r>
    <s v="CUST0088"/>
    <s v="Male"/>
    <s v="West"/>
    <s v="Laptop"/>
    <x v="0"/>
    <n v="66"/>
    <n v="1500"/>
    <n v="4"/>
    <n v="6000"/>
    <n v="11.5"/>
    <d v="2023-10-17T00:00:00"/>
    <s v="In Transit"/>
    <n v="6000"/>
    <n v="2023"/>
    <x v="4"/>
    <n v="43"/>
    <n v="3"/>
    <n v="4"/>
  </r>
  <r>
    <s v="CUST0116"/>
    <s v="Male"/>
    <s v="South"/>
    <s v="Mouse"/>
    <x v="1"/>
    <n v="20"/>
    <n v="30"/>
    <n v="3"/>
    <n v="90"/>
    <n v="16.07"/>
    <d v="2023-09-30T00:00:00"/>
    <s v="Returned"/>
    <n v="90"/>
    <n v="2023"/>
    <x v="7"/>
    <n v="40"/>
    <n v="3"/>
    <n v="3"/>
  </r>
  <r>
    <s v="CUST0152"/>
    <s v="Female"/>
    <s v="West"/>
    <s v="Keyboard"/>
    <x v="1"/>
    <n v="69"/>
    <n v="50"/>
    <n v="4"/>
    <n v="200"/>
    <n v="18.96"/>
    <d v="2023-05-20T00:00:00"/>
    <s v="Returned"/>
    <n v="200"/>
    <n v="2023"/>
    <x v="9"/>
    <n v="21"/>
    <n v="3"/>
    <n v="4"/>
  </r>
  <r>
    <s v="CUST0290"/>
    <s v="Female"/>
    <s v="East"/>
    <s v="Smartwatch"/>
    <x v="2"/>
    <n v="37"/>
    <n v="200"/>
    <n v="4"/>
    <n v="800"/>
    <n v="5.98"/>
    <d v="2023-04-27T00:00:00"/>
    <s v="In Transit"/>
    <n v="800"/>
    <n v="2023"/>
    <x v="1"/>
    <n v="18"/>
    <n v="3"/>
    <n v="4"/>
  </r>
  <r>
    <s v="CUST0293"/>
    <s v="Male"/>
    <s v="South"/>
    <s v="Monitor"/>
    <x v="0"/>
    <n v="32"/>
    <n v="300"/>
    <n v="2"/>
    <n v="600"/>
    <n v="14.24"/>
    <d v="2023-03-27T00:00:00"/>
    <s v="Delivered"/>
    <n v="600"/>
    <n v="2023"/>
    <x v="11"/>
    <n v="14"/>
    <n v="3"/>
    <n v="2"/>
  </r>
  <r>
    <s v="CUST0080"/>
    <s v="Male"/>
    <s v="South"/>
    <s v="Monitor"/>
    <x v="0"/>
    <n v="51"/>
    <n v="300"/>
    <n v="5"/>
    <n v="1500"/>
    <n v="11.39"/>
    <d v="2023-07-31T00:00:00"/>
    <s v="Returned"/>
    <n v="1500"/>
    <n v="2023"/>
    <x v="8"/>
    <n v="32"/>
    <n v="3"/>
    <n v="5"/>
  </r>
  <r>
    <s v="CUST0134"/>
    <s v="Female"/>
    <s v="North"/>
    <s v="Keyboard"/>
    <x v="1"/>
    <n v="58"/>
    <n v="50"/>
    <n v="4"/>
    <n v="200"/>
    <n v="17.649999999999999"/>
    <d v="2023-02-11T00:00:00"/>
    <s v="In Transit"/>
    <n v="200"/>
    <n v="2023"/>
    <x v="6"/>
    <n v="7"/>
    <n v="3"/>
    <n v="4"/>
  </r>
  <r>
    <s v="CUST0010"/>
    <s v="Female"/>
    <s v="East"/>
    <s v="Smartphone"/>
    <x v="0"/>
    <n v="37"/>
    <n v="800"/>
    <n v="5"/>
    <n v="4000"/>
    <n v="6.67"/>
    <d v="2023-01-04T00:00:00"/>
    <s v="In Transit"/>
    <n v="4000"/>
    <n v="2023"/>
    <x v="3"/>
    <n v="2"/>
    <n v="3"/>
    <n v="5"/>
  </r>
  <r>
    <s v="CUST0252"/>
    <s v="Male"/>
    <s v="South"/>
    <s v="Smartwatch"/>
    <x v="2"/>
    <n v="55"/>
    <n v="200"/>
    <n v="3"/>
    <n v="600"/>
    <n v="8.26"/>
    <d v="2023-08-30T00:00:00"/>
    <s v="Unknown"/>
    <n v="600"/>
    <n v="2023"/>
    <x v="2"/>
    <n v="36"/>
    <n v="3"/>
    <n v="3"/>
  </r>
  <r>
    <s v="CUST0211"/>
    <s v="Female"/>
    <s v="West"/>
    <s v="Monitor"/>
    <x v="0"/>
    <n v="35"/>
    <n v="300"/>
    <n v="5"/>
    <n v="1500"/>
    <n v="18.940000000000001"/>
    <d v="2023-03-06T00:00:00"/>
    <s v="Returned"/>
    <n v="1500"/>
    <n v="2023"/>
    <x v="11"/>
    <n v="11"/>
    <n v="3"/>
    <n v="5"/>
  </r>
  <r>
    <s v="CUST0095"/>
    <s v="Female"/>
    <s v="South"/>
    <s v="Monitor"/>
    <x v="0"/>
    <n v="60"/>
    <n v="300"/>
    <n v="3"/>
    <n v="900"/>
    <n v="19.78"/>
    <d v="2023-02-26T00:00:00"/>
    <s v="In Transit"/>
    <n v="900"/>
    <n v="2023"/>
    <x v="6"/>
    <n v="9"/>
    <n v="3"/>
    <n v="3"/>
  </r>
  <r>
    <s v="CUST0226"/>
    <s v="Male"/>
    <s v="North"/>
    <s v="Smartphone"/>
    <x v="0"/>
    <n v="43"/>
    <n v="800"/>
    <n v="4"/>
    <n v="3200"/>
    <n v="10.65"/>
    <d v="2023-02-25T00:00:00"/>
    <s v="Returned"/>
    <n v="3200"/>
    <n v="2023"/>
    <x v="6"/>
    <n v="9"/>
    <n v="3"/>
    <n v="4"/>
  </r>
  <r>
    <s v="CUST0238"/>
    <s v="Female"/>
    <s v="North"/>
    <s v="Smartwatch"/>
    <x v="2"/>
    <n v="26"/>
    <n v="200"/>
    <n v="4"/>
    <n v="800"/>
    <n v="14.25"/>
    <d v="2023-01-03T00:00:00"/>
    <s v="Delivered"/>
    <n v="800"/>
    <n v="2023"/>
    <x v="3"/>
    <n v="2"/>
    <n v="3"/>
    <n v="4"/>
  </r>
  <r>
    <s v="CUST0274"/>
    <s v="Male"/>
    <s v="West"/>
    <s v="Monitor"/>
    <x v="0"/>
    <n v="51"/>
    <n v="300"/>
    <n v="4"/>
    <n v="1200"/>
    <n v="6.26"/>
    <d v="2023-12-28T00:00:00"/>
    <s v="Returned"/>
    <n v="1200"/>
    <n v="2023"/>
    <x v="0"/>
    <n v="53"/>
    <n v="3"/>
    <n v="4"/>
  </r>
  <r>
    <s v="CUST0225"/>
    <s v="Male"/>
    <s v="South"/>
    <s v="Keyboard"/>
    <x v="1"/>
    <n v="65"/>
    <n v="50"/>
    <n v="3"/>
    <n v="150"/>
    <n v="12.69"/>
    <d v="2023-11-18T00:00:00"/>
    <s v="Delivered"/>
    <n v="150"/>
    <n v="2023"/>
    <x v="10"/>
    <n v="47"/>
    <n v="3"/>
    <n v="3"/>
  </r>
  <r>
    <s v="CUST0233"/>
    <s v="Male"/>
    <s v="West"/>
    <s v="Smartwatch"/>
    <x v="2"/>
    <n v="24"/>
    <n v="200"/>
    <n v="3"/>
    <n v="600"/>
    <n v="19.39"/>
    <d v="2023-03-11T00:00:00"/>
    <s v="In Transit"/>
    <n v="600"/>
    <n v="2023"/>
    <x v="11"/>
    <n v="11"/>
    <n v="3"/>
    <n v="3"/>
  </r>
  <r>
    <s v="CUST0208"/>
    <s v="Male"/>
    <s v="North"/>
    <s v="Headphones"/>
    <x v="1"/>
    <n v="57"/>
    <n v="100"/>
    <n v="4"/>
    <n v="400"/>
    <n v="14.49"/>
    <d v="2023-09-19T00:00:00"/>
    <s v="In Transit"/>
    <n v="400"/>
    <n v="2023"/>
    <x v="7"/>
    <n v="39"/>
    <n v="3"/>
    <n v="4"/>
  </r>
  <r>
    <s v="CUST0006"/>
    <s v="Male"/>
    <s v="South"/>
    <s v="Smartwatch"/>
    <x v="2"/>
    <n v="52"/>
    <n v="200"/>
    <n v="5"/>
    <n v="1000"/>
    <n v="13.13"/>
    <d v="2023-05-15T00:00:00"/>
    <s v="In Transit"/>
    <n v="1000"/>
    <n v="2023"/>
    <x v="9"/>
    <n v="21"/>
    <n v="3"/>
    <n v="5"/>
  </r>
  <r>
    <s v="CUST0181"/>
    <s v="Male"/>
    <s v="North"/>
    <s v="Monitor"/>
    <x v="0"/>
    <n v="59"/>
    <n v="300"/>
    <n v="4"/>
    <n v="1200"/>
    <n v="15.92"/>
    <d v="2023-10-23T00:00:00"/>
    <s v="In Transit"/>
    <n v="1200"/>
    <n v="2023"/>
    <x v="4"/>
    <n v="44"/>
    <n v="3"/>
    <n v="4"/>
  </r>
  <r>
    <s v="CUST0126"/>
    <s v="Male"/>
    <s v="West"/>
    <s v="Smartwatch"/>
    <x v="2"/>
    <n v="66"/>
    <n v="200"/>
    <n v="5"/>
    <n v="1000"/>
    <n v="12.06"/>
    <d v="2023-03-07T00:00:00"/>
    <s v="Returned"/>
    <n v="1000"/>
    <n v="2023"/>
    <x v="11"/>
    <n v="11"/>
    <n v="3"/>
    <n v="5"/>
  </r>
  <r>
    <s v="CUST0118"/>
    <s v="Male"/>
    <s v="East"/>
    <s v="Keyboard"/>
    <x v="1"/>
    <n v="23"/>
    <n v="50"/>
    <n v="1"/>
    <n v="50"/>
    <n v="16.34"/>
    <d v="2023-01-16T00:00:00"/>
    <s v="In Transit"/>
    <n v="50"/>
    <n v="2023"/>
    <x v="3"/>
    <n v="4"/>
    <n v="3"/>
    <n v="1"/>
  </r>
  <r>
    <s v="CUST0007"/>
    <s v="Female"/>
    <s v="North"/>
    <s v="Smartwatch"/>
    <x v="2"/>
    <n v="52"/>
    <n v="200"/>
    <n v="3"/>
    <n v="600"/>
    <n v="15.85"/>
    <d v="2023-04-10T00:00:00"/>
    <s v="Delivered"/>
    <n v="600"/>
    <n v="2023"/>
    <x v="1"/>
    <n v="16"/>
    <n v="3"/>
    <n v="3"/>
  </r>
  <r>
    <s v="CUST0263"/>
    <s v="Female"/>
    <s v="South"/>
    <s v="Headphones"/>
    <x v="1"/>
    <n v="49"/>
    <n v="100"/>
    <n v="3"/>
    <n v="300"/>
    <n v="19.010000000000002"/>
    <d v="2023-09-13T00:00:00"/>
    <s v="In Transit"/>
    <n v="300"/>
    <n v="2023"/>
    <x v="7"/>
    <n v="38"/>
    <n v="3"/>
    <n v="3"/>
  </r>
  <r>
    <s v="CUST0256"/>
    <s v="Male"/>
    <s v="East"/>
    <s v="Laptop"/>
    <x v="0"/>
    <n v="49"/>
    <n v="1500"/>
    <n v="3"/>
    <n v="4500"/>
    <n v="9.83"/>
    <d v="2023-09-26T00:00:00"/>
    <s v="In Transit"/>
    <n v="4500"/>
    <n v="2023"/>
    <x v="7"/>
    <n v="40"/>
    <n v="3"/>
    <n v="3"/>
  </r>
  <r>
    <s v="CUST0172"/>
    <s v="Female"/>
    <s v="East"/>
    <s v="Mouse"/>
    <x v="1"/>
    <n v="56"/>
    <n v="30"/>
    <n v="4"/>
    <n v="120"/>
    <n v="5.17"/>
    <d v="2023-11-23T00:00:00"/>
    <s v="In Transit"/>
    <n v="120"/>
    <n v="2023"/>
    <x v="10"/>
    <n v="48"/>
    <n v="3"/>
    <n v="4"/>
  </r>
  <r>
    <s v="CUST0114"/>
    <s v="Male"/>
    <s v="South"/>
    <s v="Smartphone"/>
    <x v="0"/>
    <n v="49"/>
    <n v="800"/>
    <n v="3"/>
    <n v="2400"/>
    <n v="15.04"/>
    <d v="2023-08-12T00:00:00"/>
    <s v="In Transit"/>
    <n v="2400"/>
    <n v="2023"/>
    <x v="2"/>
    <n v="33"/>
    <n v="3"/>
    <n v="3"/>
  </r>
  <r>
    <s v="CUST0198"/>
    <s v="Male"/>
    <s v="West"/>
    <s v="Smartphone"/>
    <x v="0"/>
    <n v="49"/>
    <n v="800"/>
    <n v="5"/>
    <n v="4000"/>
    <n v="18.489999999999998"/>
    <d v="2023-12-13T00:00:00"/>
    <s v="Delivered"/>
    <n v="4000"/>
    <n v="2023"/>
    <x v="0"/>
    <n v="51"/>
    <n v="3"/>
    <n v="5"/>
  </r>
  <r>
    <s v="CUST0234"/>
    <s v="Female"/>
    <s v="South"/>
    <s v="Smartwatch"/>
    <x v="2"/>
    <n v="44"/>
    <n v="200"/>
    <n v="1"/>
    <n v="200"/>
    <n v="7.67"/>
    <d v="2023-07-08T00:00:00"/>
    <s v="Returned"/>
    <n v="200"/>
    <n v="2023"/>
    <x v="8"/>
    <n v="28"/>
    <n v="3"/>
    <n v="1"/>
  </r>
  <r>
    <s v="CUST0182"/>
    <s v="Female"/>
    <s v="North"/>
    <s v="Keyboard"/>
    <x v="1"/>
    <n v="19"/>
    <n v="50"/>
    <n v="3"/>
    <n v="150"/>
    <n v="5.76"/>
    <d v="2023-07-25T00:00:00"/>
    <s v="In Transit"/>
    <n v="150"/>
    <n v="2023"/>
    <x v="8"/>
    <n v="31"/>
    <n v="3"/>
    <n v="3"/>
  </r>
  <r>
    <s v="CUST0104"/>
    <s v="Male"/>
    <s v="Unknown"/>
    <s v="Smartwatch"/>
    <x v="2"/>
    <n v="40"/>
    <n v="200"/>
    <n v="1"/>
    <n v="200"/>
    <n v="16.29"/>
    <d v="2023-07-08T00:00:00"/>
    <s v="In Transit"/>
    <n v="200"/>
    <n v="2023"/>
    <x v="8"/>
    <n v="28"/>
    <n v="3"/>
    <n v="1"/>
  </r>
  <r>
    <s v="CUST0232"/>
    <s v="Male"/>
    <s v="West"/>
    <s v="Headphones"/>
    <x v="1"/>
    <n v="44"/>
    <n v="100"/>
    <n v="1"/>
    <n v="100"/>
    <n v="6.43"/>
    <d v="2023-07-28T00:00:00"/>
    <s v="Returned"/>
    <n v="100"/>
    <n v="2023"/>
    <x v="8"/>
    <n v="31"/>
    <n v="3"/>
    <n v="1"/>
  </r>
  <r>
    <s v="CUST0160"/>
    <s v="Male"/>
    <s v="West"/>
    <s v="Laptop"/>
    <x v="0"/>
    <n v="69"/>
    <n v="1500"/>
    <n v="1"/>
    <n v="1500"/>
    <n v="7.32"/>
    <d v="2023-09-19T00:00:00"/>
    <s v="Returned"/>
    <n v="1500"/>
    <n v="2023"/>
    <x v="7"/>
    <n v="39"/>
    <n v="3"/>
    <n v="1"/>
  </r>
  <r>
    <s v="CUST0105"/>
    <s v="Female"/>
    <s v="South"/>
    <s v="Smartwatch"/>
    <x v="2"/>
    <n v="27"/>
    <n v="200"/>
    <n v="2"/>
    <n v="400"/>
    <n v="9.9700000000000006"/>
    <d v="2023-01-18T00:00:00"/>
    <s v="Returned"/>
    <n v="400"/>
    <n v="2023"/>
    <x v="3"/>
    <n v="4"/>
    <n v="3"/>
    <n v="2"/>
  </r>
  <r>
    <s v="CUST0065"/>
    <s v="Female"/>
    <s v="West"/>
    <s v="Smartwatch"/>
    <x v="2"/>
    <n v="41"/>
    <n v="200"/>
    <n v="5"/>
    <n v="1000"/>
    <n v="12.79"/>
    <d v="2023-01-06T00:00:00"/>
    <s v="In Transit"/>
    <n v="1000"/>
    <n v="2023"/>
    <x v="3"/>
    <n v="2"/>
    <n v="3"/>
    <n v="5"/>
  </r>
  <r>
    <s v="CUST0220"/>
    <s v="Female"/>
    <s v="North"/>
    <s v="Mouse"/>
    <x v="1"/>
    <n v="49"/>
    <n v="30"/>
    <n v="4"/>
    <n v="120"/>
    <n v="17.23"/>
    <d v="2023-07-09T00:00:00"/>
    <s v="Returned"/>
    <n v="120"/>
    <n v="2023"/>
    <x v="8"/>
    <n v="28"/>
    <n v="3"/>
    <n v="4"/>
  </r>
  <r>
    <s v="CUST0150"/>
    <s v="Male"/>
    <s v="West"/>
    <s v="Mouse"/>
    <x v="1"/>
    <n v="63"/>
    <n v="62.191212249732999"/>
    <n v="5"/>
    <n v="150"/>
    <n v="10.81"/>
    <d v="2023-07-01T00:00:00"/>
    <s v="Delivered"/>
    <n v="310.95606124866498"/>
    <n v="2023"/>
    <x v="8"/>
    <n v="27"/>
    <n v="3"/>
    <n v="5"/>
  </r>
  <r>
    <s v="CUST0300"/>
    <s v="Male"/>
    <s v="East"/>
    <s v="Smartwatch"/>
    <x v="2"/>
    <n v="66"/>
    <n v="200"/>
    <n v="4"/>
    <n v="800"/>
    <n v="16.989999999999998"/>
    <d v="2023-10-15T00:00:00"/>
    <s v="Returned"/>
    <n v="800"/>
    <n v="2023"/>
    <x v="4"/>
    <n v="42"/>
    <n v="3"/>
    <n v="4"/>
  </r>
  <r>
    <s v="CUST0066"/>
    <s v="Female"/>
    <s v="North"/>
    <s v="Monitor"/>
    <x v="0"/>
    <n v="37"/>
    <n v="300"/>
    <n v="3"/>
    <n v="900"/>
    <n v="17.149999999999999"/>
    <d v="2024-01-03T00:00:00"/>
    <s v="In Transit"/>
    <n v="900"/>
    <n v="2024"/>
    <x v="12"/>
    <n v="1"/>
    <n v="3"/>
    <n v="3"/>
  </r>
  <r>
    <s v="CUST0255"/>
    <s v="Male"/>
    <s v="South"/>
    <s v="Laptop"/>
    <x v="0"/>
    <n v="39"/>
    <n v="1500"/>
    <n v="2"/>
    <n v="3000"/>
    <n v="11.24"/>
    <d v="2023-11-16T00:00:00"/>
    <s v="Returned"/>
    <n v="3000"/>
    <n v="2023"/>
    <x v="10"/>
    <n v="47"/>
    <n v="3"/>
    <n v="2"/>
  </r>
  <r>
    <s v="CUST0154"/>
    <s v="Female"/>
    <s v="North"/>
    <s v="Monitor"/>
    <x v="0"/>
    <n v="31"/>
    <n v="300"/>
    <n v="2"/>
    <n v="600"/>
    <n v="5.84"/>
    <d v="2023-08-19T00:00:00"/>
    <s v="In Transit"/>
    <n v="600"/>
    <n v="2023"/>
    <x v="2"/>
    <n v="34"/>
    <n v="3"/>
    <n v="2"/>
  </r>
  <r>
    <s v="CUST0112"/>
    <s v="Female"/>
    <s v="West"/>
    <s v="Smartphone"/>
    <x v="0"/>
    <n v="33"/>
    <n v="800"/>
    <n v="2"/>
    <n v="1600"/>
    <n v="7.61"/>
    <d v="2023-12-08T00:00:00"/>
    <s v="Returned"/>
    <n v="1600"/>
    <n v="2023"/>
    <x v="0"/>
    <n v="50"/>
    <n v="3"/>
    <n v="2"/>
  </r>
  <r>
    <s v="CUST0130"/>
    <s v="Male"/>
    <s v="East"/>
    <s v="Headphones"/>
    <x v="1"/>
    <n v="68"/>
    <n v="100"/>
    <n v="4"/>
    <n v="400"/>
    <n v="14.97"/>
    <d v="2023-12-09T00:00:00"/>
    <s v="Returned"/>
    <n v="400"/>
    <n v="2023"/>
    <x v="0"/>
    <n v="50"/>
    <n v="3"/>
    <n v="4"/>
  </r>
  <r>
    <s v="CUST0061"/>
    <s v="Female"/>
    <s v="South"/>
    <s v="Monitor"/>
    <x v="0"/>
    <n v="35"/>
    <n v="300"/>
    <n v="1"/>
    <n v="300"/>
    <n v="15.16"/>
    <d v="2023-10-25T00:00:00"/>
    <s v="Returned"/>
    <n v="300"/>
    <n v="2023"/>
    <x v="4"/>
    <n v="44"/>
    <n v="3"/>
    <n v="1"/>
  </r>
  <r>
    <s v="CUST0046"/>
    <s v="Male"/>
    <s v="East"/>
    <s v="Laptop"/>
    <x v="0"/>
    <n v="22"/>
    <n v="1500"/>
    <n v="2"/>
    <n v="3000"/>
    <n v="15.58"/>
    <d v="2023-12-16T00:00:00"/>
    <s v="Delivered"/>
    <n v="3000"/>
    <n v="2023"/>
    <x v="0"/>
    <n v="51"/>
    <n v="3"/>
    <n v="2"/>
  </r>
  <r>
    <s v="CUST0200"/>
    <s v="Female"/>
    <s v="North"/>
    <s v="Laptop"/>
    <x v="0"/>
    <n v="68"/>
    <n v="1500"/>
    <n v="1"/>
    <n v="1500"/>
    <n v="5.57"/>
    <d v="2023-08-06T00:00:00"/>
    <s v="Delivered"/>
    <n v="1500"/>
    <n v="2023"/>
    <x v="2"/>
    <n v="32"/>
    <n v="3"/>
    <n v="1"/>
  </r>
  <r>
    <s v="CUST0001"/>
    <s v="Male"/>
    <s v="East"/>
    <s v="Laptop"/>
    <x v="0"/>
    <n v="38"/>
    <n v="1500"/>
    <n v="4"/>
    <n v="6000"/>
    <n v="11.28"/>
    <d v="2023-04-26T00:00:00"/>
    <s v="Returned"/>
    <n v="6000"/>
    <n v="2023"/>
    <x v="1"/>
    <n v="18"/>
    <n v="3"/>
    <n v="4"/>
  </r>
  <r>
    <s v="CUST0101"/>
    <s v="Female"/>
    <s v="West"/>
    <s v="Smartphone"/>
    <x v="0"/>
    <n v="53"/>
    <n v="800"/>
    <n v="4"/>
    <n v="3200"/>
    <n v="14.35"/>
    <d v="2023-06-27T00:00:00"/>
    <s v="Delivered"/>
    <n v="3200"/>
    <n v="2023"/>
    <x v="5"/>
    <n v="27"/>
    <n v="3"/>
    <n v="4"/>
  </r>
  <r>
    <s v="CUST0113"/>
    <s v="Female"/>
    <s v="West"/>
    <s v="Keyboard"/>
    <x v="1"/>
    <n v="38"/>
    <n v="50"/>
    <n v="4"/>
    <n v="200"/>
    <n v="19.170000000000002"/>
    <d v="2023-01-26T00:00:00"/>
    <s v="Returned"/>
    <n v="200"/>
    <n v="2023"/>
    <x v="3"/>
    <n v="5"/>
    <n v="3"/>
    <n v="4"/>
  </r>
  <r>
    <s v="CUST0076"/>
    <s v="Male"/>
    <s v="South"/>
    <s v="Mouse"/>
    <x v="1"/>
    <n v="26"/>
    <n v="30"/>
    <n v="1"/>
    <n v="30"/>
    <n v="10.220000000000001"/>
    <d v="2023-10-26T00:00:00"/>
    <s v="Delivered"/>
    <n v="30"/>
    <n v="2023"/>
    <x v="4"/>
    <n v="44"/>
    <n v="3"/>
    <n v="1"/>
  </r>
  <r>
    <s v="CUST0120"/>
    <s v="Male"/>
    <s v="North"/>
    <s v="Keyboard"/>
    <x v="1"/>
    <n v="35"/>
    <n v="50"/>
    <n v="3"/>
    <n v="150"/>
    <n v="12.89"/>
    <d v="2023-01-30T00:00:00"/>
    <s v="In Transit"/>
    <n v="150"/>
    <n v="2023"/>
    <x v="3"/>
    <n v="6"/>
    <n v="3"/>
    <n v="3"/>
  </r>
  <r>
    <s v="CUST0265"/>
    <s v="Female"/>
    <s v="North"/>
    <s v="Keyboard"/>
    <x v="1"/>
    <n v="38"/>
    <n v="50"/>
    <n v="4"/>
    <n v="200"/>
    <n v="7.52"/>
    <d v="2023-05-29T00:00:00"/>
    <s v="In Transit"/>
    <n v="200"/>
    <n v="2023"/>
    <x v="9"/>
    <n v="23"/>
    <n v="3"/>
    <n v="4"/>
  </r>
  <r>
    <s v="CUST0214"/>
    <s v="Female"/>
    <s v="South"/>
    <s v="Monitor"/>
    <x v="0"/>
    <n v="45"/>
    <n v="300"/>
    <n v="2"/>
    <n v="600"/>
    <n v="9.09"/>
    <d v="2023-10-02T00:00:00"/>
    <s v="In Transit"/>
    <n v="600"/>
    <n v="2023"/>
    <x v="4"/>
    <n v="41"/>
    <n v="3"/>
    <n v="2"/>
  </r>
  <r>
    <s v="CUST0058"/>
    <s v="Male"/>
    <s v="North"/>
    <s v="Monitor"/>
    <x v="0"/>
    <n v="42"/>
    <n v="300"/>
    <n v="4"/>
    <n v="1200"/>
    <n v="5.56"/>
    <d v="2023-06-06T00:00:00"/>
    <s v="In Transit"/>
    <n v="1200"/>
    <n v="2023"/>
    <x v="5"/>
    <n v="24"/>
    <n v="3"/>
    <n v="4"/>
  </r>
  <r>
    <s v="CUST0288"/>
    <s v="Male"/>
    <s v="North"/>
    <s v="Smartwatch"/>
    <x v="2"/>
    <n v="49"/>
    <n v="200"/>
    <n v="2"/>
    <n v="400"/>
    <n v="19.66"/>
    <d v="2023-01-31T00:00:00"/>
    <s v="Returned"/>
    <n v="400"/>
    <n v="2023"/>
    <x v="3"/>
    <n v="6"/>
    <n v="3"/>
    <n v="2"/>
  </r>
  <r>
    <s v="CUST0210"/>
    <s v="Male"/>
    <s v="South"/>
    <s v="Monitor"/>
    <x v="0"/>
    <n v="30"/>
    <n v="300"/>
    <n v="1"/>
    <n v="300"/>
    <n v="11.26"/>
    <d v="2023-12-31T00:00:00"/>
    <s v="Returned"/>
    <n v="300"/>
    <n v="2023"/>
    <x v="0"/>
    <n v="53"/>
    <n v="3"/>
    <n v="1"/>
  </r>
  <r>
    <s v="CUST0116"/>
    <s v="Male"/>
    <s v="South"/>
    <s v="Mouse"/>
    <x v="1"/>
    <n v="20"/>
    <n v="30"/>
    <n v="1"/>
    <n v="30"/>
    <n v="5.41"/>
    <d v="2023-01-05T00:00:00"/>
    <s v="In Transit"/>
    <n v="30"/>
    <n v="2023"/>
    <x v="3"/>
    <n v="2"/>
    <n v="3"/>
    <n v="1"/>
  </r>
  <r>
    <s v="CUST0059"/>
    <s v="Female"/>
    <s v="South"/>
    <s v="Laptop"/>
    <x v="0"/>
    <n v="18"/>
    <n v="1500"/>
    <n v="2"/>
    <n v="3000"/>
    <n v="10.130000000000001"/>
    <d v="2023-06-10T00:00:00"/>
    <s v="Delivered"/>
    <n v="3000"/>
    <n v="2023"/>
    <x v="5"/>
    <n v="24"/>
    <n v="3"/>
    <n v="2"/>
  </r>
  <r>
    <s v="CUST0239"/>
    <s v="Female"/>
    <s v="South"/>
    <s v="Smartphone"/>
    <x v="0"/>
    <n v="35"/>
    <n v="800"/>
    <n v="4"/>
    <n v="3200"/>
    <n v="7.74"/>
    <d v="2023-05-26T00:00:00"/>
    <s v="Delivered"/>
    <n v="3200"/>
    <n v="2023"/>
    <x v="9"/>
    <n v="22"/>
    <n v="3"/>
    <n v="4"/>
  </r>
  <r>
    <s v="CUST0099"/>
    <s v="Male"/>
    <s v="West"/>
    <s v="Smartwatch"/>
    <x v="2"/>
    <n v="49"/>
    <n v="200"/>
    <n v="1"/>
    <n v="200"/>
    <n v="8.2799999999999994"/>
    <d v="2023-10-06T00:00:00"/>
    <s v="In Transit"/>
    <n v="200"/>
    <n v="2023"/>
    <x v="4"/>
    <n v="41"/>
    <n v="3"/>
    <n v="1"/>
  </r>
  <r>
    <s v="CUST0018"/>
    <s v="Female"/>
    <s v="South"/>
    <s v="Monitor"/>
    <x v="0"/>
    <n v="38"/>
    <n v="300"/>
    <n v="2"/>
    <n v="600"/>
    <n v="17.38"/>
    <d v="2023-04-16T00:00:00"/>
    <s v="Delivered"/>
    <n v="600"/>
    <n v="2023"/>
    <x v="1"/>
    <n v="16"/>
    <n v="3"/>
    <n v="2"/>
  </r>
  <r>
    <s v="CUST0028"/>
    <s v="Male"/>
    <s v="West"/>
    <s v="Keyboard"/>
    <x v="1"/>
    <n v="50"/>
    <n v="50"/>
    <n v="4"/>
    <n v="200"/>
    <n v="11.39"/>
    <d v="2023-01-17T00:00:00"/>
    <s v="Delivered"/>
    <n v="200"/>
    <n v="2023"/>
    <x v="3"/>
    <n v="4"/>
    <n v="3"/>
    <n v="4"/>
  </r>
  <r>
    <s v="CUST0159"/>
    <s v="Male"/>
    <s v="South"/>
    <s v="Laptop"/>
    <x v="0"/>
    <n v="18"/>
    <n v="1500"/>
    <n v="3"/>
    <n v="4500"/>
    <n v="18.829999999999998"/>
    <d v="2023-03-22T00:00:00"/>
    <s v="In Transit"/>
    <n v="4500"/>
    <n v="2023"/>
    <x v="11"/>
    <n v="13"/>
    <n v="3"/>
    <n v="3"/>
  </r>
  <r>
    <s v="CUST0053"/>
    <s v="Female"/>
    <s v="South"/>
    <s v="Smartwatch"/>
    <x v="2"/>
    <n v="25"/>
    <n v="200"/>
    <n v="1"/>
    <n v="200"/>
    <n v="6.96"/>
    <d v="2023-11-20T00:00:00"/>
    <s v="Returned"/>
    <n v="200"/>
    <n v="2023"/>
    <x v="10"/>
    <n v="48"/>
    <n v="3"/>
    <n v="1"/>
  </r>
  <r>
    <s v="CUST0015"/>
    <s v="Male"/>
    <s v="North"/>
    <s v="Laptop"/>
    <x v="0"/>
    <n v="58"/>
    <n v="1500"/>
    <n v="5"/>
    <n v="7500"/>
    <n v="6.21"/>
    <d v="2023-07-21T00:00:00"/>
    <s v="Unknown"/>
    <n v="7500"/>
    <n v="2023"/>
    <x v="8"/>
    <n v="30"/>
    <n v="3"/>
    <n v="5"/>
  </r>
  <r>
    <s v="CUST0045"/>
    <s v="Male"/>
    <s v="East"/>
    <s v="Headphones"/>
    <x v="1"/>
    <n v="21"/>
    <n v="100"/>
    <n v="4"/>
    <n v="400"/>
    <n v="18.3"/>
    <d v="2023-07-26T00:00:00"/>
    <s v="Delivered"/>
    <n v="400"/>
    <n v="2023"/>
    <x v="8"/>
    <n v="31"/>
    <n v="3"/>
    <n v="4"/>
  </r>
  <r>
    <s v="CUST0156"/>
    <s v="Male"/>
    <s v="West"/>
    <s v="Laptop"/>
    <x v="0"/>
    <n v="57"/>
    <n v="1500"/>
    <n v="5"/>
    <n v="7500"/>
    <n v="7.57"/>
    <d v="2023-05-18T00:00:00"/>
    <s v="Returned"/>
    <n v="7500"/>
    <n v="2023"/>
    <x v="9"/>
    <n v="21"/>
    <n v="3"/>
    <n v="5"/>
  </r>
  <r>
    <s v="CUST0238"/>
    <s v="Male"/>
    <s v="East"/>
    <s v="Monitor"/>
    <x v="0"/>
    <n v="26"/>
    <n v="621.91212249732996"/>
    <n v="2"/>
    <n v="600"/>
    <n v="7.02"/>
    <d v="2024-01-03T00:00:00"/>
    <s v="In Transit"/>
    <n v="1243.8242449946599"/>
    <n v="2024"/>
    <x v="12"/>
    <n v="1"/>
    <n v="3"/>
    <n v="2"/>
  </r>
  <r>
    <s v="CUST0116"/>
    <s v="Male"/>
    <s v="West"/>
    <s v="Monitor"/>
    <x v="0"/>
    <n v="20"/>
    <n v="300"/>
    <n v="2"/>
    <n v="600"/>
    <n v="11.06"/>
    <d v="2023-08-12T00:00:00"/>
    <s v="Unknown"/>
    <n v="600"/>
    <n v="2023"/>
    <x v="2"/>
    <n v="33"/>
    <n v="3"/>
    <n v="2"/>
  </r>
  <r>
    <s v="CUST0239"/>
    <s v="Female"/>
    <s v="East"/>
    <s v="Mouse"/>
    <x v="1"/>
    <n v="35"/>
    <n v="30"/>
    <n v="5"/>
    <n v="150"/>
    <n v="13.08"/>
    <d v="2023-08-16T00:00:00"/>
    <s v="Delivered"/>
    <n v="150"/>
    <n v="2023"/>
    <x v="2"/>
    <n v="34"/>
    <n v="3"/>
    <n v="5"/>
  </r>
  <r>
    <s v="CUST0268"/>
    <s v="Female"/>
    <s v="South"/>
    <s v="Mouse"/>
    <x v="1"/>
    <n v="21"/>
    <n v="30"/>
    <n v="3"/>
    <n v="90"/>
    <n v="10.49"/>
    <d v="2023-08-11T00:00:00"/>
    <s v="Delivered"/>
    <n v="90"/>
    <n v="2023"/>
    <x v="2"/>
    <n v="33"/>
    <n v="3"/>
    <n v="3"/>
  </r>
  <r>
    <s v="CUST0086"/>
    <s v="Male"/>
    <s v="West"/>
    <s v="Monitor"/>
    <x v="0"/>
    <n v="26"/>
    <n v="300"/>
    <n v="2"/>
    <n v="600"/>
    <n v="12.94"/>
    <d v="2023-01-02T00:00:00"/>
    <s v="Unknown"/>
    <n v="600"/>
    <n v="2023"/>
    <x v="3"/>
    <n v="2"/>
    <n v="3"/>
    <n v="2"/>
  </r>
  <r>
    <s v="CUST0087"/>
    <s v="Female"/>
    <s v="North"/>
    <s v="Laptop"/>
    <x v="0"/>
    <n v="49"/>
    <n v="1500"/>
    <n v="2"/>
    <n v="3000"/>
    <n v="11.24"/>
    <d v="2023-07-28T00:00:00"/>
    <s v="In Transit"/>
    <n v="3000"/>
    <n v="2023"/>
    <x v="8"/>
    <n v="31"/>
    <n v="3"/>
    <n v="2"/>
  </r>
  <r>
    <s v="CUST0077"/>
    <s v="Female"/>
    <s v="North"/>
    <s v="Monitor"/>
    <x v="0"/>
    <n v="49"/>
    <n v="621.91212249732996"/>
    <n v="3"/>
    <n v="900"/>
    <n v="14.86"/>
    <d v="2023-04-27T00:00:00"/>
    <s v="In Transit"/>
    <n v="1865.7363674919898"/>
    <n v="2023"/>
    <x v="1"/>
    <n v="18"/>
    <n v="3"/>
    <n v="3"/>
  </r>
  <r>
    <s v="CUST0122"/>
    <s v="Male"/>
    <s v="East"/>
    <s v="Keyboard"/>
    <x v="1"/>
    <n v="68"/>
    <n v="50"/>
    <n v="2"/>
    <n v="100"/>
    <n v="11.09"/>
    <d v="2023-08-16T00:00:00"/>
    <s v="Unknown"/>
    <n v="100"/>
    <n v="2023"/>
    <x v="2"/>
    <n v="34"/>
    <n v="3"/>
    <n v="2"/>
  </r>
  <r>
    <s v="CUST0242"/>
    <s v="Male"/>
    <s v="South"/>
    <s v="Smartwatch"/>
    <x v="2"/>
    <n v="58"/>
    <n v="200"/>
    <n v="5"/>
    <n v="1000"/>
    <n v="10.84"/>
    <d v="2023-10-22T00:00:00"/>
    <s v="In Transit"/>
    <n v="1000"/>
    <n v="2023"/>
    <x v="4"/>
    <n v="43"/>
    <n v="3"/>
    <n v="5"/>
  </r>
  <r>
    <s v="CUST0079"/>
    <s v="Female"/>
    <s v="North"/>
    <s v="Laptop"/>
    <x v="0"/>
    <n v="26"/>
    <n v="1500"/>
    <n v="4"/>
    <n v="6000"/>
    <n v="5.57"/>
    <d v="2023-08-24T00:00:00"/>
    <s v="In Transit"/>
    <n v="6000"/>
    <n v="2023"/>
    <x v="2"/>
    <n v="35"/>
    <n v="3"/>
    <n v="4"/>
  </r>
  <r>
    <s v="CUST0216"/>
    <s v="Male"/>
    <s v="East"/>
    <s v="Mouse"/>
    <x v="1"/>
    <n v="53"/>
    <n v="30"/>
    <n v="2"/>
    <n v="60"/>
    <n v="8.58"/>
    <d v="2023-10-27T00:00:00"/>
    <s v="Returned"/>
    <n v="60"/>
    <n v="2023"/>
    <x v="4"/>
    <n v="44"/>
    <n v="3"/>
    <n v="2"/>
  </r>
  <r>
    <s v="CUST0016"/>
    <s v="Female"/>
    <s v="West"/>
    <s v="Keyboard"/>
    <x v="1"/>
    <n v="49"/>
    <n v="50"/>
    <n v="3"/>
    <n v="150"/>
    <n v="10.050000000000001"/>
    <d v="2023-11-26T00:00:00"/>
    <s v="In Transit"/>
    <n v="150"/>
    <n v="2023"/>
    <x v="10"/>
    <n v="48"/>
    <n v="3"/>
    <n v="3"/>
  </r>
  <r>
    <s v="CUST0196"/>
    <s v="Male"/>
    <s v="South"/>
    <s v="Smartwatch"/>
    <x v="2"/>
    <n v="37"/>
    <n v="200"/>
    <n v="2"/>
    <n v="400"/>
    <n v="18.38"/>
    <d v="2023-02-17T00:00:00"/>
    <s v="Delivered"/>
    <n v="400"/>
    <n v="2023"/>
    <x v="6"/>
    <n v="8"/>
    <n v="3"/>
    <n v="2"/>
  </r>
  <r>
    <s v="CUST0148"/>
    <s v="Male"/>
    <s v="South"/>
    <s v="Monitor"/>
    <x v="0"/>
    <n v="67"/>
    <n v="300"/>
    <n v="3"/>
    <n v="900"/>
    <n v="19.760000000000002"/>
    <d v="2023-11-09T00:00:00"/>
    <s v="Delivered"/>
    <n v="900"/>
    <n v="2023"/>
    <x v="10"/>
    <n v="46"/>
    <n v="3"/>
    <n v="3"/>
  </r>
  <r>
    <s v="CUST0295"/>
    <s v="Female"/>
    <s v="West"/>
    <s v="Mouse"/>
    <x v="1"/>
    <n v="26"/>
    <n v="30"/>
    <n v="1"/>
    <n v="30"/>
    <n v="13.87"/>
    <d v="2023-06-10T00:00:00"/>
    <s v="In Transit"/>
    <n v="30"/>
    <n v="2023"/>
    <x v="5"/>
    <n v="24"/>
    <n v="3"/>
    <n v="1"/>
  </r>
  <r>
    <s v="CUST0048"/>
    <s v="Male"/>
    <s v="East"/>
    <s v="Smartwatch"/>
    <x v="2"/>
    <n v="34"/>
    <n v="200"/>
    <n v="3"/>
    <n v="600"/>
    <n v="16.93"/>
    <d v="2023-04-13T00:00:00"/>
    <s v="In Transit"/>
    <n v="600"/>
    <n v="2023"/>
    <x v="1"/>
    <n v="16"/>
    <n v="3"/>
    <n v="3"/>
  </r>
  <r>
    <s v="CUST0115"/>
    <s v="Female"/>
    <s v="South"/>
    <s v="Mouse"/>
    <x v="1"/>
    <n v="53"/>
    <n v="30"/>
    <n v="3"/>
    <n v="90"/>
    <n v="6.18"/>
    <d v="2023-04-25T00:00:00"/>
    <s v="Delivered"/>
    <n v="90"/>
    <n v="2023"/>
    <x v="1"/>
    <n v="18"/>
    <n v="3"/>
    <n v="3"/>
  </r>
  <r>
    <s v="CUST0264"/>
    <s v="Female"/>
    <s v="East"/>
    <s v="Smartphone"/>
    <x v="0"/>
    <n v="49"/>
    <n v="800"/>
    <n v="4"/>
    <n v="3200"/>
    <n v="17.440000000000001"/>
    <d v="2023-03-03T00:00:00"/>
    <s v="Delivered"/>
    <n v="3200"/>
    <n v="2023"/>
    <x v="11"/>
    <n v="10"/>
    <n v="3"/>
    <n v="4"/>
  </r>
  <r>
    <s v="CUST0216"/>
    <s v="Male"/>
    <s v="South"/>
    <s v="Monitor"/>
    <x v="0"/>
    <n v="53"/>
    <n v="300"/>
    <n v="3"/>
    <n v="900"/>
    <n v="12.14"/>
    <d v="2023-03-14T00:00:00"/>
    <s v="Returned"/>
    <n v="900"/>
    <n v="2023"/>
    <x v="11"/>
    <n v="12"/>
    <n v="3"/>
    <n v="3"/>
  </r>
  <r>
    <s v="CUST0029"/>
    <s v="Male"/>
    <s v="South"/>
    <s v="Monitor"/>
    <x v="0"/>
    <n v="66"/>
    <n v="300"/>
    <n v="1"/>
    <n v="300"/>
    <n v="17.09"/>
    <d v="2023-04-03T00:00:00"/>
    <s v="In Transit"/>
    <n v="300"/>
    <n v="2023"/>
    <x v="1"/>
    <n v="15"/>
    <n v="3"/>
    <n v="1"/>
  </r>
  <r>
    <s v="CUST0180"/>
    <s v="Male"/>
    <s v="South"/>
    <s v="Keyboard"/>
    <x v="1"/>
    <n v="68"/>
    <n v="50"/>
    <n v="1"/>
    <n v="50"/>
    <n v="11.23"/>
    <d v="2023-04-02T00:00:00"/>
    <s v="Delivered"/>
    <n v="50"/>
    <n v="2023"/>
    <x v="1"/>
    <n v="14"/>
    <n v="3"/>
    <n v="1"/>
  </r>
  <r>
    <s v="CUST0184"/>
    <s v="Female"/>
    <s v="East"/>
    <s v="Smartphone"/>
    <x v="0"/>
    <n v="54"/>
    <n v="800"/>
    <n v="5"/>
    <n v="4000"/>
    <n v="5.41"/>
    <d v="2023-07-08T00:00:00"/>
    <s v="Returned"/>
    <n v="4000"/>
    <n v="2023"/>
    <x v="8"/>
    <n v="28"/>
    <n v="3"/>
    <n v="5"/>
  </r>
  <r>
    <s v="CUST0290"/>
    <s v="Male"/>
    <s v="Unknown"/>
    <s v="Headphones"/>
    <x v="1"/>
    <n v="37"/>
    <n v="100"/>
    <n v="5"/>
    <n v="500"/>
    <n v="6.55"/>
    <d v="2023-04-20T00:00:00"/>
    <s v="Returned"/>
    <n v="500"/>
    <n v="2023"/>
    <x v="1"/>
    <n v="17"/>
    <n v="3"/>
    <n v="5"/>
  </r>
  <r>
    <s v="CUST0228"/>
    <s v="Female"/>
    <s v="East"/>
    <s v="Smartwatch"/>
    <x v="2"/>
    <n v="25"/>
    <n v="200"/>
    <n v="2"/>
    <n v="400"/>
    <n v="6.46"/>
    <d v="2023-10-19T00:00:00"/>
    <s v="In Transit"/>
    <n v="400"/>
    <n v="2023"/>
    <x v="4"/>
    <n v="43"/>
    <n v="3"/>
    <n v="2"/>
  </r>
  <r>
    <s v="CUST0243"/>
    <s v="Male"/>
    <s v="West"/>
    <s v="Monitor"/>
    <x v="0"/>
    <n v="58"/>
    <n v="300"/>
    <n v="4"/>
    <n v="1200"/>
    <n v="14.16"/>
    <d v="2023-05-14T00:00:00"/>
    <s v="Unknown"/>
    <n v="1200"/>
    <n v="2023"/>
    <x v="9"/>
    <n v="20"/>
    <n v="3"/>
    <n v="4"/>
  </r>
  <r>
    <s v="CUST0242"/>
    <s v="Female"/>
    <s v="North"/>
    <s v="Smartwatch"/>
    <x v="2"/>
    <n v="58"/>
    <n v="200"/>
    <n v="3"/>
    <n v="600"/>
    <n v="14.74"/>
    <d v="2023-09-29T00:00:00"/>
    <s v="Returned"/>
    <n v="600"/>
    <n v="2023"/>
    <x v="7"/>
    <n v="40"/>
    <n v="3"/>
    <n v="3"/>
  </r>
  <r>
    <s v="CUST0142"/>
    <s v="Male"/>
    <s v="South"/>
    <s v="Laptop"/>
    <x v="0"/>
    <n v="32"/>
    <n v="1500"/>
    <n v="1"/>
    <n v="1500"/>
    <n v="6.92"/>
    <d v="2023-12-26T00:00:00"/>
    <s v="In Transit"/>
    <n v="1500"/>
    <n v="2023"/>
    <x v="0"/>
    <n v="53"/>
    <n v="3"/>
    <n v="1"/>
  </r>
  <r>
    <s v="CUST0131"/>
    <s v="Male"/>
    <s v="East"/>
    <s v="Mouse"/>
    <x v="1"/>
    <n v="67"/>
    <n v="30"/>
    <n v="1"/>
    <n v="30"/>
    <n v="13.84"/>
    <d v="2023-06-08T00:00:00"/>
    <s v="Delivered"/>
    <n v="30"/>
    <n v="2023"/>
    <x v="5"/>
    <n v="24"/>
    <n v="3"/>
    <n v="1"/>
  </r>
  <r>
    <s v="CUST0126"/>
    <s v="Male"/>
    <s v="North"/>
    <s v="Keyboard"/>
    <x v="1"/>
    <n v="66"/>
    <n v="50"/>
    <n v="4"/>
    <n v="200"/>
    <n v="10.69"/>
    <d v="2023-06-03T00:00:00"/>
    <s v="Delivered"/>
    <n v="200"/>
    <n v="2023"/>
    <x v="5"/>
    <n v="23"/>
    <n v="3"/>
    <n v="4"/>
  </r>
  <r>
    <s v="CUST0265"/>
    <s v="Male"/>
    <s v="West"/>
    <s v="Headphones"/>
    <x v="1"/>
    <n v="38"/>
    <n v="100"/>
    <n v="3"/>
    <n v="300"/>
    <n v="8.1999999999999993"/>
    <d v="2023-11-30T00:00:00"/>
    <s v="Returned"/>
    <n v="300"/>
    <n v="2023"/>
    <x v="10"/>
    <n v="49"/>
    <n v="3"/>
    <n v="3"/>
  </r>
  <r>
    <s v="CUST0003"/>
    <s v="Male"/>
    <s v="North"/>
    <s v="Mouse"/>
    <x v="1"/>
    <n v="63"/>
    <n v="30"/>
    <n v="3"/>
    <n v="90"/>
    <n v="9.0399999999999991"/>
    <d v="2023-02-14T00:00:00"/>
    <s v="Delivered"/>
    <n v="90"/>
    <n v="2023"/>
    <x v="6"/>
    <n v="8"/>
    <n v="3"/>
    <n v="3"/>
  </r>
  <r>
    <s v="CUST0212"/>
    <s v="Male"/>
    <s v="West"/>
    <s v="Keyboard"/>
    <x v="1"/>
    <n v="62"/>
    <n v="50"/>
    <n v="2"/>
    <n v="100"/>
    <n v="8.68"/>
    <d v="2023-07-02T00:00:00"/>
    <s v="In Transit"/>
    <n v="100"/>
    <n v="2023"/>
    <x v="8"/>
    <n v="27"/>
    <n v="3"/>
    <n v="2"/>
  </r>
  <r>
    <s v="CUST0106"/>
    <s v="Female"/>
    <s v="West"/>
    <s v="Smartphone"/>
    <x v="0"/>
    <n v="50"/>
    <n v="800"/>
    <n v="1"/>
    <n v="800"/>
    <n v="7.34"/>
    <d v="2023-06-13T00:00:00"/>
    <s v="In Transit"/>
    <n v="800"/>
    <n v="2023"/>
    <x v="5"/>
    <n v="25"/>
    <n v="3"/>
    <n v="1"/>
  </r>
  <r>
    <s v="CUST0118"/>
    <s v="Male"/>
    <s v="West"/>
    <s v="Monitor"/>
    <x v="0"/>
    <n v="23"/>
    <n v="300"/>
    <n v="4"/>
    <n v="1200"/>
    <n v="11.76"/>
    <d v="2023-03-28T00:00:00"/>
    <s v="Returned"/>
    <n v="1200"/>
    <n v="2023"/>
    <x v="11"/>
    <n v="14"/>
    <n v="3"/>
    <n v="4"/>
  </r>
  <r>
    <s v="CUST0126"/>
    <s v="Male"/>
    <s v="East"/>
    <s v="Headphones"/>
    <x v="1"/>
    <n v="66"/>
    <n v="100"/>
    <n v="5"/>
    <n v="500"/>
    <n v="5.4"/>
    <d v="2023-12-24T00:00:00"/>
    <s v="Returned"/>
    <n v="500"/>
    <n v="2023"/>
    <x v="0"/>
    <n v="52"/>
    <n v="3"/>
    <n v="5"/>
  </r>
  <r>
    <s v="CUST0292"/>
    <s v="Male"/>
    <s v="South"/>
    <s v="Mouse"/>
    <x v="1"/>
    <n v="21"/>
    <n v="30"/>
    <n v="4"/>
    <n v="120"/>
    <n v="13.68"/>
    <d v="2023-05-24T00:00:00"/>
    <s v="Delivered"/>
    <n v="120"/>
    <n v="2023"/>
    <x v="9"/>
    <n v="22"/>
    <n v="3"/>
    <n v="4"/>
  </r>
  <r>
    <s v="CUST0291"/>
    <s v="Female"/>
    <s v="South"/>
    <s v="Monitor"/>
    <x v="0"/>
    <n v="49"/>
    <n v="300"/>
    <n v="3"/>
    <n v="900"/>
    <n v="15.81"/>
    <d v="2023-05-21T00:00:00"/>
    <s v="In Transit"/>
    <n v="900"/>
    <n v="2023"/>
    <x v="9"/>
    <n v="21"/>
    <n v="3"/>
    <n v="3"/>
  </r>
  <r>
    <s v="CUST0085"/>
    <s v="Female"/>
    <s v="North"/>
    <s v="Keyboard"/>
    <x v="1"/>
    <n v="18"/>
    <n v="50"/>
    <n v="5"/>
    <n v="250"/>
    <n v="16"/>
    <d v="2023-01-05T00:00:00"/>
    <s v="Delivered"/>
    <n v="250"/>
    <n v="2023"/>
    <x v="3"/>
    <n v="2"/>
    <n v="3"/>
    <n v="5"/>
  </r>
  <r>
    <s v="CUST0166"/>
    <s v="Female"/>
    <s v="West"/>
    <s v="Mouse"/>
    <x v="1"/>
    <n v="29"/>
    <n v="30"/>
    <n v="4"/>
    <n v="120"/>
    <n v="11.36"/>
    <d v="2023-11-19T00:00:00"/>
    <s v="Returned"/>
    <n v="120"/>
    <n v="2023"/>
    <x v="10"/>
    <n v="47"/>
    <n v="3"/>
    <n v="4"/>
  </r>
  <r>
    <s v="CUST0040"/>
    <s v="Female"/>
    <s v="East"/>
    <s v="Keyboard"/>
    <x v="1"/>
    <n v="49"/>
    <n v="50"/>
    <n v="5"/>
    <n v="250"/>
    <n v="10.46"/>
    <d v="2023-08-02T00:00:00"/>
    <s v="Returned"/>
    <n v="250"/>
    <n v="2023"/>
    <x v="2"/>
    <n v="32"/>
    <n v="3"/>
    <n v="5"/>
  </r>
  <r>
    <s v="CUST0295"/>
    <s v="Male"/>
    <s v="North"/>
    <s v="Monitor"/>
    <x v="0"/>
    <n v="49"/>
    <n v="300"/>
    <n v="1"/>
    <n v="300"/>
    <n v="9.06"/>
    <d v="2023-06-16T00:00:00"/>
    <s v="Returned"/>
    <n v="300"/>
    <n v="2023"/>
    <x v="5"/>
    <n v="25"/>
    <n v="3"/>
    <n v="1"/>
  </r>
  <r>
    <s v="CUST0059"/>
    <s v="Female"/>
    <s v="South"/>
    <s v="Mouse"/>
    <x v="1"/>
    <n v="18"/>
    <n v="30"/>
    <n v="3"/>
    <n v="90"/>
    <n v="8.3000000000000007"/>
    <d v="2023-02-06T00:00:00"/>
    <s v="Unknown"/>
    <n v="90"/>
    <n v="2023"/>
    <x v="6"/>
    <n v="7"/>
    <n v="3"/>
    <n v="3"/>
  </r>
  <r>
    <s v="CUST0281"/>
    <s v="Female"/>
    <s v="East"/>
    <s v="Headphones"/>
    <x v="1"/>
    <n v="44"/>
    <n v="100"/>
    <n v="3"/>
    <n v="300"/>
    <n v="13.94"/>
    <d v="2023-09-28T00:00:00"/>
    <s v="In Transit"/>
    <n v="300"/>
    <n v="2023"/>
    <x v="7"/>
    <n v="40"/>
    <n v="3"/>
    <n v="3"/>
  </r>
  <r>
    <s v="CUST0019"/>
    <s v="Male"/>
    <s v="South"/>
    <s v="Smartphone"/>
    <x v="0"/>
    <n v="69"/>
    <n v="800"/>
    <n v="4"/>
    <n v="3200"/>
    <n v="19.420000000000002"/>
    <d v="2023-11-07T00:00:00"/>
    <s v="Delivered"/>
    <n v="3200"/>
    <n v="2023"/>
    <x v="10"/>
    <n v="46"/>
    <n v="3"/>
    <n v="4"/>
  </r>
  <r>
    <s v="CUST0004"/>
    <s v="Male"/>
    <s v="North"/>
    <s v="Keyboard"/>
    <x v="1"/>
    <n v="65"/>
    <n v="50"/>
    <n v="5"/>
    <n v="250"/>
    <n v="5.92"/>
    <d v="2023-04-04T00:00:00"/>
    <s v="Returned"/>
    <n v="250"/>
    <n v="2023"/>
    <x v="1"/>
    <n v="15"/>
    <n v="3"/>
    <n v="5"/>
  </r>
  <r>
    <s v="CUST0279"/>
    <s v="Female"/>
    <s v="West"/>
    <s v="Smartphone"/>
    <x v="0"/>
    <n v="59"/>
    <n v="800"/>
    <n v="5"/>
    <n v="4000"/>
    <n v="15.22"/>
    <d v="2023-11-24T00:00:00"/>
    <s v="Delivered"/>
    <n v="4000"/>
    <n v="2023"/>
    <x v="10"/>
    <n v="48"/>
    <n v="3"/>
    <n v="5"/>
  </r>
  <r>
    <s v="CUST0069"/>
    <s v="Female"/>
    <s v="East"/>
    <s v="Headphones"/>
    <x v="1"/>
    <n v="66"/>
    <n v="100"/>
    <n v="2"/>
    <n v="200"/>
    <n v="8.65"/>
    <d v="2023-09-19T00:00:00"/>
    <s v="In Transit"/>
    <n v="200"/>
    <n v="2023"/>
    <x v="7"/>
    <n v="39"/>
    <n v="3"/>
    <n v="2"/>
  </r>
  <r>
    <s v="CUST0004"/>
    <s v="Male"/>
    <s v="North"/>
    <s v="Monitor"/>
    <x v="0"/>
    <n v="65"/>
    <n v="300"/>
    <n v="3"/>
    <n v="900"/>
    <n v="9.31"/>
    <d v="2023-02-14T00:00:00"/>
    <s v="In Transit"/>
    <n v="900"/>
    <n v="2023"/>
    <x v="6"/>
    <n v="8"/>
    <n v="3"/>
    <n v="3"/>
  </r>
  <r>
    <s v="CUST0060"/>
    <s v="Male"/>
    <s v="South"/>
    <s v="Keyboard"/>
    <x v="1"/>
    <n v="41"/>
    <n v="50"/>
    <n v="3"/>
    <n v="150"/>
    <n v="5.55"/>
    <d v="2023-03-13T00:00:00"/>
    <s v="Delivered"/>
    <n v="150"/>
    <n v="2023"/>
    <x v="11"/>
    <n v="12"/>
    <n v="3"/>
    <n v="3"/>
  </r>
  <r>
    <s v="CUST0154"/>
    <s v="Male"/>
    <s v="North"/>
    <s v="Mouse"/>
    <x v="1"/>
    <n v="31"/>
    <n v="30"/>
    <n v="1"/>
    <n v="30"/>
    <n v="9.26"/>
    <d v="2023-08-24T00:00:00"/>
    <s v="Returned"/>
    <n v="30"/>
    <n v="2023"/>
    <x v="2"/>
    <n v="35"/>
    <n v="3"/>
    <n v="1"/>
  </r>
  <r>
    <s v="CUST0259"/>
    <s v="Male"/>
    <s v="East"/>
    <s v="Monitor"/>
    <x v="0"/>
    <n v="59"/>
    <n v="300"/>
    <n v="3"/>
    <n v="900"/>
    <n v="19.36"/>
    <d v="2023-05-01T00:00:00"/>
    <s v="Delivered"/>
    <n v="900"/>
    <n v="2023"/>
    <x v="9"/>
    <n v="19"/>
    <n v="3"/>
    <n v="3"/>
  </r>
  <r>
    <s v="CUST0203"/>
    <s v="Female"/>
    <s v="East"/>
    <s v="Laptop"/>
    <x v="0"/>
    <n v="49"/>
    <n v="1500"/>
    <n v="5"/>
    <n v="7500"/>
    <n v="16.440000000000001"/>
    <d v="2023-09-23T00:00:00"/>
    <s v="In Transit"/>
    <n v="7500"/>
    <n v="2023"/>
    <x v="7"/>
    <n v="39"/>
    <n v="3"/>
    <n v="5"/>
  </r>
  <r>
    <s v="CUST0241"/>
    <s v="Female"/>
    <s v="West"/>
    <s v="Smartphone"/>
    <x v="0"/>
    <n v="27"/>
    <n v="800"/>
    <n v="4"/>
    <n v="3200"/>
    <n v="13.94"/>
    <d v="2023-02-03T00:00:00"/>
    <s v="In Transit"/>
    <n v="3200"/>
    <n v="2023"/>
    <x v="6"/>
    <n v="6"/>
    <n v="3"/>
    <n v="4"/>
  </r>
  <r>
    <s v="CUST0004"/>
    <s v="Female"/>
    <s v="West"/>
    <s v="Smartphone"/>
    <x v="0"/>
    <n v="65"/>
    <n v="800"/>
    <n v="5"/>
    <n v="4000"/>
    <n v="15.8"/>
    <d v="2023-12-29T00:00:00"/>
    <s v="Returned"/>
    <n v="4000"/>
    <n v="2023"/>
    <x v="0"/>
    <n v="53"/>
    <n v="3"/>
    <n v="5"/>
  </r>
  <r>
    <s v="CUST0031"/>
    <s v="Male"/>
    <s v="West"/>
    <s v="Smartphone"/>
    <x v="0"/>
    <n v="67"/>
    <n v="800"/>
    <n v="3"/>
    <n v="2400"/>
    <n v="7.05"/>
    <d v="2023-12-14T00:00:00"/>
    <s v="In Transit"/>
    <n v="2400"/>
    <n v="2023"/>
    <x v="0"/>
    <n v="51"/>
    <n v="3"/>
    <n v="3"/>
  </r>
  <r>
    <s v="CUST0144"/>
    <s v="Male"/>
    <s v="West"/>
    <s v="Mouse"/>
    <x v="1"/>
    <n v="54"/>
    <n v="30"/>
    <n v="4"/>
    <n v="120"/>
    <n v="14.5"/>
    <d v="2023-02-13T00:00:00"/>
    <s v="Delivered"/>
    <n v="120"/>
    <n v="2023"/>
    <x v="6"/>
    <n v="8"/>
    <n v="3"/>
    <n v="4"/>
  </r>
  <r>
    <s v="CUST0031"/>
    <s v="Female"/>
    <s v="East"/>
    <s v="Mouse"/>
    <x v="1"/>
    <n v="67"/>
    <n v="30"/>
    <n v="2"/>
    <n v="60"/>
    <n v="12.54"/>
    <d v="2023-03-26T00:00:00"/>
    <s v="Unknown"/>
    <n v="60"/>
    <n v="2023"/>
    <x v="11"/>
    <n v="13"/>
    <n v="3"/>
    <n v="2"/>
  </r>
  <r>
    <s v="CUST0218"/>
    <s v="Male"/>
    <s v="East"/>
    <s v="Smartphone"/>
    <x v="0"/>
    <n v="36"/>
    <n v="800"/>
    <n v="2"/>
    <n v="1600"/>
    <n v="16.62"/>
    <d v="2023-08-03T00:00:00"/>
    <s v="In Transit"/>
    <n v="1600"/>
    <n v="2023"/>
    <x v="2"/>
    <n v="32"/>
    <n v="3"/>
    <n v="2"/>
  </r>
  <r>
    <s v="CUST0234"/>
    <s v="Male"/>
    <s v="South"/>
    <s v="Laptop"/>
    <x v="0"/>
    <n v="44"/>
    <n v="1500"/>
    <n v="5"/>
    <n v="7500"/>
    <n v="18.670000000000002"/>
    <d v="2023-09-12T00:00:00"/>
    <s v="Returned"/>
    <n v="7500"/>
    <n v="2023"/>
    <x v="7"/>
    <n v="38"/>
    <n v="3"/>
    <n v="5"/>
  </r>
  <r>
    <s v="CUST0050"/>
    <s v="Female"/>
    <s v="West"/>
    <s v="Laptop"/>
    <x v="0"/>
    <n v="40"/>
    <n v="1500"/>
    <n v="1"/>
    <n v="1500"/>
    <n v="13.51"/>
    <d v="2023-07-21T00:00:00"/>
    <s v="Delivered"/>
    <n v="1500"/>
    <n v="2023"/>
    <x v="8"/>
    <n v="30"/>
    <n v="3"/>
    <n v="1"/>
  </r>
  <r>
    <s v="CUST0140"/>
    <s v="Male"/>
    <s v="South"/>
    <s v="Mouse"/>
    <x v="1"/>
    <n v="50"/>
    <n v="30"/>
    <n v="3"/>
    <n v="90"/>
    <n v="12.43"/>
    <d v="2023-01-05T00:00:00"/>
    <s v="Delivered"/>
    <n v="90"/>
    <n v="2023"/>
    <x v="3"/>
    <n v="2"/>
    <n v="3"/>
    <n v="3"/>
  </r>
  <r>
    <s v="CUST0044"/>
    <s v="Male"/>
    <s v="South"/>
    <s v="Smartwatch"/>
    <x v="2"/>
    <n v="30"/>
    <n v="200"/>
    <n v="4"/>
    <n v="800"/>
    <n v="13.9"/>
    <d v="2023-06-28T00:00:00"/>
    <s v="Returned"/>
    <n v="800"/>
    <n v="2023"/>
    <x v="5"/>
    <n v="27"/>
    <n v="3"/>
    <n v="4"/>
  </r>
  <r>
    <s v="CUST0202"/>
    <s v="Male"/>
    <s v="South"/>
    <s v="Smartwatch"/>
    <x v="2"/>
    <n v="56"/>
    <n v="200"/>
    <n v="3"/>
    <n v="600"/>
    <n v="19.03"/>
    <d v="2024-01-03T00:00:00"/>
    <s v="In Transit"/>
    <n v="600"/>
    <n v="2024"/>
    <x v="12"/>
    <n v="1"/>
    <n v="3"/>
    <n v="3"/>
  </r>
  <r>
    <s v="CUST0093"/>
    <s v="Female"/>
    <s v="North"/>
    <s v="Monitor"/>
    <x v="0"/>
    <n v="66"/>
    <n v="300"/>
    <n v="5"/>
    <n v="1500"/>
    <n v="18.920000000000002"/>
    <d v="2023-05-03T00:00:00"/>
    <s v="Delivered"/>
    <n v="1500"/>
    <n v="2023"/>
    <x v="9"/>
    <n v="19"/>
    <n v="3"/>
    <n v="5"/>
  </r>
  <r>
    <s v="CUST0258"/>
    <s v="Female"/>
    <s v="West"/>
    <s v="Monitor"/>
    <x v="0"/>
    <n v="39"/>
    <n v="300"/>
    <n v="1"/>
    <n v="300"/>
    <n v="9.0399999999999991"/>
    <d v="2023-07-23T00:00:00"/>
    <s v="Delivered"/>
    <n v="300"/>
    <n v="2023"/>
    <x v="8"/>
    <n v="30"/>
    <n v="3"/>
    <n v="1"/>
  </r>
  <r>
    <s v="CUST0133"/>
    <s v="Female"/>
    <s v="East"/>
    <s v="Smartwatch"/>
    <x v="2"/>
    <n v="47"/>
    <n v="200"/>
    <n v="1"/>
    <n v="200"/>
    <n v="12.27"/>
    <d v="2023-12-13T00:00:00"/>
    <s v="In Transit"/>
    <n v="200"/>
    <n v="2023"/>
    <x v="0"/>
    <n v="51"/>
    <n v="3"/>
    <n v="1"/>
  </r>
  <r>
    <s v="CUST0271"/>
    <s v="Male"/>
    <s v="South"/>
    <s v="Keyboard"/>
    <x v="1"/>
    <n v="46"/>
    <n v="50"/>
    <n v="5"/>
    <n v="250"/>
    <n v="19.63"/>
    <d v="2023-05-22T00:00:00"/>
    <s v="In Transit"/>
    <n v="250"/>
    <n v="2023"/>
    <x v="9"/>
    <n v="22"/>
    <n v="3"/>
    <n v="5"/>
  </r>
  <r>
    <s v="CUST0121"/>
    <s v="Female"/>
    <s v="North"/>
    <s v="Keyboard"/>
    <x v="1"/>
    <n v="66"/>
    <n v="50"/>
    <n v="3"/>
    <n v="150"/>
    <n v="10.210000000000001"/>
    <d v="2023-12-12T00:00:00"/>
    <s v="Returned"/>
    <n v="150"/>
    <n v="2023"/>
    <x v="0"/>
    <n v="51"/>
    <n v="3"/>
    <n v="3"/>
  </r>
  <r>
    <s v="CUST0028"/>
    <s v="Male"/>
    <s v="East"/>
    <s v="Monitor"/>
    <x v="0"/>
    <n v="50"/>
    <n v="300"/>
    <n v="4"/>
    <n v="1200"/>
    <n v="14.64"/>
    <d v="2023-01-28T00:00:00"/>
    <s v="In Transit"/>
    <n v="1200"/>
    <n v="2023"/>
    <x v="3"/>
    <n v="5"/>
    <n v="3"/>
    <n v="4"/>
  </r>
  <r>
    <s v="CUST0125"/>
    <s v="Male"/>
    <s v="East"/>
    <s v="Smartwatch"/>
    <x v="2"/>
    <n v="49"/>
    <n v="200"/>
    <n v="3"/>
    <n v="600"/>
    <n v="6.36"/>
    <d v="2023-11-28T00:00:00"/>
    <s v="Returned"/>
    <n v="600"/>
    <n v="2023"/>
    <x v="10"/>
    <n v="49"/>
    <n v="3"/>
    <n v="3"/>
  </r>
  <r>
    <s v="CUST0137"/>
    <s v="Female"/>
    <s v="East"/>
    <s v="Monitor"/>
    <x v="0"/>
    <n v="19"/>
    <n v="300"/>
    <n v="3"/>
    <n v="900"/>
    <n v="9.7899999999999991"/>
    <d v="2023-12-02T00:00:00"/>
    <s v="Delivered"/>
    <n v="900"/>
    <n v="2023"/>
    <x v="0"/>
    <n v="49"/>
    <n v="3"/>
    <n v="3"/>
  </r>
  <r>
    <s v="CUST0240"/>
    <s v="Male"/>
    <s v="West"/>
    <s v="Keyboard"/>
    <x v="1"/>
    <n v="39"/>
    <n v="50"/>
    <n v="1"/>
    <n v="50"/>
    <n v="6.14"/>
    <d v="2023-05-29T00:00:00"/>
    <s v="Delivered"/>
    <n v="50"/>
    <n v="2023"/>
    <x v="9"/>
    <n v="23"/>
    <n v="3"/>
    <n v="1"/>
  </r>
  <r>
    <s v="CUST0268"/>
    <s v="Male"/>
    <s v="East"/>
    <s v="Monitor"/>
    <x v="0"/>
    <n v="21"/>
    <n v="300"/>
    <n v="4"/>
    <n v="1200"/>
    <n v="10.029999999999999"/>
    <d v="2023-05-16T00:00:00"/>
    <s v="In Transit"/>
    <n v="1200"/>
    <n v="2023"/>
    <x v="9"/>
    <n v="21"/>
    <n v="3"/>
    <n v="4"/>
  </r>
  <r>
    <s v="CUST0066"/>
    <s v="Female"/>
    <s v="South"/>
    <s v="Headphones"/>
    <x v="1"/>
    <n v="37"/>
    <n v="100"/>
    <n v="3"/>
    <n v="300"/>
    <n v="9.91"/>
    <d v="2023-08-01T00:00:00"/>
    <s v="In Transit"/>
    <n v="300"/>
    <n v="2023"/>
    <x v="2"/>
    <n v="32"/>
    <n v="3"/>
    <n v="3"/>
  </r>
  <r>
    <s v="CUST0068"/>
    <s v="Male"/>
    <s v="South"/>
    <s v="Mouse"/>
    <x v="1"/>
    <n v="64"/>
    <n v="30"/>
    <n v="1"/>
    <n v="30"/>
    <n v="19.22"/>
    <d v="2023-07-31T00:00:00"/>
    <s v="In Transit"/>
    <n v="30"/>
    <n v="2023"/>
    <x v="8"/>
    <n v="32"/>
    <n v="3"/>
    <n v="1"/>
  </r>
  <r>
    <s v="CUST0221"/>
    <s v="Male"/>
    <s v="North"/>
    <s v="Keyboard"/>
    <x v="1"/>
    <n v="49"/>
    <n v="50"/>
    <n v="3"/>
    <n v="150"/>
    <n v="10.81"/>
    <d v="2023-07-11T00:00:00"/>
    <s v="In Transit"/>
    <n v="150"/>
    <n v="2023"/>
    <x v="8"/>
    <n v="29"/>
    <n v="3"/>
    <n v="3"/>
  </r>
  <r>
    <s v="CUST0266"/>
    <s v="Male"/>
    <s v="North"/>
    <s v="Laptop"/>
    <x v="0"/>
    <n v="29"/>
    <n v="1500"/>
    <n v="2"/>
    <n v="3000"/>
    <n v="16.23"/>
    <d v="2023-01-26T00:00:00"/>
    <s v="Delivered"/>
    <n v="3000"/>
    <n v="2023"/>
    <x v="3"/>
    <n v="5"/>
    <n v="3"/>
    <n v="2"/>
  </r>
  <r>
    <s v="CUST0129"/>
    <s v="Male"/>
    <s v="South"/>
    <s v="Smartphone"/>
    <x v="0"/>
    <n v="49"/>
    <n v="800"/>
    <n v="5"/>
    <n v="4000"/>
    <n v="15.97"/>
    <d v="2023-11-14T00:00:00"/>
    <s v="Delivered"/>
    <n v="4000"/>
    <n v="2023"/>
    <x v="10"/>
    <n v="47"/>
    <n v="3"/>
    <n v="5"/>
  </r>
  <r>
    <s v="CUST0113"/>
    <s v="Male"/>
    <s v="South"/>
    <s v="Monitor"/>
    <x v="0"/>
    <n v="38"/>
    <n v="300"/>
    <n v="5"/>
    <n v="1500"/>
    <n v="19.39"/>
    <d v="2023-02-26T00:00:00"/>
    <s v="Returned"/>
    <n v="1500"/>
    <n v="2023"/>
    <x v="6"/>
    <n v="9"/>
    <n v="3"/>
    <n v="5"/>
  </r>
  <r>
    <s v="CUST0240"/>
    <s v="Male"/>
    <s v="West"/>
    <s v="Smartphone"/>
    <x v="0"/>
    <n v="39"/>
    <n v="800"/>
    <n v="3"/>
    <n v="2400"/>
    <n v="9.92"/>
    <d v="2023-07-26T00:00:00"/>
    <s v="In Transit"/>
    <n v="2400"/>
    <n v="2023"/>
    <x v="8"/>
    <n v="31"/>
    <n v="3"/>
    <n v="3"/>
  </r>
  <r>
    <s v="CUST0003"/>
    <s v="Male"/>
    <s v="South"/>
    <s v="Smartwatch"/>
    <x v="2"/>
    <n v="63"/>
    <n v="200"/>
    <n v="4"/>
    <n v="800"/>
    <n v="10.23"/>
    <d v="2023-06-07T00:00:00"/>
    <s v="In Transit"/>
    <n v="800"/>
    <n v="2023"/>
    <x v="5"/>
    <n v="24"/>
    <n v="3"/>
    <n v="4"/>
  </r>
  <r>
    <s v="CUST0272"/>
    <s v="Female"/>
    <s v="South"/>
    <s v="Smartphone"/>
    <x v="0"/>
    <n v="52"/>
    <n v="800"/>
    <n v="1"/>
    <n v="800"/>
    <n v="10.65"/>
    <d v="2023-05-29T00:00:00"/>
    <s v="Delivered"/>
    <n v="800"/>
    <n v="2023"/>
    <x v="9"/>
    <n v="23"/>
    <n v="3"/>
    <n v="1"/>
  </r>
  <r>
    <s v="CUST0276"/>
    <s v="Male"/>
    <s v="South"/>
    <s v="Monitor"/>
    <x v="0"/>
    <n v="66"/>
    <n v="300"/>
    <n v="5"/>
    <n v="1500"/>
    <n v="8.06"/>
    <d v="2023-06-11T00:00:00"/>
    <s v="Delivered"/>
    <n v="1500"/>
    <n v="2023"/>
    <x v="5"/>
    <n v="24"/>
    <n v="3"/>
    <n v="5"/>
  </r>
  <r>
    <s v="CUST0209"/>
    <s v="Male"/>
    <s v="North"/>
    <s v="Keyboard"/>
    <x v="1"/>
    <n v="63"/>
    <n v="50"/>
    <n v="5"/>
    <n v="250"/>
    <n v="5.88"/>
    <d v="2023-02-12T00:00:00"/>
    <s v="Delivered"/>
    <n v="250"/>
    <n v="2023"/>
    <x v="6"/>
    <n v="7"/>
    <n v="3"/>
    <n v="5"/>
  </r>
  <r>
    <s v="CUST0014"/>
    <s v="Male"/>
    <s v="South"/>
    <s v="Monitor"/>
    <x v="0"/>
    <n v="20"/>
    <n v="300"/>
    <n v="1"/>
    <n v="300"/>
    <n v="7.32"/>
    <d v="2023-12-18T00:00:00"/>
    <s v="Returned"/>
    <n v="300"/>
    <n v="2023"/>
    <x v="0"/>
    <n v="52"/>
    <n v="3"/>
    <n v="1"/>
  </r>
  <r>
    <s v="CUST0186"/>
    <s v="Male"/>
    <s v="South"/>
    <s v="Smartphone"/>
    <x v="0"/>
    <n v="55"/>
    <n v="800"/>
    <n v="1"/>
    <n v="800"/>
    <n v="18.739999999999998"/>
    <d v="2023-07-17T00:00:00"/>
    <s v="Returned"/>
    <n v="800"/>
    <n v="2023"/>
    <x v="8"/>
    <n v="30"/>
    <n v="3"/>
    <n v="1"/>
  </r>
  <r>
    <s v="CUST0198"/>
    <s v="Male"/>
    <s v="East"/>
    <s v="Laptop"/>
    <x v="0"/>
    <n v="56"/>
    <n v="1500"/>
    <n v="2"/>
    <n v="3000"/>
    <n v="19.05"/>
    <d v="2023-05-20T00:00:00"/>
    <s v="Returned"/>
    <n v="3000"/>
    <n v="2023"/>
    <x v="9"/>
    <n v="21"/>
    <n v="3"/>
    <n v="2"/>
  </r>
  <r>
    <s v="CUST0043"/>
    <s v="Male"/>
    <s v="North"/>
    <s v="Keyboard"/>
    <x v="1"/>
    <n v="22"/>
    <n v="50"/>
    <n v="4"/>
    <n v="200"/>
    <n v="11.99"/>
    <d v="2023-01-04T00:00:00"/>
    <s v="Delivered"/>
    <n v="200"/>
    <n v="2023"/>
    <x v="3"/>
    <n v="2"/>
    <n v="3"/>
    <n v="4"/>
  </r>
  <r>
    <s v="CUST0071"/>
    <s v="Male"/>
    <s v="East"/>
    <s v="Monitor"/>
    <x v="0"/>
    <n v="46"/>
    <n v="300"/>
    <n v="1"/>
    <n v="300"/>
    <n v="6.17"/>
    <d v="2023-12-10T00:00:00"/>
    <s v="In Transit"/>
    <n v="300"/>
    <n v="2023"/>
    <x v="0"/>
    <n v="50"/>
    <n v="3"/>
    <n v="1"/>
  </r>
  <r>
    <s v="CUST0131"/>
    <s v="Female"/>
    <s v="East"/>
    <s v="Smartphone"/>
    <x v="0"/>
    <n v="67"/>
    <n v="800"/>
    <n v="3"/>
    <n v="2400"/>
    <n v="7.3"/>
    <d v="2023-11-17T00:00:00"/>
    <s v="In Transit"/>
    <n v="2400"/>
    <n v="2023"/>
    <x v="10"/>
    <n v="47"/>
    <n v="3"/>
    <n v="3"/>
  </r>
  <r>
    <s v="CUST0131"/>
    <s v="Female"/>
    <s v="North"/>
    <s v="Laptop"/>
    <x v="0"/>
    <n v="67"/>
    <n v="3109.5606124866499"/>
    <n v="4"/>
    <n v="6000"/>
    <n v="18.27"/>
    <d v="2023-08-26T00:00:00"/>
    <s v="Unknown"/>
    <n v="12438.2424499466"/>
    <n v="2023"/>
    <x v="2"/>
    <n v="35"/>
    <n v="3"/>
    <n v="4"/>
  </r>
  <r>
    <s v="CUST0232"/>
    <s v="Female"/>
    <s v="Unknown"/>
    <s v="Laptop"/>
    <x v="0"/>
    <n v="44"/>
    <n v="1500"/>
    <n v="1"/>
    <n v="1500"/>
    <n v="12.37"/>
    <d v="2023-02-10T00:00:00"/>
    <s v="In Transit"/>
    <n v="1500"/>
    <n v="2023"/>
    <x v="6"/>
    <n v="7"/>
    <n v="3"/>
    <n v="1"/>
  </r>
  <r>
    <s v="CUST0109"/>
    <s v="Male"/>
    <s v="South"/>
    <s v="Smartwatch"/>
    <x v="2"/>
    <n v="57"/>
    <n v="200"/>
    <n v="3"/>
    <n v="600"/>
    <n v="5.88"/>
    <d v="2023-01-10T00:00:00"/>
    <s v="Delivered"/>
    <n v="600"/>
    <n v="2023"/>
    <x v="3"/>
    <n v="3"/>
    <n v="3"/>
    <n v="3"/>
  </r>
  <r>
    <s v="CUST0189"/>
    <s v="Male"/>
    <s v="North"/>
    <s v="Keyboard"/>
    <x v="1"/>
    <n v="38"/>
    <n v="50"/>
    <n v="5"/>
    <n v="250"/>
    <n v="12.92"/>
    <d v="2023-07-19T00:00:00"/>
    <s v="Returned"/>
    <n v="250"/>
    <n v="2023"/>
    <x v="8"/>
    <n v="30"/>
    <n v="3"/>
    <n v="5"/>
  </r>
  <r>
    <s v="CUST0299"/>
    <s v="Female"/>
    <s v="South"/>
    <s v="Mouse"/>
    <x v="1"/>
    <n v="58"/>
    <n v="30"/>
    <n v="2"/>
    <n v="60"/>
    <n v="9.7100000000000009"/>
    <d v="2023-03-27T00:00:00"/>
    <s v="Returned"/>
    <n v="60"/>
    <n v="2023"/>
    <x v="11"/>
    <n v="14"/>
    <n v="3"/>
    <n v="2"/>
  </r>
  <r>
    <s v="CUST0270"/>
    <s v="Male"/>
    <s v="Unknown"/>
    <s v="Smartwatch"/>
    <x v="2"/>
    <n v="64"/>
    <n v="200"/>
    <n v="5"/>
    <n v="1000"/>
    <n v="19"/>
    <d v="2023-08-20T00:00:00"/>
    <s v="Returned"/>
    <n v="1000"/>
    <n v="2023"/>
    <x v="2"/>
    <n v="34"/>
    <n v="3"/>
    <n v="5"/>
  </r>
  <r>
    <s v="CUST0031"/>
    <s v="Male"/>
    <s v="West"/>
    <s v="Mouse"/>
    <x v="1"/>
    <n v="67"/>
    <n v="30"/>
    <n v="3"/>
    <n v="90"/>
    <n v="7.63"/>
    <d v="2023-07-22T00:00:00"/>
    <s v="Delivered"/>
    <n v="90"/>
    <n v="2023"/>
    <x v="8"/>
    <n v="30"/>
    <n v="3"/>
    <n v="3"/>
  </r>
  <r>
    <s v="CUST0240"/>
    <s v="Male"/>
    <s v="West"/>
    <s v="Mouse"/>
    <x v="1"/>
    <n v="39"/>
    <n v="30"/>
    <n v="5"/>
    <n v="150"/>
    <n v="5.6"/>
    <d v="2023-10-10T00:00:00"/>
    <s v="Returned"/>
    <n v="150"/>
    <n v="2023"/>
    <x v="4"/>
    <n v="42"/>
    <n v="3"/>
    <n v="5"/>
  </r>
  <r>
    <s v="CUST0176"/>
    <s v="Male"/>
    <s v="West"/>
    <s v="Keyboard"/>
    <x v="1"/>
    <n v="51"/>
    <n v="50"/>
    <n v="4"/>
    <n v="200"/>
    <n v="19.420000000000002"/>
    <d v="2023-05-30T00:00:00"/>
    <s v="In Transit"/>
    <n v="200"/>
    <n v="2023"/>
    <x v="9"/>
    <n v="23"/>
    <n v="3"/>
    <n v="4"/>
  </r>
  <r>
    <s v="CUST0252"/>
    <s v="Female"/>
    <s v="East"/>
    <s v="Smartwatch"/>
    <x v="2"/>
    <n v="55"/>
    <n v="200"/>
    <n v="5"/>
    <n v="1000"/>
    <n v="13.29"/>
    <d v="2023-10-16T00:00:00"/>
    <s v="Delivered"/>
    <n v="1000"/>
    <n v="2023"/>
    <x v="4"/>
    <n v="43"/>
    <n v="3"/>
    <n v="5"/>
  </r>
  <r>
    <s v="CUST0225"/>
    <s v="Female"/>
    <s v="East"/>
    <s v="Mouse"/>
    <x v="1"/>
    <n v="49"/>
    <n v="30"/>
    <n v="3"/>
    <n v="90"/>
    <n v="15.46"/>
    <d v="2023-05-04T00:00:00"/>
    <s v="In Transit"/>
    <n v="90"/>
    <n v="2023"/>
    <x v="9"/>
    <n v="19"/>
    <n v="3"/>
    <n v="3"/>
  </r>
  <r>
    <s v="CUST0238"/>
    <s v="Male"/>
    <s v="West"/>
    <s v="Mouse"/>
    <x v="1"/>
    <n v="26"/>
    <n v="30"/>
    <n v="2"/>
    <n v="60"/>
    <n v="16.34"/>
    <d v="2023-11-02T00:00:00"/>
    <s v="Returned"/>
    <n v="60"/>
    <n v="2023"/>
    <x v="10"/>
    <n v="45"/>
    <n v="3"/>
    <n v="2"/>
  </r>
  <r>
    <s v="CUST0276"/>
    <s v="Female"/>
    <s v="North"/>
    <s v="Headphones"/>
    <x v="1"/>
    <n v="66"/>
    <n v="100"/>
    <n v="4"/>
    <n v="400"/>
    <n v="7.41"/>
    <d v="2023-01-09T00:00:00"/>
    <s v="Delivered"/>
    <n v="400"/>
    <n v="2023"/>
    <x v="3"/>
    <n v="3"/>
    <n v="3"/>
    <n v="4"/>
  </r>
  <r>
    <s v="CUST0255"/>
    <s v="Female"/>
    <s v="West"/>
    <s v="Monitor"/>
    <x v="0"/>
    <n v="39"/>
    <n v="300"/>
    <n v="1"/>
    <n v="300"/>
    <n v="13.28"/>
    <d v="2023-02-20T00:00:00"/>
    <s v="Delivered"/>
    <n v="300"/>
    <n v="2023"/>
    <x v="6"/>
    <n v="9"/>
    <n v="3"/>
    <n v="1"/>
  </r>
  <r>
    <s v="CUST0133"/>
    <s v="Male"/>
    <s v="East"/>
    <s v="Smartphone"/>
    <x v="0"/>
    <n v="47"/>
    <n v="800"/>
    <n v="4"/>
    <n v="3200"/>
    <n v="8.8800000000000008"/>
    <d v="2023-07-31T00:00:00"/>
    <s v="In Transit"/>
    <n v="3200"/>
    <n v="2023"/>
    <x v="8"/>
    <n v="32"/>
    <n v="3"/>
    <n v="4"/>
  </r>
  <r>
    <s v="CUST0097"/>
    <s v="Male"/>
    <s v="East"/>
    <s v="Smartwatch"/>
    <x v="2"/>
    <n v="34"/>
    <n v="200"/>
    <n v="3"/>
    <n v="600"/>
    <n v="5.87"/>
    <d v="2023-06-25T00:00:00"/>
    <s v="Returned"/>
    <n v="600"/>
    <n v="2023"/>
    <x v="5"/>
    <n v="26"/>
    <n v="3"/>
    <n v="3"/>
  </r>
  <r>
    <s v="CUST0239"/>
    <s v="Male"/>
    <s v="Unknown"/>
    <s v="Headphones"/>
    <x v="1"/>
    <n v="35"/>
    <n v="100"/>
    <n v="4"/>
    <n v="400"/>
    <n v="11.97"/>
    <d v="2023-03-15T00:00:00"/>
    <s v="In Transit"/>
    <n v="400"/>
    <n v="2023"/>
    <x v="11"/>
    <n v="12"/>
    <n v="3"/>
    <n v="4"/>
  </r>
  <r>
    <s v="CUST0226"/>
    <s v="Male"/>
    <s v="West"/>
    <s v="Headphones"/>
    <x v="1"/>
    <n v="43"/>
    <n v="100"/>
    <n v="2"/>
    <n v="200"/>
    <n v="15.85"/>
    <d v="2023-10-08T00:00:00"/>
    <s v="Returned"/>
    <n v="200"/>
    <n v="2023"/>
    <x v="4"/>
    <n v="41"/>
    <n v="3"/>
    <n v="2"/>
  </r>
  <r>
    <s v="CUST0068"/>
    <s v="Female"/>
    <s v="North"/>
    <s v="Keyboard"/>
    <x v="1"/>
    <n v="64"/>
    <n v="50"/>
    <n v="5"/>
    <n v="250"/>
    <n v="13.3"/>
    <d v="2023-07-02T00:00:00"/>
    <s v="Returned"/>
    <n v="250"/>
    <n v="2023"/>
    <x v="8"/>
    <n v="27"/>
    <n v="3"/>
    <n v="5"/>
  </r>
  <r>
    <s v="CUST0149"/>
    <s v="Female"/>
    <s v="East"/>
    <s v="Monitor"/>
    <x v="0"/>
    <n v="40"/>
    <n v="300"/>
    <n v="4"/>
    <n v="1200"/>
    <n v="17.21"/>
    <d v="2023-07-30T00:00:00"/>
    <s v="In Transit"/>
    <n v="1200"/>
    <n v="2023"/>
    <x v="8"/>
    <n v="31"/>
    <n v="3"/>
    <n v="4"/>
  </r>
  <r>
    <s v="CUST0257"/>
    <s v="Female"/>
    <s v="Unknown"/>
    <s v="Mouse"/>
    <x v="1"/>
    <n v="54"/>
    <n v="30"/>
    <n v="2"/>
    <n v="60"/>
    <n v="19.03"/>
    <d v="2023-01-11T00:00:00"/>
    <s v="In Transit"/>
    <n v="60"/>
    <n v="2023"/>
    <x v="3"/>
    <n v="3"/>
    <n v="3"/>
    <n v="2"/>
  </r>
  <r>
    <s v="CUST0299"/>
    <s v="Female"/>
    <s v="North"/>
    <s v="Smartwatch"/>
    <x v="2"/>
    <n v="58"/>
    <n v="200"/>
    <n v="4"/>
    <n v="800"/>
    <n v="9.43"/>
    <d v="2023-08-03T00:00:00"/>
    <s v="Returned"/>
    <n v="800"/>
    <n v="2023"/>
    <x v="2"/>
    <n v="32"/>
    <n v="3"/>
    <n v="4"/>
  </r>
  <r>
    <s v="CUST0123"/>
    <s v="Male"/>
    <s v="North"/>
    <s v="Smartwatch"/>
    <x v="2"/>
    <n v="52"/>
    <n v="200"/>
    <n v="2"/>
    <n v="400"/>
    <n v="5.97"/>
    <d v="2023-09-25T00:00:00"/>
    <s v="In Transit"/>
    <n v="400"/>
    <n v="2023"/>
    <x v="7"/>
    <n v="40"/>
    <n v="3"/>
    <n v="2"/>
  </r>
  <r>
    <s v="CUST0231"/>
    <s v="Female"/>
    <s v="North"/>
    <s v="Laptop"/>
    <x v="0"/>
    <n v="49"/>
    <n v="1500"/>
    <n v="5"/>
    <n v="7500"/>
    <n v="5.1100000000000003"/>
    <d v="2023-11-30T00:00:00"/>
    <s v="Returned"/>
    <n v="7500"/>
    <n v="2023"/>
    <x v="10"/>
    <n v="49"/>
    <n v="3"/>
    <n v="5"/>
  </r>
  <r>
    <s v="CUST0217"/>
    <s v="Male"/>
    <s v="South"/>
    <s v="Mouse"/>
    <x v="1"/>
    <n v="18"/>
    <n v="30"/>
    <n v="3"/>
    <n v="90"/>
    <n v="11.7"/>
    <d v="2023-10-20T00:00:00"/>
    <s v="Unknown"/>
    <n v="90"/>
    <n v="2023"/>
    <x v="4"/>
    <n v="43"/>
    <n v="3"/>
    <n v="3"/>
  </r>
  <r>
    <s v="CUST0142"/>
    <s v="Male"/>
    <s v="East"/>
    <s v="Headphones"/>
    <x v="1"/>
    <n v="32"/>
    <n v="100"/>
    <n v="5"/>
    <n v="500"/>
    <n v="12.38"/>
    <d v="2023-01-01T00:00:00"/>
    <s v="Returned"/>
    <n v="500"/>
    <n v="2023"/>
    <x v="3"/>
    <n v="1"/>
    <n v="3"/>
    <n v="5"/>
  </r>
  <r>
    <s v="CUST0200"/>
    <s v="Female"/>
    <s v="North"/>
    <s v="Smartphone"/>
    <x v="0"/>
    <n v="68"/>
    <n v="800"/>
    <n v="4"/>
    <n v="3200"/>
    <n v="17.32"/>
    <d v="2023-08-05T00:00:00"/>
    <s v="Returned"/>
    <n v="3200"/>
    <n v="2023"/>
    <x v="2"/>
    <n v="32"/>
    <n v="3"/>
    <n v="4"/>
  </r>
  <r>
    <s v="CUST0079"/>
    <s v="Male"/>
    <s v="West"/>
    <s v="Smartwatch"/>
    <x v="2"/>
    <n v="26"/>
    <n v="200"/>
    <n v="2"/>
    <n v="400"/>
    <n v="7.14"/>
    <d v="2023-01-04T00:00:00"/>
    <s v="Returned"/>
    <n v="400"/>
    <n v="2023"/>
    <x v="3"/>
    <n v="2"/>
    <n v="3"/>
    <n v="2"/>
  </r>
  <r>
    <s v="CUST0201"/>
    <s v="Female"/>
    <s v="South"/>
    <s v="Headphones"/>
    <x v="1"/>
    <n v="49"/>
    <n v="100"/>
    <n v="1"/>
    <n v="100"/>
    <n v="17.21"/>
    <d v="2023-01-05T00:00:00"/>
    <s v="In Transit"/>
    <n v="100"/>
    <n v="2023"/>
    <x v="3"/>
    <n v="2"/>
    <n v="3"/>
    <n v="1"/>
  </r>
  <r>
    <s v="CUST0133"/>
    <s v="Male"/>
    <s v="East"/>
    <s v="Laptop"/>
    <x v="0"/>
    <n v="47"/>
    <n v="1500"/>
    <n v="1"/>
    <n v="1500"/>
    <n v="19.190000000000001"/>
    <d v="2023-04-01T00:00:00"/>
    <s v="Delivered"/>
    <n v="1500"/>
    <n v="2023"/>
    <x v="1"/>
    <n v="14"/>
    <n v="3"/>
    <n v="1"/>
  </r>
  <r>
    <s v="CUST0055"/>
    <s v="Female"/>
    <s v="North"/>
    <s v="Mouse"/>
    <x v="1"/>
    <n v="49"/>
    <n v="30"/>
    <n v="5"/>
    <n v="150"/>
    <n v="19.350000000000001"/>
    <d v="2023-10-20T00:00:00"/>
    <s v="Delivered"/>
    <n v="150"/>
    <n v="2023"/>
    <x v="4"/>
    <n v="43"/>
    <n v="3"/>
    <n v="5"/>
  </r>
  <r>
    <s v="CUST0023"/>
    <s v="Female"/>
    <s v="South"/>
    <s v="Laptop"/>
    <x v="0"/>
    <n v="29"/>
    <n v="1500"/>
    <n v="5"/>
    <n v="7500"/>
    <n v="10.36"/>
    <d v="2023-01-07T00:00:00"/>
    <s v="Returned"/>
    <n v="7500"/>
    <n v="2023"/>
    <x v="3"/>
    <n v="2"/>
    <n v="3"/>
    <n v="5"/>
  </r>
  <r>
    <s v="CUST0040"/>
    <s v="Male"/>
    <s v="Unknown"/>
    <s v="Smartwatch"/>
    <x v="2"/>
    <n v="29"/>
    <n v="200"/>
    <n v="1"/>
    <n v="200"/>
    <n v="7.53"/>
    <d v="2023-01-30T00:00:00"/>
    <s v="Delivered"/>
    <n v="200"/>
    <n v="2023"/>
    <x v="3"/>
    <n v="6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EDCCB-88DA-4520-B255-17649E5226B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 rowPageCount="1" colPageCount="1"/>
  <pivotFields count="18"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14">
        <item x="3"/>
        <item x="6"/>
        <item x="11"/>
        <item x="1"/>
        <item x="9"/>
        <item x="5"/>
        <item x="8"/>
        <item x="2"/>
        <item x="7"/>
        <item x="4"/>
        <item x="10"/>
        <item x="0"/>
        <item x="12"/>
        <item t="default"/>
      </items>
    </pivotField>
    <pivotField showAll="0"/>
    <pivotField showAll="0"/>
    <pivotField showAll="0"/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4" hier="-1"/>
  </pageField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CA4CD5-BEDC-4D09-B768-37E6B47FF2A0}" name="Table14" displayName="Table14" ref="A1:H475" totalsRowShown="0">
  <autoFilter ref="A1:H475" xr:uid="{55CA4CD5-BEDC-4D09-B768-37E6B47FF2A0}"/>
  <sortState xmlns:xlrd2="http://schemas.microsoft.com/office/spreadsheetml/2017/richdata2" ref="A2:E475">
    <sortCondition ref="A2:A475"/>
  </sortState>
  <tableColumns count="8">
    <tableColumn id="1" xr3:uid="{FE1C4D05-9F8E-4645-B537-00E714F67B5A}" name="Order Date" dataDxfId="3"/>
    <tableColumn id="2" xr3:uid="{12B17BD1-0053-48DF-8267-1FF962F7BDD7}" name="Quantity"/>
    <tableColumn id="3" xr3:uid="{DB0AE75F-4AC0-46A0-837F-1ED68FB139B9}" name="Forecast(Quantity)">
      <calculatedColumnFormula>_xlfn.FORECAST.ETS(A2,$B$2:$B$369,$A$2:$A$369,1,1)</calculatedColumnFormula>
    </tableColumn>
    <tableColumn id="4" xr3:uid="{C45C9F15-CD1E-4285-93DF-D2D0CC21A29D}" name="Lower Confidence Bound(Quantity)" dataDxfId="5">
      <calculatedColumnFormula>C2-_xlfn.FORECAST.ETS.CONFINT(A2,$B$2:$B$369,$A$2:$A$369,0.95,1,1)</calculatedColumnFormula>
    </tableColumn>
    <tableColumn id="5" xr3:uid="{601BDDDC-1060-48BD-BF10-AE316B0B4926}" name="Upper Confidence Bound(Quantity)" dataDxfId="4">
      <calculatedColumnFormula>C2+_xlfn.FORECAST.ETS.CONFINT(A2,$B$2:$B$369,$A$2:$A$369,0.95,1,1)</calculatedColumnFormula>
    </tableColumn>
    <tableColumn id="9" xr3:uid="{8D20EC56-5346-4B6F-A0E0-66CFDC37AD3B}" name="Forcast Date samle" dataDxfId="2">
      <calculatedColumnFormula>MAX(SalesTbl[Order Date])+1</calculatedColumnFormula>
    </tableColumn>
    <tableColumn id="15" xr3:uid="{50928A6D-FC6F-4A59-ACC2-7F4FD85B1EF1}" name="Forcast Date" dataDxfId="1"/>
    <tableColumn id="10" xr3:uid="{2238DA4B-63EC-4E7B-B2AD-B0550410343A}" name="Forcast Value" dataDxfId="0">
      <calculatedColumnFormula>_xlfn.FORECAST.ETS(G2, SalesTbl[Quantity], SalesTbl[Order Date], 0, 1, 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83CBA5-9373-4CD7-ACD4-0D483F1510A0}" name="Table15" displayName="Table15" ref="Q1:R8" totalsRowShown="0">
  <autoFilter ref="Q1:R8" xr:uid="{3783CBA5-9373-4CD7-ACD4-0D483F1510A0}"/>
  <tableColumns count="2">
    <tableColumn id="1" xr3:uid="{788D98B0-6F75-4EBB-987A-D9E934AEA2E5}" name="Statistic"/>
    <tableColumn id="2" xr3:uid="{53EE95D6-7116-47F8-A2FC-75FCCC497E3F}" name="Valu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C3F5C2-3354-495D-86B2-39DE2ABDCBBE}" name="SalesTbl" displayName="SalesTbl" ref="A1:T1001" totalsRowShown="0" headerRowDxfId="18" headerRowBorderDxfId="16" tableBorderDxfId="17">
  <tableColumns count="20">
    <tableColumn id="1" xr3:uid="{B22007F3-4DF7-4C89-A553-88B1CB0C8E36}" name="Customer ID"/>
    <tableColumn id="2" xr3:uid="{FA1DE4CF-B1E8-4A61-BC65-B3D69CD59714}" name="Gender"/>
    <tableColumn id="3" xr3:uid="{F4FBDA47-5273-40CF-9B04-342AF17C8D56}" name="Region"/>
    <tableColumn id="4" xr3:uid="{3ED32F28-9456-468F-8D52-FD0C972BCCDE}" name="Product Name"/>
    <tableColumn id="5" xr3:uid="{AC635414-E414-4F31-9FC5-1318915EF1E1}" name="Category"/>
    <tableColumn id="6" xr3:uid="{78AE26F5-AFE0-4C43-9160-C7A7593BDAD5}" name="Age"/>
    <tableColumn id="7" xr3:uid="{BD298AAE-ACED-47BB-B05E-6FFFC6A45FAD}" name="Unit Price"/>
    <tableColumn id="8" xr3:uid="{62C81554-813B-4FDB-9164-AD32C9AE70EF}" name="Quantity"/>
    <tableColumn id="9" xr3:uid="{56EF3A8F-272E-4AF9-AFD5-2BDBAAEDFA03}" name="Total Price"/>
    <tableColumn id="10" xr3:uid="{61AC9815-20F8-4CD4-B4DB-FE316C3F6A79}" name="Shipping Fee"/>
    <tableColumn id="11" xr3:uid="{E3A7111A-353A-4D4F-A6E0-DCFF51911B77}" name="Order Date" dataDxfId="15"/>
    <tableColumn id="12" xr3:uid="{A2440B83-04CF-43C0-B87C-394F82776B20}" name="Shipping Status"/>
    <tableColumn id="13" xr3:uid="{1FF091E6-94C2-4DF1-A7BB-D1C30B7E85E5}" name="Revenue" dataDxfId="14">
      <calculatedColumnFormula>SalesTbl[[#This Row],[Unit Price]]*SalesTbl[[#This Row],[Quantity]]</calculatedColumnFormula>
    </tableColumn>
    <tableColumn id="14" xr3:uid="{3B3333C8-62CB-4BE8-86FA-481BC58A007C}" name="Year" dataDxfId="13">
      <calculatedColumnFormula>YEAR(SalesTbl[[#This Row],[Order Date]])</calculatedColumnFormula>
    </tableColumn>
    <tableColumn id="15" xr3:uid="{1BB1E480-CAE9-44A3-BDEB-5FBFC30DCC2C}" name="YYYY-MM'" dataDxfId="12">
      <calculatedColumnFormula>TEXT(SalesTbl[[#This Row],[Order Date]],"yyyy-mm")</calculatedColumnFormula>
    </tableColumn>
    <tableColumn id="16" xr3:uid="{0057A332-806F-44BE-9D39-0496911DFA61}" name="Weeks     " dataDxfId="11">
      <calculatedColumnFormula>WEEKNUM(SalesTbl[[#This Row],[Order Date]],2)</calculatedColumnFormula>
    </tableColumn>
    <tableColumn id="17" xr3:uid="{44E0F9EE-8C29-4407-BDA8-D710AB50FDDF}" name="Median Quantity'" dataDxfId="10">
      <calculatedColumnFormula>MEDIAN(SalesTbl[Quantity])</calculatedColumnFormula>
    </tableColumn>
    <tableColumn id="18" xr3:uid="{9A0140AB-5457-4E74-9D96-FD532946C1BF}" name="Median Quantity   " dataDxfId="9">
      <calculatedColumnFormula>IF(ISBLANK(SalesTbl[[#This Row],[Quantity]]),$H$2,SalesTbl[[#This Row],[Quantity]])</calculatedColumnFormula>
    </tableColumn>
    <tableColumn id="20" xr3:uid="{524D25AD-2F2A-4BAC-9DF2-D3358297C4DB}" name="RowIdx" dataDxfId="8">
      <calculatedColumnFormula>ROW()-ROW(SalesTbl[[#Headers],[Customer ID]])</calculatedColumnFormula>
    </tableColumn>
    <tableColumn id="21" xr3:uid="{1427337A-DC91-448F-85FD-23B223130D05}" name="Flag " dataDxfId="7">
      <calculatedColumnFormula>IF(SalesTbl[[#This Row],[RowIdx]]&lt;=ROUNDUP(COUNTA(SalesTbl[Customer ID])*0.8,0),"Train","Test")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534-4E01-4AB8-BA6A-8DF27B67D643}">
  <dimension ref="A1:L1001"/>
  <sheetViews>
    <sheetView topLeftCell="A982" workbookViewId="0">
      <selection sqref="A1:L1001"/>
    </sheetView>
  </sheetViews>
  <sheetFormatPr defaultRowHeight="15" x14ac:dyDescent="0.25"/>
  <cols>
    <col min="11" max="11" width="10.42578125" style="2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320</v>
      </c>
      <c r="D2" t="s">
        <v>14</v>
      </c>
      <c r="E2" t="s">
        <v>15</v>
      </c>
      <c r="F2">
        <v>49</v>
      </c>
      <c r="G2">
        <v>300</v>
      </c>
      <c r="H2">
        <v>5</v>
      </c>
      <c r="I2">
        <v>1500</v>
      </c>
      <c r="J2">
        <v>13.31</v>
      </c>
      <c r="K2" s="2">
        <v>45268</v>
      </c>
      <c r="L2" t="s">
        <v>316</v>
      </c>
    </row>
    <row r="3" spans="1:12" x14ac:dyDescent="0.25">
      <c r="A3" t="s">
        <v>16</v>
      </c>
      <c r="B3" t="s">
        <v>13</v>
      </c>
      <c r="C3" t="s">
        <v>321</v>
      </c>
      <c r="D3" t="s">
        <v>17</v>
      </c>
      <c r="E3" t="s">
        <v>18</v>
      </c>
      <c r="F3">
        <v>22</v>
      </c>
      <c r="G3">
        <v>100</v>
      </c>
      <c r="H3">
        <v>2</v>
      </c>
      <c r="I3">
        <v>200</v>
      </c>
      <c r="J3">
        <v>6.93</v>
      </c>
      <c r="K3" s="2">
        <v>45025</v>
      </c>
      <c r="L3" t="s">
        <v>317</v>
      </c>
    </row>
    <row r="4" spans="1:12" x14ac:dyDescent="0.25">
      <c r="A4" t="s">
        <v>19</v>
      </c>
      <c r="B4" t="s">
        <v>20</v>
      </c>
      <c r="C4" t="s">
        <v>322</v>
      </c>
      <c r="D4" t="s">
        <v>14</v>
      </c>
      <c r="E4" t="s">
        <v>15</v>
      </c>
      <c r="F4">
        <v>54</v>
      </c>
      <c r="G4">
        <v>300</v>
      </c>
      <c r="H4">
        <v>1</v>
      </c>
      <c r="I4">
        <v>300</v>
      </c>
      <c r="J4">
        <v>11.31</v>
      </c>
      <c r="K4" s="2">
        <v>45166</v>
      </c>
      <c r="L4" t="s">
        <v>316</v>
      </c>
    </row>
    <row r="5" spans="1:12" x14ac:dyDescent="0.25">
      <c r="A5" t="s">
        <v>21</v>
      </c>
      <c r="B5" t="s">
        <v>13</v>
      </c>
      <c r="C5" t="s">
        <v>320</v>
      </c>
      <c r="D5" t="s">
        <v>17</v>
      </c>
      <c r="E5" t="s">
        <v>18</v>
      </c>
      <c r="F5">
        <v>23</v>
      </c>
      <c r="G5">
        <v>100</v>
      </c>
      <c r="H5">
        <v>5</v>
      </c>
      <c r="I5">
        <v>500</v>
      </c>
      <c r="J5">
        <v>12.22</v>
      </c>
      <c r="K5" s="2">
        <v>44944</v>
      </c>
      <c r="L5" t="s">
        <v>318</v>
      </c>
    </row>
    <row r="6" spans="1:12" x14ac:dyDescent="0.25">
      <c r="A6" t="s">
        <v>22</v>
      </c>
      <c r="B6" t="s">
        <v>20</v>
      </c>
      <c r="C6" t="s">
        <v>322</v>
      </c>
      <c r="D6" t="s">
        <v>23</v>
      </c>
      <c r="E6" t="s">
        <v>15</v>
      </c>
      <c r="F6">
        <v>49</v>
      </c>
      <c r="G6">
        <v>1500</v>
      </c>
      <c r="H6">
        <v>3</v>
      </c>
      <c r="I6">
        <v>4500</v>
      </c>
      <c r="J6">
        <v>5.4</v>
      </c>
      <c r="K6" s="2">
        <v>44945</v>
      </c>
      <c r="L6" t="s">
        <v>318</v>
      </c>
    </row>
    <row r="7" spans="1:12" x14ac:dyDescent="0.25">
      <c r="A7" t="s">
        <v>24</v>
      </c>
      <c r="B7" t="s">
        <v>13</v>
      </c>
      <c r="C7" t="s">
        <v>320</v>
      </c>
      <c r="D7" t="s">
        <v>25</v>
      </c>
      <c r="E7" t="s">
        <v>26</v>
      </c>
      <c r="F7">
        <v>64</v>
      </c>
      <c r="G7">
        <v>200</v>
      </c>
      <c r="H7">
        <v>2</v>
      </c>
      <c r="I7">
        <v>400</v>
      </c>
      <c r="J7">
        <v>11.26</v>
      </c>
      <c r="K7" s="2">
        <v>44937</v>
      </c>
      <c r="L7" t="s">
        <v>317</v>
      </c>
    </row>
    <row r="8" spans="1:12" x14ac:dyDescent="0.25">
      <c r="A8" t="s">
        <v>27</v>
      </c>
      <c r="B8" t="s">
        <v>13</v>
      </c>
      <c r="C8" t="s">
        <v>323</v>
      </c>
      <c r="D8" t="s">
        <v>25</v>
      </c>
      <c r="E8" t="s">
        <v>26</v>
      </c>
      <c r="F8">
        <v>27</v>
      </c>
      <c r="G8">
        <v>200</v>
      </c>
      <c r="H8">
        <v>1</v>
      </c>
      <c r="I8">
        <v>200</v>
      </c>
      <c r="J8">
        <v>18.38</v>
      </c>
      <c r="K8" s="2">
        <v>45222</v>
      </c>
      <c r="L8" t="s">
        <v>317</v>
      </c>
    </row>
    <row r="9" spans="1:12" x14ac:dyDescent="0.25">
      <c r="A9" t="s">
        <v>28</v>
      </c>
      <c r="B9" t="s">
        <v>20</v>
      </c>
      <c r="C9" t="s">
        <v>322</v>
      </c>
      <c r="D9" t="s">
        <v>29</v>
      </c>
      <c r="E9" t="s">
        <v>18</v>
      </c>
      <c r="F9">
        <v>18</v>
      </c>
      <c r="G9">
        <v>50</v>
      </c>
      <c r="H9">
        <v>2</v>
      </c>
      <c r="I9">
        <v>100</v>
      </c>
      <c r="J9">
        <v>15.08</v>
      </c>
      <c r="K9" s="2">
        <v>45092</v>
      </c>
      <c r="L9" t="s">
        <v>316</v>
      </c>
    </row>
    <row r="10" spans="1:12" x14ac:dyDescent="0.25">
      <c r="A10" t="s">
        <v>16</v>
      </c>
      <c r="B10" t="s">
        <v>20</v>
      </c>
      <c r="C10" t="s">
        <v>323</v>
      </c>
      <c r="D10" t="s">
        <v>30</v>
      </c>
      <c r="E10" t="s">
        <v>18</v>
      </c>
      <c r="F10">
        <v>22</v>
      </c>
      <c r="G10">
        <v>30</v>
      </c>
      <c r="H10">
        <v>1</v>
      </c>
      <c r="I10">
        <v>30</v>
      </c>
      <c r="J10">
        <v>8.2200000000000006</v>
      </c>
      <c r="K10" s="2">
        <v>44982</v>
      </c>
      <c r="L10" t="s">
        <v>316</v>
      </c>
    </row>
    <row r="11" spans="1:12" x14ac:dyDescent="0.25">
      <c r="A11" t="s">
        <v>31</v>
      </c>
      <c r="B11" t="s">
        <v>13</v>
      </c>
      <c r="C11" t="s">
        <v>321</v>
      </c>
      <c r="D11" t="s">
        <v>17</v>
      </c>
      <c r="E11" t="s">
        <v>18</v>
      </c>
      <c r="F11">
        <v>29</v>
      </c>
      <c r="G11">
        <v>100</v>
      </c>
      <c r="H11">
        <v>3</v>
      </c>
      <c r="I11">
        <v>300</v>
      </c>
      <c r="J11">
        <v>10.7</v>
      </c>
      <c r="K11" s="2">
        <v>45039</v>
      </c>
      <c r="L11" t="s">
        <v>318</v>
      </c>
    </row>
    <row r="12" spans="1:12" x14ac:dyDescent="0.25">
      <c r="A12" t="s">
        <v>32</v>
      </c>
      <c r="B12" t="s">
        <v>20</v>
      </c>
      <c r="C12" t="s">
        <v>323</v>
      </c>
      <c r="D12" t="s">
        <v>17</v>
      </c>
      <c r="E12" t="s">
        <v>18</v>
      </c>
      <c r="F12">
        <v>49</v>
      </c>
      <c r="G12">
        <v>100</v>
      </c>
      <c r="H12">
        <v>2</v>
      </c>
      <c r="I12">
        <v>200</v>
      </c>
      <c r="J12">
        <v>9.8000000000000007</v>
      </c>
      <c r="K12" s="2">
        <v>45078</v>
      </c>
      <c r="L12" t="s">
        <v>316</v>
      </c>
    </row>
    <row r="13" spans="1:12" x14ac:dyDescent="0.25">
      <c r="A13" t="s">
        <v>33</v>
      </c>
      <c r="B13" t="s">
        <v>20</v>
      </c>
      <c r="C13" t="s">
        <v>321</v>
      </c>
      <c r="D13" t="s">
        <v>30</v>
      </c>
      <c r="E13" t="s">
        <v>18</v>
      </c>
      <c r="F13">
        <v>67</v>
      </c>
      <c r="G13">
        <v>30</v>
      </c>
      <c r="H13">
        <v>3</v>
      </c>
      <c r="I13">
        <v>90</v>
      </c>
      <c r="J13">
        <v>5.65</v>
      </c>
      <c r="K13" s="2">
        <v>45182</v>
      </c>
      <c r="L13" t="s">
        <v>317</v>
      </c>
    </row>
    <row r="14" spans="1:12" x14ac:dyDescent="0.25">
      <c r="A14" t="s">
        <v>34</v>
      </c>
      <c r="B14" t="s">
        <v>20</v>
      </c>
      <c r="C14" t="s">
        <v>321</v>
      </c>
      <c r="D14" t="s">
        <v>29</v>
      </c>
      <c r="E14" t="s">
        <v>18</v>
      </c>
      <c r="F14">
        <v>41</v>
      </c>
      <c r="G14">
        <v>50</v>
      </c>
      <c r="H14">
        <v>5</v>
      </c>
      <c r="I14">
        <v>250</v>
      </c>
      <c r="J14">
        <v>7.13</v>
      </c>
      <c r="K14" s="2">
        <v>44974</v>
      </c>
      <c r="L14" t="s">
        <v>318</v>
      </c>
    </row>
    <row r="15" spans="1:12" x14ac:dyDescent="0.25">
      <c r="A15" t="s">
        <v>35</v>
      </c>
      <c r="B15" t="s">
        <v>13</v>
      </c>
      <c r="C15" t="s">
        <v>322</v>
      </c>
      <c r="D15" t="s">
        <v>29</v>
      </c>
      <c r="E15" t="s">
        <v>18</v>
      </c>
      <c r="F15">
        <v>60</v>
      </c>
      <c r="G15">
        <v>50</v>
      </c>
      <c r="H15">
        <v>4</v>
      </c>
      <c r="I15">
        <v>200</v>
      </c>
      <c r="J15">
        <v>10.91</v>
      </c>
      <c r="K15" s="2">
        <v>45270</v>
      </c>
      <c r="L15" t="s">
        <v>316</v>
      </c>
    </row>
    <row r="16" spans="1:12" x14ac:dyDescent="0.25">
      <c r="A16" t="s">
        <v>36</v>
      </c>
      <c r="B16" t="s">
        <v>13</v>
      </c>
      <c r="C16" t="s">
        <v>321</v>
      </c>
      <c r="D16" t="s">
        <v>30</v>
      </c>
      <c r="E16" t="s">
        <v>18</v>
      </c>
      <c r="F16">
        <v>66</v>
      </c>
      <c r="G16">
        <v>30</v>
      </c>
      <c r="H16">
        <v>1</v>
      </c>
      <c r="I16">
        <v>30</v>
      </c>
      <c r="J16">
        <v>11.36</v>
      </c>
      <c r="K16" s="2">
        <v>45106</v>
      </c>
      <c r="L16" t="s">
        <v>317</v>
      </c>
    </row>
    <row r="17" spans="1:12" x14ac:dyDescent="0.25">
      <c r="A17" t="s">
        <v>37</v>
      </c>
      <c r="B17" t="s">
        <v>20</v>
      </c>
      <c r="C17" t="s">
        <v>319</v>
      </c>
      <c r="D17" t="s">
        <v>25</v>
      </c>
      <c r="E17" t="s">
        <v>26</v>
      </c>
      <c r="F17">
        <v>36</v>
      </c>
      <c r="G17">
        <v>200</v>
      </c>
      <c r="H17">
        <v>3</v>
      </c>
      <c r="I17">
        <v>600</v>
      </c>
      <c r="J17">
        <v>7.89</v>
      </c>
      <c r="K17" s="2">
        <v>45121</v>
      </c>
      <c r="L17" t="s">
        <v>318</v>
      </c>
    </row>
    <row r="18" spans="1:12" x14ac:dyDescent="0.25">
      <c r="A18" t="s">
        <v>38</v>
      </c>
      <c r="B18" t="s">
        <v>13</v>
      </c>
      <c r="C18" t="s">
        <v>320</v>
      </c>
      <c r="D18" t="s">
        <v>23</v>
      </c>
      <c r="E18" t="s">
        <v>15</v>
      </c>
      <c r="F18">
        <v>57</v>
      </c>
      <c r="G18">
        <v>1500</v>
      </c>
      <c r="H18">
        <v>4</v>
      </c>
      <c r="I18">
        <v>6000</v>
      </c>
      <c r="J18">
        <v>10.92</v>
      </c>
      <c r="K18" s="2">
        <v>45059</v>
      </c>
      <c r="L18" t="s">
        <v>317</v>
      </c>
    </row>
    <row r="19" spans="1:12" x14ac:dyDescent="0.25">
      <c r="A19" t="s">
        <v>39</v>
      </c>
      <c r="B19" t="s">
        <v>13</v>
      </c>
      <c r="C19" t="s">
        <v>322</v>
      </c>
      <c r="D19" t="s">
        <v>40</v>
      </c>
      <c r="E19" t="s">
        <v>15</v>
      </c>
      <c r="F19">
        <v>30</v>
      </c>
      <c r="G19">
        <v>800</v>
      </c>
      <c r="H19">
        <v>2</v>
      </c>
      <c r="I19">
        <v>1600</v>
      </c>
      <c r="J19">
        <v>11.44</v>
      </c>
      <c r="K19" s="2">
        <v>45086</v>
      </c>
      <c r="L19" t="s">
        <v>316</v>
      </c>
    </row>
    <row r="20" spans="1:12" x14ac:dyDescent="0.25">
      <c r="A20" t="s">
        <v>41</v>
      </c>
      <c r="B20" t="s">
        <v>20</v>
      </c>
      <c r="C20" t="s">
        <v>323</v>
      </c>
      <c r="D20" t="s">
        <v>25</v>
      </c>
      <c r="E20" t="s">
        <v>26</v>
      </c>
      <c r="F20">
        <v>32</v>
      </c>
      <c r="G20">
        <v>200</v>
      </c>
      <c r="H20">
        <v>5</v>
      </c>
      <c r="I20">
        <v>1000</v>
      </c>
      <c r="J20">
        <v>7.16</v>
      </c>
      <c r="K20" s="2">
        <v>45098</v>
      </c>
      <c r="L20" t="s">
        <v>317</v>
      </c>
    </row>
    <row r="21" spans="1:12" x14ac:dyDescent="0.25">
      <c r="A21" t="s">
        <v>42</v>
      </c>
      <c r="B21" t="s">
        <v>20</v>
      </c>
      <c r="C21" t="s">
        <v>321</v>
      </c>
      <c r="D21" t="s">
        <v>14</v>
      </c>
      <c r="E21" t="s">
        <v>15</v>
      </c>
      <c r="F21">
        <v>59</v>
      </c>
      <c r="G21">
        <v>300</v>
      </c>
      <c r="H21">
        <v>4</v>
      </c>
      <c r="I21">
        <v>1200</v>
      </c>
      <c r="J21">
        <v>17.37</v>
      </c>
      <c r="K21" s="2">
        <v>45256</v>
      </c>
      <c r="L21" t="s">
        <v>317</v>
      </c>
    </row>
    <row r="22" spans="1:12" x14ac:dyDescent="0.25">
      <c r="A22" t="s">
        <v>33</v>
      </c>
      <c r="B22" t="s">
        <v>20</v>
      </c>
      <c r="C22" t="s">
        <v>323</v>
      </c>
      <c r="D22" t="s">
        <v>40</v>
      </c>
      <c r="E22" t="s">
        <v>15</v>
      </c>
      <c r="F22">
        <v>67</v>
      </c>
      <c r="G22">
        <v>800</v>
      </c>
      <c r="H22">
        <v>5</v>
      </c>
      <c r="I22">
        <v>4000</v>
      </c>
      <c r="J22">
        <v>12.17</v>
      </c>
      <c r="K22" s="2">
        <v>45238</v>
      </c>
      <c r="L22" t="s">
        <v>318</v>
      </c>
    </row>
    <row r="23" spans="1:12" x14ac:dyDescent="0.25">
      <c r="A23" t="s">
        <v>43</v>
      </c>
      <c r="B23" t="s">
        <v>20</v>
      </c>
      <c r="C23" t="s">
        <v>322</v>
      </c>
      <c r="D23" t="s">
        <v>30</v>
      </c>
      <c r="E23" t="s">
        <v>18</v>
      </c>
      <c r="F23">
        <v>37</v>
      </c>
      <c r="G23">
        <v>30</v>
      </c>
      <c r="H23">
        <v>3</v>
      </c>
      <c r="I23">
        <v>90</v>
      </c>
      <c r="J23">
        <v>19.41</v>
      </c>
      <c r="K23" s="2">
        <v>45287</v>
      </c>
      <c r="L23" t="s">
        <v>316</v>
      </c>
    </row>
    <row r="24" spans="1:12" x14ac:dyDescent="0.25">
      <c r="A24" t="s">
        <v>44</v>
      </c>
      <c r="B24" t="s">
        <v>13</v>
      </c>
      <c r="C24" t="s">
        <v>320</v>
      </c>
      <c r="D24" t="s">
        <v>30</v>
      </c>
      <c r="E24" t="s">
        <v>18</v>
      </c>
      <c r="F24">
        <v>49</v>
      </c>
      <c r="G24">
        <v>30</v>
      </c>
      <c r="H24">
        <v>3</v>
      </c>
      <c r="I24">
        <v>90</v>
      </c>
      <c r="J24">
        <v>6.97</v>
      </c>
      <c r="K24" s="2">
        <v>45083</v>
      </c>
      <c r="L24" t="s">
        <v>316</v>
      </c>
    </row>
    <row r="25" spans="1:12" x14ac:dyDescent="0.25">
      <c r="A25" t="s">
        <v>45</v>
      </c>
      <c r="B25" t="s">
        <v>20</v>
      </c>
      <c r="C25" t="s">
        <v>323</v>
      </c>
      <c r="D25" t="s">
        <v>17</v>
      </c>
      <c r="E25" t="s">
        <v>18</v>
      </c>
      <c r="F25">
        <v>52</v>
      </c>
      <c r="G25">
        <v>100</v>
      </c>
      <c r="H25">
        <v>2</v>
      </c>
      <c r="I25">
        <v>200</v>
      </c>
      <c r="J25">
        <v>12</v>
      </c>
      <c r="K25" s="2">
        <v>45227</v>
      </c>
      <c r="L25" t="s">
        <v>317</v>
      </c>
    </row>
    <row r="26" spans="1:12" x14ac:dyDescent="0.25">
      <c r="A26" t="s">
        <v>46</v>
      </c>
      <c r="B26" t="s">
        <v>13</v>
      </c>
      <c r="C26" t="s">
        <v>320</v>
      </c>
      <c r="D26" t="s">
        <v>40</v>
      </c>
      <c r="E26" t="s">
        <v>15</v>
      </c>
      <c r="F26">
        <v>58</v>
      </c>
      <c r="G26">
        <v>800</v>
      </c>
      <c r="H26">
        <v>4</v>
      </c>
      <c r="I26">
        <v>3200</v>
      </c>
      <c r="J26">
        <v>18.11</v>
      </c>
      <c r="K26" s="2">
        <v>45290</v>
      </c>
      <c r="L26" t="s">
        <v>319</v>
      </c>
    </row>
    <row r="27" spans="1:12" x14ac:dyDescent="0.25">
      <c r="A27" t="s">
        <v>47</v>
      </c>
      <c r="B27" t="s">
        <v>20</v>
      </c>
      <c r="C27" t="s">
        <v>322</v>
      </c>
      <c r="D27" t="s">
        <v>29</v>
      </c>
      <c r="E27" t="s">
        <v>18</v>
      </c>
      <c r="F27">
        <v>57</v>
      </c>
      <c r="G27">
        <v>50</v>
      </c>
      <c r="H27">
        <v>1</v>
      </c>
      <c r="I27">
        <v>50</v>
      </c>
      <c r="J27">
        <v>9.6</v>
      </c>
      <c r="K27" s="2">
        <v>45264</v>
      </c>
      <c r="L27" t="s">
        <v>318</v>
      </c>
    </row>
    <row r="28" spans="1:12" x14ac:dyDescent="0.25">
      <c r="A28" t="s">
        <v>48</v>
      </c>
      <c r="B28" t="s">
        <v>13</v>
      </c>
      <c r="C28" t="s">
        <v>323</v>
      </c>
      <c r="D28" t="s">
        <v>40</v>
      </c>
      <c r="E28" t="s">
        <v>15</v>
      </c>
      <c r="F28">
        <v>59</v>
      </c>
      <c r="G28">
        <v>1658.43232665954</v>
      </c>
      <c r="H28">
        <v>2</v>
      </c>
      <c r="I28">
        <v>1600</v>
      </c>
      <c r="J28">
        <v>11.59</v>
      </c>
      <c r="K28" s="2">
        <v>44958</v>
      </c>
      <c r="L28" t="s">
        <v>317</v>
      </c>
    </row>
    <row r="29" spans="1:12" x14ac:dyDescent="0.25">
      <c r="A29" t="s">
        <v>49</v>
      </c>
      <c r="B29" t="s">
        <v>20</v>
      </c>
      <c r="C29" t="s">
        <v>320</v>
      </c>
      <c r="D29" t="s">
        <v>25</v>
      </c>
      <c r="E29" t="s">
        <v>26</v>
      </c>
      <c r="F29">
        <v>25</v>
      </c>
      <c r="G29">
        <v>200</v>
      </c>
      <c r="H29">
        <v>1</v>
      </c>
      <c r="I29">
        <v>200</v>
      </c>
      <c r="J29">
        <v>14.9</v>
      </c>
      <c r="K29" s="2">
        <v>45152</v>
      </c>
      <c r="L29" t="s">
        <v>318</v>
      </c>
    </row>
    <row r="30" spans="1:12" x14ac:dyDescent="0.25">
      <c r="A30" t="s">
        <v>50</v>
      </c>
      <c r="B30" t="s">
        <v>20</v>
      </c>
      <c r="C30" t="s">
        <v>323</v>
      </c>
      <c r="D30" t="s">
        <v>40</v>
      </c>
      <c r="E30" t="s">
        <v>15</v>
      </c>
      <c r="F30">
        <v>31</v>
      </c>
      <c r="G30">
        <v>800</v>
      </c>
      <c r="H30">
        <v>1</v>
      </c>
      <c r="I30">
        <v>800</v>
      </c>
      <c r="J30">
        <v>19.22</v>
      </c>
      <c r="K30" s="2">
        <v>45267</v>
      </c>
      <c r="L30" t="s">
        <v>317</v>
      </c>
    </row>
    <row r="31" spans="1:12" x14ac:dyDescent="0.25">
      <c r="A31" t="s">
        <v>51</v>
      </c>
      <c r="B31" t="s">
        <v>13</v>
      </c>
      <c r="C31" t="s">
        <v>320</v>
      </c>
      <c r="D31" t="s">
        <v>29</v>
      </c>
      <c r="E31" t="s">
        <v>18</v>
      </c>
      <c r="F31">
        <v>28</v>
      </c>
      <c r="G31">
        <v>50</v>
      </c>
      <c r="H31">
        <v>4</v>
      </c>
      <c r="I31">
        <v>200</v>
      </c>
      <c r="J31">
        <v>15.31</v>
      </c>
      <c r="K31" s="2">
        <v>45105</v>
      </c>
      <c r="L31" t="s">
        <v>318</v>
      </c>
    </row>
    <row r="32" spans="1:12" x14ac:dyDescent="0.25">
      <c r="A32" t="s">
        <v>52</v>
      </c>
      <c r="B32" t="s">
        <v>20</v>
      </c>
      <c r="C32" t="s">
        <v>323</v>
      </c>
      <c r="D32" t="s">
        <v>14</v>
      </c>
      <c r="E32" t="s">
        <v>15</v>
      </c>
      <c r="F32">
        <v>57</v>
      </c>
      <c r="G32">
        <v>300</v>
      </c>
      <c r="H32">
        <v>2</v>
      </c>
      <c r="I32">
        <v>600</v>
      </c>
      <c r="J32">
        <v>12.38</v>
      </c>
      <c r="K32" s="2">
        <v>45247</v>
      </c>
      <c r="L32" t="s">
        <v>316</v>
      </c>
    </row>
    <row r="33" spans="1:12" x14ac:dyDescent="0.25">
      <c r="A33" t="s">
        <v>53</v>
      </c>
      <c r="B33" t="s">
        <v>20</v>
      </c>
      <c r="C33" t="s">
        <v>322</v>
      </c>
      <c r="D33" t="s">
        <v>23</v>
      </c>
      <c r="E33" t="s">
        <v>15</v>
      </c>
      <c r="F33">
        <v>49</v>
      </c>
      <c r="G33">
        <v>1500</v>
      </c>
      <c r="H33">
        <v>4</v>
      </c>
      <c r="I33">
        <v>6000</v>
      </c>
      <c r="J33">
        <v>12.91</v>
      </c>
      <c r="K33" s="2">
        <v>44951</v>
      </c>
      <c r="L33" t="s">
        <v>318</v>
      </c>
    </row>
    <row r="34" spans="1:12" x14ac:dyDescent="0.25">
      <c r="A34" t="s">
        <v>54</v>
      </c>
      <c r="B34" t="s">
        <v>20</v>
      </c>
      <c r="C34" t="s">
        <v>322</v>
      </c>
      <c r="D34" t="s">
        <v>14</v>
      </c>
      <c r="E34" t="s">
        <v>15</v>
      </c>
      <c r="F34">
        <v>53</v>
      </c>
      <c r="G34">
        <v>300</v>
      </c>
      <c r="H34">
        <v>2</v>
      </c>
      <c r="I34">
        <v>600</v>
      </c>
      <c r="J34">
        <v>18.38</v>
      </c>
      <c r="K34" s="2">
        <v>45174</v>
      </c>
      <c r="L34" t="s">
        <v>317</v>
      </c>
    </row>
    <row r="35" spans="1:12" x14ac:dyDescent="0.25">
      <c r="A35" t="s">
        <v>55</v>
      </c>
      <c r="B35" t="s">
        <v>20</v>
      </c>
      <c r="C35" t="s">
        <v>322</v>
      </c>
      <c r="D35" t="s">
        <v>17</v>
      </c>
      <c r="E35" t="s">
        <v>18</v>
      </c>
      <c r="F35">
        <v>58</v>
      </c>
      <c r="G35">
        <v>100</v>
      </c>
      <c r="H35">
        <v>5</v>
      </c>
      <c r="I35">
        <v>500</v>
      </c>
      <c r="J35">
        <v>7.41</v>
      </c>
      <c r="K35" s="2">
        <v>45186</v>
      </c>
      <c r="L35" t="s">
        <v>318</v>
      </c>
    </row>
    <row r="36" spans="1:12" x14ac:dyDescent="0.25">
      <c r="A36" t="s">
        <v>56</v>
      </c>
      <c r="B36" t="s">
        <v>20</v>
      </c>
      <c r="C36" t="s">
        <v>322</v>
      </c>
      <c r="D36" t="s">
        <v>30</v>
      </c>
      <c r="E36" t="s">
        <v>18</v>
      </c>
      <c r="F36">
        <v>35</v>
      </c>
      <c r="G36">
        <v>30</v>
      </c>
      <c r="H36">
        <v>3</v>
      </c>
      <c r="I36">
        <v>90</v>
      </c>
      <c r="J36">
        <v>11.42</v>
      </c>
      <c r="K36" s="2">
        <v>45285</v>
      </c>
      <c r="L36" t="s">
        <v>318</v>
      </c>
    </row>
    <row r="37" spans="1:12" x14ac:dyDescent="0.25">
      <c r="A37" t="s">
        <v>57</v>
      </c>
      <c r="B37" t="s">
        <v>13</v>
      </c>
      <c r="C37" t="s">
        <v>320</v>
      </c>
      <c r="D37" t="s">
        <v>23</v>
      </c>
      <c r="E37" t="s">
        <v>15</v>
      </c>
      <c r="F37">
        <v>41</v>
      </c>
      <c r="G37">
        <v>1500</v>
      </c>
      <c r="H37">
        <v>4</v>
      </c>
      <c r="I37">
        <v>6000</v>
      </c>
      <c r="J37">
        <v>7.13</v>
      </c>
      <c r="K37" s="2">
        <v>44940</v>
      </c>
      <c r="L37" t="s">
        <v>318</v>
      </c>
    </row>
    <row r="38" spans="1:12" x14ac:dyDescent="0.25">
      <c r="A38" t="s">
        <v>58</v>
      </c>
      <c r="B38" t="s">
        <v>20</v>
      </c>
      <c r="C38" t="s">
        <v>321</v>
      </c>
      <c r="D38" t="s">
        <v>14</v>
      </c>
      <c r="E38" t="s">
        <v>15</v>
      </c>
      <c r="F38">
        <v>64</v>
      </c>
      <c r="G38">
        <v>300</v>
      </c>
      <c r="H38">
        <v>1</v>
      </c>
      <c r="I38">
        <v>300</v>
      </c>
      <c r="J38">
        <v>6.55</v>
      </c>
      <c r="K38" s="2">
        <v>45139</v>
      </c>
      <c r="L38" t="s">
        <v>316</v>
      </c>
    </row>
    <row r="39" spans="1:12" x14ac:dyDescent="0.25">
      <c r="A39" t="s">
        <v>59</v>
      </c>
      <c r="B39" t="s">
        <v>13</v>
      </c>
      <c r="C39" t="s">
        <v>320</v>
      </c>
      <c r="D39" t="s">
        <v>40</v>
      </c>
      <c r="E39" t="s">
        <v>15</v>
      </c>
      <c r="F39">
        <v>49</v>
      </c>
      <c r="G39">
        <v>800</v>
      </c>
      <c r="H39">
        <v>2</v>
      </c>
      <c r="I39">
        <v>1600</v>
      </c>
      <c r="J39">
        <v>9.7200000000000006</v>
      </c>
      <c r="K39" s="2">
        <v>44969</v>
      </c>
      <c r="L39" t="s">
        <v>318</v>
      </c>
    </row>
    <row r="40" spans="1:12" x14ac:dyDescent="0.25">
      <c r="A40" t="s">
        <v>60</v>
      </c>
      <c r="B40" t="s">
        <v>20</v>
      </c>
      <c r="C40" t="s">
        <v>322</v>
      </c>
      <c r="D40" t="s">
        <v>14</v>
      </c>
      <c r="E40" t="s">
        <v>15</v>
      </c>
      <c r="F40">
        <v>43</v>
      </c>
      <c r="G40">
        <v>300</v>
      </c>
      <c r="H40">
        <v>2</v>
      </c>
      <c r="I40">
        <v>600</v>
      </c>
      <c r="J40">
        <v>18.27</v>
      </c>
      <c r="K40" s="2">
        <v>45064</v>
      </c>
      <c r="L40" t="s">
        <v>317</v>
      </c>
    </row>
    <row r="41" spans="1:12" x14ac:dyDescent="0.25">
      <c r="A41" t="s">
        <v>61</v>
      </c>
      <c r="B41" t="s">
        <v>20</v>
      </c>
      <c r="C41" t="s">
        <v>319</v>
      </c>
      <c r="D41" t="s">
        <v>40</v>
      </c>
      <c r="E41" t="s">
        <v>15</v>
      </c>
      <c r="F41">
        <v>61</v>
      </c>
      <c r="G41">
        <v>800</v>
      </c>
      <c r="H41">
        <v>2</v>
      </c>
      <c r="I41">
        <v>1600</v>
      </c>
      <c r="J41">
        <v>6.01</v>
      </c>
      <c r="K41" s="2">
        <v>45202</v>
      </c>
      <c r="L41" t="s">
        <v>316</v>
      </c>
    </row>
    <row r="42" spans="1:12" x14ac:dyDescent="0.25">
      <c r="A42" t="s">
        <v>62</v>
      </c>
      <c r="B42" t="s">
        <v>13</v>
      </c>
      <c r="C42" t="s">
        <v>323</v>
      </c>
      <c r="D42" t="s">
        <v>29</v>
      </c>
      <c r="E42" t="s">
        <v>18</v>
      </c>
      <c r="F42">
        <v>58</v>
      </c>
      <c r="G42">
        <v>50</v>
      </c>
      <c r="H42">
        <v>2</v>
      </c>
      <c r="I42">
        <v>100</v>
      </c>
      <c r="J42">
        <v>9.57</v>
      </c>
      <c r="K42" s="2">
        <v>45168</v>
      </c>
      <c r="L42" t="s">
        <v>316</v>
      </c>
    </row>
    <row r="43" spans="1:12" x14ac:dyDescent="0.25">
      <c r="A43" t="s">
        <v>63</v>
      </c>
      <c r="B43" t="s">
        <v>13</v>
      </c>
      <c r="C43" t="s">
        <v>321</v>
      </c>
      <c r="D43" t="s">
        <v>14</v>
      </c>
      <c r="E43" t="s">
        <v>15</v>
      </c>
      <c r="F43">
        <v>61</v>
      </c>
      <c r="G43">
        <v>300</v>
      </c>
      <c r="H43">
        <v>1</v>
      </c>
      <c r="I43">
        <v>300</v>
      </c>
      <c r="J43">
        <v>13.82</v>
      </c>
      <c r="K43" s="2">
        <v>45184</v>
      </c>
      <c r="L43" t="s">
        <v>316</v>
      </c>
    </row>
    <row r="44" spans="1:12" x14ac:dyDescent="0.25">
      <c r="A44" t="s">
        <v>64</v>
      </c>
      <c r="B44" t="s">
        <v>13</v>
      </c>
      <c r="C44" t="s">
        <v>323</v>
      </c>
      <c r="D44" t="s">
        <v>29</v>
      </c>
      <c r="E44" t="s">
        <v>18</v>
      </c>
      <c r="F44">
        <v>19</v>
      </c>
      <c r="G44">
        <v>50</v>
      </c>
      <c r="H44">
        <v>4</v>
      </c>
      <c r="I44">
        <v>200</v>
      </c>
      <c r="J44">
        <v>5.32</v>
      </c>
      <c r="K44" s="2">
        <v>44971</v>
      </c>
      <c r="L44" t="s">
        <v>318</v>
      </c>
    </row>
    <row r="45" spans="1:12" x14ac:dyDescent="0.25">
      <c r="A45" t="s">
        <v>50</v>
      </c>
      <c r="B45" t="s">
        <v>13</v>
      </c>
      <c r="C45" t="s">
        <v>320</v>
      </c>
      <c r="D45" t="s">
        <v>29</v>
      </c>
      <c r="E45" t="s">
        <v>18</v>
      </c>
      <c r="F45">
        <v>31</v>
      </c>
      <c r="G45">
        <v>50</v>
      </c>
      <c r="H45">
        <v>3</v>
      </c>
      <c r="I45">
        <v>150</v>
      </c>
      <c r="J45">
        <v>7.46</v>
      </c>
      <c r="K45" s="2">
        <v>44984</v>
      </c>
      <c r="L45" t="s">
        <v>318</v>
      </c>
    </row>
    <row r="46" spans="1:12" x14ac:dyDescent="0.25">
      <c r="A46" t="s">
        <v>65</v>
      </c>
      <c r="B46" t="s">
        <v>13</v>
      </c>
      <c r="C46" t="s">
        <v>320</v>
      </c>
      <c r="D46" t="s">
        <v>14</v>
      </c>
      <c r="E46" t="s">
        <v>15</v>
      </c>
      <c r="F46">
        <v>38</v>
      </c>
      <c r="G46">
        <v>300</v>
      </c>
      <c r="H46">
        <v>1</v>
      </c>
      <c r="I46">
        <v>300</v>
      </c>
      <c r="J46">
        <v>17.22</v>
      </c>
      <c r="K46" s="2">
        <v>45151</v>
      </c>
      <c r="L46" t="s">
        <v>316</v>
      </c>
    </row>
    <row r="47" spans="1:12" x14ac:dyDescent="0.25">
      <c r="A47" t="s">
        <v>66</v>
      </c>
      <c r="B47" t="s">
        <v>13</v>
      </c>
      <c r="C47" t="s">
        <v>323</v>
      </c>
      <c r="D47" t="s">
        <v>17</v>
      </c>
      <c r="E47" t="s">
        <v>18</v>
      </c>
      <c r="F47">
        <v>44</v>
      </c>
      <c r="G47">
        <v>100</v>
      </c>
      <c r="H47">
        <v>2</v>
      </c>
      <c r="I47">
        <v>200</v>
      </c>
      <c r="J47">
        <v>8.15</v>
      </c>
      <c r="K47" s="2">
        <v>45055</v>
      </c>
      <c r="L47" t="s">
        <v>317</v>
      </c>
    </row>
    <row r="48" spans="1:12" x14ac:dyDescent="0.25">
      <c r="A48" t="s">
        <v>67</v>
      </c>
      <c r="B48" t="s">
        <v>13</v>
      </c>
      <c r="C48" t="s">
        <v>323</v>
      </c>
      <c r="D48" t="s">
        <v>14</v>
      </c>
      <c r="E48" t="s">
        <v>15</v>
      </c>
      <c r="F48">
        <v>68</v>
      </c>
      <c r="G48">
        <v>300</v>
      </c>
      <c r="H48">
        <v>2</v>
      </c>
      <c r="I48">
        <v>600</v>
      </c>
      <c r="J48">
        <v>9.56</v>
      </c>
      <c r="K48" s="2">
        <v>45283</v>
      </c>
      <c r="L48" t="s">
        <v>319</v>
      </c>
    </row>
    <row r="49" spans="1:12" x14ac:dyDescent="0.25">
      <c r="A49" t="s">
        <v>68</v>
      </c>
      <c r="B49" t="s">
        <v>13</v>
      </c>
      <c r="C49" t="s">
        <v>321</v>
      </c>
      <c r="D49" t="s">
        <v>25</v>
      </c>
      <c r="E49" t="s">
        <v>26</v>
      </c>
      <c r="F49">
        <v>44</v>
      </c>
      <c r="G49">
        <v>200</v>
      </c>
      <c r="H49">
        <v>3</v>
      </c>
      <c r="I49">
        <v>600</v>
      </c>
      <c r="J49">
        <v>18.09</v>
      </c>
      <c r="K49" s="2">
        <v>45227</v>
      </c>
      <c r="L49" t="s">
        <v>317</v>
      </c>
    </row>
    <row r="50" spans="1:12" x14ac:dyDescent="0.25">
      <c r="A50" t="s">
        <v>69</v>
      </c>
      <c r="B50" t="s">
        <v>20</v>
      </c>
      <c r="C50" t="s">
        <v>321</v>
      </c>
      <c r="D50" t="s">
        <v>23</v>
      </c>
      <c r="E50" t="s">
        <v>15</v>
      </c>
      <c r="F50">
        <v>67</v>
      </c>
      <c r="G50">
        <v>1500</v>
      </c>
      <c r="H50">
        <v>4</v>
      </c>
      <c r="I50">
        <v>6000</v>
      </c>
      <c r="J50">
        <v>7.01</v>
      </c>
      <c r="K50" s="2">
        <v>45170</v>
      </c>
      <c r="L50" t="s">
        <v>318</v>
      </c>
    </row>
    <row r="51" spans="1:12" x14ac:dyDescent="0.25">
      <c r="A51" t="s">
        <v>70</v>
      </c>
      <c r="B51" t="s">
        <v>13</v>
      </c>
      <c r="C51" t="s">
        <v>321</v>
      </c>
      <c r="D51" t="s">
        <v>14</v>
      </c>
      <c r="E51" t="s">
        <v>15</v>
      </c>
      <c r="F51">
        <v>23</v>
      </c>
      <c r="G51">
        <v>300</v>
      </c>
      <c r="H51">
        <v>3</v>
      </c>
      <c r="I51">
        <v>900</v>
      </c>
      <c r="J51">
        <v>12.58</v>
      </c>
      <c r="K51" s="2">
        <v>45032</v>
      </c>
      <c r="L51" t="s">
        <v>316</v>
      </c>
    </row>
    <row r="52" spans="1:12" x14ac:dyDescent="0.25">
      <c r="A52" t="s">
        <v>71</v>
      </c>
      <c r="B52" t="s">
        <v>13</v>
      </c>
      <c r="C52" t="s">
        <v>321</v>
      </c>
      <c r="D52" t="s">
        <v>17</v>
      </c>
      <c r="E52" t="s">
        <v>18</v>
      </c>
      <c r="F52">
        <v>68</v>
      </c>
      <c r="G52">
        <v>100</v>
      </c>
      <c r="H52">
        <v>2</v>
      </c>
      <c r="I52">
        <v>200</v>
      </c>
      <c r="J52">
        <v>13.49</v>
      </c>
      <c r="K52" s="2">
        <v>45273</v>
      </c>
      <c r="L52" t="s">
        <v>317</v>
      </c>
    </row>
    <row r="53" spans="1:12" x14ac:dyDescent="0.25">
      <c r="A53" t="s">
        <v>72</v>
      </c>
      <c r="B53" t="s">
        <v>20</v>
      </c>
      <c r="C53" t="s">
        <v>323</v>
      </c>
      <c r="D53" t="s">
        <v>14</v>
      </c>
      <c r="E53" t="s">
        <v>15</v>
      </c>
      <c r="F53">
        <v>42</v>
      </c>
      <c r="G53">
        <v>300</v>
      </c>
      <c r="H53">
        <v>4</v>
      </c>
      <c r="I53">
        <v>1200</v>
      </c>
      <c r="J53">
        <v>18.149999999999999</v>
      </c>
      <c r="K53" s="2">
        <v>45012</v>
      </c>
      <c r="L53" t="s">
        <v>317</v>
      </c>
    </row>
    <row r="54" spans="1:12" x14ac:dyDescent="0.25">
      <c r="A54" t="s">
        <v>73</v>
      </c>
      <c r="B54" t="s">
        <v>13</v>
      </c>
      <c r="C54" t="s">
        <v>322</v>
      </c>
      <c r="D54" t="s">
        <v>23</v>
      </c>
      <c r="E54" t="s">
        <v>15</v>
      </c>
      <c r="F54">
        <v>51</v>
      </c>
      <c r="G54">
        <v>1500</v>
      </c>
      <c r="H54">
        <v>2</v>
      </c>
      <c r="I54">
        <v>3000</v>
      </c>
      <c r="J54">
        <v>7.43</v>
      </c>
      <c r="K54" s="2">
        <v>45246</v>
      </c>
      <c r="L54" t="s">
        <v>318</v>
      </c>
    </row>
    <row r="55" spans="1:12" x14ac:dyDescent="0.25">
      <c r="A55" t="s">
        <v>63</v>
      </c>
      <c r="B55" t="s">
        <v>20</v>
      </c>
      <c r="C55" t="s">
        <v>321</v>
      </c>
      <c r="D55" t="s">
        <v>23</v>
      </c>
      <c r="E55" t="s">
        <v>15</v>
      </c>
      <c r="F55">
        <v>61</v>
      </c>
      <c r="G55">
        <v>1500</v>
      </c>
      <c r="H55">
        <v>2</v>
      </c>
      <c r="I55">
        <v>3000</v>
      </c>
      <c r="J55">
        <v>5.42</v>
      </c>
      <c r="K55" s="2">
        <v>45091</v>
      </c>
      <c r="L55" t="s">
        <v>316</v>
      </c>
    </row>
    <row r="56" spans="1:12" x14ac:dyDescent="0.25">
      <c r="A56" t="s">
        <v>74</v>
      </c>
      <c r="B56" t="s">
        <v>20</v>
      </c>
      <c r="C56" t="s">
        <v>322</v>
      </c>
      <c r="D56" t="s">
        <v>40</v>
      </c>
      <c r="E56" t="s">
        <v>15</v>
      </c>
      <c r="F56">
        <v>46</v>
      </c>
      <c r="G56">
        <v>800</v>
      </c>
      <c r="H56">
        <v>5</v>
      </c>
      <c r="I56">
        <v>4000</v>
      </c>
      <c r="J56">
        <v>10.62</v>
      </c>
      <c r="K56" s="2">
        <v>44952</v>
      </c>
      <c r="L56" t="s">
        <v>316</v>
      </c>
    </row>
    <row r="57" spans="1:12" x14ac:dyDescent="0.25">
      <c r="A57" t="s">
        <v>75</v>
      </c>
      <c r="B57" t="s">
        <v>20</v>
      </c>
      <c r="C57" t="s">
        <v>321</v>
      </c>
      <c r="D57" t="s">
        <v>29</v>
      </c>
      <c r="E57" t="s">
        <v>18</v>
      </c>
      <c r="F57">
        <v>49</v>
      </c>
      <c r="G57">
        <v>50</v>
      </c>
      <c r="H57">
        <v>4</v>
      </c>
      <c r="I57">
        <v>200</v>
      </c>
      <c r="J57">
        <v>19.72</v>
      </c>
      <c r="K57" s="2">
        <v>45285</v>
      </c>
      <c r="L57" t="s">
        <v>319</v>
      </c>
    </row>
    <row r="58" spans="1:12" x14ac:dyDescent="0.25">
      <c r="A58" t="s">
        <v>76</v>
      </c>
      <c r="B58" t="s">
        <v>13</v>
      </c>
      <c r="C58" t="s">
        <v>320</v>
      </c>
      <c r="D58" t="s">
        <v>29</v>
      </c>
      <c r="E58" t="s">
        <v>18</v>
      </c>
      <c r="F58">
        <v>62</v>
      </c>
      <c r="G58">
        <v>50</v>
      </c>
      <c r="H58">
        <v>4</v>
      </c>
      <c r="I58">
        <v>200</v>
      </c>
      <c r="J58">
        <v>12.79</v>
      </c>
      <c r="K58" s="2">
        <v>45198</v>
      </c>
      <c r="L58" t="s">
        <v>318</v>
      </c>
    </row>
    <row r="59" spans="1:12" x14ac:dyDescent="0.25">
      <c r="A59" t="s">
        <v>77</v>
      </c>
      <c r="B59" t="s">
        <v>13</v>
      </c>
      <c r="C59" t="s">
        <v>322</v>
      </c>
      <c r="D59" t="s">
        <v>23</v>
      </c>
      <c r="E59" t="s">
        <v>15</v>
      </c>
      <c r="F59">
        <v>54</v>
      </c>
      <c r="G59">
        <v>1500</v>
      </c>
      <c r="H59">
        <v>1</v>
      </c>
      <c r="I59">
        <v>1500</v>
      </c>
      <c r="J59">
        <v>5.16</v>
      </c>
      <c r="K59" s="2">
        <v>44999</v>
      </c>
      <c r="L59" t="s">
        <v>318</v>
      </c>
    </row>
    <row r="60" spans="1:12" x14ac:dyDescent="0.25">
      <c r="A60" t="s">
        <v>78</v>
      </c>
      <c r="B60" t="s">
        <v>20</v>
      </c>
      <c r="C60" t="s">
        <v>320</v>
      </c>
      <c r="D60" t="s">
        <v>17</v>
      </c>
      <c r="E60" t="s">
        <v>18</v>
      </c>
      <c r="F60">
        <v>67</v>
      </c>
      <c r="G60">
        <v>100</v>
      </c>
      <c r="H60">
        <v>2</v>
      </c>
      <c r="I60">
        <v>200</v>
      </c>
      <c r="J60">
        <v>11.65</v>
      </c>
      <c r="K60" s="2">
        <v>45274</v>
      </c>
      <c r="L60" t="s">
        <v>316</v>
      </c>
    </row>
    <row r="61" spans="1:12" x14ac:dyDescent="0.25">
      <c r="A61" t="s">
        <v>79</v>
      </c>
      <c r="B61" t="s">
        <v>13</v>
      </c>
      <c r="C61" t="s">
        <v>322</v>
      </c>
      <c r="D61" t="s">
        <v>23</v>
      </c>
      <c r="E61" t="s">
        <v>15</v>
      </c>
      <c r="F61">
        <v>52</v>
      </c>
      <c r="G61">
        <v>1500</v>
      </c>
      <c r="H61">
        <v>5</v>
      </c>
      <c r="I61">
        <v>7500</v>
      </c>
      <c r="J61">
        <v>19.690000000000001</v>
      </c>
      <c r="K61" s="2">
        <v>45186</v>
      </c>
      <c r="L61" t="s">
        <v>317</v>
      </c>
    </row>
    <row r="62" spans="1:12" x14ac:dyDescent="0.25">
      <c r="A62" t="s">
        <v>80</v>
      </c>
      <c r="B62" t="s">
        <v>13</v>
      </c>
      <c r="C62" t="s">
        <v>323</v>
      </c>
      <c r="D62" t="s">
        <v>40</v>
      </c>
      <c r="E62" t="s">
        <v>15</v>
      </c>
      <c r="F62">
        <v>64</v>
      </c>
      <c r="G62">
        <v>800</v>
      </c>
      <c r="H62">
        <v>4</v>
      </c>
      <c r="I62">
        <v>3200</v>
      </c>
      <c r="J62">
        <v>17.27</v>
      </c>
      <c r="K62" s="2">
        <v>45146</v>
      </c>
      <c r="L62" t="s">
        <v>317</v>
      </c>
    </row>
    <row r="63" spans="1:12" x14ac:dyDescent="0.25">
      <c r="A63" t="s">
        <v>81</v>
      </c>
      <c r="B63" t="s">
        <v>13</v>
      </c>
      <c r="C63" t="s">
        <v>320</v>
      </c>
      <c r="D63" t="s">
        <v>14</v>
      </c>
      <c r="E63" t="s">
        <v>15</v>
      </c>
      <c r="F63">
        <v>33</v>
      </c>
      <c r="G63">
        <v>300</v>
      </c>
      <c r="H63">
        <v>4</v>
      </c>
      <c r="I63">
        <v>1200</v>
      </c>
      <c r="J63">
        <v>14.88</v>
      </c>
      <c r="K63" s="2">
        <v>45028</v>
      </c>
      <c r="L63" t="s">
        <v>318</v>
      </c>
    </row>
    <row r="64" spans="1:12" x14ac:dyDescent="0.25">
      <c r="A64" t="s">
        <v>82</v>
      </c>
      <c r="B64" t="s">
        <v>20</v>
      </c>
      <c r="C64" t="s">
        <v>321</v>
      </c>
      <c r="D64" t="s">
        <v>17</v>
      </c>
      <c r="E64" t="s">
        <v>18</v>
      </c>
      <c r="F64">
        <v>24</v>
      </c>
      <c r="G64">
        <v>100</v>
      </c>
      <c r="H64">
        <v>3</v>
      </c>
      <c r="I64">
        <v>300</v>
      </c>
      <c r="J64">
        <v>8.49</v>
      </c>
      <c r="K64" s="2">
        <v>44978</v>
      </c>
      <c r="L64" t="s">
        <v>317</v>
      </c>
    </row>
    <row r="65" spans="1:12" x14ac:dyDescent="0.25">
      <c r="A65" t="s">
        <v>83</v>
      </c>
      <c r="B65" t="s">
        <v>13</v>
      </c>
      <c r="C65" t="s">
        <v>323</v>
      </c>
      <c r="D65" t="s">
        <v>17</v>
      </c>
      <c r="E65" t="s">
        <v>18</v>
      </c>
      <c r="F65">
        <v>36</v>
      </c>
      <c r="G65">
        <v>100</v>
      </c>
      <c r="H65">
        <v>2</v>
      </c>
      <c r="I65">
        <v>200</v>
      </c>
      <c r="J65">
        <v>7.71</v>
      </c>
      <c r="K65" s="2">
        <v>45233</v>
      </c>
      <c r="L65" t="s">
        <v>316</v>
      </c>
    </row>
    <row r="66" spans="1:12" x14ac:dyDescent="0.25">
      <c r="A66" t="s">
        <v>64</v>
      </c>
      <c r="B66" t="s">
        <v>13</v>
      </c>
      <c r="C66" t="s">
        <v>320</v>
      </c>
      <c r="D66" t="s">
        <v>14</v>
      </c>
      <c r="E66" t="s">
        <v>15</v>
      </c>
      <c r="F66">
        <v>19</v>
      </c>
      <c r="G66">
        <v>300</v>
      </c>
      <c r="H66">
        <v>5</v>
      </c>
      <c r="I66">
        <v>1500</v>
      </c>
      <c r="J66">
        <v>13.7</v>
      </c>
      <c r="K66" s="2">
        <v>44942</v>
      </c>
      <c r="L66" t="s">
        <v>317</v>
      </c>
    </row>
    <row r="67" spans="1:12" x14ac:dyDescent="0.25">
      <c r="A67" t="s">
        <v>84</v>
      </c>
      <c r="B67" t="s">
        <v>13</v>
      </c>
      <c r="C67" t="s">
        <v>323</v>
      </c>
      <c r="D67" t="s">
        <v>14</v>
      </c>
      <c r="E67" t="s">
        <v>15</v>
      </c>
      <c r="F67">
        <v>28</v>
      </c>
      <c r="G67">
        <v>300</v>
      </c>
      <c r="H67">
        <v>1</v>
      </c>
      <c r="I67">
        <v>300</v>
      </c>
      <c r="J67">
        <v>17.98</v>
      </c>
      <c r="K67" s="2">
        <v>45294</v>
      </c>
      <c r="L67" t="s">
        <v>316</v>
      </c>
    </row>
    <row r="68" spans="1:12" x14ac:dyDescent="0.25">
      <c r="A68" t="s">
        <v>85</v>
      </c>
      <c r="B68" t="s">
        <v>20</v>
      </c>
      <c r="C68" t="s">
        <v>323</v>
      </c>
      <c r="D68" t="s">
        <v>17</v>
      </c>
      <c r="E68" t="s">
        <v>18</v>
      </c>
      <c r="F68">
        <v>49</v>
      </c>
      <c r="G68">
        <v>100</v>
      </c>
      <c r="H68">
        <v>2</v>
      </c>
      <c r="I68">
        <v>200</v>
      </c>
      <c r="J68">
        <v>13.06</v>
      </c>
      <c r="K68" s="2">
        <v>44962</v>
      </c>
      <c r="L68" t="s">
        <v>316</v>
      </c>
    </row>
    <row r="69" spans="1:12" x14ac:dyDescent="0.25">
      <c r="A69" t="s">
        <v>86</v>
      </c>
      <c r="B69" t="s">
        <v>20</v>
      </c>
      <c r="C69" t="s">
        <v>319</v>
      </c>
      <c r="D69" t="s">
        <v>40</v>
      </c>
      <c r="E69" t="s">
        <v>15</v>
      </c>
      <c r="F69">
        <v>61</v>
      </c>
      <c r="G69">
        <v>800</v>
      </c>
      <c r="H69">
        <v>4</v>
      </c>
      <c r="I69">
        <v>3200</v>
      </c>
      <c r="J69">
        <v>11.79</v>
      </c>
      <c r="K69" s="2">
        <v>44964</v>
      </c>
      <c r="L69" t="s">
        <v>317</v>
      </c>
    </row>
    <row r="70" spans="1:12" x14ac:dyDescent="0.25">
      <c r="A70" t="s">
        <v>57</v>
      </c>
      <c r="B70" t="s">
        <v>13</v>
      </c>
      <c r="C70" t="s">
        <v>322</v>
      </c>
      <c r="D70" t="s">
        <v>29</v>
      </c>
      <c r="E70" t="s">
        <v>18</v>
      </c>
      <c r="F70">
        <v>41</v>
      </c>
      <c r="G70">
        <v>50</v>
      </c>
      <c r="H70">
        <v>4</v>
      </c>
      <c r="I70">
        <v>200</v>
      </c>
      <c r="J70">
        <v>19.12</v>
      </c>
      <c r="K70" s="2">
        <v>45019</v>
      </c>
      <c r="L70" t="s">
        <v>316</v>
      </c>
    </row>
    <row r="71" spans="1:12" x14ac:dyDescent="0.25">
      <c r="A71" t="s">
        <v>87</v>
      </c>
      <c r="B71" t="s">
        <v>13</v>
      </c>
      <c r="C71" t="s">
        <v>323</v>
      </c>
      <c r="D71" t="s">
        <v>30</v>
      </c>
      <c r="E71" t="s">
        <v>18</v>
      </c>
      <c r="F71">
        <v>21</v>
      </c>
      <c r="G71">
        <v>30</v>
      </c>
      <c r="H71">
        <v>1</v>
      </c>
      <c r="I71">
        <v>30</v>
      </c>
      <c r="J71">
        <v>6.17</v>
      </c>
      <c r="K71" s="2">
        <v>45222</v>
      </c>
      <c r="L71" t="s">
        <v>317</v>
      </c>
    </row>
    <row r="72" spans="1:12" x14ac:dyDescent="0.25">
      <c r="A72" t="s">
        <v>88</v>
      </c>
      <c r="B72" t="s">
        <v>20</v>
      </c>
      <c r="C72" t="s">
        <v>320</v>
      </c>
      <c r="D72" t="s">
        <v>29</v>
      </c>
      <c r="E72" t="s">
        <v>18</v>
      </c>
      <c r="F72">
        <v>50</v>
      </c>
      <c r="G72">
        <v>50</v>
      </c>
      <c r="H72">
        <v>2</v>
      </c>
      <c r="I72">
        <v>100</v>
      </c>
      <c r="J72">
        <v>13.82</v>
      </c>
      <c r="K72" s="2">
        <v>45132</v>
      </c>
      <c r="L72" t="s">
        <v>317</v>
      </c>
    </row>
    <row r="73" spans="1:12" x14ac:dyDescent="0.25">
      <c r="A73" t="s">
        <v>89</v>
      </c>
      <c r="B73" t="s">
        <v>13</v>
      </c>
      <c r="C73" t="s">
        <v>321</v>
      </c>
      <c r="D73" t="s">
        <v>23</v>
      </c>
      <c r="E73" t="s">
        <v>15</v>
      </c>
      <c r="F73">
        <v>48</v>
      </c>
      <c r="G73">
        <v>1500</v>
      </c>
      <c r="H73">
        <v>5</v>
      </c>
      <c r="I73">
        <v>7500</v>
      </c>
      <c r="J73">
        <v>15.95</v>
      </c>
      <c r="K73" s="2">
        <v>45200</v>
      </c>
      <c r="L73" t="s">
        <v>316</v>
      </c>
    </row>
    <row r="74" spans="1:12" x14ac:dyDescent="0.25">
      <c r="A74" t="s">
        <v>90</v>
      </c>
      <c r="B74" t="s">
        <v>13</v>
      </c>
      <c r="C74" t="s">
        <v>322</v>
      </c>
      <c r="D74" t="s">
        <v>29</v>
      </c>
      <c r="E74" t="s">
        <v>18</v>
      </c>
      <c r="F74">
        <v>50</v>
      </c>
      <c r="G74">
        <v>50</v>
      </c>
      <c r="H74">
        <v>5</v>
      </c>
      <c r="I74">
        <v>250</v>
      </c>
      <c r="J74">
        <v>10.89</v>
      </c>
      <c r="K74" s="2">
        <v>45004</v>
      </c>
      <c r="L74" t="s">
        <v>318</v>
      </c>
    </row>
    <row r="75" spans="1:12" x14ac:dyDescent="0.25">
      <c r="A75" t="s">
        <v>91</v>
      </c>
      <c r="B75" t="s">
        <v>20</v>
      </c>
      <c r="C75" t="s">
        <v>321</v>
      </c>
      <c r="D75" t="s">
        <v>29</v>
      </c>
      <c r="E75" t="s">
        <v>18</v>
      </c>
      <c r="F75">
        <v>54</v>
      </c>
      <c r="G75">
        <v>50</v>
      </c>
      <c r="H75">
        <v>4</v>
      </c>
      <c r="I75">
        <v>200</v>
      </c>
      <c r="J75">
        <v>9.2200000000000006</v>
      </c>
      <c r="K75" s="2">
        <v>45204</v>
      </c>
      <c r="L75" t="s">
        <v>316</v>
      </c>
    </row>
    <row r="76" spans="1:12" x14ac:dyDescent="0.25">
      <c r="A76" t="s">
        <v>58</v>
      </c>
      <c r="B76" t="s">
        <v>20</v>
      </c>
      <c r="C76" t="s">
        <v>320</v>
      </c>
      <c r="D76" t="s">
        <v>29</v>
      </c>
      <c r="E76" t="s">
        <v>18</v>
      </c>
      <c r="F76">
        <v>64</v>
      </c>
      <c r="G76">
        <v>50</v>
      </c>
      <c r="H76">
        <v>3</v>
      </c>
      <c r="I76">
        <v>150</v>
      </c>
      <c r="J76">
        <v>17.760000000000002</v>
      </c>
      <c r="K76" s="2">
        <v>45027</v>
      </c>
      <c r="L76" t="s">
        <v>317</v>
      </c>
    </row>
    <row r="77" spans="1:12" x14ac:dyDescent="0.25">
      <c r="A77" t="s">
        <v>92</v>
      </c>
      <c r="B77" t="s">
        <v>13</v>
      </c>
      <c r="C77" t="s">
        <v>320</v>
      </c>
      <c r="D77" t="s">
        <v>30</v>
      </c>
      <c r="E77" t="s">
        <v>18</v>
      </c>
      <c r="F77">
        <v>63</v>
      </c>
      <c r="G77">
        <v>30</v>
      </c>
      <c r="H77">
        <v>1</v>
      </c>
      <c r="I77">
        <v>30</v>
      </c>
      <c r="J77">
        <v>13.28</v>
      </c>
      <c r="K77" s="2">
        <v>45180</v>
      </c>
      <c r="L77" t="s">
        <v>316</v>
      </c>
    </row>
    <row r="78" spans="1:12" x14ac:dyDescent="0.25">
      <c r="A78" t="s">
        <v>93</v>
      </c>
      <c r="B78" t="s">
        <v>20</v>
      </c>
      <c r="C78" t="s">
        <v>320</v>
      </c>
      <c r="D78" t="s">
        <v>40</v>
      </c>
      <c r="E78" t="s">
        <v>15</v>
      </c>
      <c r="F78">
        <v>47</v>
      </c>
      <c r="G78">
        <v>800</v>
      </c>
      <c r="H78">
        <v>1</v>
      </c>
      <c r="I78">
        <v>800</v>
      </c>
      <c r="J78">
        <v>11.29</v>
      </c>
      <c r="K78" s="2">
        <v>45227</v>
      </c>
      <c r="L78" t="s">
        <v>316</v>
      </c>
    </row>
    <row r="79" spans="1:12" x14ac:dyDescent="0.25">
      <c r="A79" t="s">
        <v>94</v>
      </c>
      <c r="B79" t="s">
        <v>13</v>
      </c>
      <c r="C79" t="s">
        <v>320</v>
      </c>
      <c r="D79" t="s">
        <v>29</v>
      </c>
      <c r="E79" t="s">
        <v>18</v>
      </c>
      <c r="F79">
        <v>45</v>
      </c>
      <c r="G79">
        <v>50</v>
      </c>
      <c r="H79">
        <v>2</v>
      </c>
      <c r="I79">
        <v>100</v>
      </c>
      <c r="J79">
        <v>19.04</v>
      </c>
      <c r="K79" s="2">
        <v>45001</v>
      </c>
      <c r="L79" t="s">
        <v>318</v>
      </c>
    </row>
    <row r="80" spans="1:12" x14ac:dyDescent="0.25">
      <c r="A80" t="s">
        <v>95</v>
      </c>
      <c r="B80" t="s">
        <v>20</v>
      </c>
      <c r="C80" t="s">
        <v>320</v>
      </c>
      <c r="D80" t="s">
        <v>25</v>
      </c>
      <c r="E80" t="s">
        <v>26</v>
      </c>
      <c r="F80">
        <v>33</v>
      </c>
      <c r="G80">
        <v>200</v>
      </c>
      <c r="H80">
        <v>2</v>
      </c>
      <c r="I80">
        <v>400</v>
      </c>
      <c r="J80">
        <v>10.07</v>
      </c>
      <c r="K80" s="2">
        <v>45251</v>
      </c>
      <c r="L80" t="s">
        <v>318</v>
      </c>
    </row>
    <row r="81" spans="1:12" x14ac:dyDescent="0.25">
      <c r="A81" t="s">
        <v>96</v>
      </c>
      <c r="B81" t="s">
        <v>20</v>
      </c>
      <c r="C81" t="s">
        <v>323</v>
      </c>
      <c r="D81" t="s">
        <v>23</v>
      </c>
      <c r="E81" t="s">
        <v>15</v>
      </c>
      <c r="F81">
        <v>64</v>
      </c>
      <c r="G81">
        <v>1500</v>
      </c>
      <c r="H81">
        <v>5</v>
      </c>
      <c r="I81">
        <v>7500</v>
      </c>
      <c r="J81">
        <v>6.53</v>
      </c>
      <c r="K81" s="2">
        <v>45263</v>
      </c>
      <c r="L81" t="s">
        <v>316</v>
      </c>
    </row>
    <row r="82" spans="1:12" x14ac:dyDescent="0.25">
      <c r="A82" t="s">
        <v>97</v>
      </c>
      <c r="B82" t="s">
        <v>13</v>
      </c>
      <c r="C82" t="s">
        <v>323</v>
      </c>
      <c r="D82" t="s">
        <v>25</v>
      </c>
      <c r="E82" t="s">
        <v>26</v>
      </c>
      <c r="F82">
        <v>59</v>
      </c>
      <c r="G82">
        <v>200</v>
      </c>
      <c r="H82">
        <v>3</v>
      </c>
      <c r="I82">
        <v>600</v>
      </c>
      <c r="J82">
        <v>9.82</v>
      </c>
      <c r="K82" s="2">
        <v>44965</v>
      </c>
      <c r="L82" t="s">
        <v>317</v>
      </c>
    </row>
    <row r="83" spans="1:12" x14ac:dyDescent="0.25">
      <c r="A83" t="s">
        <v>98</v>
      </c>
      <c r="B83" t="s">
        <v>20</v>
      </c>
      <c r="C83" t="s">
        <v>322</v>
      </c>
      <c r="D83" t="s">
        <v>30</v>
      </c>
      <c r="E83" t="s">
        <v>18</v>
      </c>
      <c r="F83">
        <v>40</v>
      </c>
      <c r="G83">
        <v>30</v>
      </c>
      <c r="H83">
        <v>5</v>
      </c>
      <c r="I83">
        <v>150</v>
      </c>
      <c r="J83">
        <v>8.64</v>
      </c>
      <c r="K83" s="2">
        <v>45282</v>
      </c>
      <c r="L83" t="s">
        <v>318</v>
      </c>
    </row>
    <row r="84" spans="1:12" x14ac:dyDescent="0.25">
      <c r="A84" t="s">
        <v>99</v>
      </c>
      <c r="B84" t="s">
        <v>13</v>
      </c>
      <c r="C84" t="s">
        <v>321</v>
      </c>
      <c r="D84" t="s">
        <v>14</v>
      </c>
      <c r="E84" t="s">
        <v>15</v>
      </c>
      <c r="F84">
        <v>49</v>
      </c>
      <c r="G84">
        <v>300</v>
      </c>
      <c r="H84">
        <v>5</v>
      </c>
      <c r="I84">
        <v>1500</v>
      </c>
      <c r="J84">
        <v>7.77</v>
      </c>
      <c r="K84" s="2">
        <v>45223</v>
      </c>
      <c r="L84" t="s">
        <v>317</v>
      </c>
    </row>
    <row r="85" spans="1:12" x14ac:dyDescent="0.25">
      <c r="A85" t="s">
        <v>100</v>
      </c>
      <c r="B85" t="s">
        <v>13</v>
      </c>
      <c r="C85" t="s">
        <v>319</v>
      </c>
      <c r="D85" t="s">
        <v>30</v>
      </c>
      <c r="E85" t="s">
        <v>18</v>
      </c>
      <c r="F85">
        <v>48</v>
      </c>
      <c r="G85">
        <v>62.191212249732999</v>
      </c>
      <c r="H85">
        <v>2</v>
      </c>
      <c r="I85">
        <v>60</v>
      </c>
      <c r="J85">
        <v>7.4</v>
      </c>
      <c r="K85" s="2">
        <v>45158</v>
      </c>
      <c r="L85" t="s">
        <v>316</v>
      </c>
    </row>
    <row r="86" spans="1:12" x14ac:dyDescent="0.25">
      <c r="A86" t="s">
        <v>101</v>
      </c>
      <c r="B86" t="s">
        <v>13</v>
      </c>
      <c r="C86" t="s">
        <v>321</v>
      </c>
      <c r="D86" t="s">
        <v>29</v>
      </c>
      <c r="E86" t="s">
        <v>18</v>
      </c>
      <c r="F86">
        <v>51</v>
      </c>
      <c r="G86">
        <v>103.65202041622101</v>
      </c>
      <c r="H86">
        <v>4</v>
      </c>
      <c r="I86">
        <v>200</v>
      </c>
      <c r="J86">
        <v>11.41</v>
      </c>
      <c r="K86" s="2">
        <v>45066</v>
      </c>
      <c r="L86" t="s">
        <v>316</v>
      </c>
    </row>
    <row r="87" spans="1:12" x14ac:dyDescent="0.25">
      <c r="A87" t="s">
        <v>79</v>
      </c>
      <c r="B87" t="s">
        <v>20</v>
      </c>
      <c r="C87" t="s">
        <v>321</v>
      </c>
      <c r="D87" t="s">
        <v>14</v>
      </c>
      <c r="E87" t="s">
        <v>15</v>
      </c>
      <c r="F87">
        <v>52</v>
      </c>
      <c r="G87">
        <v>300</v>
      </c>
      <c r="H87">
        <v>3</v>
      </c>
      <c r="I87">
        <v>900</v>
      </c>
      <c r="J87">
        <v>5.66</v>
      </c>
      <c r="K87" s="2">
        <v>44975</v>
      </c>
      <c r="L87" t="s">
        <v>318</v>
      </c>
    </row>
    <row r="88" spans="1:12" x14ac:dyDescent="0.25">
      <c r="A88" t="s">
        <v>74</v>
      </c>
      <c r="B88" t="s">
        <v>20</v>
      </c>
      <c r="C88" t="s">
        <v>321</v>
      </c>
      <c r="D88" t="s">
        <v>30</v>
      </c>
      <c r="E88" t="s">
        <v>18</v>
      </c>
      <c r="F88">
        <v>46</v>
      </c>
      <c r="G88">
        <v>30</v>
      </c>
      <c r="H88">
        <v>4</v>
      </c>
      <c r="I88">
        <v>120</v>
      </c>
      <c r="J88">
        <v>5.71</v>
      </c>
      <c r="K88" s="2">
        <v>45294</v>
      </c>
      <c r="L88" t="s">
        <v>318</v>
      </c>
    </row>
    <row r="89" spans="1:12" x14ac:dyDescent="0.25">
      <c r="A89" t="s">
        <v>79</v>
      </c>
      <c r="B89" t="s">
        <v>13</v>
      </c>
      <c r="C89" t="s">
        <v>320</v>
      </c>
      <c r="D89" t="s">
        <v>25</v>
      </c>
      <c r="E89" t="s">
        <v>26</v>
      </c>
      <c r="F89">
        <v>52</v>
      </c>
      <c r="G89">
        <v>200</v>
      </c>
      <c r="H89">
        <v>1</v>
      </c>
      <c r="I89">
        <v>200</v>
      </c>
      <c r="J89">
        <v>13.68</v>
      </c>
      <c r="K89" s="2">
        <v>45140</v>
      </c>
      <c r="L89" t="s">
        <v>318</v>
      </c>
    </row>
    <row r="90" spans="1:12" x14ac:dyDescent="0.25">
      <c r="A90" t="s">
        <v>102</v>
      </c>
      <c r="B90" t="s">
        <v>20</v>
      </c>
      <c r="C90" t="s">
        <v>322</v>
      </c>
      <c r="D90" t="s">
        <v>30</v>
      </c>
      <c r="E90" t="s">
        <v>18</v>
      </c>
      <c r="F90">
        <v>30</v>
      </c>
      <c r="G90">
        <v>30</v>
      </c>
      <c r="H90">
        <v>1</v>
      </c>
      <c r="I90">
        <v>30</v>
      </c>
      <c r="J90">
        <v>18.29</v>
      </c>
      <c r="K90" s="2">
        <v>45035</v>
      </c>
      <c r="L90" t="s">
        <v>317</v>
      </c>
    </row>
    <row r="91" spans="1:12" x14ac:dyDescent="0.25">
      <c r="A91" t="s">
        <v>63</v>
      </c>
      <c r="B91" t="s">
        <v>13</v>
      </c>
      <c r="C91" t="s">
        <v>320</v>
      </c>
      <c r="D91" t="s">
        <v>40</v>
      </c>
      <c r="E91" t="s">
        <v>15</v>
      </c>
      <c r="F91">
        <v>61</v>
      </c>
      <c r="G91">
        <v>800</v>
      </c>
      <c r="H91">
        <v>5</v>
      </c>
      <c r="I91">
        <v>4000</v>
      </c>
      <c r="J91">
        <v>6.31</v>
      </c>
      <c r="K91" s="2">
        <v>45106</v>
      </c>
      <c r="L91" t="s">
        <v>318</v>
      </c>
    </row>
    <row r="92" spans="1:12" x14ac:dyDescent="0.25">
      <c r="A92" t="s">
        <v>103</v>
      </c>
      <c r="B92" t="s">
        <v>20</v>
      </c>
      <c r="C92" t="s">
        <v>320</v>
      </c>
      <c r="D92" t="s">
        <v>23</v>
      </c>
      <c r="E92" t="s">
        <v>15</v>
      </c>
      <c r="F92">
        <v>63</v>
      </c>
      <c r="G92">
        <v>1500</v>
      </c>
      <c r="H92">
        <v>1</v>
      </c>
      <c r="I92">
        <v>1500</v>
      </c>
      <c r="J92">
        <v>13.15</v>
      </c>
      <c r="K92" s="2">
        <v>44993</v>
      </c>
      <c r="L92" t="s">
        <v>318</v>
      </c>
    </row>
    <row r="93" spans="1:12" x14ac:dyDescent="0.25">
      <c r="A93" t="s">
        <v>53</v>
      </c>
      <c r="B93" t="s">
        <v>13</v>
      </c>
      <c r="C93" t="s">
        <v>321</v>
      </c>
      <c r="D93" t="s">
        <v>17</v>
      </c>
      <c r="E93" t="s">
        <v>18</v>
      </c>
      <c r="F93">
        <v>55</v>
      </c>
      <c r="G93">
        <v>100</v>
      </c>
      <c r="H93">
        <v>2</v>
      </c>
      <c r="I93">
        <v>200</v>
      </c>
      <c r="J93">
        <v>16.23</v>
      </c>
      <c r="K93" s="2">
        <v>45111</v>
      </c>
      <c r="L93" t="s">
        <v>316</v>
      </c>
    </row>
    <row r="94" spans="1:12" x14ac:dyDescent="0.25">
      <c r="A94" t="s">
        <v>104</v>
      </c>
      <c r="B94" t="s">
        <v>20</v>
      </c>
      <c r="C94" t="s">
        <v>323</v>
      </c>
      <c r="D94" t="s">
        <v>29</v>
      </c>
      <c r="E94" t="s">
        <v>18</v>
      </c>
      <c r="F94">
        <v>69</v>
      </c>
      <c r="G94">
        <v>50</v>
      </c>
      <c r="H94">
        <v>1</v>
      </c>
      <c r="I94">
        <v>50</v>
      </c>
      <c r="J94">
        <v>14.53</v>
      </c>
      <c r="K94" s="2">
        <v>45039</v>
      </c>
      <c r="L94" t="s">
        <v>316</v>
      </c>
    </row>
    <row r="95" spans="1:12" x14ac:dyDescent="0.25">
      <c r="A95" t="s">
        <v>105</v>
      </c>
      <c r="B95" t="s">
        <v>13</v>
      </c>
      <c r="C95" t="s">
        <v>323</v>
      </c>
      <c r="D95" t="s">
        <v>29</v>
      </c>
      <c r="E95" t="s">
        <v>18</v>
      </c>
      <c r="F95">
        <v>18</v>
      </c>
      <c r="G95">
        <v>50</v>
      </c>
      <c r="H95">
        <v>2</v>
      </c>
      <c r="I95">
        <v>100</v>
      </c>
      <c r="J95">
        <v>11.25</v>
      </c>
      <c r="K95" s="2">
        <v>45009</v>
      </c>
      <c r="L95" t="s">
        <v>316</v>
      </c>
    </row>
    <row r="96" spans="1:12" x14ac:dyDescent="0.25">
      <c r="A96" t="s">
        <v>28</v>
      </c>
      <c r="B96" t="s">
        <v>13</v>
      </c>
      <c r="C96" t="s">
        <v>321</v>
      </c>
      <c r="D96" t="s">
        <v>29</v>
      </c>
      <c r="E96" t="s">
        <v>18</v>
      </c>
      <c r="F96">
        <v>18</v>
      </c>
      <c r="G96">
        <v>50</v>
      </c>
      <c r="H96">
        <v>5</v>
      </c>
      <c r="I96">
        <v>250</v>
      </c>
      <c r="J96">
        <v>11.11</v>
      </c>
      <c r="K96" s="2">
        <v>45180</v>
      </c>
      <c r="L96" t="s">
        <v>316</v>
      </c>
    </row>
    <row r="97" spans="1:12" x14ac:dyDescent="0.25">
      <c r="A97" t="s">
        <v>106</v>
      </c>
      <c r="B97" t="s">
        <v>13</v>
      </c>
      <c r="C97" t="s">
        <v>320</v>
      </c>
      <c r="D97" t="s">
        <v>30</v>
      </c>
      <c r="E97" t="s">
        <v>18</v>
      </c>
      <c r="F97">
        <v>42</v>
      </c>
      <c r="G97">
        <v>30</v>
      </c>
      <c r="H97">
        <v>2</v>
      </c>
      <c r="I97">
        <v>60</v>
      </c>
      <c r="J97">
        <v>18.98</v>
      </c>
      <c r="K97" s="2">
        <v>44959</v>
      </c>
      <c r="L97" t="s">
        <v>317</v>
      </c>
    </row>
    <row r="98" spans="1:12" x14ac:dyDescent="0.25">
      <c r="A98" t="s">
        <v>28</v>
      </c>
      <c r="B98" t="s">
        <v>13</v>
      </c>
      <c r="C98" t="s">
        <v>320</v>
      </c>
      <c r="D98" t="s">
        <v>17</v>
      </c>
      <c r="E98" t="s">
        <v>18</v>
      </c>
      <c r="F98">
        <v>18</v>
      </c>
      <c r="G98">
        <v>100</v>
      </c>
      <c r="H98">
        <v>1</v>
      </c>
      <c r="I98">
        <v>100</v>
      </c>
      <c r="J98">
        <v>18.47</v>
      </c>
      <c r="K98" s="2">
        <v>45151</v>
      </c>
      <c r="L98" t="s">
        <v>318</v>
      </c>
    </row>
    <row r="99" spans="1:12" x14ac:dyDescent="0.25">
      <c r="A99" t="s">
        <v>63</v>
      </c>
      <c r="B99" t="s">
        <v>13</v>
      </c>
      <c r="C99" t="s">
        <v>321</v>
      </c>
      <c r="D99" t="s">
        <v>14</v>
      </c>
      <c r="E99" t="s">
        <v>15</v>
      </c>
      <c r="F99">
        <v>61</v>
      </c>
      <c r="G99">
        <v>300</v>
      </c>
      <c r="H99">
        <v>4</v>
      </c>
      <c r="I99">
        <v>1200</v>
      </c>
      <c r="J99">
        <v>18.5</v>
      </c>
      <c r="K99" s="2">
        <v>45069</v>
      </c>
      <c r="L99" t="s">
        <v>316</v>
      </c>
    </row>
    <row r="100" spans="1:12" x14ac:dyDescent="0.25">
      <c r="A100" t="s">
        <v>107</v>
      </c>
      <c r="B100" t="s">
        <v>20</v>
      </c>
      <c r="C100" t="s">
        <v>322</v>
      </c>
      <c r="D100" t="s">
        <v>23</v>
      </c>
      <c r="E100" t="s">
        <v>15</v>
      </c>
      <c r="F100">
        <v>26</v>
      </c>
      <c r="G100">
        <v>1500</v>
      </c>
      <c r="H100">
        <v>4</v>
      </c>
      <c r="I100">
        <v>6000</v>
      </c>
      <c r="J100">
        <v>15.74</v>
      </c>
      <c r="K100" s="2">
        <v>45150</v>
      </c>
      <c r="L100" t="s">
        <v>316</v>
      </c>
    </row>
    <row r="101" spans="1:12" x14ac:dyDescent="0.25">
      <c r="A101" t="s">
        <v>108</v>
      </c>
      <c r="B101" t="s">
        <v>13</v>
      </c>
      <c r="C101" t="s">
        <v>320</v>
      </c>
      <c r="D101" t="s">
        <v>40</v>
      </c>
      <c r="E101" t="s">
        <v>15</v>
      </c>
      <c r="F101">
        <v>25</v>
      </c>
      <c r="G101">
        <v>800</v>
      </c>
      <c r="H101">
        <v>4</v>
      </c>
      <c r="I101">
        <v>3200</v>
      </c>
      <c r="J101">
        <v>18.2</v>
      </c>
      <c r="K101" s="2">
        <v>44950</v>
      </c>
      <c r="L101" t="s">
        <v>317</v>
      </c>
    </row>
    <row r="102" spans="1:12" x14ac:dyDescent="0.25">
      <c r="A102" t="s">
        <v>109</v>
      </c>
      <c r="B102" t="s">
        <v>20</v>
      </c>
      <c r="C102" t="s">
        <v>323</v>
      </c>
      <c r="D102" t="s">
        <v>25</v>
      </c>
      <c r="E102" t="s">
        <v>26</v>
      </c>
      <c r="F102">
        <v>57</v>
      </c>
      <c r="G102">
        <v>200</v>
      </c>
      <c r="H102">
        <v>2</v>
      </c>
      <c r="I102">
        <v>400</v>
      </c>
      <c r="J102">
        <v>17.940000000000001</v>
      </c>
      <c r="K102" s="2">
        <v>45268</v>
      </c>
      <c r="L102" t="s">
        <v>317</v>
      </c>
    </row>
    <row r="103" spans="1:12" x14ac:dyDescent="0.25">
      <c r="A103" t="s">
        <v>110</v>
      </c>
      <c r="B103" t="s">
        <v>13</v>
      </c>
      <c r="C103" t="s">
        <v>322</v>
      </c>
      <c r="D103" t="s">
        <v>40</v>
      </c>
      <c r="E103" t="s">
        <v>15</v>
      </c>
      <c r="F103">
        <v>38</v>
      </c>
      <c r="G103">
        <v>800</v>
      </c>
      <c r="H103">
        <v>2</v>
      </c>
      <c r="I103">
        <v>1600</v>
      </c>
      <c r="J103">
        <v>16.510000000000002</v>
      </c>
      <c r="K103" s="2">
        <v>45183</v>
      </c>
      <c r="L103" t="s">
        <v>317</v>
      </c>
    </row>
    <row r="104" spans="1:12" x14ac:dyDescent="0.25">
      <c r="A104" t="s">
        <v>111</v>
      </c>
      <c r="B104" t="s">
        <v>20</v>
      </c>
      <c r="C104" t="s">
        <v>320</v>
      </c>
      <c r="D104" t="s">
        <v>25</v>
      </c>
      <c r="E104" t="s">
        <v>26</v>
      </c>
      <c r="F104">
        <v>58</v>
      </c>
      <c r="G104">
        <v>200</v>
      </c>
      <c r="H104">
        <v>4</v>
      </c>
      <c r="I104">
        <v>800</v>
      </c>
      <c r="J104">
        <v>9.9700000000000006</v>
      </c>
      <c r="K104" s="2">
        <v>45242</v>
      </c>
      <c r="L104" t="s">
        <v>318</v>
      </c>
    </row>
    <row r="105" spans="1:12" x14ac:dyDescent="0.25">
      <c r="A105" t="s">
        <v>112</v>
      </c>
      <c r="B105" t="s">
        <v>20</v>
      </c>
      <c r="C105" t="s">
        <v>323</v>
      </c>
      <c r="D105" t="s">
        <v>14</v>
      </c>
      <c r="E105" t="s">
        <v>15</v>
      </c>
      <c r="F105">
        <v>40</v>
      </c>
      <c r="G105">
        <v>300</v>
      </c>
      <c r="H105">
        <v>1</v>
      </c>
      <c r="I105">
        <v>300</v>
      </c>
      <c r="J105">
        <v>6.85</v>
      </c>
      <c r="K105" s="2">
        <v>45098</v>
      </c>
      <c r="L105" t="s">
        <v>316</v>
      </c>
    </row>
    <row r="106" spans="1:12" x14ac:dyDescent="0.25">
      <c r="A106" t="s">
        <v>76</v>
      </c>
      <c r="B106" t="s">
        <v>20</v>
      </c>
      <c r="C106" t="s">
        <v>323</v>
      </c>
      <c r="D106" t="s">
        <v>29</v>
      </c>
      <c r="E106" t="s">
        <v>18</v>
      </c>
      <c r="F106">
        <v>62</v>
      </c>
      <c r="G106">
        <v>50</v>
      </c>
      <c r="H106">
        <v>5</v>
      </c>
      <c r="I106">
        <v>250</v>
      </c>
      <c r="J106">
        <v>14.04</v>
      </c>
      <c r="K106" s="2">
        <v>45294</v>
      </c>
      <c r="L106" t="s">
        <v>319</v>
      </c>
    </row>
    <row r="107" spans="1:12" x14ac:dyDescent="0.25">
      <c r="A107" t="s">
        <v>111</v>
      </c>
      <c r="B107" t="s">
        <v>13</v>
      </c>
      <c r="C107" t="s">
        <v>319</v>
      </c>
      <c r="D107" t="s">
        <v>29</v>
      </c>
      <c r="E107" t="s">
        <v>18</v>
      </c>
      <c r="F107">
        <v>58</v>
      </c>
      <c r="G107">
        <v>50</v>
      </c>
      <c r="H107">
        <v>3</v>
      </c>
      <c r="I107">
        <v>150</v>
      </c>
      <c r="J107">
        <v>6.37</v>
      </c>
      <c r="K107" s="2">
        <v>45294</v>
      </c>
      <c r="L107" t="s">
        <v>317</v>
      </c>
    </row>
    <row r="108" spans="1:12" x14ac:dyDescent="0.25">
      <c r="A108" t="s">
        <v>113</v>
      </c>
      <c r="B108" t="s">
        <v>20</v>
      </c>
      <c r="C108" t="s">
        <v>320</v>
      </c>
      <c r="D108" t="s">
        <v>23</v>
      </c>
      <c r="E108" t="s">
        <v>15</v>
      </c>
      <c r="F108">
        <v>63</v>
      </c>
      <c r="G108">
        <v>1500</v>
      </c>
      <c r="H108">
        <v>3</v>
      </c>
      <c r="I108">
        <v>4500</v>
      </c>
      <c r="J108">
        <v>18.66</v>
      </c>
      <c r="K108" s="2">
        <v>45052</v>
      </c>
      <c r="L108" t="s">
        <v>316</v>
      </c>
    </row>
    <row r="109" spans="1:12" x14ac:dyDescent="0.25">
      <c r="A109" t="s">
        <v>114</v>
      </c>
      <c r="B109" t="s">
        <v>13</v>
      </c>
      <c r="C109" t="s">
        <v>322</v>
      </c>
      <c r="D109" t="s">
        <v>30</v>
      </c>
      <c r="E109" t="s">
        <v>18</v>
      </c>
      <c r="F109">
        <v>33</v>
      </c>
      <c r="G109">
        <v>30</v>
      </c>
      <c r="H109">
        <v>1</v>
      </c>
      <c r="I109">
        <v>30</v>
      </c>
      <c r="J109">
        <v>7.78</v>
      </c>
      <c r="K109" s="2">
        <v>44929</v>
      </c>
      <c r="L109" t="s">
        <v>317</v>
      </c>
    </row>
    <row r="110" spans="1:12" x14ac:dyDescent="0.25">
      <c r="A110" t="s">
        <v>115</v>
      </c>
      <c r="B110" t="s">
        <v>20</v>
      </c>
      <c r="C110" t="s">
        <v>320</v>
      </c>
      <c r="D110" t="s">
        <v>17</v>
      </c>
      <c r="E110" t="s">
        <v>18</v>
      </c>
      <c r="F110">
        <v>22</v>
      </c>
      <c r="G110">
        <v>100</v>
      </c>
      <c r="H110">
        <v>3</v>
      </c>
      <c r="I110">
        <v>300</v>
      </c>
      <c r="J110">
        <v>6.16</v>
      </c>
      <c r="K110" s="2">
        <v>45211</v>
      </c>
      <c r="L110" t="s">
        <v>316</v>
      </c>
    </row>
    <row r="111" spans="1:12" x14ac:dyDescent="0.25">
      <c r="A111" t="s">
        <v>114</v>
      </c>
      <c r="B111" t="s">
        <v>20</v>
      </c>
      <c r="C111" t="s">
        <v>323</v>
      </c>
      <c r="D111" t="s">
        <v>23</v>
      </c>
      <c r="E111" t="s">
        <v>15</v>
      </c>
      <c r="F111">
        <v>33</v>
      </c>
      <c r="G111">
        <v>1500</v>
      </c>
      <c r="H111">
        <v>3</v>
      </c>
      <c r="I111">
        <v>4500</v>
      </c>
      <c r="J111">
        <v>6.92</v>
      </c>
      <c r="K111" s="2">
        <v>45103</v>
      </c>
      <c r="L111" t="s">
        <v>316</v>
      </c>
    </row>
    <row r="112" spans="1:12" x14ac:dyDescent="0.25">
      <c r="A112" t="s">
        <v>116</v>
      </c>
      <c r="B112" t="s">
        <v>20</v>
      </c>
      <c r="C112" t="s">
        <v>319</v>
      </c>
      <c r="D112" t="s">
        <v>30</v>
      </c>
      <c r="E112" t="s">
        <v>18</v>
      </c>
      <c r="F112">
        <v>20</v>
      </c>
      <c r="G112">
        <v>62.191212249732999</v>
      </c>
      <c r="H112">
        <v>2</v>
      </c>
      <c r="I112">
        <v>60</v>
      </c>
      <c r="J112">
        <v>15.12</v>
      </c>
      <c r="K112" s="2">
        <v>45072</v>
      </c>
      <c r="L112" t="s">
        <v>317</v>
      </c>
    </row>
    <row r="113" spans="1:12" x14ac:dyDescent="0.25">
      <c r="A113" t="s">
        <v>117</v>
      </c>
      <c r="B113" t="s">
        <v>13</v>
      </c>
      <c r="C113" t="s">
        <v>320</v>
      </c>
      <c r="D113" t="s">
        <v>30</v>
      </c>
      <c r="E113" t="s">
        <v>18</v>
      </c>
      <c r="F113">
        <v>49</v>
      </c>
      <c r="G113">
        <v>30</v>
      </c>
      <c r="H113">
        <v>5</v>
      </c>
      <c r="I113">
        <v>150</v>
      </c>
      <c r="J113">
        <v>16.86</v>
      </c>
      <c r="K113" s="2">
        <v>45238</v>
      </c>
      <c r="L113" t="s">
        <v>316</v>
      </c>
    </row>
    <row r="114" spans="1:12" x14ac:dyDescent="0.25">
      <c r="A114" t="s">
        <v>91</v>
      </c>
      <c r="B114" t="s">
        <v>13</v>
      </c>
      <c r="C114" t="s">
        <v>321</v>
      </c>
      <c r="D114" t="s">
        <v>40</v>
      </c>
      <c r="E114" t="s">
        <v>15</v>
      </c>
      <c r="F114">
        <v>54</v>
      </c>
      <c r="G114">
        <v>800</v>
      </c>
      <c r="H114">
        <v>3</v>
      </c>
      <c r="I114">
        <v>2400</v>
      </c>
      <c r="J114">
        <v>18.760000000000002</v>
      </c>
      <c r="K114" s="2">
        <v>45267</v>
      </c>
      <c r="L114" t="s">
        <v>317</v>
      </c>
    </row>
    <row r="115" spans="1:12" x14ac:dyDescent="0.25">
      <c r="A115" t="s">
        <v>118</v>
      </c>
      <c r="B115" t="s">
        <v>13</v>
      </c>
      <c r="C115" t="s">
        <v>321</v>
      </c>
      <c r="D115" t="s">
        <v>23</v>
      </c>
      <c r="E115" t="s">
        <v>15</v>
      </c>
      <c r="F115">
        <v>37</v>
      </c>
      <c r="G115">
        <v>1500</v>
      </c>
      <c r="H115">
        <v>5</v>
      </c>
      <c r="I115">
        <v>7500</v>
      </c>
      <c r="J115">
        <v>6.68</v>
      </c>
      <c r="K115" s="2">
        <v>45113</v>
      </c>
      <c r="L115" t="s">
        <v>318</v>
      </c>
    </row>
    <row r="116" spans="1:12" x14ac:dyDescent="0.25">
      <c r="A116" t="s">
        <v>16</v>
      </c>
      <c r="B116" t="s">
        <v>20</v>
      </c>
      <c r="C116" t="s">
        <v>322</v>
      </c>
      <c r="D116" t="s">
        <v>23</v>
      </c>
      <c r="E116" t="s">
        <v>15</v>
      </c>
      <c r="F116">
        <v>22</v>
      </c>
      <c r="G116">
        <v>1500</v>
      </c>
      <c r="H116">
        <v>3</v>
      </c>
      <c r="I116">
        <v>4500</v>
      </c>
      <c r="J116">
        <v>11.69</v>
      </c>
      <c r="K116" s="2">
        <v>45097</v>
      </c>
      <c r="L116" t="s">
        <v>318</v>
      </c>
    </row>
    <row r="117" spans="1:12" x14ac:dyDescent="0.25">
      <c r="A117" t="s">
        <v>22</v>
      </c>
      <c r="B117" t="s">
        <v>13</v>
      </c>
      <c r="C117" t="s">
        <v>319</v>
      </c>
      <c r="D117" t="s">
        <v>17</v>
      </c>
      <c r="E117" t="s">
        <v>18</v>
      </c>
      <c r="F117">
        <v>65</v>
      </c>
      <c r="G117">
        <v>100</v>
      </c>
      <c r="H117">
        <v>1</v>
      </c>
      <c r="I117">
        <v>100</v>
      </c>
      <c r="J117">
        <v>19.28</v>
      </c>
      <c r="K117" s="2">
        <v>44968</v>
      </c>
      <c r="L117" t="s">
        <v>316</v>
      </c>
    </row>
    <row r="118" spans="1:12" x14ac:dyDescent="0.25">
      <c r="A118" t="s">
        <v>119</v>
      </c>
      <c r="B118" t="s">
        <v>20</v>
      </c>
      <c r="C118" t="s">
        <v>320</v>
      </c>
      <c r="D118" t="s">
        <v>17</v>
      </c>
      <c r="E118" t="s">
        <v>18</v>
      </c>
      <c r="F118">
        <v>49</v>
      </c>
      <c r="G118">
        <v>100</v>
      </c>
      <c r="H118">
        <v>5</v>
      </c>
      <c r="I118">
        <v>500</v>
      </c>
      <c r="J118">
        <v>16.04</v>
      </c>
      <c r="K118" s="2">
        <v>44959</v>
      </c>
      <c r="L118" t="s">
        <v>318</v>
      </c>
    </row>
    <row r="119" spans="1:12" x14ac:dyDescent="0.25">
      <c r="A119" t="s">
        <v>120</v>
      </c>
      <c r="B119" t="s">
        <v>13</v>
      </c>
      <c r="C119" t="s">
        <v>321</v>
      </c>
      <c r="D119" t="s">
        <v>17</v>
      </c>
      <c r="E119" t="s">
        <v>18</v>
      </c>
      <c r="F119">
        <v>58</v>
      </c>
      <c r="G119">
        <v>100</v>
      </c>
      <c r="H119">
        <v>3</v>
      </c>
      <c r="I119">
        <v>300</v>
      </c>
      <c r="J119">
        <v>6.08</v>
      </c>
      <c r="K119" s="2">
        <v>45007</v>
      </c>
      <c r="L119" t="s">
        <v>316</v>
      </c>
    </row>
    <row r="120" spans="1:12" x14ac:dyDescent="0.25">
      <c r="A120" t="s">
        <v>21</v>
      </c>
      <c r="B120" t="s">
        <v>13</v>
      </c>
      <c r="C120" t="s">
        <v>323</v>
      </c>
      <c r="D120" t="s">
        <v>40</v>
      </c>
      <c r="E120" t="s">
        <v>15</v>
      </c>
      <c r="F120">
        <v>23</v>
      </c>
      <c r="G120">
        <v>800</v>
      </c>
      <c r="H120">
        <v>1</v>
      </c>
      <c r="I120">
        <v>800</v>
      </c>
      <c r="J120">
        <v>12.64</v>
      </c>
      <c r="K120" s="2">
        <v>45179</v>
      </c>
      <c r="L120" t="s">
        <v>316</v>
      </c>
    </row>
    <row r="121" spans="1:12" x14ac:dyDescent="0.25">
      <c r="A121" t="s">
        <v>121</v>
      </c>
      <c r="B121" t="s">
        <v>20</v>
      </c>
      <c r="C121" t="s">
        <v>322</v>
      </c>
      <c r="D121" t="s">
        <v>30</v>
      </c>
      <c r="E121" t="s">
        <v>18</v>
      </c>
      <c r="F121">
        <v>38</v>
      </c>
      <c r="G121">
        <v>30</v>
      </c>
      <c r="H121">
        <v>1</v>
      </c>
      <c r="I121">
        <v>30</v>
      </c>
      <c r="J121">
        <v>10.92</v>
      </c>
      <c r="K121" s="2">
        <v>44979</v>
      </c>
      <c r="L121" t="s">
        <v>318</v>
      </c>
    </row>
    <row r="122" spans="1:12" x14ac:dyDescent="0.25">
      <c r="A122" t="s">
        <v>122</v>
      </c>
      <c r="B122" t="s">
        <v>13</v>
      </c>
      <c r="C122" t="s">
        <v>320</v>
      </c>
      <c r="D122" t="s">
        <v>40</v>
      </c>
      <c r="E122" t="s">
        <v>15</v>
      </c>
      <c r="F122">
        <v>19</v>
      </c>
      <c r="G122">
        <v>800</v>
      </c>
      <c r="H122">
        <v>3</v>
      </c>
      <c r="I122">
        <v>2400</v>
      </c>
      <c r="J122">
        <v>16.82</v>
      </c>
      <c r="K122" s="2">
        <v>45066</v>
      </c>
      <c r="L122" t="s">
        <v>317</v>
      </c>
    </row>
    <row r="123" spans="1:12" x14ac:dyDescent="0.25">
      <c r="A123" t="s">
        <v>38</v>
      </c>
      <c r="B123" t="s">
        <v>13</v>
      </c>
      <c r="C123" t="s">
        <v>322</v>
      </c>
      <c r="D123" t="s">
        <v>25</v>
      </c>
      <c r="E123" t="s">
        <v>26</v>
      </c>
      <c r="F123">
        <v>49</v>
      </c>
      <c r="G123">
        <v>200</v>
      </c>
      <c r="H123">
        <v>2</v>
      </c>
      <c r="I123">
        <v>400</v>
      </c>
      <c r="J123">
        <v>9.18</v>
      </c>
      <c r="K123" s="2">
        <v>45103</v>
      </c>
      <c r="L123" t="s">
        <v>318</v>
      </c>
    </row>
    <row r="124" spans="1:12" x14ac:dyDescent="0.25">
      <c r="A124" t="s">
        <v>123</v>
      </c>
      <c r="B124" t="s">
        <v>20</v>
      </c>
      <c r="C124" t="s">
        <v>322</v>
      </c>
      <c r="D124" t="s">
        <v>14</v>
      </c>
      <c r="E124" t="s">
        <v>15</v>
      </c>
      <c r="F124">
        <v>49</v>
      </c>
      <c r="G124">
        <v>300</v>
      </c>
      <c r="H124">
        <v>2</v>
      </c>
      <c r="I124">
        <v>600</v>
      </c>
      <c r="J124">
        <v>15.3</v>
      </c>
      <c r="K124" s="2">
        <v>45028</v>
      </c>
      <c r="L124" t="s">
        <v>318</v>
      </c>
    </row>
    <row r="125" spans="1:12" x14ac:dyDescent="0.25">
      <c r="A125" t="s">
        <v>124</v>
      </c>
      <c r="B125" t="s">
        <v>13</v>
      </c>
      <c r="C125" t="s">
        <v>320</v>
      </c>
      <c r="D125" t="s">
        <v>14</v>
      </c>
      <c r="E125" t="s">
        <v>15</v>
      </c>
      <c r="F125">
        <v>61</v>
      </c>
      <c r="G125">
        <v>300</v>
      </c>
      <c r="H125">
        <v>2</v>
      </c>
      <c r="I125">
        <v>600</v>
      </c>
      <c r="J125">
        <v>13.84</v>
      </c>
      <c r="K125" s="2">
        <v>45209</v>
      </c>
      <c r="L125" t="s">
        <v>317</v>
      </c>
    </row>
    <row r="126" spans="1:12" x14ac:dyDescent="0.25">
      <c r="A126" t="s">
        <v>119</v>
      </c>
      <c r="B126" t="s">
        <v>20</v>
      </c>
      <c r="C126" t="s">
        <v>320</v>
      </c>
      <c r="D126" t="s">
        <v>29</v>
      </c>
      <c r="E126" t="s">
        <v>18</v>
      </c>
      <c r="F126">
        <v>18</v>
      </c>
      <c r="G126">
        <v>50</v>
      </c>
      <c r="H126">
        <v>3</v>
      </c>
      <c r="I126">
        <v>150</v>
      </c>
      <c r="J126">
        <v>13.86</v>
      </c>
      <c r="K126" s="2">
        <v>45075</v>
      </c>
      <c r="L126" t="s">
        <v>318</v>
      </c>
    </row>
    <row r="127" spans="1:12" x14ac:dyDescent="0.25">
      <c r="A127" t="s">
        <v>125</v>
      </c>
      <c r="B127" t="s">
        <v>13</v>
      </c>
      <c r="C127" t="s">
        <v>320</v>
      </c>
      <c r="D127" t="s">
        <v>23</v>
      </c>
      <c r="E127" t="s">
        <v>15</v>
      </c>
      <c r="F127">
        <v>29</v>
      </c>
      <c r="G127">
        <v>1500</v>
      </c>
      <c r="H127">
        <v>3</v>
      </c>
      <c r="I127">
        <v>4500</v>
      </c>
      <c r="J127">
        <v>14.23</v>
      </c>
      <c r="K127" s="2">
        <v>45078</v>
      </c>
      <c r="L127" t="s">
        <v>316</v>
      </c>
    </row>
    <row r="128" spans="1:12" x14ac:dyDescent="0.25">
      <c r="A128" t="s">
        <v>126</v>
      </c>
      <c r="B128" t="s">
        <v>13</v>
      </c>
      <c r="C128" t="s">
        <v>319</v>
      </c>
      <c r="D128" t="s">
        <v>25</v>
      </c>
      <c r="E128" t="s">
        <v>26</v>
      </c>
      <c r="F128">
        <v>50</v>
      </c>
      <c r="G128">
        <v>200</v>
      </c>
      <c r="H128">
        <v>5</v>
      </c>
      <c r="I128">
        <v>1000</v>
      </c>
      <c r="J128">
        <v>6.09</v>
      </c>
      <c r="K128" s="2">
        <v>45160</v>
      </c>
      <c r="L128" t="s">
        <v>317</v>
      </c>
    </row>
    <row r="129" spans="1:12" x14ac:dyDescent="0.25">
      <c r="A129" t="s">
        <v>127</v>
      </c>
      <c r="B129" t="s">
        <v>20</v>
      </c>
      <c r="C129" t="s">
        <v>320</v>
      </c>
      <c r="D129" t="s">
        <v>23</v>
      </c>
      <c r="E129" t="s">
        <v>15</v>
      </c>
      <c r="F129">
        <v>38</v>
      </c>
      <c r="G129">
        <v>1500</v>
      </c>
      <c r="H129">
        <v>3</v>
      </c>
      <c r="I129">
        <v>4500</v>
      </c>
      <c r="J129">
        <v>19.98</v>
      </c>
      <c r="K129" s="2">
        <v>45056</v>
      </c>
      <c r="L129" t="s">
        <v>317</v>
      </c>
    </row>
    <row r="130" spans="1:12" x14ac:dyDescent="0.25">
      <c r="A130" t="s">
        <v>128</v>
      </c>
      <c r="B130" t="s">
        <v>13</v>
      </c>
      <c r="C130" t="s">
        <v>320</v>
      </c>
      <c r="D130" t="s">
        <v>40</v>
      </c>
      <c r="E130" t="s">
        <v>15</v>
      </c>
      <c r="F130">
        <v>63</v>
      </c>
      <c r="G130">
        <v>800</v>
      </c>
      <c r="H130">
        <v>5</v>
      </c>
      <c r="I130">
        <v>4000</v>
      </c>
      <c r="J130">
        <v>11.1</v>
      </c>
      <c r="K130" s="2">
        <v>45236</v>
      </c>
      <c r="L130" t="s">
        <v>317</v>
      </c>
    </row>
    <row r="131" spans="1:12" x14ac:dyDescent="0.25">
      <c r="A131" t="s">
        <v>42</v>
      </c>
      <c r="B131" t="s">
        <v>20</v>
      </c>
      <c r="C131" t="s">
        <v>320</v>
      </c>
      <c r="D131" t="s">
        <v>23</v>
      </c>
      <c r="E131" t="s">
        <v>15</v>
      </c>
      <c r="F131">
        <v>59</v>
      </c>
      <c r="G131">
        <v>1500</v>
      </c>
      <c r="H131">
        <v>1</v>
      </c>
      <c r="I131">
        <v>1500</v>
      </c>
      <c r="J131">
        <v>12.63</v>
      </c>
      <c r="K131" s="2">
        <v>44963</v>
      </c>
      <c r="L131" t="s">
        <v>316</v>
      </c>
    </row>
    <row r="132" spans="1:12" x14ac:dyDescent="0.25">
      <c r="A132" t="s">
        <v>129</v>
      </c>
      <c r="B132" t="s">
        <v>20</v>
      </c>
      <c r="C132" t="s">
        <v>320</v>
      </c>
      <c r="D132" t="s">
        <v>23</v>
      </c>
      <c r="E132" t="s">
        <v>15</v>
      </c>
      <c r="F132">
        <v>49</v>
      </c>
      <c r="G132">
        <v>1500</v>
      </c>
      <c r="H132">
        <v>5</v>
      </c>
      <c r="I132">
        <v>7500</v>
      </c>
      <c r="J132">
        <v>10.18</v>
      </c>
      <c r="K132" s="2">
        <v>45248</v>
      </c>
      <c r="L132" t="s">
        <v>317</v>
      </c>
    </row>
    <row r="133" spans="1:12" x14ac:dyDescent="0.25">
      <c r="A133" t="s">
        <v>130</v>
      </c>
      <c r="B133" t="s">
        <v>13</v>
      </c>
      <c r="C133" t="s">
        <v>320</v>
      </c>
      <c r="D133" t="s">
        <v>40</v>
      </c>
      <c r="E133" t="s">
        <v>15</v>
      </c>
      <c r="F133">
        <v>47</v>
      </c>
      <c r="G133">
        <v>800</v>
      </c>
      <c r="H133">
        <v>1</v>
      </c>
      <c r="I133">
        <v>800</v>
      </c>
      <c r="J133">
        <v>10.16</v>
      </c>
      <c r="K133" s="2">
        <v>44939</v>
      </c>
      <c r="L133" t="s">
        <v>319</v>
      </c>
    </row>
    <row r="134" spans="1:12" x14ac:dyDescent="0.25">
      <c r="A134" t="s">
        <v>131</v>
      </c>
      <c r="B134" t="s">
        <v>20</v>
      </c>
      <c r="C134" t="s">
        <v>319</v>
      </c>
      <c r="D134" t="s">
        <v>25</v>
      </c>
      <c r="E134" t="s">
        <v>26</v>
      </c>
      <c r="F134">
        <v>49</v>
      </c>
      <c r="G134">
        <v>200</v>
      </c>
      <c r="H134">
        <v>1</v>
      </c>
      <c r="I134">
        <v>200</v>
      </c>
      <c r="J134">
        <v>6.03</v>
      </c>
      <c r="K134" s="2">
        <v>45037</v>
      </c>
      <c r="L134" t="s">
        <v>316</v>
      </c>
    </row>
    <row r="135" spans="1:12" x14ac:dyDescent="0.25">
      <c r="A135" t="s">
        <v>132</v>
      </c>
      <c r="B135" t="s">
        <v>20</v>
      </c>
      <c r="C135" t="s">
        <v>320</v>
      </c>
      <c r="D135" t="s">
        <v>29</v>
      </c>
      <c r="E135" t="s">
        <v>18</v>
      </c>
      <c r="F135">
        <v>33</v>
      </c>
      <c r="G135">
        <v>50</v>
      </c>
      <c r="H135">
        <v>1</v>
      </c>
      <c r="I135">
        <v>50</v>
      </c>
      <c r="J135">
        <v>6.06</v>
      </c>
      <c r="K135" s="2">
        <v>45140</v>
      </c>
      <c r="L135" t="s">
        <v>318</v>
      </c>
    </row>
    <row r="136" spans="1:12" x14ac:dyDescent="0.25">
      <c r="A136" t="s">
        <v>133</v>
      </c>
      <c r="B136" t="s">
        <v>20</v>
      </c>
      <c r="C136" t="s">
        <v>320</v>
      </c>
      <c r="D136" t="s">
        <v>23</v>
      </c>
      <c r="E136" t="s">
        <v>15</v>
      </c>
      <c r="F136">
        <v>41</v>
      </c>
      <c r="G136">
        <v>1500</v>
      </c>
      <c r="H136">
        <v>2</v>
      </c>
      <c r="I136">
        <v>3000</v>
      </c>
      <c r="J136">
        <v>9.2100000000000009</v>
      </c>
      <c r="K136" s="2">
        <v>44959</v>
      </c>
      <c r="L136" t="s">
        <v>316</v>
      </c>
    </row>
    <row r="137" spans="1:12" x14ac:dyDescent="0.25">
      <c r="A137" t="s">
        <v>134</v>
      </c>
      <c r="B137" t="s">
        <v>13</v>
      </c>
      <c r="C137" t="s">
        <v>320</v>
      </c>
      <c r="D137" t="s">
        <v>29</v>
      </c>
      <c r="E137" t="s">
        <v>18</v>
      </c>
      <c r="F137">
        <v>46</v>
      </c>
      <c r="G137">
        <v>50</v>
      </c>
      <c r="H137">
        <v>3</v>
      </c>
      <c r="I137">
        <v>150</v>
      </c>
      <c r="J137">
        <v>5.09</v>
      </c>
      <c r="K137" s="2">
        <v>45001</v>
      </c>
      <c r="L137" t="s">
        <v>316</v>
      </c>
    </row>
    <row r="138" spans="1:12" x14ac:dyDescent="0.25">
      <c r="A138" t="s">
        <v>32</v>
      </c>
      <c r="B138" t="s">
        <v>20</v>
      </c>
      <c r="C138" t="s">
        <v>320</v>
      </c>
      <c r="D138" t="s">
        <v>30</v>
      </c>
      <c r="E138" t="s">
        <v>18</v>
      </c>
      <c r="F138">
        <v>49</v>
      </c>
      <c r="G138">
        <v>30</v>
      </c>
      <c r="H138">
        <v>2</v>
      </c>
      <c r="I138">
        <v>60</v>
      </c>
      <c r="J138">
        <v>8.39</v>
      </c>
      <c r="K138" s="2">
        <v>45233</v>
      </c>
      <c r="L138" t="s">
        <v>317</v>
      </c>
    </row>
    <row r="139" spans="1:12" x14ac:dyDescent="0.25">
      <c r="A139" t="s">
        <v>135</v>
      </c>
      <c r="B139" t="s">
        <v>20</v>
      </c>
      <c r="C139" t="s">
        <v>321</v>
      </c>
      <c r="D139" t="s">
        <v>30</v>
      </c>
      <c r="E139" t="s">
        <v>18</v>
      </c>
      <c r="F139">
        <v>54</v>
      </c>
      <c r="G139">
        <v>30</v>
      </c>
      <c r="H139">
        <v>2</v>
      </c>
      <c r="I139">
        <v>60</v>
      </c>
      <c r="J139">
        <v>8.59</v>
      </c>
      <c r="K139" s="2">
        <v>45081</v>
      </c>
      <c r="L139" t="s">
        <v>318</v>
      </c>
    </row>
    <row r="140" spans="1:12" x14ac:dyDescent="0.25">
      <c r="A140" t="s">
        <v>131</v>
      </c>
      <c r="B140" t="s">
        <v>13</v>
      </c>
      <c r="C140" t="s">
        <v>321</v>
      </c>
      <c r="D140" t="s">
        <v>23</v>
      </c>
      <c r="E140" t="s">
        <v>15</v>
      </c>
      <c r="F140">
        <v>30</v>
      </c>
      <c r="G140">
        <v>1500</v>
      </c>
      <c r="H140">
        <v>1</v>
      </c>
      <c r="I140">
        <v>1500</v>
      </c>
      <c r="J140">
        <v>9.98</v>
      </c>
      <c r="K140" s="2">
        <v>45264</v>
      </c>
      <c r="L140" t="s">
        <v>318</v>
      </c>
    </row>
    <row r="141" spans="1:12" x14ac:dyDescent="0.25">
      <c r="A141" t="s">
        <v>102</v>
      </c>
      <c r="B141" t="s">
        <v>13</v>
      </c>
      <c r="C141" t="s">
        <v>323</v>
      </c>
      <c r="D141" t="s">
        <v>23</v>
      </c>
      <c r="E141" t="s">
        <v>15</v>
      </c>
      <c r="F141">
        <v>30</v>
      </c>
      <c r="G141">
        <v>1500</v>
      </c>
      <c r="H141">
        <v>5</v>
      </c>
      <c r="I141">
        <v>7500</v>
      </c>
      <c r="J141">
        <v>7.58</v>
      </c>
      <c r="K141" s="2">
        <v>45195</v>
      </c>
      <c r="L141" t="s">
        <v>318</v>
      </c>
    </row>
    <row r="142" spans="1:12" x14ac:dyDescent="0.25">
      <c r="A142" t="s">
        <v>136</v>
      </c>
      <c r="B142" t="s">
        <v>13</v>
      </c>
      <c r="C142" t="s">
        <v>321</v>
      </c>
      <c r="D142" t="s">
        <v>23</v>
      </c>
      <c r="E142" t="s">
        <v>15</v>
      </c>
      <c r="F142">
        <v>37</v>
      </c>
      <c r="G142">
        <v>1500</v>
      </c>
      <c r="H142">
        <v>2</v>
      </c>
      <c r="I142">
        <v>3000</v>
      </c>
      <c r="J142">
        <v>5.69</v>
      </c>
      <c r="K142" s="2">
        <v>44944</v>
      </c>
      <c r="L142" t="s">
        <v>316</v>
      </c>
    </row>
    <row r="143" spans="1:12" x14ac:dyDescent="0.25">
      <c r="A143" t="s">
        <v>137</v>
      </c>
      <c r="B143" t="s">
        <v>20</v>
      </c>
      <c r="C143" t="s">
        <v>323</v>
      </c>
      <c r="D143" t="s">
        <v>14</v>
      </c>
      <c r="E143" t="s">
        <v>15</v>
      </c>
      <c r="F143">
        <v>27</v>
      </c>
      <c r="G143">
        <v>300</v>
      </c>
      <c r="H143">
        <v>1</v>
      </c>
      <c r="I143">
        <v>300</v>
      </c>
      <c r="J143">
        <v>16.61</v>
      </c>
      <c r="K143" s="2">
        <v>45253</v>
      </c>
      <c r="L143" t="s">
        <v>317</v>
      </c>
    </row>
    <row r="144" spans="1:12" x14ac:dyDescent="0.25">
      <c r="A144" t="s">
        <v>127</v>
      </c>
      <c r="B144" t="s">
        <v>20</v>
      </c>
      <c r="C144" t="s">
        <v>321</v>
      </c>
      <c r="D144" t="s">
        <v>25</v>
      </c>
      <c r="E144" t="s">
        <v>26</v>
      </c>
      <c r="F144">
        <v>38</v>
      </c>
      <c r="G144">
        <v>200</v>
      </c>
      <c r="H144">
        <v>4</v>
      </c>
      <c r="I144">
        <v>800</v>
      </c>
      <c r="J144">
        <v>18.89</v>
      </c>
      <c r="K144" s="2">
        <v>45049</v>
      </c>
      <c r="L144" t="s">
        <v>316</v>
      </c>
    </row>
    <row r="145" spans="1:12" x14ac:dyDescent="0.25">
      <c r="A145" t="s">
        <v>138</v>
      </c>
      <c r="B145" t="s">
        <v>13</v>
      </c>
      <c r="C145" t="s">
        <v>321</v>
      </c>
      <c r="D145" t="s">
        <v>29</v>
      </c>
      <c r="E145" t="s">
        <v>18</v>
      </c>
      <c r="F145">
        <v>44</v>
      </c>
      <c r="G145">
        <v>50</v>
      </c>
      <c r="H145">
        <v>4</v>
      </c>
      <c r="I145">
        <v>200</v>
      </c>
      <c r="J145">
        <v>19.809999999999999</v>
      </c>
      <c r="K145" s="2">
        <v>45165</v>
      </c>
      <c r="L145" t="s">
        <v>317</v>
      </c>
    </row>
    <row r="146" spans="1:12" x14ac:dyDescent="0.25">
      <c r="A146" t="s">
        <v>62</v>
      </c>
      <c r="B146" t="s">
        <v>13</v>
      </c>
      <c r="C146" t="s">
        <v>321</v>
      </c>
      <c r="D146" t="s">
        <v>17</v>
      </c>
      <c r="E146" t="s">
        <v>18</v>
      </c>
      <c r="F146">
        <v>58</v>
      </c>
      <c r="G146">
        <v>100</v>
      </c>
      <c r="H146">
        <v>5</v>
      </c>
      <c r="I146">
        <v>500</v>
      </c>
      <c r="J146">
        <v>14.5</v>
      </c>
      <c r="K146" s="2">
        <v>44942</v>
      </c>
      <c r="L146" t="s">
        <v>316</v>
      </c>
    </row>
    <row r="147" spans="1:12" x14ac:dyDescent="0.25">
      <c r="A147" t="s">
        <v>49</v>
      </c>
      <c r="B147" t="s">
        <v>20</v>
      </c>
      <c r="C147" t="s">
        <v>323</v>
      </c>
      <c r="D147" t="s">
        <v>25</v>
      </c>
      <c r="E147" t="s">
        <v>26</v>
      </c>
      <c r="F147">
        <v>25</v>
      </c>
      <c r="G147">
        <v>200</v>
      </c>
      <c r="H147">
        <v>5</v>
      </c>
      <c r="I147">
        <v>1000</v>
      </c>
      <c r="J147">
        <v>16.41</v>
      </c>
      <c r="K147" s="2">
        <v>45132</v>
      </c>
      <c r="L147" t="s">
        <v>317</v>
      </c>
    </row>
    <row r="148" spans="1:12" x14ac:dyDescent="0.25">
      <c r="A148" t="s">
        <v>139</v>
      </c>
      <c r="B148" t="s">
        <v>13</v>
      </c>
      <c r="C148" t="s">
        <v>320</v>
      </c>
      <c r="D148" t="s">
        <v>25</v>
      </c>
      <c r="E148" t="s">
        <v>26</v>
      </c>
      <c r="F148">
        <v>35</v>
      </c>
      <c r="G148">
        <v>200</v>
      </c>
      <c r="H148">
        <v>1</v>
      </c>
      <c r="I148">
        <v>200</v>
      </c>
      <c r="J148">
        <v>7.32</v>
      </c>
      <c r="K148" s="2">
        <v>45248</v>
      </c>
      <c r="L148" t="s">
        <v>318</v>
      </c>
    </row>
    <row r="149" spans="1:12" x14ac:dyDescent="0.25">
      <c r="A149" t="s">
        <v>140</v>
      </c>
      <c r="B149" t="s">
        <v>13</v>
      </c>
      <c r="C149" t="s">
        <v>323</v>
      </c>
      <c r="D149" t="s">
        <v>17</v>
      </c>
      <c r="E149" t="s">
        <v>18</v>
      </c>
      <c r="F149">
        <v>49</v>
      </c>
      <c r="G149">
        <v>100</v>
      </c>
      <c r="H149">
        <v>3</v>
      </c>
      <c r="I149">
        <v>300</v>
      </c>
      <c r="J149">
        <v>10.81</v>
      </c>
      <c r="K149" s="2">
        <v>45267</v>
      </c>
      <c r="L149" t="s">
        <v>316</v>
      </c>
    </row>
    <row r="150" spans="1:12" x14ac:dyDescent="0.25">
      <c r="A150" t="s">
        <v>92</v>
      </c>
      <c r="B150" t="s">
        <v>13</v>
      </c>
      <c r="C150" t="s">
        <v>321</v>
      </c>
      <c r="D150" t="s">
        <v>30</v>
      </c>
      <c r="E150" t="s">
        <v>18</v>
      </c>
      <c r="F150">
        <v>63</v>
      </c>
      <c r="G150">
        <v>30</v>
      </c>
      <c r="H150">
        <v>3</v>
      </c>
      <c r="I150">
        <v>90</v>
      </c>
      <c r="J150">
        <v>13.95</v>
      </c>
      <c r="K150" s="2">
        <v>45061</v>
      </c>
      <c r="L150" t="s">
        <v>316</v>
      </c>
    </row>
    <row r="151" spans="1:12" x14ac:dyDescent="0.25">
      <c r="A151" t="s">
        <v>141</v>
      </c>
      <c r="B151" t="s">
        <v>20</v>
      </c>
      <c r="C151" t="s">
        <v>322</v>
      </c>
      <c r="D151" t="s">
        <v>14</v>
      </c>
      <c r="E151" t="s">
        <v>15</v>
      </c>
      <c r="F151">
        <v>39</v>
      </c>
      <c r="G151">
        <v>300</v>
      </c>
      <c r="H151">
        <v>4</v>
      </c>
      <c r="I151">
        <v>1200</v>
      </c>
      <c r="J151">
        <v>9.5500000000000007</v>
      </c>
      <c r="K151" s="2">
        <v>45062</v>
      </c>
      <c r="L151" t="s">
        <v>317</v>
      </c>
    </row>
    <row r="152" spans="1:12" x14ac:dyDescent="0.25">
      <c r="A152" t="s">
        <v>142</v>
      </c>
      <c r="B152" t="s">
        <v>13</v>
      </c>
      <c r="C152" t="s">
        <v>322</v>
      </c>
      <c r="D152" t="s">
        <v>25</v>
      </c>
      <c r="E152" t="s">
        <v>26</v>
      </c>
      <c r="F152">
        <v>29</v>
      </c>
      <c r="G152">
        <v>200</v>
      </c>
      <c r="H152">
        <v>3</v>
      </c>
      <c r="I152">
        <v>600</v>
      </c>
      <c r="J152">
        <v>13.87</v>
      </c>
      <c r="K152" s="2">
        <v>45003</v>
      </c>
      <c r="L152" t="s">
        <v>317</v>
      </c>
    </row>
    <row r="153" spans="1:12" x14ac:dyDescent="0.25">
      <c r="A153" t="s">
        <v>143</v>
      </c>
      <c r="B153" t="s">
        <v>13</v>
      </c>
      <c r="C153" t="s">
        <v>323</v>
      </c>
      <c r="D153" t="s">
        <v>17</v>
      </c>
      <c r="E153" t="s">
        <v>18</v>
      </c>
      <c r="F153">
        <v>49</v>
      </c>
      <c r="G153">
        <v>100</v>
      </c>
      <c r="H153">
        <v>2</v>
      </c>
      <c r="I153">
        <v>200</v>
      </c>
      <c r="J153">
        <v>10.96</v>
      </c>
      <c r="K153" s="2">
        <v>44993</v>
      </c>
      <c r="L153" t="s">
        <v>318</v>
      </c>
    </row>
    <row r="154" spans="1:12" x14ac:dyDescent="0.25">
      <c r="A154" t="s">
        <v>144</v>
      </c>
      <c r="B154" t="s">
        <v>20</v>
      </c>
      <c r="C154" t="s">
        <v>320</v>
      </c>
      <c r="D154" t="s">
        <v>30</v>
      </c>
      <c r="E154" t="s">
        <v>18</v>
      </c>
      <c r="F154">
        <v>27</v>
      </c>
      <c r="G154">
        <v>30</v>
      </c>
      <c r="H154">
        <v>3</v>
      </c>
      <c r="I154">
        <v>90</v>
      </c>
      <c r="J154">
        <v>6.45</v>
      </c>
      <c r="K154" s="2">
        <v>45188</v>
      </c>
      <c r="L154" t="s">
        <v>317</v>
      </c>
    </row>
    <row r="155" spans="1:12" x14ac:dyDescent="0.25">
      <c r="A155" t="s">
        <v>72</v>
      </c>
      <c r="B155" t="s">
        <v>20</v>
      </c>
      <c r="C155" t="s">
        <v>321</v>
      </c>
      <c r="D155" t="s">
        <v>40</v>
      </c>
      <c r="E155" t="s">
        <v>15</v>
      </c>
      <c r="F155">
        <v>42</v>
      </c>
      <c r="G155">
        <v>800</v>
      </c>
      <c r="H155">
        <v>2</v>
      </c>
      <c r="I155">
        <v>1600</v>
      </c>
      <c r="J155">
        <v>13.79</v>
      </c>
      <c r="K155" s="2">
        <v>45194</v>
      </c>
      <c r="L155" t="s">
        <v>317</v>
      </c>
    </row>
    <row r="156" spans="1:12" x14ac:dyDescent="0.25">
      <c r="A156" t="s">
        <v>73</v>
      </c>
      <c r="B156" t="s">
        <v>13</v>
      </c>
      <c r="C156" t="s">
        <v>323</v>
      </c>
      <c r="D156" t="s">
        <v>23</v>
      </c>
      <c r="E156" t="s">
        <v>15</v>
      </c>
      <c r="F156">
        <v>51</v>
      </c>
      <c r="G156">
        <v>1500</v>
      </c>
      <c r="H156">
        <v>3</v>
      </c>
      <c r="I156">
        <v>4500</v>
      </c>
      <c r="J156">
        <v>16.420000000000002</v>
      </c>
      <c r="K156" s="2">
        <v>45227</v>
      </c>
      <c r="L156" t="s">
        <v>317</v>
      </c>
    </row>
    <row r="157" spans="1:12" x14ac:dyDescent="0.25">
      <c r="A157" t="s">
        <v>144</v>
      </c>
      <c r="B157" t="s">
        <v>20</v>
      </c>
      <c r="C157" t="s">
        <v>322</v>
      </c>
      <c r="D157" t="s">
        <v>14</v>
      </c>
      <c r="E157" t="s">
        <v>15</v>
      </c>
      <c r="F157">
        <v>27</v>
      </c>
      <c r="G157">
        <v>300</v>
      </c>
      <c r="H157">
        <v>3</v>
      </c>
      <c r="I157">
        <v>900</v>
      </c>
      <c r="J157">
        <v>7.99</v>
      </c>
      <c r="K157" s="2">
        <v>44978</v>
      </c>
      <c r="L157" t="s">
        <v>317</v>
      </c>
    </row>
    <row r="158" spans="1:12" x14ac:dyDescent="0.25">
      <c r="A158" t="s">
        <v>138</v>
      </c>
      <c r="B158" t="s">
        <v>20</v>
      </c>
      <c r="C158" t="s">
        <v>321</v>
      </c>
      <c r="D158" t="s">
        <v>29</v>
      </c>
      <c r="E158" t="s">
        <v>18</v>
      </c>
      <c r="F158">
        <v>44</v>
      </c>
      <c r="G158">
        <v>50</v>
      </c>
      <c r="H158">
        <v>2</v>
      </c>
      <c r="I158">
        <v>100</v>
      </c>
      <c r="J158">
        <v>6.45</v>
      </c>
      <c r="K158" s="2">
        <v>45166</v>
      </c>
      <c r="L158" t="s">
        <v>316</v>
      </c>
    </row>
    <row r="159" spans="1:12" x14ac:dyDescent="0.25">
      <c r="A159" t="s">
        <v>145</v>
      </c>
      <c r="B159" t="s">
        <v>13</v>
      </c>
      <c r="C159" t="s">
        <v>323</v>
      </c>
      <c r="D159" t="s">
        <v>30</v>
      </c>
      <c r="E159" t="s">
        <v>18</v>
      </c>
      <c r="F159">
        <v>30</v>
      </c>
      <c r="G159">
        <v>30</v>
      </c>
      <c r="H159">
        <v>5</v>
      </c>
      <c r="I159">
        <v>150</v>
      </c>
      <c r="J159">
        <v>16.62</v>
      </c>
      <c r="K159" s="2">
        <v>45227</v>
      </c>
      <c r="L159" t="s">
        <v>316</v>
      </c>
    </row>
    <row r="160" spans="1:12" x14ac:dyDescent="0.25">
      <c r="A160" t="s">
        <v>122</v>
      </c>
      <c r="B160" t="s">
        <v>20</v>
      </c>
      <c r="C160" t="s">
        <v>322</v>
      </c>
      <c r="D160" t="s">
        <v>14</v>
      </c>
      <c r="E160" t="s">
        <v>15</v>
      </c>
      <c r="F160">
        <v>49</v>
      </c>
      <c r="G160">
        <v>300</v>
      </c>
      <c r="H160">
        <v>5</v>
      </c>
      <c r="I160">
        <v>1500</v>
      </c>
      <c r="J160">
        <v>6</v>
      </c>
      <c r="K160" s="2">
        <v>45238</v>
      </c>
      <c r="L160" t="s">
        <v>318</v>
      </c>
    </row>
    <row r="161" spans="1:12" x14ac:dyDescent="0.25">
      <c r="A161" t="s">
        <v>146</v>
      </c>
      <c r="B161" t="s">
        <v>20</v>
      </c>
      <c r="C161" t="s">
        <v>323</v>
      </c>
      <c r="D161" t="s">
        <v>23</v>
      </c>
      <c r="E161" t="s">
        <v>15</v>
      </c>
      <c r="F161">
        <v>68</v>
      </c>
      <c r="G161">
        <v>1500</v>
      </c>
      <c r="H161">
        <v>1</v>
      </c>
      <c r="I161">
        <v>1500</v>
      </c>
      <c r="J161">
        <v>16.34</v>
      </c>
      <c r="K161" s="2">
        <v>45053</v>
      </c>
      <c r="L161" t="s">
        <v>318</v>
      </c>
    </row>
    <row r="162" spans="1:12" x14ac:dyDescent="0.25">
      <c r="A162" t="s">
        <v>147</v>
      </c>
      <c r="B162" t="s">
        <v>20</v>
      </c>
      <c r="C162" t="s">
        <v>323</v>
      </c>
      <c r="D162" t="s">
        <v>30</v>
      </c>
      <c r="E162" t="s">
        <v>18</v>
      </c>
      <c r="F162">
        <v>58</v>
      </c>
      <c r="G162">
        <v>30</v>
      </c>
      <c r="H162">
        <v>1</v>
      </c>
      <c r="I162">
        <v>30</v>
      </c>
      <c r="J162">
        <v>12.22</v>
      </c>
      <c r="K162" s="2">
        <v>45202</v>
      </c>
      <c r="L162" t="s">
        <v>317</v>
      </c>
    </row>
    <row r="163" spans="1:12" x14ac:dyDescent="0.25">
      <c r="A163" t="s">
        <v>148</v>
      </c>
      <c r="B163" t="s">
        <v>13</v>
      </c>
      <c r="C163" t="s">
        <v>322</v>
      </c>
      <c r="D163" t="s">
        <v>30</v>
      </c>
      <c r="E163" t="s">
        <v>18</v>
      </c>
      <c r="F163">
        <v>56</v>
      </c>
      <c r="G163">
        <v>30</v>
      </c>
      <c r="H163">
        <v>3</v>
      </c>
      <c r="I163">
        <v>90</v>
      </c>
      <c r="J163">
        <v>5.07</v>
      </c>
      <c r="K163" s="2">
        <v>44931</v>
      </c>
      <c r="L163" t="s">
        <v>318</v>
      </c>
    </row>
    <row r="164" spans="1:12" x14ac:dyDescent="0.25">
      <c r="A164" t="s">
        <v>149</v>
      </c>
      <c r="B164" t="s">
        <v>13</v>
      </c>
      <c r="C164" t="s">
        <v>321</v>
      </c>
      <c r="D164" t="s">
        <v>23</v>
      </c>
      <c r="E164" t="s">
        <v>15</v>
      </c>
      <c r="F164">
        <v>59</v>
      </c>
      <c r="G164">
        <v>1500</v>
      </c>
      <c r="H164">
        <v>2</v>
      </c>
      <c r="I164">
        <v>3000</v>
      </c>
      <c r="J164">
        <v>7.5</v>
      </c>
      <c r="K164" s="2">
        <v>45160</v>
      </c>
      <c r="L164" t="s">
        <v>318</v>
      </c>
    </row>
    <row r="165" spans="1:12" x14ac:dyDescent="0.25">
      <c r="A165" t="s">
        <v>87</v>
      </c>
      <c r="B165" t="s">
        <v>20</v>
      </c>
      <c r="C165" t="s">
        <v>323</v>
      </c>
      <c r="D165" t="s">
        <v>40</v>
      </c>
      <c r="E165" t="s">
        <v>15</v>
      </c>
      <c r="F165">
        <v>21</v>
      </c>
      <c r="G165">
        <v>800</v>
      </c>
      <c r="H165">
        <v>3</v>
      </c>
      <c r="I165">
        <v>2400</v>
      </c>
      <c r="J165">
        <v>15.78</v>
      </c>
      <c r="K165" s="2">
        <v>45237</v>
      </c>
      <c r="L165" t="s">
        <v>318</v>
      </c>
    </row>
    <row r="166" spans="1:12" x14ac:dyDescent="0.25">
      <c r="A166" t="s">
        <v>72</v>
      </c>
      <c r="B166" t="s">
        <v>20</v>
      </c>
      <c r="C166" t="s">
        <v>321</v>
      </c>
      <c r="D166" t="s">
        <v>29</v>
      </c>
      <c r="E166" t="s">
        <v>18</v>
      </c>
      <c r="F166">
        <v>42</v>
      </c>
      <c r="G166">
        <v>50</v>
      </c>
      <c r="H166">
        <v>1</v>
      </c>
      <c r="I166">
        <v>50</v>
      </c>
      <c r="J166">
        <v>15.92</v>
      </c>
      <c r="K166" s="2">
        <v>45101</v>
      </c>
      <c r="L166" t="s">
        <v>318</v>
      </c>
    </row>
    <row r="167" spans="1:12" x14ac:dyDescent="0.25">
      <c r="A167" t="s">
        <v>150</v>
      </c>
      <c r="B167" t="s">
        <v>20</v>
      </c>
      <c r="C167" t="s">
        <v>319</v>
      </c>
      <c r="D167" t="s">
        <v>29</v>
      </c>
      <c r="E167" t="s">
        <v>18</v>
      </c>
      <c r="F167">
        <v>36</v>
      </c>
      <c r="G167">
        <v>50</v>
      </c>
      <c r="H167">
        <v>5</v>
      </c>
      <c r="I167">
        <v>250</v>
      </c>
      <c r="J167">
        <v>11.09</v>
      </c>
      <c r="K167" s="2">
        <v>45083</v>
      </c>
      <c r="L167" t="s">
        <v>316</v>
      </c>
    </row>
    <row r="168" spans="1:12" x14ac:dyDescent="0.25">
      <c r="A168" t="s">
        <v>108</v>
      </c>
      <c r="B168" t="s">
        <v>13</v>
      </c>
      <c r="C168" t="s">
        <v>322</v>
      </c>
      <c r="D168" t="s">
        <v>30</v>
      </c>
      <c r="E168" t="s">
        <v>18</v>
      </c>
      <c r="F168">
        <v>25</v>
      </c>
      <c r="G168">
        <v>30</v>
      </c>
      <c r="H168">
        <v>4</v>
      </c>
      <c r="I168">
        <v>120</v>
      </c>
      <c r="J168">
        <v>18.600000000000001</v>
      </c>
      <c r="K168" s="2">
        <v>45106</v>
      </c>
      <c r="L168" t="s">
        <v>316</v>
      </c>
    </row>
    <row r="169" spans="1:12" x14ac:dyDescent="0.25">
      <c r="A169" t="s">
        <v>34</v>
      </c>
      <c r="B169" t="s">
        <v>20</v>
      </c>
      <c r="C169" t="s">
        <v>322</v>
      </c>
      <c r="D169" t="s">
        <v>40</v>
      </c>
      <c r="E169" t="s">
        <v>15</v>
      </c>
      <c r="F169">
        <v>41</v>
      </c>
      <c r="G169">
        <v>800</v>
      </c>
      <c r="H169">
        <v>4</v>
      </c>
      <c r="I169">
        <v>3200</v>
      </c>
      <c r="J169">
        <v>16.45</v>
      </c>
      <c r="K169" s="2">
        <v>44944</v>
      </c>
      <c r="L169" t="s">
        <v>317</v>
      </c>
    </row>
    <row r="170" spans="1:12" x14ac:dyDescent="0.25">
      <c r="A170" t="s">
        <v>85</v>
      </c>
      <c r="B170" t="s">
        <v>13</v>
      </c>
      <c r="C170" t="s">
        <v>320</v>
      </c>
      <c r="D170" t="s">
        <v>17</v>
      </c>
      <c r="E170" t="s">
        <v>18</v>
      </c>
      <c r="F170">
        <v>41</v>
      </c>
      <c r="G170">
        <v>100</v>
      </c>
      <c r="H170">
        <v>5</v>
      </c>
      <c r="I170">
        <v>500</v>
      </c>
      <c r="J170">
        <v>19.62</v>
      </c>
      <c r="K170" s="2">
        <v>44989</v>
      </c>
      <c r="L170" t="s">
        <v>318</v>
      </c>
    </row>
    <row r="171" spans="1:12" x14ac:dyDescent="0.25">
      <c r="A171" t="s">
        <v>130</v>
      </c>
      <c r="B171" t="s">
        <v>20</v>
      </c>
      <c r="C171" t="s">
        <v>323</v>
      </c>
      <c r="D171" t="s">
        <v>23</v>
      </c>
      <c r="E171" t="s">
        <v>15</v>
      </c>
      <c r="F171">
        <v>47</v>
      </c>
      <c r="G171">
        <v>1500</v>
      </c>
      <c r="H171">
        <v>3</v>
      </c>
      <c r="I171">
        <v>4500</v>
      </c>
      <c r="J171">
        <v>8.8699999999999992</v>
      </c>
      <c r="K171" s="2">
        <v>45180</v>
      </c>
      <c r="L171" t="s">
        <v>318</v>
      </c>
    </row>
    <row r="172" spans="1:12" x14ac:dyDescent="0.25">
      <c r="A172" t="s">
        <v>151</v>
      </c>
      <c r="B172" t="s">
        <v>13</v>
      </c>
      <c r="C172" t="s">
        <v>320</v>
      </c>
      <c r="D172" t="s">
        <v>14</v>
      </c>
      <c r="E172" t="s">
        <v>15</v>
      </c>
      <c r="F172">
        <v>66</v>
      </c>
      <c r="G172">
        <v>300</v>
      </c>
      <c r="H172">
        <v>1</v>
      </c>
      <c r="I172">
        <v>300</v>
      </c>
      <c r="J172">
        <v>16.579999999999998</v>
      </c>
      <c r="K172" s="2">
        <v>44984</v>
      </c>
      <c r="L172" t="s">
        <v>318</v>
      </c>
    </row>
    <row r="173" spans="1:12" x14ac:dyDescent="0.25">
      <c r="A173" t="s">
        <v>72</v>
      </c>
      <c r="B173" t="s">
        <v>20</v>
      </c>
      <c r="C173" t="s">
        <v>322</v>
      </c>
      <c r="D173" t="s">
        <v>14</v>
      </c>
      <c r="E173" t="s">
        <v>15</v>
      </c>
      <c r="F173">
        <v>42</v>
      </c>
      <c r="G173">
        <v>300</v>
      </c>
      <c r="H173">
        <v>1</v>
      </c>
      <c r="I173">
        <v>300</v>
      </c>
      <c r="J173">
        <v>14.7</v>
      </c>
      <c r="K173" s="2">
        <v>45246</v>
      </c>
      <c r="L173" t="s">
        <v>318</v>
      </c>
    </row>
    <row r="174" spans="1:12" x14ac:dyDescent="0.25">
      <c r="A174" t="s">
        <v>152</v>
      </c>
      <c r="B174" t="s">
        <v>13</v>
      </c>
      <c r="C174" t="s">
        <v>322</v>
      </c>
      <c r="D174" t="s">
        <v>40</v>
      </c>
      <c r="E174" t="s">
        <v>15</v>
      </c>
      <c r="F174">
        <v>53</v>
      </c>
      <c r="G174">
        <v>800</v>
      </c>
      <c r="H174">
        <v>2</v>
      </c>
      <c r="I174">
        <v>1600</v>
      </c>
      <c r="J174">
        <v>16.23</v>
      </c>
      <c r="K174" s="2">
        <v>45126</v>
      </c>
      <c r="L174" t="s">
        <v>317</v>
      </c>
    </row>
    <row r="175" spans="1:12" x14ac:dyDescent="0.25">
      <c r="A175" t="s">
        <v>153</v>
      </c>
      <c r="B175" t="s">
        <v>13</v>
      </c>
      <c r="C175" t="s">
        <v>321</v>
      </c>
      <c r="D175" t="s">
        <v>17</v>
      </c>
      <c r="E175" t="s">
        <v>18</v>
      </c>
      <c r="F175">
        <v>43</v>
      </c>
      <c r="G175">
        <v>100</v>
      </c>
      <c r="H175">
        <v>4</v>
      </c>
      <c r="I175">
        <v>400</v>
      </c>
      <c r="J175">
        <v>11.4</v>
      </c>
      <c r="K175" s="2">
        <v>45040</v>
      </c>
      <c r="L175" t="s">
        <v>316</v>
      </c>
    </row>
    <row r="176" spans="1:12" x14ac:dyDescent="0.25">
      <c r="A176" t="s">
        <v>74</v>
      </c>
      <c r="B176" t="s">
        <v>13</v>
      </c>
      <c r="C176" t="s">
        <v>321</v>
      </c>
      <c r="D176" t="s">
        <v>40</v>
      </c>
      <c r="E176" t="s">
        <v>15</v>
      </c>
      <c r="F176">
        <v>46</v>
      </c>
      <c r="G176">
        <v>800</v>
      </c>
      <c r="H176">
        <v>5</v>
      </c>
      <c r="I176">
        <v>4000</v>
      </c>
      <c r="J176">
        <v>19.079999999999998</v>
      </c>
      <c r="K176" s="2">
        <v>45047</v>
      </c>
      <c r="L176" t="s">
        <v>317</v>
      </c>
    </row>
    <row r="177" spans="1:12" x14ac:dyDescent="0.25">
      <c r="A177" t="s">
        <v>57</v>
      </c>
      <c r="B177" t="s">
        <v>13</v>
      </c>
      <c r="C177" t="s">
        <v>319</v>
      </c>
      <c r="D177" t="s">
        <v>29</v>
      </c>
      <c r="E177" t="s">
        <v>18</v>
      </c>
      <c r="F177">
        <v>41</v>
      </c>
      <c r="G177">
        <v>50</v>
      </c>
      <c r="H177">
        <v>1</v>
      </c>
      <c r="I177">
        <v>50</v>
      </c>
      <c r="J177">
        <v>5.56</v>
      </c>
      <c r="K177" s="2">
        <v>45103</v>
      </c>
      <c r="L177" t="s">
        <v>318</v>
      </c>
    </row>
    <row r="178" spans="1:12" x14ac:dyDescent="0.25">
      <c r="A178" t="s">
        <v>154</v>
      </c>
      <c r="B178" t="s">
        <v>20</v>
      </c>
      <c r="C178" t="s">
        <v>322</v>
      </c>
      <c r="D178" t="s">
        <v>25</v>
      </c>
      <c r="E178" t="s">
        <v>26</v>
      </c>
      <c r="F178">
        <v>23</v>
      </c>
      <c r="G178">
        <v>200</v>
      </c>
      <c r="H178">
        <v>2</v>
      </c>
      <c r="I178">
        <v>400</v>
      </c>
      <c r="J178">
        <v>5.73</v>
      </c>
      <c r="K178" s="2">
        <v>45294</v>
      </c>
      <c r="L178" t="s">
        <v>316</v>
      </c>
    </row>
    <row r="179" spans="1:12" x14ac:dyDescent="0.25">
      <c r="A179" t="s">
        <v>66</v>
      </c>
      <c r="B179" t="s">
        <v>13</v>
      </c>
      <c r="C179" t="s">
        <v>322</v>
      </c>
      <c r="D179" t="s">
        <v>40</v>
      </c>
      <c r="E179" t="s">
        <v>15</v>
      </c>
      <c r="F179">
        <v>44</v>
      </c>
      <c r="G179">
        <v>800</v>
      </c>
      <c r="H179">
        <v>1</v>
      </c>
      <c r="I179">
        <v>800</v>
      </c>
      <c r="J179">
        <v>7.11</v>
      </c>
      <c r="K179" s="2">
        <v>44945</v>
      </c>
      <c r="L179" t="s">
        <v>317</v>
      </c>
    </row>
    <row r="180" spans="1:12" x14ac:dyDescent="0.25">
      <c r="A180" t="s">
        <v>69</v>
      </c>
      <c r="B180" t="s">
        <v>20</v>
      </c>
      <c r="C180" t="s">
        <v>323</v>
      </c>
      <c r="D180" t="s">
        <v>14</v>
      </c>
      <c r="E180" t="s">
        <v>15</v>
      </c>
      <c r="F180">
        <v>67</v>
      </c>
      <c r="G180">
        <v>300</v>
      </c>
      <c r="H180">
        <v>1</v>
      </c>
      <c r="I180">
        <v>300</v>
      </c>
      <c r="J180">
        <v>15.92</v>
      </c>
      <c r="K180" s="2">
        <v>45049</v>
      </c>
      <c r="L180" t="s">
        <v>319</v>
      </c>
    </row>
    <row r="181" spans="1:12" x14ac:dyDescent="0.25">
      <c r="A181" t="s">
        <v>155</v>
      </c>
      <c r="B181" t="s">
        <v>20</v>
      </c>
      <c r="C181" t="s">
        <v>321</v>
      </c>
      <c r="D181" t="s">
        <v>14</v>
      </c>
      <c r="E181" t="s">
        <v>15</v>
      </c>
      <c r="F181">
        <v>60</v>
      </c>
      <c r="G181">
        <v>300</v>
      </c>
      <c r="H181">
        <v>3</v>
      </c>
      <c r="I181">
        <v>900</v>
      </c>
      <c r="J181">
        <v>18.61</v>
      </c>
      <c r="K181" s="2">
        <v>45128</v>
      </c>
      <c r="L181" t="s">
        <v>317</v>
      </c>
    </row>
    <row r="182" spans="1:12" x14ac:dyDescent="0.25">
      <c r="A182" t="s">
        <v>131</v>
      </c>
      <c r="B182" t="s">
        <v>20</v>
      </c>
      <c r="C182" t="s">
        <v>319</v>
      </c>
      <c r="D182" t="s">
        <v>40</v>
      </c>
      <c r="E182" t="s">
        <v>15</v>
      </c>
      <c r="F182">
        <v>49</v>
      </c>
      <c r="G182">
        <v>800</v>
      </c>
      <c r="H182">
        <v>4</v>
      </c>
      <c r="I182">
        <v>3200</v>
      </c>
      <c r="J182">
        <v>13.77</v>
      </c>
      <c r="K182" s="2">
        <v>45210</v>
      </c>
      <c r="L182" t="s">
        <v>318</v>
      </c>
    </row>
    <row r="183" spans="1:12" x14ac:dyDescent="0.25">
      <c r="A183" t="s">
        <v>156</v>
      </c>
      <c r="B183" t="s">
        <v>20</v>
      </c>
      <c r="C183" t="s">
        <v>321</v>
      </c>
      <c r="D183" t="s">
        <v>30</v>
      </c>
      <c r="E183" t="s">
        <v>18</v>
      </c>
      <c r="F183">
        <v>54</v>
      </c>
      <c r="G183">
        <v>30</v>
      </c>
      <c r="H183">
        <v>3</v>
      </c>
      <c r="I183">
        <v>90</v>
      </c>
      <c r="J183">
        <v>14.78</v>
      </c>
      <c r="K183" s="2">
        <v>45092</v>
      </c>
      <c r="L183" t="s">
        <v>316</v>
      </c>
    </row>
    <row r="184" spans="1:12" x14ac:dyDescent="0.25">
      <c r="A184" t="s">
        <v>157</v>
      </c>
      <c r="B184" t="s">
        <v>20</v>
      </c>
      <c r="C184" t="s">
        <v>322</v>
      </c>
      <c r="D184" t="s">
        <v>14</v>
      </c>
      <c r="E184" t="s">
        <v>15</v>
      </c>
      <c r="F184">
        <v>56</v>
      </c>
      <c r="G184">
        <v>300</v>
      </c>
      <c r="H184">
        <v>2</v>
      </c>
      <c r="I184">
        <v>600</v>
      </c>
      <c r="J184">
        <v>13.6</v>
      </c>
      <c r="K184" s="2">
        <v>45154</v>
      </c>
      <c r="L184" t="s">
        <v>318</v>
      </c>
    </row>
    <row r="185" spans="1:12" x14ac:dyDescent="0.25">
      <c r="A185" t="s">
        <v>158</v>
      </c>
      <c r="B185" t="s">
        <v>13</v>
      </c>
      <c r="C185" t="s">
        <v>323</v>
      </c>
      <c r="D185" t="s">
        <v>14</v>
      </c>
      <c r="E185" t="s">
        <v>15</v>
      </c>
      <c r="F185">
        <v>32</v>
      </c>
      <c r="G185">
        <v>300</v>
      </c>
      <c r="H185">
        <v>1</v>
      </c>
      <c r="I185">
        <v>300</v>
      </c>
      <c r="J185">
        <v>15.5</v>
      </c>
      <c r="K185" s="2">
        <v>45030</v>
      </c>
      <c r="L185" t="s">
        <v>318</v>
      </c>
    </row>
    <row r="186" spans="1:12" x14ac:dyDescent="0.25">
      <c r="A186" t="s">
        <v>159</v>
      </c>
      <c r="B186" t="s">
        <v>13</v>
      </c>
      <c r="C186" t="s">
        <v>323</v>
      </c>
      <c r="D186" t="s">
        <v>17</v>
      </c>
      <c r="E186" t="s">
        <v>18</v>
      </c>
      <c r="F186">
        <v>26</v>
      </c>
      <c r="G186">
        <v>100</v>
      </c>
      <c r="H186">
        <v>5</v>
      </c>
      <c r="I186">
        <v>500</v>
      </c>
      <c r="J186">
        <v>16.96</v>
      </c>
      <c r="K186" s="2">
        <v>45223</v>
      </c>
      <c r="L186" t="s">
        <v>318</v>
      </c>
    </row>
    <row r="187" spans="1:12" x14ac:dyDescent="0.25">
      <c r="A187" t="s">
        <v>160</v>
      </c>
      <c r="B187" t="s">
        <v>13</v>
      </c>
      <c r="C187" t="s">
        <v>323</v>
      </c>
      <c r="D187" t="s">
        <v>25</v>
      </c>
      <c r="E187" t="s">
        <v>26</v>
      </c>
      <c r="F187">
        <v>27</v>
      </c>
      <c r="G187">
        <v>200</v>
      </c>
      <c r="H187">
        <v>5</v>
      </c>
      <c r="I187">
        <v>1000</v>
      </c>
      <c r="J187">
        <v>12</v>
      </c>
      <c r="K187" s="2">
        <v>45121</v>
      </c>
      <c r="L187" t="s">
        <v>317</v>
      </c>
    </row>
    <row r="188" spans="1:12" x14ac:dyDescent="0.25">
      <c r="A188" t="s">
        <v>161</v>
      </c>
      <c r="B188" t="s">
        <v>20</v>
      </c>
      <c r="C188" t="s">
        <v>321</v>
      </c>
      <c r="D188" t="s">
        <v>29</v>
      </c>
      <c r="E188" t="s">
        <v>18</v>
      </c>
      <c r="F188">
        <v>65</v>
      </c>
      <c r="G188">
        <v>50</v>
      </c>
      <c r="H188">
        <v>3</v>
      </c>
      <c r="I188">
        <v>150</v>
      </c>
      <c r="J188">
        <v>19.62</v>
      </c>
      <c r="K188" s="2">
        <v>45266</v>
      </c>
      <c r="L188" t="s">
        <v>317</v>
      </c>
    </row>
    <row r="189" spans="1:12" x14ac:dyDescent="0.25">
      <c r="A189" t="s">
        <v>162</v>
      </c>
      <c r="B189" t="s">
        <v>13</v>
      </c>
      <c r="C189" t="s">
        <v>320</v>
      </c>
      <c r="D189" t="s">
        <v>25</v>
      </c>
      <c r="E189" t="s">
        <v>26</v>
      </c>
      <c r="F189">
        <v>62</v>
      </c>
      <c r="G189">
        <v>200</v>
      </c>
      <c r="H189">
        <v>2</v>
      </c>
      <c r="I189">
        <v>400</v>
      </c>
      <c r="J189">
        <v>11.66</v>
      </c>
      <c r="K189" s="2">
        <v>45169</v>
      </c>
      <c r="L189" t="s">
        <v>318</v>
      </c>
    </row>
    <row r="190" spans="1:12" x14ac:dyDescent="0.25">
      <c r="A190" t="s">
        <v>163</v>
      </c>
      <c r="B190" t="s">
        <v>13</v>
      </c>
      <c r="C190" t="s">
        <v>322</v>
      </c>
      <c r="D190" t="s">
        <v>17</v>
      </c>
      <c r="E190" t="s">
        <v>18</v>
      </c>
      <c r="F190">
        <v>21</v>
      </c>
      <c r="G190">
        <v>100</v>
      </c>
      <c r="H190">
        <v>1</v>
      </c>
      <c r="I190">
        <v>100</v>
      </c>
      <c r="J190">
        <v>11.24</v>
      </c>
      <c r="K190" s="2">
        <v>45171</v>
      </c>
      <c r="L190" t="s">
        <v>318</v>
      </c>
    </row>
    <row r="191" spans="1:12" x14ac:dyDescent="0.25">
      <c r="A191" t="s">
        <v>152</v>
      </c>
      <c r="B191" t="s">
        <v>13</v>
      </c>
      <c r="C191" t="s">
        <v>320</v>
      </c>
      <c r="D191" t="s">
        <v>40</v>
      </c>
      <c r="E191" t="s">
        <v>15</v>
      </c>
      <c r="F191">
        <v>53</v>
      </c>
      <c r="G191">
        <v>800</v>
      </c>
      <c r="H191">
        <v>4</v>
      </c>
      <c r="I191">
        <v>3200</v>
      </c>
      <c r="J191">
        <v>6.27</v>
      </c>
      <c r="K191" s="2">
        <v>45022</v>
      </c>
      <c r="L191" t="s">
        <v>316</v>
      </c>
    </row>
    <row r="192" spans="1:12" x14ac:dyDescent="0.25">
      <c r="A192" t="s">
        <v>164</v>
      </c>
      <c r="B192" t="s">
        <v>20</v>
      </c>
      <c r="C192" t="s">
        <v>322</v>
      </c>
      <c r="D192" t="s">
        <v>40</v>
      </c>
      <c r="E192" t="s">
        <v>15</v>
      </c>
      <c r="F192">
        <v>57</v>
      </c>
      <c r="G192">
        <v>800</v>
      </c>
      <c r="H192">
        <v>4</v>
      </c>
      <c r="I192">
        <v>3200</v>
      </c>
      <c r="J192">
        <v>16.09</v>
      </c>
      <c r="K192" s="2">
        <v>45289</v>
      </c>
      <c r="L192" t="s">
        <v>317</v>
      </c>
    </row>
    <row r="193" spans="1:12" x14ac:dyDescent="0.25">
      <c r="A193" t="s">
        <v>165</v>
      </c>
      <c r="B193" t="s">
        <v>13</v>
      </c>
      <c r="C193" t="s">
        <v>320</v>
      </c>
      <c r="D193" t="s">
        <v>30</v>
      </c>
      <c r="E193" t="s">
        <v>18</v>
      </c>
      <c r="F193">
        <v>66</v>
      </c>
      <c r="G193">
        <v>30</v>
      </c>
      <c r="H193">
        <v>4</v>
      </c>
      <c r="I193">
        <v>120</v>
      </c>
      <c r="J193">
        <v>8.24</v>
      </c>
      <c r="K193" s="2">
        <v>45086</v>
      </c>
      <c r="L193" t="s">
        <v>316</v>
      </c>
    </row>
    <row r="194" spans="1:12" x14ac:dyDescent="0.25">
      <c r="A194" t="s">
        <v>166</v>
      </c>
      <c r="B194" t="s">
        <v>20</v>
      </c>
      <c r="C194" t="s">
        <v>321</v>
      </c>
      <c r="D194" t="s">
        <v>40</v>
      </c>
      <c r="E194" t="s">
        <v>15</v>
      </c>
      <c r="F194">
        <v>49</v>
      </c>
      <c r="G194">
        <v>800</v>
      </c>
      <c r="H194">
        <v>4</v>
      </c>
      <c r="I194">
        <v>3200</v>
      </c>
      <c r="J194">
        <v>17.91</v>
      </c>
      <c r="K194" s="2">
        <v>45091</v>
      </c>
      <c r="L194" t="s">
        <v>317</v>
      </c>
    </row>
    <row r="195" spans="1:12" x14ac:dyDescent="0.25">
      <c r="A195" t="s">
        <v>167</v>
      </c>
      <c r="B195" t="s">
        <v>20</v>
      </c>
      <c r="C195" t="s">
        <v>321</v>
      </c>
      <c r="D195" t="s">
        <v>23</v>
      </c>
      <c r="E195" t="s">
        <v>15</v>
      </c>
      <c r="F195">
        <v>64</v>
      </c>
      <c r="G195">
        <v>1500</v>
      </c>
      <c r="H195">
        <v>1</v>
      </c>
      <c r="I195">
        <v>1500</v>
      </c>
      <c r="J195">
        <v>18.88</v>
      </c>
      <c r="K195" s="2">
        <v>45121</v>
      </c>
      <c r="L195" t="s">
        <v>316</v>
      </c>
    </row>
    <row r="196" spans="1:12" x14ac:dyDescent="0.25">
      <c r="A196" t="s">
        <v>96</v>
      </c>
      <c r="B196" t="s">
        <v>13</v>
      </c>
      <c r="C196" t="s">
        <v>320</v>
      </c>
      <c r="D196" t="s">
        <v>14</v>
      </c>
      <c r="E196" t="s">
        <v>15</v>
      </c>
      <c r="F196">
        <v>64</v>
      </c>
      <c r="G196">
        <v>621.91212249732996</v>
      </c>
      <c r="H196">
        <v>5</v>
      </c>
      <c r="I196">
        <v>1500</v>
      </c>
      <c r="J196">
        <v>6.93</v>
      </c>
      <c r="K196" s="2">
        <v>45039</v>
      </c>
      <c r="L196" t="s">
        <v>318</v>
      </c>
    </row>
    <row r="197" spans="1:12" x14ac:dyDescent="0.25">
      <c r="A197" t="s">
        <v>168</v>
      </c>
      <c r="B197" t="s">
        <v>20</v>
      </c>
      <c r="C197" t="s">
        <v>321</v>
      </c>
      <c r="D197" t="s">
        <v>40</v>
      </c>
      <c r="E197" t="s">
        <v>15</v>
      </c>
      <c r="F197">
        <v>42</v>
      </c>
      <c r="G197">
        <v>800</v>
      </c>
      <c r="H197">
        <v>3</v>
      </c>
      <c r="I197">
        <v>2400</v>
      </c>
      <c r="J197">
        <v>7.22</v>
      </c>
      <c r="K197" s="2">
        <v>45220</v>
      </c>
      <c r="L197" t="s">
        <v>318</v>
      </c>
    </row>
    <row r="198" spans="1:12" x14ac:dyDescent="0.25">
      <c r="A198" t="s">
        <v>60</v>
      </c>
      <c r="B198" t="s">
        <v>13</v>
      </c>
      <c r="C198" t="s">
        <v>322</v>
      </c>
      <c r="D198" t="s">
        <v>29</v>
      </c>
      <c r="E198" t="s">
        <v>18</v>
      </c>
      <c r="F198">
        <v>43</v>
      </c>
      <c r="G198">
        <v>50</v>
      </c>
      <c r="H198">
        <v>2</v>
      </c>
      <c r="I198">
        <v>100</v>
      </c>
      <c r="J198">
        <v>5.05</v>
      </c>
      <c r="K198" s="2">
        <v>45208</v>
      </c>
      <c r="L198" t="s">
        <v>318</v>
      </c>
    </row>
    <row r="199" spans="1:12" x14ac:dyDescent="0.25">
      <c r="A199" t="s">
        <v>169</v>
      </c>
      <c r="B199" t="s">
        <v>20</v>
      </c>
      <c r="C199" t="s">
        <v>323</v>
      </c>
      <c r="D199" t="s">
        <v>17</v>
      </c>
      <c r="E199" t="s">
        <v>18</v>
      </c>
      <c r="F199">
        <v>51</v>
      </c>
      <c r="G199">
        <v>100</v>
      </c>
      <c r="H199">
        <v>1</v>
      </c>
      <c r="I199">
        <v>100</v>
      </c>
      <c r="J199">
        <v>19.84</v>
      </c>
      <c r="K199" s="2">
        <v>45073</v>
      </c>
      <c r="L199" t="s">
        <v>318</v>
      </c>
    </row>
    <row r="200" spans="1:12" x14ac:dyDescent="0.25">
      <c r="A200" t="s">
        <v>170</v>
      </c>
      <c r="B200" t="s">
        <v>20</v>
      </c>
      <c r="C200" t="s">
        <v>321</v>
      </c>
      <c r="D200" t="s">
        <v>23</v>
      </c>
      <c r="E200" t="s">
        <v>15</v>
      </c>
      <c r="F200">
        <v>57</v>
      </c>
      <c r="G200">
        <v>1500</v>
      </c>
      <c r="H200">
        <v>1</v>
      </c>
      <c r="I200">
        <v>1500</v>
      </c>
      <c r="J200">
        <v>16.28</v>
      </c>
      <c r="K200" s="2">
        <v>44958</v>
      </c>
      <c r="L200" t="s">
        <v>316</v>
      </c>
    </row>
    <row r="201" spans="1:12" x14ac:dyDescent="0.25">
      <c r="A201" t="s">
        <v>171</v>
      </c>
      <c r="B201" t="s">
        <v>20</v>
      </c>
      <c r="C201" t="s">
        <v>321</v>
      </c>
      <c r="D201" t="s">
        <v>30</v>
      </c>
      <c r="E201" t="s">
        <v>18</v>
      </c>
      <c r="F201">
        <v>55</v>
      </c>
      <c r="G201">
        <v>30</v>
      </c>
      <c r="H201">
        <v>5</v>
      </c>
      <c r="I201">
        <v>150</v>
      </c>
      <c r="J201">
        <v>17.36</v>
      </c>
      <c r="K201" s="2">
        <v>45053</v>
      </c>
      <c r="L201" t="s">
        <v>317</v>
      </c>
    </row>
    <row r="202" spans="1:12" x14ac:dyDescent="0.25">
      <c r="A202" t="s">
        <v>172</v>
      </c>
      <c r="B202" t="s">
        <v>20</v>
      </c>
      <c r="C202" t="s">
        <v>319</v>
      </c>
      <c r="D202" t="s">
        <v>30</v>
      </c>
      <c r="E202" t="s">
        <v>18</v>
      </c>
      <c r="F202">
        <v>57</v>
      </c>
      <c r="G202">
        <v>30</v>
      </c>
      <c r="H202">
        <v>1</v>
      </c>
      <c r="I202">
        <v>30</v>
      </c>
      <c r="J202">
        <v>9.59</v>
      </c>
      <c r="K202" s="2">
        <v>44997</v>
      </c>
      <c r="L202" t="s">
        <v>317</v>
      </c>
    </row>
    <row r="203" spans="1:12" x14ac:dyDescent="0.25">
      <c r="A203" t="s">
        <v>126</v>
      </c>
      <c r="B203" t="s">
        <v>20</v>
      </c>
      <c r="C203" t="s">
        <v>323</v>
      </c>
      <c r="D203" t="s">
        <v>17</v>
      </c>
      <c r="E203" t="s">
        <v>18</v>
      </c>
      <c r="F203">
        <v>50</v>
      </c>
      <c r="G203">
        <v>100</v>
      </c>
      <c r="H203">
        <v>5</v>
      </c>
      <c r="I203">
        <v>500</v>
      </c>
      <c r="J203">
        <v>16.11</v>
      </c>
      <c r="K203" s="2">
        <v>45237</v>
      </c>
      <c r="L203" t="s">
        <v>317</v>
      </c>
    </row>
    <row r="204" spans="1:12" x14ac:dyDescent="0.25">
      <c r="A204" t="s">
        <v>84</v>
      </c>
      <c r="B204" t="s">
        <v>13</v>
      </c>
      <c r="C204" t="s">
        <v>321</v>
      </c>
      <c r="D204" t="s">
        <v>29</v>
      </c>
      <c r="E204" t="s">
        <v>18</v>
      </c>
      <c r="F204">
        <v>28</v>
      </c>
      <c r="G204">
        <v>50</v>
      </c>
      <c r="H204">
        <v>2</v>
      </c>
      <c r="I204">
        <v>100</v>
      </c>
      <c r="J204">
        <v>9.48</v>
      </c>
      <c r="K204" s="2">
        <v>45183</v>
      </c>
      <c r="L204" t="s">
        <v>316</v>
      </c>
    </row>
    <row r="205" spans="1:12" x14ac:dyDescent="0.25">
      <c r="A205" t="s">
        <v>150</v>
      </c>
      <c r="B205" t="s">
        <v>20</v>
      </c>
      <c r="C205" t="s">
        <v>322</v>
      </c>
      <c r="D205" t="s">
        <v>14</v>
      </c>
      <c r="E205" t="s">
        <v>15</v>
      </c>
      <c r="F205">
        <v>36</v>
      </c>
      <c r="G205">
        <v>300</v>
      </c>
      <c r="H205">
        <v>2</v>
      </c>
      <c r="I205">
        <v>600</v>
      </c>
      <c r="J205">
        <v>18.440000000000001</v>
      </c>
      <c r="K205" s="2">
        <v>45004</v>
      </c>
      <c r="L205" t="s">
        <v>316</v>
      </c>
    </row>
    <row r="206" spans="1:12" x14ac:dyDescent="0.25">
      <c r="A206" t="s">
        <v>114</v>
      </c>
      <c r="B206" t="s">
        <v>20</v>
      </c>
      <c r="C206" t="s">
        <v>322</v>
      </c>
      <c r="D206" t="s">
        <v>29</v>
      </c>
      <c r="E206" t="s">
        <v>18</v>
      </c>
      <c r="F206">
        <v>33</v>
      </c>
      <c r="G206">
        <v>50</v>
      </c>
      <c r="H206">
        <v>5</v>
      </c>
      <c r="I206">
        <v>250</v>
      </c>
      <c r="J206">
        <v>8.43</v>
      </c>
      <c r="K206" s="2">
        <v>45204</v>
      </c>
      <c r="L206" t="s">
        <v>317</v>
      </c>
    </row>
    <row r="207" spans="1:12" x14ac:dyDescent="0.25">
      <c r="A207" t="s">
        <v>173</v>
      </c>
      <c r="B207" t="s">
        <v>20</v>
      </c>
      <c r="C207" t="s">
        <v>323</v>
      </c>
      <c r="D207" t="s">
        <v>23</v>
      </c>
      <c r="E207" t="s">
        <v>15</v>
      </c>
      <c r="F207">
        <v>49</v>
      </c>
      <c r="G207">
        <v>1500</v>
      </c>
      <c r="H207">
        <v>5</v>
      </c>
      <c r="I207">
        <v>7500</v>
      </c>
      <c r="J207">
        <v>7.38</v>
      </c>
      <c r="K207" s="2">
        <v>45095</v>
      </c>
      <c r="L207" t="s">
        <v>316</v>
      </c>
    </row>
    <row r="208" spans="1:12" x14ac:dyDescent="0.25">
      <c r="A208" t="s">
        <v>174</v>
      </c>
      <c r="B208" t="s">
        <v>13</v>
      </c>
      <c r="C208" t="s">
        <v>320</v>
      </c>
      <c r="D208" t="s">
        <v>40</v>
      </c>
      <c r="E208" t="s">
        <v>15</v>
      </c>
      <c r="F208">
        <v>54</v>
      </c>
      <c r="G208">
        <v>800</v>
      </c>
      <c r="H208">
        <v>2</v>
      </c>
      <c r="I208">
        <v>1600</v>
      </c>
      <c r="J208">
        <v>6.45</v>
      </c>
      <c r="K208" s="2">
        <v>45001</v>
      </c>
      <c r="L208" t="s">
        <v>318</v>
      </c>
    </row>
    <row r="209" spans="1:12" x14ac:dyDescent="0.25">
      <c r="A209" t="s">
        <v>75</v>
      </c>
      <c r="B209" t="s">
        <v>13</v>
      </c>
      <c r="C209" t="s">
        <v>321</v>
      </c>
      <c r="D209" t="s">
        <v>29</v>
      </c>
      <c r="E209" t="s">
        <v>18</v>
      </c>
      <c r="F209">
        <v>49</v>
      </c>
      <c r="G209">
        <v>50</v>
      </c>
      <c r="H209">
        <v>1</v>
      </c>
      <c r="I209">
        <v>50</v>
      </c>
      <c r="J209">
        <v>8.9700000000000006</v>
      </c>
      <c r="K209" s="2">
        <v>45069</v>
      </c>
      <c r="L209" t="s">
        <v>316</v>
      </c>
    </row>
    <row r="210" spans="1:12" x14ac:dyDescent="0.25">
      <c r="A210" t="s">
        <v>96</v>
      </c>
      <c r="B210" t="s">
        <v>13</v>
      </c>
      <c r="C210" t="s">
        <v>320</v>
      </c>
      <c r="D210" t="s">
        <v>17</v>
      </c>
      <c r="E210" t="s">
        <v>18</v>
      </c>
      <c r="F210">
        <v>64</v>
      </c>
      <c r="G210">
        <v>100</v>
      </c>
      <c r="H210">
        <v>3</v>
      </c>
      <c r="I210">
        <v>300</v>
      </c>
      <c r="J210">
        <v>11.64</v>
      </c>
      <c r="K210" s="2">
        <v>45254</v>
      </c>
      <c r="L210" t="s">
        <v>316</v>
      </c>
    </row>
    <row r="211" spans="1:12" x14ac:dyDescent="0.25">
      <c r="A211" t="s">
        <v>175</v>
      </c>
      <c r="B211" t="s">
        <v>13</v>
      </c>
      <c r="C211" t="s">
        <v>320</v>
      </c>
      <c r="D211" t="s">
        <v>14</v>
      </c>
      <c r="E211" t="s">
        <v>15</v>
      </c>
      <c r="F211">
        <v>49</v>
      </c>
      <c r="G211">
        <v>621.91212249732996</v>
      </c>
      <c r="H211">
        <v>5</v>
      </c>
      <c r="I211">
        <v>1500</v>
      </c>
      <c r="J211">
        <v>7.22</v>
      </c>
      <c r="K211" s="2">
        <v>45143</v>
      </c>
      <c r="L211" t="s">
        <v>316</v>
      </c>
    </row>
    <row r="212" spans="1:12" x14ac:dyDescent="0.25">
      <c r="A212" t="s">
        <v>176</v>
      </c>
      <c r="B212" t="s">
        <v>20</v>
      </c>
      <c r="C212" t="s">
        <v>323</v>
      </c>
      <c r="D212" t="s">
        <v>17</v>
      </c>
      <c r="E212" t="s">
        <v>18</v>
      </c>
      <c r="F212">
        <v>49</v>
      </c>
      <c r="G212">
        <v>100</v>
      </c>
      <c r="H212">
        <v>2</v>
      </c>
      <c r="I212">
        <v>200</v>
      </c>
      <c r="J212">
        <v>15.13</v>
      </c>
      <c r="K212" s="2">
        <v>44949</v>
      </c>
      <c r="L212" t="s">
        <v>318</v>
      </c>
    </row>
    <row r="213" spans="1:12" x14ac:dyDescent="0.25">
      <c r="A213" t="s">
        <v>122</v>
      </c>
      <c r="B213" t="s">
        <v>20</v>
      </c>
      <c r="C213" t="s">
        <v>321</v>
      </c>
      <c r="D213" t="s">
        <v>40</v>
      </c>
      <c r="E213" t="s">
        <v>15</v>
      </c>
      <c r="F213">
        <v>19</v>
      </c>
      <c r="G213">
        <v>800</v>
      </c>
      <c r="H213">
        <v>3</v>
      </c>
      <c r="I213">
        <v>2400</v>
      </c>
      <c r="J213">
        <v>11.21</v>
      </c>
      <c r="K213" s="2">
        <v>45139</v>
      </c>
      <c r="L213" t="s">
        <v>316</v>
      </c>
    </row>
    <row r="214" spans="1:12" x14ac:dyDescent="0.25">
      <c r="A214" t="s">
        <v>177</v>
      </c>
      <c r="B214" t="s">
        <v>13</v>
      </c>
      <c r="C214" t="s">
        <v>321</v>
      </c>
      <c r="D214" t="s">
        <v>29</v>
      </c>
      <c r="E214" t="s">
        <v>18</v>
      </c>
      <c r="F214">
        <v>29</v>
      </c>
      <c r="G214">
        <v>50</v>
      </c>
      <c r="H214">
        <v>2</v>
      </c>
      <c r="I214">
        <v>100</v>
      </c>
      <c r="J214">
        <v>5.18</v>
      </c>
      <c r="K214" s="2">
        <v>45030</v>
      </c>
      <c r="L214" t="s">
        <v>316</v>
      </c>
    </row>
    <row r="215" spans="1:12" x14ac:dyDescent="0.25">
      <c r="A215" t="s">
        <v>59</v>
      </c>
      <c r="B215" t="s">
        <v>13</v>
      </c>
      <c r="C215" t="s">
        <v>320</v>
      </c>
      <c r="D215" t="s">
        <v>25</v>
      </c>
      <c r="E215" t="s">
        <v>26</v>
      </c>
      <c r="F215">
        <v>68</v>
      </c>
      <c r="G215">
        <v>200</v>
      </c>
      <c r="H215">
        <v>3</v>
      </c>
      <c r="I215">
        <v>600</v>
      </c>
      <c r="J215">
        <v>7.93</v>
      </c>
      <c r="K215" s="2">
        <v>45099</v>
      </c>
      <c r="L215" t="s">
        <v>317</v>
      </c>
    </row>
    <row r="216" spans="1:12" x14ac:dyDescent="0.25">
      <c r="A216" t="s">
        <v>178</v>
      </c>
      <c r="B216" t="s">
        <v>13</v>
      </c>
      <c r="C216" t="s">
        <v>320</v>
      </c>
      <c r="D216" t="s">
        <v>23</v>
      </c>
      <c r="E216" t="s">
        <v>15</v>
      </c>
      <c r="F216">
        <v>30</v>
      </c>
      <c r="G216">
        <v>1500</v>
      </c>
      <c r="H216">
        <v>1</v>
      </c>
      <c r="I216">
        <v>1500</v>
      </c>
      <c r="J216">
        <v>14.53</v>
      </c>
      <c r="K216" s="2">
        <v>45034</v>
      </c>
      <c r="L216" t="s">
        <v>317</v>
      </c>
    </row>
    <row r="217" spans="1:12" x14ac:dyDescent="0.25">
      <c r="A217" t="s">
        <v>179</v>
      </c>
      <c r="B217" t="s">
        <v>20</v>
      </c>
      <c r="C217" t="s">
        <v>321</v>
      </c>
      <c r="D217" t="s">
        <v>30</v>
      </c>
      <c r="E217" t="s">
        <v>18</v>
      </c>
      <c r="F217">
        <v>61</v>
      </c>
      <c r="G217">
        <v>62.191212249732999</v>
      </c>
      <c r="H217">
        <v>1</v>
      </c>
      <c r="I217">
        <v>30</v>
      </c>
      <c r="J217">
        <v>10.41</v>
      </c>
      <c r="K217" s="2">
        <v>44954</v>
      </c>
      <c r="L217" t="s">
        <v>316</v>
      </c>
    </row>
    <row r="218" spans="1:12" x14ac:dyDescent="0.25">
      <c r="A218" t="s">
        <v>146</v>
      </c>
      <c r="B218" t="s">
        <v>20</v>
      </c>
      <c r="C218" t="s">
        <v>320</v>
      </c>
      <c r="D218" t="s">
        <v>40</v>
      </c>
      <c r="E218" t="s">
        <v>15</v>
      </c>
      <c r="F218">
        <v>49</v>
      </c>
      <c r="G218">
        <v>800</v>
      </c>
      <c r="H218">
        <v>4</v>
      </c>
      <c r="I218">
        <v>3200</v>
      </c>
      <c r="J218">
        <v>9.4499999999999993</v>
      </c>
      <c r="K218" s="2">
        <v>45054</v>
      </c>
      <c r="L218" t="s">
        <v>316</v>
      </c>
    </row>
    <row r="219" spans="1:12" x14ac:dyDescent="0.25">
      <c r="A219" t="s">
        <v>180</v>
      </c>
      <c r="B219" t="s">
        <v>20</v>
      </c>
      <c r="C219" t="s">
        <v>322</v>
      </c>
      <c r="D219" t="s">
        <v>23</v>
      </c>
      <c r="E219" t="s">
        <v>15</v>
      </c>
      <c r="F219">
        <v>49</v>
      </c>
      <c r="G219">
        <v>1500</v>
      </c>
      <c r="H219">
        <v>2</v>
      </c>
      <c r="I219">
        <v>3000</v>
      </c>
      <c r="J219">
        <v>9.01</v>
      </c>
      <c r="K219" s="2">
        <v>45084</v>
      </c>
      <c r="L219" t="s">
        <v>317</v>
      </c>
    </row>
    <row r="220" spans="1:12" x14ac:dyDescent="0.25">
      <c r="A220" t="s">
        <v>181</v>
      </c>
      <c r="B220" t="s">
        <v>13</v>
      </c>
      <c r="C220" t="s">
        <v>320</v>
      </c>
      <c r="D220" t="s">
        <v>40</v>
      </c>
      <c r="E220" t="s">
        <v>15</v>
      </c>
      <c r="F220">
        <v>29</v>
      </c>
      <c r="G220">
        <v>800</v>
      </c>
      <c r="H220">
        <v>5</v>
      </c>
      <c r="I220">
        <v>4000</v>
      </c>
      <c r="J220">
        <v>6.06</v>
      </c>
      <c r="K220" s="2">
        <v>44981</v>
      </c>
      <c r="L220" t="s">
        <v>318</v>
      </c>
    </row>
    <row r="221" spans="1:12" x14ac:dyDescent="0.25">
      <c r="A221" t="s">
        <v>172</v>
      </c>
      <c r="B221" t="s">
        <v>13</v>
      </c>
      <c r="C221" t="s">
        <v>321</v>
      </c>
      <c r="D221" t="s">
        <v>29</v>
      </c>
      <c r="E221" t="s">
        <v>18</v>
      </c>
      <c r="F221">
        <v>57</v>
      </c>
      <c r="G221">
        <v>50</v>
      </c>
      <c r="H221">
        <v>3</v>
      </c>
      <c r="I221">
        <v>150</v>
      </c>
      <c r="J221">
        <v>11.12</v>
      </c>
      <c r="K221" s="2">
        <v>44973</v>
      </c>
      <c r="L221" t="s">
        <v>317</v>
      </c>
    </row>
    <row r="222" spans="1:12" x14ac:dyDescent="0.25">
      <c r="A222" t="s">
        <v>65</v>
      </c>
      <c r="B222" t="s">
        <v>13</v>
      </c>
      <c r="C222" t="s">
        <v>321</v>
      </c>
      <c r="D222" t="s">
        <v>25</v>
      </c>
      <c r="E222" t="s">
        <v>26</v>
      </c>
      <c r="F222">
        <v>38</v>
      </c>
      <c r="G222">
        <v>200</v>
      </c>
      <c r="H222">
        <v>3</v>
      </c>
      <c r="I222">
        <v>600</v>
      </c>
      <c r="J222">
        <v>19.89</v>
      </c>
      <c r="K222" s="2">
        <v>45145</v>
      </c>
      <c r="L222" t="s">
        <v>316</v>
      </c>
    </row>
    <row r="223" spans="1:12" x14ac:dyDescent="0.25">
      <c r="A223" t="s">
        <v>55</v>
      </c>
      <c r="B223" t="s">
        <v>13</v>
      </c>
      <c r="C223" t="s">
        <v>320</v>
      </c>
      <c r="D223" t="s">
        <v>40</v>
      </c>
      <c r="E223" t="s">
        <v>15</v>
      </c>
      <c r="F223">
        <v>58</v>
      </c>
      <c r="G223">
        <v>800</v>
      </c>
      <c r="H223">
        <v>4</v>
      </c>
      <c r="I223">
        <v>3200</v>
      </c>
      <c r="J223">
        <v>18.55</v>
      </c>
      <c r="K223" s="2">
        <v>45020</v>
      </c>
      <c r="L223" t="s">
        <v>319</v>
      </c>
    </row>
    <row r="224" spans="1:12" x14ac:dyDescent="0.25">
      <c r="A224" t="s">
        <v>121</v>
      </c>
      <c r="B224" t="s">
        <v>20</v>
      </c>
      <c r="C224" t="s">
        <v>323</v>
      </c>
      <c r="D224" t="s">
        <v>14</v>
      </c>
      <c r="E224" t="s">
        <v>15</v>
      </c>
      <c r="F224">
        <v>38</v>
      </c>
      <c r="G224">
        <v>300</v>
      </c>
      <c r="H224">
        <v>1</v>
      </c>
      <c r="I224">
        <v>300</v>
      </c>
      <c r="J224">
        <v>11.89</v>
      </c>
      <c r="K224" s="2">
        <v>45047</v>
      </c>
      <c r="L224" t="s">
        <v>317</v>
      </c>
    </row>
    <row r="225" spans="1:12" x14ac:dyDescent="0.25">
      <c r="A225" t="s">
        <v>182</v>
      </c>
      <c r="B225" t="s">
        <v>20</v>
      </c>
      <c r="C225" t="s">
        <v>323</v>
      </c>
      <c r="D225" t="s">
        <v>40</v>
      </c>
      <c r="E225" t="s">
        <v>15</v>
      </c>
      <c r="F225">
        <v>32</v>
      </c>
      <c r="G225">
        <v>800</v>
      </c>
      <c r="H225">
        <v>3</v>
      </c>
      <c r="I225">
        <v>2400</v>
      </c>
      <c r="J225">
        <v>14.12</v>
      </c>
      <c r="K225" s="2">
        <v>45197</v>
      </c>
      <c r="L225" t="s">
        <v>317</v>
      </c>
    </row>
    <row r="226" spans="1:12" x14ac:dyDescent="0.25">
      <c r="A226" t="s">
        <v>183</v>
      </c>
      <c r="B226" t="s">
        <v>20</v>
      </c>
      <c r="C226" t="s">
        <v>321</v>
      </c>
      <c r="D226" t="s">
        <v>30</v>
      </c>
      <c r="E226" t="s">
        <v>18</v>
      </c>
      <c r="F226">
        <v>49</v>
      </c>
      <c r="G226">
        <v>30</v>
      </c>
      <c r="H226">
        <v>2</v>
      </c>
      <c r="I226">
        <v>60</v>
      </c>
      <c r="J226">
        <v>7.56</v>
      </c>
      <c r="K226" s="2">
        <v>45285</v>
      </c>
      <c r="L226" t="s">
        <v>318</v>
      </c>
    </row>
    <row r="227" spans="1:12" x14ac:dyDescent="0.25">
      <c r="A227" t="s">
        <v>113</v>
      </c>
      <c r="B227" t="s">
        <v>13</v>
      </c>
      <c r="C227" t="s">
        <v>322</v>
      </c>
      <c r="D227" t="s">
        <v>17</v>
      </c>
      <c r="E227" t="s">
        <v>18</v>
      </c>
      <c r="F227">
        <v>63</v>
      </c>
      <c r="G227">
        <v>100</v>
      </c>
      <c r="H227">
        <v>4</v>
      </c>
      <c r="I227">
        <v>400</v>
      </c>
      <c r="J227">
        <v>11.39</v>
      </c>
      <c r="K227" s="2">
        <v>45052</v>
      </c>
      <c r="L227" t="s">
        <v>318</v>
      </c>
    </row>
    <row r="228" spans="1:12" x14ac:dyDescent="0.25">
      <c r="A228" t="s">
        <v>48</v>
      </c>
      <c r="B228" t="s">
        <v>20</v>
      </c>
      <c r="C228" t="s">
        <v>321</v>
      </c>
      <c r="D228" t="s">
        <v>29</v>
      </c>
      <c r="E228" t="s">
        <v>18</v>
      </c>
      <c r="F228">
        <v>59</v>
      </c>
      <c r="G228">
        <v>103.65202041622101</v>
      </c>
      <c r="H228">
        <v>4</v>
      </c>
      <c r="I228">
        <v>200</v>
      </c>
      <c r="J228">
        <v>10.49</v>
      </c>
      <c r="K228" s="2">
        <v>45159</v>
      </c>
      <c r="L228" t="s">
        <v>318</v>
      </c>
    </row>
    <row r="229" spans="1:12" x14ac:dyDescent="0.25">
      <c r="A229" t="s">
        <v>160</v>
      </c>
      <c r="B229" t="s">
        <v>13</v>
      </c>
      <c r="C229" t="s">
        <v>321</v>
      </c>
      <c r="D229" t="s">
        <v>17</v>
      </c>
      <c r="E229" t="s">
        <v>18</v>
      </c>
      <c r="F229">
        <v>27</v>
      </c>
      <c r="G229">
        <v>100</v>
      </c>
      <c r="H229">
        <v>3</v>
      </c>
      <c r="I229">
        <v>300</v>
      </c>
      <c r="J229">
        <v>17.920000000000002</v>
      </c>
      <c r="K229" s="2">
        <v>44998</v>
      </c>
      <c r="L229" t="s">
        <v>316</v>
      </c>
    </row>
    <row r="230" spans="1:12" x14ac:dyDescent="0.25">
      <c r="A230" t="s">
        <v>184</v>
      </c>
      <c r="B230" t="s">
        <v>20</v>
      </c>
      <c r="C230" t="s">
        <v>321</v>
      </c>
      <c r="D230" t="s">
        <v>23</v>
      </c>
      <c r="E230" t="s">
        <v>15</v>
      </c>
      <c r="F230">
        <v>51</v>
      </c>
      <c r="G230">
        <v>1500</v>
      </c>
      <c r="H230">
        <v>1</v>
      </c>
      <c r="I230">
        <v>1500</v>
      </c>
      <c r="J230">
        <v>12.36</v>
      </c>
      <c r="K230" s="2">
        <v>44985</v>
      </c>
      <c r="L230" t="s">
        <v>316</v>
      </c>
    </row>
    <row r="231" spans="1:12" x14ac:dyDescent="0.25">
      <c r="A231" t="s">
        <v>181</v>
      </c>
      <c r="B231" t="s">
        <v>13</v>
      </c>
      <c r="C231" t="s">
        <v>321</v>
      </c>
      <c r="D231" t="s">
        <v>14</v>
      </c>
      <c r="E231" t="s">
        <v>15</v>
      </c>
      <c r="F231">
        <v>29</v>
      </c>
      <c r="G231">
        <v>300</v>
      </c>
      <c r="H231">
        <v>4</v>
      </c>
      <c r="I231">
        <v>1200</v>
      </c>
      <c r="J231">
        <v>8.15</v>
      </c>
      <c r="K231" s="2">
        <v>45133</v>
      </c>
      <c r="L231" t="s">
        <v>318</v>
      </c>
    </row>
    <row r="232" spans="1:12" x14ac:dyDescent="0.25">
      <c r="A232" t="s">
        <v>165</v>
      </c>
      <c r="B232" t="s">
        <v>13</v>
      </c>
      <c r="C232" t="s">
        <v>323</v>
      </c>
      <c r="D232" t="s">
        <v>14</v>
      </c>
      <c r="E232" t="s">
        <v>15</v>
      </c>
      <c r="F232">
        <v>66</v>
      </c>
      <c r="G232">
        <v>300</v>
      </c>
      <c r="H232">
        <v>2</v>
      </c>
      <c r="I232">
        <v>600</v>
      </c>
      <c r="J232">
        <v>19.100000000000001</v>
      </c>
      <c r="K232" s="2">
        <v>45109</v>
      </c>
      <c r="L232" t="s">
        <v>319</v>
      </c>
    </row>
    <row r="233" spans="1:12" x14ac:dyDescent="0.25">
      <c r="A233" t="s">
        <v>174</v>
      </c>
      <c r="B233" t="s">
        <v>13</v>
      </c>
      <c r="C233" t="s">
        <v>323</v>
      </c>
      <c r="D233" t="s">
        <v>25</v>
      </c>
      <c r="E233" t="s">
        <v>26</v>
      </c>
      <c r="F233">
        <v>54</v>
      </c>
      <c r="G233">
        <v>200</v>
      </c>
      <c r="H233">
        <v>5</v>
      </c>
      <c r="I233">
        <v>1000</v>
      </c>
      <c r="J233">
        <v>10.029999999999999</v>
      </c>
      <c r="K233" s="2">
        <v>45216</v>
      </c>
      <c r="L233" t="s">
        <v>316</v>
      </c>
    </row>
    <row r="234" spans="1:12" x14ac:dyDescent="0.25">
      <c r="A234" t="s">
        <v>185</v>
      </c>
      <c r="B234" t="s">
        <v>13</v>
      </c>
      <c r="C234" t="s">
        <v>323</v>
      </c>
      <c r="D234" t="s">
        <v>14</v>
      </c>
      <c r="E234" t="s">
        <v>15</v>
      </c>
      <c r="F234">
        <v>68</v>
      </c>
      <c r="G234">
        <v>300</v>
      </c>
      <c r="H234">
        <v>3</v>
      </c>
      <c r="I234">
        <v>900</v>
      </c>
      <c r="J234">
        <v>5</v>
      </c>
      <c r="K234" s="2">
        <v>45217</v>
      </c>
      <c r="L234" t="s">
        <v>317</v>
      </c>
    </row>
    <row r="235" spans="1:12" x14ac:dyDescent="0.25">
      <c r="A235" t="s">
        <v>121</v>
      </c>
      <c r="B235" t="s">
        <v>20</v>
      </c>
      <c r="C235" t="s">
        <v>321</v>
      </c>
      <c r="D235" t="s">
        <v>23</v>
      </c>
      <c r="E235" t="s">
        <v>15</v>
      </c>
      <c r="F235">
        <v>49</v>
      </c>
      <c r="G235">
        <v>1500</v>
      </c>
      <c r="H235">
        <v>3</v>
      </c>
      <c r="I235">
        <v>4500</v>
      </c>
      <c r="J235">
        <v>9.92</v>
      </c>
      <c r="K235" s="2">
        <v>45022</v>
      </c>
      <c r="L235" t="s">
        <v>318</v>
      </c>
    </row>
    <row r="236" spans="1:12" x14ac:dyDescent="0.25">
      <c r="A236" t="s">
        <v>31</v>
      </c>
      <c r="B236" t="s">
        <v>20</v>
      </c>
      <c r="C236" t="s">
        <v>322</v>
      </c>
      <c r="D236" t="s">
        <v>14</v>
      </c>
      <c r="E236" t="s">
        <v>15</v>
      </c>
      <c r="F236">
        <v>29</v>
      </c>
      <c r="G236">
        <v>300</v>
      </c>
      <c r="H236">
        <v>3</v>
      </c>
      <c r="I236">
        <v>900</v>
      </c>
      <c r="J236">
        <v>18.32</v>
      </c>
      <c r="K236" s="2">
        <v>45127</v>
      </c>
      <c r="L236" t="s">
        <v>318</v>
      </c>
    </row>
    <row r="237" spans="1:12" x14ac:dyDescent="0.25">
      <c r="A237" t="s">
        <v>186</v>
      </c>
      <c r="B237" t="s">
        <v>20</v>
      </c>
      <c r="C237" t="s">
        <v>321</v>
      </c>
      <c r="D237" t="s">
        <v>25</v>
      </c>
      <c r="E237" t="s">
        <v>26</v>
      </c>
      <c r="F237">
        <v>40</v>
      </c>
      <c r="G237">
        <v>200</v>
      </c>
      <c r="H237">
        <v>1</v>
      </c>
      <c r="I237">
        <v>200</v>
      </c>
      <c r="J237">
        <v>8.82</v>
      </c>
      <c r="K237" s="2">
        <v>45024</v>
      </c>
      <c r="L237" t="s">
        <v>316</v>
      </c>
    </row>
    <row r="238" spans="1:12" x14ac:dyDescent="0.25">
      <c r="A238" t="s">
        <v>187</v>
      </c>
      <c r="B238" t="s">
        <v>13</v>
      </c>
      <c r="C238" t="s">
        <v>321</v>
      </c>
      <c r="D238" t="s">
        <v>29</v>
      </c>
      <c r="E238" t="s">
        <v>18</v>
      </c>
      <c r="F238">
        <v>48</v>
      </c>
      <c r="G238">
        <v>50</v>
      </c>
      <c r="H238">
        <v>3</v>
      </c>
      <c r="I238">
        <v>150</v>
      </c>
      <c r="J238">
        <v>16.84</v>
      </c>
      <c r="K238" s="2">
        <v>44934</v>
      </c>
      <c r="L238" t="s">
        <v>316</v>
      </c>
    </row>
    <row r="239" spans="1:12" x14ac:dyDescent="0.25">
      <c r="A239" t="s">
        <v>188</v>
      </c>
      <c r="B239" t="s">
        <v>20</v>
      </c>
      <c r="C239" t="s">
        <v>321</v>
      </c>
      <c r="D239" t="s">
        <v>23</v>
      </c>
      <c r="E239" t="s">
        <v>15</v>
      </c>
      <c r="F239">
        <v>52</v>
      </c>
      <c r="G239">
        <v>1500</v>
      </c>
      <c r="H239">
        <v>5</v>
      </c>
      <c r="I239">
        <v>7500</v>
      </c>
      <c r="J239">
        <v>9.4499999999999993</v>
      </c>
      <c r="K239" s="2">
        <v>45059</v>
      </c>
      <c r="L239" t="s">
        <v>319</v>
      </c>
    </row>
    <row r="240" spans="1:12" x14ac:dyDescent="0.25">
      <c r="A240" t="s">
        <v>189</v>
      </c>
      <c r="B240" t="s">
        <v>13</v>
      </c>
      <c r="C240" t="s">
        <v>323</v>
      </c>
      <c r="D240" t="s">
        <v>14</v>
      </c>
      <c r="E240" t="s">
        <v>15</v>
      </c>
      <c r="F240">
        <v>69</v>
      </c>
      <c r="G240">
        <v>300</v>
      </c>
      <c r="H240">
        <v>4</v>
      </c>
      <c r="I240">
        <v>1200</v>
      </c>
      <c r="J240">
        <v>8.25</v>
      </c>
      <c r="K240" s="2">
        <v>45153</v>
      </c>
      <c r="L240" t="s">
        <v>316</v>
      </c>
    </row>
    <row r="241" spans="1:12" x14ac:dyDescent="0.25">
      <c r="A241" t="s">
        <v>69</v>
      </c>
      <c r="B241" t="s">
        <v>13</v>
      </c>
      <c r="C241" t="s">
        <v>320</v>
      </c>
      <c r="D241" t="s">
        <v>40</v>
      </c>
      <c r="E241" t="s">
        <v>15</v>
      </c>
      <c r="F241">
        <v>67</v>
      </c>
      <c r="G241">
        <v>800</v>
      </c>
      <c r="H241">
        <v>4</v>
      </c>
      <c r="I241">
        <v>3200</v>
      </c>
      <c r="J241">
        <v>14.61</v>
      </c>
      <c r="K241" s="2">
        <v>45187</v>
      </c>
      <c r="L241" t="s">
        <v>317</v>
      </c>
    </row>
    <row r="242" spans="1:12" x14ac:dyDescent="0.25">
      <c r="A242" t="s">
        <v>190</v>
      </c>
      <c r="B242" t="s">
        <v>20</v>
      </c>
      <c r="C242" t="s">
        <v>320</v>
      </c>
      <c r="D242" t="s">
        <v>30</v>
      </c>
      <c r="E242" t="s">
        <v>18</v>
      </c>
      <c r="F242">
        <v>59</v>
      </c>
      <c r="G242">
        <v>30</v>
      </c>
      <c r="H242">
        <v>1</v>
      </c>
      <c r="I242">
        <v>30</v>
      </c>
      <c r="J242">
        <v>6.08</v>
      </c>
      <c r="K242" s="2">
        <v>44972</v>
      </c>
      <c r="L242" t="s">
        <v>316</v>
      </c>
    </row>
    <row r="243" spans="1:12" x14ac:dyDescent="0.25">
      <c r="A243" t="s">
        <v>191</v>
      </c>
      <c r="B243" t="s">
        <v>20</v>
      </c>
      <c r="C243" t="s">
        <v>321</v>
      </c>
      <c r="D243" t="s">
        <v>25</v>
      </c>
      <c r="E243" t="s">
        <v>26</v>
      </c>
      <c r="F243">
        <v>64</v>
      </c>
      <c r="G243">
        <v>200</v>
      </c>
      <c r="H243">
        <v>2</v>
      </c>
      <c r="I243">
        <v>400</v>
      </c>
      <c r="J243">
        <v>15.94</v>
      </c>
      <c r="K243" s="2">
        <v>45258</v>
      </c>
      <c r="L243" t="s">
        <v>318</v>
      </c>
    </row>
    <row r="244" spans="1:12" x14ac:dyDescent="0.25">
      <c r="A244" t="s">
        <v>192</v>
      </c>
      <c r="B244" t="s">
        <v>13</v>
      </c>
      <c r="C244" t="s">
        <v>323</v>
      </c>
      <c r="D244" t="s">
        <v>30</v>
      </c>
      <c r="E244" t="s">
        <v>18</v>
      </c>
      <c r="F244">
        <v>49</v>
      </c>
      <c r="G244">
        <v>30</v>
      </c>
      <c r="H244">
        <v>3</v>
      </c>
      <c r="I244">
        <v>90</v>
      </c>
      <c r="J244">
        <v>16.489999999999998</v>
      </c>
      <c r="K244" s="2">
        <v>45136</v>
      </c>
      <c r="L244" t="s">
        <v>317</v>
      </c>
    </row>
    <row r="245" spans="1:12" x14ac:dyDescent="0.25">
      <c r="A245" t="s">
        <v>162</v>
      </c>
      <c r="B245" t="s">
        <v>20</v>
      </c>
      <c r="C245" t="s">
        <v>322</v>
      </c>
      <c r="D245" t="s">
        <v>40</v>
      </c>
      <c r="E245" t="s">
        <v>15</v>
      </c>
      <c r="F245">
        <v>62</v>
      </c>
      <c r="G245">
        <v>800</v>
      </c>
      <c r="H245">
        <v>4</v>
      </c>
      <c r="I245">
        <v>3200</v>
      </c>
      <c r="J245">
        <v>6.66</v>
      </c>
      <c r="K245" s="2">
        <v>45117</v>
      </c>
      <c r="L245" t="s">
        <v>317</v>
      </c>
    </row>
    <row r="246" spans="1:12" x14ac:dyDescent="0.25">
      <c r="A246" t="s">
        <v>193</v>
      </c>
      <c r="B246" t="s">
        <v>20</v>
      </c>
      <c r="C246" t="s">
        <v>320</v>
      </c>
      <c r="D246" t="s">
        <v>14</v>
      </c>
      <c r="E246" t="s">
        <v>15</v>
      </c>
      <c r="F246">
        <v>52</v>
      </c>
      <c r="G246">
        <v>621.91212249732996</v>
      </c>
      <c r="H246">
        <v>3</v>
      </c>
      <c r="I246">
        <v>900</v>
      </c>
      <c r="J246">
        <v>11.04</v>
      </c>
      <c r="K246" s="2">
        <v>45224</v>
      </c>
      <c r="L246" t="s">
        <v>318</v>
      </c>
    </row>
    <row r="247" spans="1:12" x14ac:dyDescent="0.25">
      <c r="A247" t="s">
        <v>133</v>
      </c>
      <c r="B247" t="s">
        <v>13</v>
      </c>
      <c r="C247" t="s">
        <v>321</v>
      </c>
      <c r="D247" t="s">
        <v>17</v>
      </c>
      <c r="E247" t="s">
        <v>18</v>
      </c>
      <c r="F247">
        <v>41</v>
      </c>
      <c r="G247">
        <v>100</v>
      </c>
      <c r="H247">
        <v>3</v>
      </c>
      <c r="I247">
        <v>300</v>
      </c>
      <c r="J247">
        <v>11.98</v>
      </c>
      <c r="K247" s="2">
        <v>45089</v>
      </c>
      <c r="L247" t="s">
        <v>318</v>
      </c>
    </row>
    <row r="248" spans="1:12" x14ac:dyDescent="0.25">
      <c r="A248" t="s">
        <v>194</v>
      </c>
      <c r="B248" t="s">
        <v>13</v>
      </c>
      <c r="C248" t="s">
        <v>322</v>
      </c>
      <c r="D248" t="s">
        <v>17</v>
      </c>
      <c r="E248" t="s">
        <v>18</v>
      </c>
      <c r="F248">
        <v>53</v>
      </c>
      <c r="G248">
        <v>100</v>
      </c>
      <c r="H248">
        <v>5</v>
      </c>
      <c r="I248">
        <v>500</v>
      </c>
      <c r="J248">
        <v>5.93</v>
      </c>
      <c r="K248" s="2">
        <v>45129</v>
      </c>
      <c r="L248" t="s">
        <v>317</v>
      </c>
    </row>
    <row r="249" spans="1:12" x14ac:dyDescent="0.25">
      <c r="A249" t="s">
        <v>194</v>
      </c>
      <c r="B249" t="s">
        <v>13</v>
      </c>
      <c r="C249" t="s">
        <v>321</v>
      </c>
      <c r="D249" t="s">
        <v>25</v>
      </c>
      <c r="E249" t="s">
        <v>26</v>
      </c>
      <c r="F249">
        <v>53</v>
      </c>
      <c r="G249">
        <v>200</v>
      </c>
      <c r="H249">
        <v>5</v>
      </c>
      <c r="I249">
        <v>1000</v>
      </c>
      <c r="J249">
        <v>19.43</v>
      </c>
      <c r="K249" s="2">
        <v>45102</v>
      </c>
      <c r="L249" t="s">
        <v>316</v>
      </c>
    </row>
    <row r="250" spans="1:12" x14ac:dyDescent="0.25">
      <c r="A250" t="s">
        <v>59</v>
      </c>
      <c r="B250" t="s">
        <v>13</v>
      </c>
      <c r="C250" t="s">
        <v>323</v>
      </c>
      <c r="D250" t="s">
        <v>40</v>
      </c>
      <c r="E250" t="s">
        <v>15</v>
      </c>
      <c r="F250">
        <v>68</v>
      </c>
      <c r="G250">
        <v>800</v>
      </c>
      <c r="H250">
        <v>3</v>
      </c>
      <c r="I250">
        <v>2400</v>
      </c>
      <c r="J250">
        <v>8.23</v>
      </c>
      <c r="K250" s="2">
        <v>45259</v>
      </c>
      <c r="L250" t="s">
        <v>316</v>
      </c>
    </row>
    <row r="251" spans="1:12" x14ac:dyDescent="0.25">
      <c r="A251" t="s">
        <v>195</v>
      </c>
      <c r="B251" t="s">
        <v>13</v>
      </c>
      <c r="C251" t="s">
        <v>321</v>
      </c>
      <c r="D251" t="s">
        <v>40</v>
      </c>
      <c r="E251" t="s">
        <v>15</v>
      </c>
      <c r="F251">
        <v>51</v>
      </c>
      <c r="G251">
        <v>800</v>
      </c>
      <c r="H251">
        <v>1</v>
      </c>
      <c r="I251">
        <v>800</v>
      </c>
      <c r="J251">
        <v>18.579999999999998</v>
      </c>
      <c r="K251" s="2">
        <v>45202</v>
      </c>
      <c r="L251" t="s">
        <v>316</v>
      </c>
    </row>
    <row r="252" spans="1:12" x14ac:dyDescent="0.25">
      <c r="A252" t="s">
        <v>196</v>
      </c>
      <c r="B252" t="s">
        <v>20</v>
      </c>
      <c r="C252" t="s">
        <v>322</v>
      </c>
      <c r="D252" t="s">
        <v>23</v>
      </c>
      <c r="E252" t="s">
        <v>15</v>
      </c>
      <c r="F252">
        <v>66</v>
      </c>
      <c r="G252">
        <v>1500</v>
      </c>
      <c r="H252">
        <v>1</v>
      </c>
      <c r="I252">
        <v>1500</v>
      </c>
      <c r="J252">
        <v>13.16</v>
      </c>
      <c r="K252" s="2">
        <v>44963</v>
      </c>
      <c r="L252" t="s">
        <v>317</v>
      </c>
    </row>
    <row r="253" spans="1:12" x14ac:dyDescent="0.25">
      <c r="A253" t="s">
        <v>54</v>
      </c>
      <c r="B253" t="s">
        <v>13</v>
      </c>
      <c r="C253" t="s">
        <v>322</v>
      </c>
      <c r="D253" t="s">
        <v>14</v>
      </c>
      <c r="E253" t="s">
        <v>15</v>
      </c>
      <c r="F253">
        <v>53</v>
      </c>
      <c r="G253">
        <v>300</v>
      </c>
      <c r="H253">
        <v>2</v>
      </c>
      <c r="I253">
        <v>600</v>
      </c>
      <c r="J253">
        <v>8.51</v>
      </c>
      <c r="K253" s="2">
        <v>45063</v>
      </c>
      <c r="L253" t="s">
        <v>316</v>
      </c>
    </row>
    <row r="254" spans="1:12" x14ac:dyDescent="0.25">
      <c r="A254" t="s">
        <v>197</v>
      </c>
      <c r="B254" t="s">
        <v>20</v>
      </c>
      <c r="C254" t="s">
        <v>320</v>
      </c>
      <c r="D254" t="s">
        <v>25</v>
      </c>
      <c r="E254" t="s">
        <v>26</v>
      </c>
      <c r="F254">
        <v>45</v>
      </c>
      <c r="G254">
        <v>200</v>
      </c>
      <c r="H254">
        <v>2</v>
      </c>
      <c r="I254">
        <v>400</v>
      </c>
      <c r="J254">
        <v>10.82</v>
      </c>
      <c r="K254" s="2">
        <v>45192</v>
      </c>
      <c r="L254" t="s">
        <v>316</v>
      </c>
    </row>
    <row r="255" spans="1:12" x14ac:dyDescent="0.25">
      <c r="A255" t="s">
        <v>32</v>
      </c>
      <c r="B255" t="s">
        <v>20</v>
      </c>
      <c r="C255" t="s">
        <v>322</v>
      </c>
      <c r="D255" t="s">
        <v>23</v>
      </c>
      <c r="E255" t="s">
        <v>15</v>
      </c>
      <c r="F255">
        <v>49</v>
      </c>
      <c r="G255">
        <v>1500</v>
      </c>
      <c r="H255">
        <v>3</v>
      </c>
      <c r="I255">
        <v>4500</v>
      </c>
      <c r="J255">
        <v>17.62</v>
      </c>
      <c r="K255" s="2">
        <v>45285</v>
      </c>
      <c r="L255" t="s">
        <v>316</v>
      </c>
    </row>
    <row r="256" spans="1:12" x14ac:dyDescent="0.25">
      <c r="A256" t="s">
        <v>189</v>
      </c>
      <c r="B256" t="s">
        <v>20</v>
      </c>
      <c r="C256" t="s">
        <v>321</v>
      </c>
      <c r="D256" t="s">
        <v>30</v>
      </c>
      <c r="E256" t="s">
        <v>18</v>
      </c>
      <c r="F256">
        <v>69</v>
      </c>
      <c r="G256">
        <v>30</v>
      </c>
      <c r="H256">
        <v>5</v>
      </c>
      <c r="I256">
        <v>150</v>
      </c>
      <c r="J256">
        <v>9.07</v>
      </c>
      <c r="K256" s="2">
        <v>44976</v>
      </c>
      <c r="L256" t="s">
        <v>318</v>
      </c>
    </row>
    <row r="257" spans="1:12" x14ac:dyDescent="0.25">
      <c r="A257" t="s">
        <v>197</v>
      </c>
      <c r="B257" t="s">
        <v>13</v>
      </c>
      <c r="C257" t="s">
        <v>323</v>
      </c>
      <c r="D257" t="s">
        <v>29</v>
      </c>
      <c r="E257" t="s">
        <v>18</v>
      </c>
      <c r="F257">
        <v>45</v>
      </c>
      <c r="G257">
        <v>50</v>
      </c>
      <c r="H257">
        <v>1</v>
      </c>
      <c r="I257">
        <v>50</v>
      </c>
      <c r="J257">
        <v>11.27</v>
      </c>
      <c r="K257" s="2">
        <v>45182</v>
      </c>
      <c r="L257" t="s">
        <v>316</v>
      </c>
    </row>
    <row r="258" spans="1:12" x14ac:dyDescent="0.25">
      <c r="A258" t="s">
        <v>159</v>
      </c>
      <c r="B258" t="s">
        <v>13</v>
      </c>
      <c r="C258" t="s">
        <v>322</v>
      </c>
      <c r="D258" t="s">
        <v>14</v>
      </c>
      <c r="E258" t="s">
        <v>15</v>
      </c>
      <c r="F258">
        <v>26</v>
      </c>
      <c r="G258">
        <v>300</v>
      </c>
      <c r="H258">
        <v>4</v>
      </c>
      <c r="I258">
        <v>1200</v>
      </c>
      <c r="J258">
        <v>6.9</v>
      </c>
      <c r="K258" s="2">
        <v>45235</v>
      </c>
      <c r="L258" t="s">
        <v>316</v>
      </c>
    </row>
    <row r="259" spans="1:12" x14ac:dyDescent="0.25">
      <c r="A259" t="s">
        <v>180</v>
      </c>
      <c r="B259" t="s">
        <v>13</v>
      </c>
      <c r="C259" t="s">
        <v>322</v>
      </c>
      <c r="D259" t="s">
        <v>14</v>
      </c>
      <c r="E259" t="s">
        <v>15</v>
      </c>
      <c r="F259">
        <v>55</v>
      </c>
      <c r="G259">
        <v>300</v>
      </c>
      <c r="H259">
        <v>3</v>
      </c>
      <c r="I259">
        <v>900</v>
      </c>
      <c r="J259">
        <v>7.31</v>
      </c>
      <c r="K259" s="2">
        <v>44941</v>
      </c>
      <c r="L259" t="s">
        <v>317</v>
      </c>
    </row>
    <row r="260" spans="1:12" x14ac:dyDescent="0.25">
      <c r="A260" t="s">
        <v>95</v>
      </c>
      <c r="B260" t="s">
        <v>20</v>
      </c>
      <c r="C260" t="s">
        <v>319</v>
      </c>
      <c r="D260" t="s">
        <v>30</v>
      </c>
      <c r="E260" t="s">
        <v>18</v>
      </c>
      <c r="F260">
        <v>33</v>
      </c>
      <c r="G260">
        <v>30</v>
      </c>
      <c r="H260">
        <v>1</v>
      </c>
      <c r="I260">
        <v>30</v>
      </c>
      <c r="J260">
        <v>15.29</v>
      </c>
      <c r="K260" s="2">
        <v>44984</v>
      </c>
      <c r="L260" t="s">
        <v>318</v>
      </c>
    </row>
    <row r="261" spans="1:12" x14ac:dyDescent="0.25">
      <c r="A261" t="s">
        <v>174</v>
      </c>
      <c r="B261" t="s">
        <v>13</v>
      </c>
      <c r="C261" t="s">
        <v>323</v>
      </c>
      <c r="D261" t="s">
        <v>23</v>
      </c>
      <c r="E261" t="s">
        <v>15</v>
      </c>
      <c r="F261">
        <v>54</v>
      </c>
      <c r="G261">
        <v>1500</v>
      </c>
      <c r="H261">
        <v>2</v>
      </c>
      <c r="I261">
        <v>3000</v>
      </c>
      <c r="J261">
        <v>12.68</v>
      </c>
      <c r="K261" s="2">
        <v>45057</v>
      </c>
      <c r="L261" t="s">
        <v>318</v>
      </c>
    </row>
    <row r="262" spans="1:12" x14ac:dyDescent="0.25">
      <c r="A262" t="s">
        <v>179</v>
      </c>
      <c r="B262" t="s">
        <v>20</v>
      </c>
      <c r="C262" t="s">
        <v>322</v>
      </c>
      <c r="D262" t="s">
        <v>30</v>
      </c>
      <c r="E262" t="s">
        <v>18</v>
      </c>
      <c r="F262">
        <v>61</v>
      </c>
      <c r="G262">
        <v>30</v>
      </c>
      <c r="H262">
        <v>1</v>
      </c>
      <c r="I262">
        <v>30</v>
      </c>
      <c r="J262">
        <v>19.54</v>
      </c>
      <c r="K262" s="2">
        <v>45032</v>
      </c>
      <c r="L262" t="s">
        <v>317</v>
      </c>
    </row>
    <row r="263" spans="1:12" x14ac:dyDescent="0.25">
      <c r="A263" t="s">
        <v>134</v>
      </c>
      <c r="B263" t="s">
        <v>13</v>
      </c>
      <c r="C263" t="s">
        <v>323</v>
      </c>
      <c r="D263" t="s">
        <v>40</v>
      </c>
      <c r="E263" t="s">
        <v>15</v>
      </c>
      <c r="F263">
        <v>46</v>
      </c>
      <c r="G263">
        <v>800</v>
      </c>
      <c r="H263">
        <v>4</v>
      </c>
      <c r="I263">
        <v>3200</v>
      </c>
      <c r="J263">
        <v>17.82</v>
      </c>
      <c r="K263" s="2">
        <v>45002</v>
      </c>
      <c r="L263" t="s">
        <v>319</v>
      </c>
    </row>
    <row r="264" spans="1:12" x14ac:dyDescent="0.25">
      <c r="A264" t="s">
        <v>198</v>
      </c>
      <c r="B264" t="s">
        <v>20</v>
      </c>
      <c r="C264" t="s">
        <v>320</v>
      </c>
      <c r="D264" t="s">
        <v>30</v>
      </c>
      <c r="E264" t="s">
        <v>18</v>
      </c>
      <c r="F264">
        <v>46</v>
      </c>
      <c r="G264">
        <v>30</v>
      </c>
      <c r="H264">
        <v>4</v>
      </c>
      <c r="I264">
        <v>120</v>
      </c>
      <c r="J264">
        <v>10.01</v>
      </c>
      <c r="K264" s="2">
        <v>45027</v>
      </c>
      <c r="L264" t="s">
        <v>317</v>
      </c>
    </row>
    <row r="265" spans="1:12" x14ac:dyDescent="0.25">
      <c r="A265" t="s">
        <v>145</v>
      </c>
      <c r="B265" t="s">
        <v>20</v>
      </c>
      <c r="C265" t="s">
        <v>320</v>
      </c>
      <c r="D265" t="s">
        <v>29</v>
      </c>
      <c r="E265" t="s">
        <v>18</v>
      </c>
      <c r="F265">
        <v>30</v>
      </c>
      <c r="G265">
        <v>50</v>
      </c>
      <c r="H265">
        <v>4</v>
      </c>
      <c r="I265">
        <v>200</v>
      </c>
      <c r="J265">
        <v>16.61</v>
      </c>
      <c r="K265" s="2">
        <v>45215</v>
      </c>
      <c r="L265" t="s">
        <v>316</v>
      </c>
    </row>
    <row r="266" spans="1:12" x14ac:dyDescent="0.25">
      <c r="A266" t="s">
        <v>180</v>
      </c>
      <c r="B266" t="s">
        <v>13</v>
      </c>
      <c r="C266" t="s">
        <v>322</v>
      </c>
      <c r="D266" t="s">
        <v>17</v>
      </c>
      <c r="E266" t="s">
        <v>18</v>
      </c>
      <c r="F266">
        <v>55</v>
      </c>
      <c r="G266">
        <v>100</v>
      </c>
      <c r="H266">
        <v>4</v>
      </c>
      <c r="I266">
        <v>400</v>
      </c>
      <c r="J266">
        <v>18.989999999999998</v>
      </c>
      <c r="K266" s="2">
        <v>45215</v>
      </c>
      <c r="L266" t="s">
        <v>317</v>
      </c>
    </row>
    <row r="267" spans="1:12" x14ac:dyDescent="0.25">
      <c r="A267" t="s">
        <v>43</v>
      </c>
      <c r="B267" t="s">
        <v>20</v>
      </c>
      <c r="C267" t="s">
        <v>323</v>
      </c>
      <c r="D267" t="s">
        <v>17</v>
      </c>
      <c r="E267" t="s">
        <v>18</v>
      </c>
      <c r="F267">
        <v>37</v>
      </c>
      <c r="G267">
        <v>100</v>
      </c>
      <c r="H267">
        <v>4</v>
      </c>
      <c r="I267">
        <v>400</v>
      </c>
      <c r="J267">
        <v>11.4</v>
      </c>
      <c r="K267" s="2">
        <v>44979</v>
      </c>
      <c r="L267" t="s">
        <v>318</v>
      </c>
    </row>
    <row r="268" spans="1:12" x14ac:dyDescent="0.25">
      <c r="A268" t="s">
        <v>129</v>
      </c>
      <c r="B268" t="s">
        <v>20</v>
      </c>
      <c r="C268" t="s">
        <v>323</v>
      </c>
      <c r="D268" t="s">
        <v>30</v>
      </c>
      <c r="E268" t="s">
        <v>18</v>
      </c>
      <c r="F268">
        <v>62</v>
      </c>
      <c r="G268">
        <v>30</v>
      </c>
      <c r="H268">
        <v>2</v>
      </c>
      <c r="I268">
        <v>60</v>
      </c>
      <c r="J268">
        <v>8.36</v>
      </c>
      <c r="K268" s="2">
        <v>45124</v>
      </c>
      <c r="L268" t="s">
        <v>318</v>
      </c>
    </row>
    <row r="269" spans="1:12" x14ac:dyDescent="0.25">
      <c r="A269" t="s">
        <v>199</v>
      </c>
      <c r="B269" t="s">
        <v>20</v>
      </c>
      <c r="C269" t="s">
        <v>323</v>
      </c>
      <c r="D269" t="s">
        <v>30</v>
      </c>
      <c r="E269" t="s">
        <v>18</v>
      </c>
      <c r="F269">
        <v>49</v>
      </c>
      <c r="G269">
        <v>30</v>
      </c>
      <c r="H269">
        <v>5</v>
      </c>
      <c r="I269">
        <v>150</v>
      </c>
      <c r="J269">
        <v>10.029999999999999</v>
      </c>
      <c r="K269" s="2">
        <v>45107</v>
      </c>
      <c r="L269" t="s">
        <v>318</v>
      </c>
    </row>
    <row r="270" spans="1:12" x14ac:dyDescent="0.25">
      <c r="A270" t="s">
        <v>93</v>
      </c>
      <c r="B270" t="s">
        <v>13</v>
      </c>
      <c r="C270" t="s">
        <v>320</v>
      </c>
      <c r="D270" t="s">
        <v>17</v>
      </c>
      <c r="E270" t="s">
        <v>18</v>
      </c>
      <c r="F270">
        <v>47</v>
      </c>
      <c r="G270">
        <v>100</v>
      </c>
      <c r="H270">
        <v>3</v>
      </c>
      <c r="I270">
        <v>300</v>
      </c>
      <c r="J270">
        <v>15</v>
      </c>
      <c r="K270" s="2">
        <v>45116</v>
      </c>
      <c r="L270" t="s">
        <v>318</v>
      </c>
    </row>
    <row r="271" spans="1:12" x14ac:dyDescent="0.25">
      <c r="A271" t="s">
        <v>27</v>
      </c>
      <c r="B271" t="s">
        <v>13</v>
      </c>
      <c r="C271" t="s">
        <v>321</v>
      </c>
      <c r="D271" t="s">
        <v>30</v>
      </c>
      <c r="E271" t="s">
        <v>18</v>
      </c>
      <c r="F271">
        <v>27</v>
      </c>
      <c r="G271">
        <v>30</v>
      </c>
      <c r="H271">
        <v>4</v>
      </c>
      <c r="I271">
        <v>120</v>
      </c>
      <c r="J271">
        <v>16.05</v>
      </c>
      <c r="K271" s="2">
        <v>45053</v>
      </c>
      <c r="L271" t="s">
        <v>316</v>
      </c>
    </row>
    <row r="272" spans="1:12" x14ac:dyDescent="0.25">
      <c r="A272" t="s">
        <v>200</v>
      </c>
      <c r="B272" t="s">
        <v>20</v>
      </c>
      <c r="C272" t="s">
        <v>323</v>
      </c>
      <c r="D272" t="s">
        <v>29</v>
      </c>
      <c r="E272" t="s">
        <v>18</v>
      </c>
      <c r="F272">
        <v>44</v>
      </c>
      <c r="G272">
        <v>50</v>
      </c>
      <c r="H272">
        <v>4</v>
      </c>
      <c r="I272">
        <v>200</v>
      </c>
      <c r="J272">
        <v>12.3</v>
      </c>
      <c r="K272" s="2">
        <v>45007</v>
      </c>
      <c r="L272" t="s">
        <v>317</v>
      </c>
    </row>
    <row r="273" spans="1:12" x14ac:dyDescent="0.25">
      <c r="A273" t="s">
        <v>201</v>
      </c>
      <c r="B273" t="s">
        <v>13</v>
      </c>
      <c r="C273" t="s">
        <v>320</v>
      </c>
      <c r="D273" t="s">
        <v>25</v>
      </c>
      <c r="E273" t="s">
        <v>26</v>
      </c>
      <c r="F273">
        <v>36</v>
      </c>
      <c r="G273">
        <v>200</v>
      </c>
      <c r="H273">
        <v>2</v>
      </c>
      <c r="I273">
        <v>400</v>
      </c>
      <c r="J273">
        <v>12.03</v>
      </c>
      <c r="K273" s="2">
        <v>45166</v>
      </c>
      <c r="L273" t="s">
        <v>316</v>
      </c>
    </row>
    <row r="274" spans="1:12" x14ac:dyDescent="0.25">
      <c r="A274" t="s">
        <v>202</v>
      </c>
      <c r="B274" t="s">
        <v>20</v>
      </c>
      <c r="C274" t="s">
        <v>323</v>
      </c>
      <c r="D274" t="s">
        <v>30</v>
      </c>
      <c r="E274" t="s">
        <v>18</v>
      </c>
      <c r="F274">
        <v>49</v>
      </c>
      <c r="G274">
        <v>30</v>
      </c>
      <c r="H274">
        <v>3</v>
      </c>
      <c r="I274">
        <v>90</v>
      </c>
      <c r="J274">
        <v>11.56</v>
      </c>
      <c r="K274" s="2">
        <v>44943</v>
      </c>
      <c r="L274" t="s">
        <v>317</v>
      </c>
    </row>
    <row r="275" spans="1:12" x14ac:dyDescent="0.25">
      <c r="A275" t="s">
        <v>150</v>
      </c>
      <c r="B275" t="s">
        <v>20</v>
      </c>
      <c r="C275" t="s">
        <v>320</v>
      </c>
      <c r="D275" t="s">
        <v>23</v>
      </c>
      <c r="E275" t="s">
        <v>15</v>
      </c>
      <c r="F275">
        <v>36</v>
      </c>
      <c r="G275">
        <v>1500</v>
      </c>
      <c r="H275">
        <v>4</v>
      </c>
      <c r="I275">
        <v>6000</v>
      </c>
      <c r="J275">
        <v>11.21</v>
      </c>
      <c r="K275" s="2">
        <v>45215</v>
      </c>
      <c r="L275" t="s">
        <v>319</v>
      </c>
    </row>
    <row r="276" spans="1:12" x14ac:dyDescent="0.25">
      <c r="A276" t="s">
        <v>203</v>
      </c>
      <c r="B276" t="s">
        <v>13</v>
      </c>
      <c r="C276" t="s">
        <v>322</v>
      </c>
      <c r="D276" t="s">
        <v>40</v>
      </c>
      <c r="E276" t="s">
        <v>15</v>
      </c>
      <c r="F276">
        <v>61</v>
      </c>
      <c r="G276">
        <v>800</v>
      </c>
      <c r="H276">
        <v>1</v>
      </c>
      <c r="I276">
        <v>800</v>
      </c>
      <c r="J276">
        <v>17.43</v>
      </c>
      <c r="K276" s="2">
        <v>44936</v>
      </c>
      <c r="L276" t="s">
        <v>318</v>
      </c>
    </row>
    <row r="277" spans="1:12" x14ac:dyDescent="0.25">
      <c r="A277" t="s">
        <v>204</v>
      </c>
      <c r="B277" t="s">
        <v>13</v>
      </c>
      <c r="C277" t="s">
        <v>322</v>
      </c>
      <c r="D277" t="s">
        <v>40</v>
      </c>
      <c r="E277" t="s">
        <v>15</v>
      </c>
      <c r="F277">
        <v>69</v>
      </c>
      <c r="G277">
        <v>800</v>
      </c>
      <c r="H277">
        <v>3</v>
      </c>
      <c r="I277">
        <v>2400</v>
      </c>
      <c r="J277">
        <v>13.57</v>
      </c>
      <c r="K277" s="2">
        <v>45010</v>
      </c>
      <c r="L277" t="s">
        <v>316</v>
      </c>
    </row>
    <row r="278" spans="1:12" x14ac:dyDescent="0.25">
      <c r="A278" t="s">
        <v>205</v>
      </c>
      <c r="B278" t="s">
        <v>20</v>
      </c>
      <c r="C278" t="s">
        <v>323</v>
      </c>
      <c r="D278" t="s">
        <v>25</v>
      </c>
      <c r="E278" t="s">
        <v>26</v>
      </c>
      <c r="F278">
        <v>52</v>
      </c>
      <c r="G278">
        <v>200</v>
      </c>
      <c r="H278">
        <v>3</v>
      </c>
      <c r="I278">
        <v>600</v>
      </c>
      <c r="J278">
        <v>10.210000000000001</v>
      </c>
      <c r="K278" s="2">
        <v>44955</v>
      </c>
      <c r="L278" t="s">
        <v>317</v>
      </c>
    </row>
    <row r="279" spans="1:12" x14ac:dyDescent="0.25">
      <c r="A279" t="s">
        <v>173</v>
      </c>
      <c r="B279" t="s">
        <v>20</v>
      </c>
      <c r="C279" t="s">
        <v>322</v>
      </c>
      <c r="D279" t="s">
        <v>40</v>
      </c>
      <c r="E279" t="s">
        <v>15</v>
      </c>
      <c r="F279">
        <v>60</v>
      </c>
      <c r="G279">
        <v>800</v>
      </c>
      <c r="H279">
        <v>5</v>
      </c>
      <c r="I279">
        <v>4000</v>
      </c>
      <c r="J279">
        <v>18.75</v>
      </c>
      <c r="K279" s="2">
        <v>44945</v>
      </c>
      <c r="L279" t="s">
        <v>318</v>
      </c>
    </row>
    <row r="280" spans="1:12" x14ac:dyDescent="0.25">
      <c r="A280" t="s">
        <v>206</v>
      </c>
      <c r="B280" t="s">
        <v>13</v>
      </c>
      <c r="C280" t="s">
        <v>321</v>
      </c>
      <c r="D280" t="s">
        <v>14</v>
      </c>
      <c r="E280" t="s">
        <v>15</v>
      </c>
      <c r="F280">
        <v>45</v>
      </c>
      <c r="G280">
        <v>300</v>
      </c>
      <c r="H280">
        <v>1</v>
      </c>
      <c r="I280">
        <v>300</v>
      </c>
      <c r="J280">
        <v>16.7</v>
      </c>
      <c r="K280" s="2">
        <v>45185</v>
      </c>
      <c r="L280" t="s">
        <v>318</v>
      </c>
    </row>
    <row r="281" spans="1:12" x14ac:dyDescent="0.25">
      <c r="A281" t="s">
        <v>193</v>
      </c>
      <c r="B281" t="s">
        <v>13</v>
      </c>
      <c r="C281" t="s">
        <v>321</v>
      </c>
      <c r="D281" t="s">
        <v>14</v>
      </c>
      <c r="E281" t="s">
        <v>15</v>
      </c>
      <c r="F281">
        <v>52</v>
      </c>
      <c r="G281">
        <v>300</v>
      </c>
      <c r="H281">
        <v>1</v>
      </c>
      <c r="I281">
        <v>300</v>
      </c>
      <c r="J281">
        <v>14.67</v>
      </c>
      <c r="K281" s="2">
        <v>45128</v>
      </c>
      <c r="L281" t="s">
        <v>318</v>
      </c>
    </row>
    <row r="282" spans="1:12" x14ac:dyDescent="0.25">
      <c r="A282" t="s">
        <v>207</v>
      </c>
      <c r="B282" t="s">
        <v>20</v>
      </c>
      <c r="C282" t="s">
        <v>322</v>
      </c>
      <c r="D282" t="s">
        <v>14</v>
      </c>
      <c r="E282" t="s">
        <v>15</v>
      </c>
      <c r="F282">
        <v>63</v>
      </c>
      <c r="G282">
        <v>300</v>
      </c>
      <c r="H282">
        <v>5</v>
      </c>
      <c r="I282">
        <v>1500</v>
      </c>
      <c r="J282">
        <v>18</v>
      </c>
      <c r="K282" s="2">
        <v>45006</v>
      </c>
      <c r="L282" t="s">
        <v>316</v>
      </c>
    </row>
    <row r="283" spans="1:12" x14ac:dyDescent="0.25">
      <c r="A283" t="s">
        <v>33</v>
      </c>
      <c r="B283" t="s">
        <v>20</v>
      </c>
      <c r="C283" t="s">
        <v>322</v>
      </c>
      <c r="D283" t="s">
        <v>29</v>
      </c>
      <c r="E283" t="s">
        <v>18</v>
      </c>
      <c r="F283">
        <v>67</v>
      </c>
      <c r="G283">
        <v>50</v>
      </c>
      <c r="H283">
        <v>5</v>
      </c>
      <c r="I283">
        <v>250</v>
      </c>
      <c r="J283">
        <v>10.039999999999999</v>
      </c>
      <c r="K283" s="2">
        <v>45049</v>
      </c>
      <c r="L283" t="s">
        <v>317</v>
      </c>
    </row>
    <row r="284" spans="1:12" x14ac:dyDescent="0.25">
      <c r="A284" t="s">
        <v>208</v>
      </c>
      <c r="B284" t="s">
        <v>13</v>
      </c>
      <c r="C284" t="s">
        <v>321</v>
      </c>
      <c r="D284" t="s">
        <v>29</v>
      </c>
      <c r="E284" t="s">
        <v>18</v>
      </c>
      <c r="F284">
        <v>26</v>
      </c>
      <c r="G284">
        <v>50</v>
      </c>
      <c r="H284">
        <v>4</v>
      </c>
      <c r="I284">
        <v>200</v>
      </c>
      <c r="J284">
        <v>10.23</v>
      </c>
      <c r="K284" s="2">
        <v>44950</v>
      </c>
      <c r="L284" t="s">
        <v>318</v>
      </c>
    </row>
    <row r="285" spans="1:12" x14ac:dyDescent="0.25">
      <c r="A285" t="s">
        <v>209</v>
      </c>
      <c r="B285" t="s">
        <v>13</v>
      </c>
      <c r="C285" t="s">
        <v>321</v>
      </c>
      <c r="D285" t="s">
        <v>25</v>
      </c>
      <c r="E285" t="s">
        <v>26</v>
      </c>
      <c r="F285">
        <v>41</v>
      </c>
      <c r="G285">
        <v>200</v>
      </c>
      <c r="H285">
        <v>4</v>
      </c>
      <c r="I285">
        <v>800</v>
      </c>
      <c r="J285">
        <v>8.56</v>
      </c>
      <c r="K285" s="2">
        <v>45294</v>
      </c>
      <c r="L285" t="s">
        <v>316</v>
      </c>
    </row>
    <row r="286" spans="1:12" x14ac:dyDescent="0.25">
      <c r="A286" t="s">
        <v>210</v>
      </c>
      <c r="B286" t="s">
        <v>20</v>
      </c>
      <c r="C286" t="s">
        <v>322</v>
      </c>
      <c r="D286" t="s">
        <v>40</v>
      </c>
      <c r="E286" t="s">
        <v>15</v>
      </c>
      <c r="F286">
        <v>49</v>
      </c>
      <c r="G286">
        <v>800</v>
      </c>
      <c r="H286">
        <v>5</v>
      </c>
      <c r="I286">
        <v>4000</v>
      </c>
      <c r="J286">
        <v>10.52</v>
      </c>
      <c r="K286" s="2">
        <v>45261</v>
      </c>
      <c r="L286" t="s">
        <v>318</v>
      </c>
    </row>
    <row r="287" spans="1:12" x14ac:dyDescent="0.25">
      <c r="A287" t="s">
        <v>175</v>
      </c>
      <c r="B287" t="s">
        <v>13</v>
      </c>
      <c r="C287" t="s">
        <v>322</v>
      </c>
      <c r="D287" t="s">
        <v>14</v>
      </c>
      <c r="E287" t="s">
        <v>15</v>
      </c>
      <c r="F287">
        <v>58</v>
      </c>
      <c r="G287">
        <v>300</v>
      </c>
      <c r="H287">
        <v>5</v>
      </c>
      <c r="I287">
        <v>1500</v>
      </c>
      <c r="J287">
        <v>19.72</v>
      </c>
      <c r="K287" s="2">
        <v>45062</v>
      </c>
      <c r="L287" t="s">
        <v>318</v>
      </c>
    </row>
    <row r="288" spans="1:12" x14ac:dyDescent="0.25">
      <c r="A288" t="s">
        <v>211</v>
      </c>
      <c r="B288" t="s">
        <v>13</v>
      </c>
      <c r="C288" t="s">
        <v>322</v>
      </c>
      <c r="D288" t="s">
        <v>30</v>
      </c>
      <c r="E288" t="s">
        <v>18</v>
      </c>
      <c r="F288">
        <v>66</v>
      </c>
      <c r="G288">
        <v>30</v>
      </c>
      <c r="H288">
        <v>2</v>
      </c>
      <c r="I288">
        <v>60</v>
      </c>
      <c r="J288">
        <v>9.19</v>
      </c>
      <c r="K288" s="2">
        <v>45053</v>
      </c>
      <c r="L288" t="s">
        <v>317</v>
      </c>
    </row>
    <row r="289" spans="1:12" x14ac:dyDescent="0.25">
      <c r="A289" t="s">
        <v>212</v>
      </c>
      <c r="B289" t="s">
        <v>20</v>
      </c>
      <c r="C289" t="s">
        <v>321</v>
      </c>
      <c r="D289" t="s">
        <v>17</v>
      </c>
      <c r="E289" t="s">
        <v>18</v>
      </c>
      <c r="F289">
        <v>67</v>
      </c>
      <c r="G289">
        <v>100</v>
      </c>
      <c r="H289">
        <v>2</v>
      </c>
      <c r="I289">
        <v>200</v>
      </c>
      <c r="J289">
        <v>19.579999999999998</v>
      </c>
      <c r="K289" s="2">
        <v>45078</v>
      </c>
      <c r="L289" t="s">
        <v>316</v>
      </c>
    </row>
    <row r="290" spans="1:12" x14ac:dyDescent="0.25">
      <c r="A290" t="s">
        <v>56</v>
      </c>
      <c r="B290" t="s">
        <v>13</v>
      </c>
      <c r="C290" t="s">
        <v>320</v>
      </c>
      <c r="D290" t="s">
        <v>40</v>
      </c>
      <c r="E290" t="s">
        <v>15</v>
      </c>
      <c r="F290">
        <v>35</v>
      </c>
      <c r="G290">
        <v>800</v>
      </c>
      <c r="H290">
        <v>5</v>
      </c>
      <c r="I290">
        <v>4000</v>
      </c>
      <c r="J290">
        <v>15.61</v>
      </c>
      <c r="K290" s="2">
        <v>44953</v>
      </c>
      <c r="L290" t="s">
        <v>317</v>
      </c>
    </row>
    <row r="291" spans="1:12" x14ac:dyDescent="0.25">
      <c r="A291" t="s">
        <v>188</v>
      </c>
      <c r="B291" t="s">
        <v>13</v>
      </c>
      <c r="C291" t="s">
        <v>322</v>
      </c>
      <c r="D291" t="s">
        <v>29</v>
      </c>
      <c r="E291" t="s">
        <v>18</v>
      </c>
      <c r="F291">
        <v>52</v>
      </c>
      <c r="G291">
        <v>50</v>
      </c>
      <c r="H291">
        <v>2</v>
      </c>
      <c r="I291">
        <v>100</v>
      </c>
      <c r="J291">
        <v>13.78</v>
      </c>
      <c r="K291" s="2">
        <v>45173</v>
      </c>
      <c r="L291" t="s">
        <v>318</v>
      </c>
    </row>
    <row r="292" spans="1:12" x14ac:dyDescent="0.25">
      <c r="A292" t="s">
        <v>182</v>
      </c>
      <c r="B292" t="s">
        <v>20</v>
      </c>
      <c r="C292" t="s">
        <v>323</v>
      </c>
      <c r="D292" t="s">
        <v>30</v>
      </c>
      <c r="E292" t="s">
        <v>18</v>
      </c>
      <c r="F292">
        <v>32</v>
      </c>
      <c r="G292">
        <v>30</v>
      </c>
      <c r="H292">
        <v>5</v>
      </c>
      <c r="I292">
        <v>150</v>
      </c>
      <c r="J292">
        <v>15.68</v>
      </c>
      <c r="K292" s="2">
        <v>45236</v>
      </c>
      <c r="L292" t="s">
        <v>318</v>
      </c>
    </row>
    <row r="293" spans="1:12" x14ac:dyDescent="0.25">
      <c r="A293" t="s">
        <v>114</v>
      </c>
      <c r="B293" t="s">
        <v>20</v>
      </c>
      <c r="C293" t="s">
        <v>319</v>
      </c>
      <c r="D293" t="s">
        <v>25</v>
      </c>
      <c r="E293" t="s">
        <v>26</v>
      </c>
      <c r="F293">
        <v>33</v>
      </c>
      <c r="G293">
        <v>200</v>
      </c>
      <c r="H293">
        <v>1</v>
      </c>
      <c r="I293">
        <v>200</v>
      </c>
      <c r="J293">
        <v>14.86</v>
      </c>
      <c r="K293" s="2">
        <v>45193</v>
      </c>
      <c r="L293" t="s">
        <v>316</v>
      </c>
    </row>
    <row r="294" spans="1:12" x14ac:dyDescent="0.25">
      <c r="A294" t="s">
        <v>172</v>
      </c>
      <c r="B294" t="s">
        <v>13</v>
      </c>
      <c r="C294" t="s">
        <v>320</v>
      </c>
      <c r="D294" t="s">
        <v>25</v>
      </c>
      <c r="E294" t="s">
        <v>26</v>
      </c>
      <c r="F294">
        <v>57</v>
      </c>
      <c r="G294">
        <v>200</v>
      </c>
      <c r="H294">
        <v>1</v>
      </c>
      <c r="I294">
        <v>200</v>
      </c>
      <c r="J294">
        <v>13.34</v>
      </c>
      <c r="K294" s="2">
        <v>45177</v>
      </c>
      <c r="L294" t="s">
        <v>316</v>
      </c>
    </row>
    <row r="295" spans="1:12" x14ac:dyDescent="0.25">
      <c r="A295" t="s">
        <v>174</v>
      </c>
      <c r="B295" t="s">
        <v>20</v>
      </c>
      <c r="C295" t="s">
        <v>322</v>
      </c>
      <c r="D295" t="s">
        <v>23</v>
      </c>
      <c r="E295" t="s">
        <v>15</v>
      </c>
      <c r="F295">
        <v>54</v>
      </c>
      <c r="G295">
        <v>1500</v>
      </c>
      <c r="H295">
        <v>5</v>
      </c>
      <c r="I295">
        <v>7500</v>
      </c>
      <c r="J295">
        <v>5.0199999999999996</v>
      </c>
      <c r="K295" s="2">
        <v>45166</v>
      </c>
      <c r="L295" t="s">
        <v>316</v>
      </c>
    </row>
    <row r="296" spans="1:12" x14ac:dyDescent="0.25">
      <c r="A296" t="s">
        <v>213</v>
      </c>
      <c r="B296" t="s">
        <v>13</v>
      </c>
      <c r="C296" t="s">
        <v>321</v>
      </c>
      <c r="D296" t="s">
        <v>25</v>
      </c>
      <c r="E296" t="s">
        <v>26</v>
      </c>
      <c r="F296">
        <v>49</v>
      </c>
      <c r="G296">
        <v>200</v>
      </c>
      <c r="H296">
        <v>4</v>
      </c>
      <c r="I296">
        <v>800</v>
      </c>
      <c r="J296">
        <v>18.559999999999999</v>
      </c>
      <c r="K296" s="2">
        <v>45003</v>
      </c>
      <c r="L296" t="s">
        <v>318</v>
      </c>
    </row>
    <row r="297" spans="1:12" x14ac:dyDescent="0.25">
      <c r="A297" t="s">
        <v>112</v>
      </c>
      <c r="B297" t="s">
        <v>20</v>
      </c>
      <c r="C297" t="s">
        <v>322</v>
      </c>
      <c r="D297" t="s">
        <v>17</v>
      </c>
      <c r="E297" t="s">
        <v>18</v>
      </c>
      <c r="F297">
        <v>40</v>
      </c>
      <c r="G297">
        <v>100</v>
      </c>
      <c r="H297">
        <v>5</v>
      </c>
      <c r="I297">
        <v>500</v>
      </c>
      <c r="J297">
        <v>14.22</v>
      </c>
      <c r="K297" s="2">
        <v>44959</v>
      </c>
      <c r="L297" t="s">
        <v>318</v>
      </c>
    </row>
    <row r="298" spans="1:12" x14ac:dyDescent="0.25">
      <c r="A298" t="s">
        <v>214</v>
      </c>
      <c r="B298" t="s">
        <v>13</v>
      </c>
      <c r="C298" t="s">
        <v>320</v>
      </c>
      <c r="D298" t="s">
        <v>17</v>
      </c>
      <c r="E298" t="s">
        <v>18</v>
      </c>
      <c r="F298">
        <v>67</v>
      </c>
      <c r="G298">
        <v>100</v>
      </c>
      <c r="H298">
        <v>5</v>
      </c>
      <c r="I298">
        <v>500</v>
      </c>
      <c r="J298">
        <v>13.85</v>
      </c>
      <c r="K298" s="2">
        <v>45000</v>
      </c>
      <c r="L298" t="s">
        <v>316</v>
      </c>
    </row>
    <row r="299" spans="1:12" x14ac:dyDescent="0.25">
      <c r="A299" t="s">
        <v>34</v>
      </c>
      <c r="B299" t="s">
        <v>20</v>
      </c>
      <c r="C299" t="s">
        <v>320</v>
      </c>
      <c r="D299" t="s">
        <v>30</v>
      </c>
      <c r="E299" t="s">
        <v>18</v>
      </c>
      <c r="F299">
        <v>41</v>
      </c>
      <c r="G299">
        <v>30</v>
      </c>
      <c r="H299">
        <v>3</v>
      </c>
      <c r="I299">
        <v>90</v>
      </c>
      <c r="J299">
        <v>18.37</v>
      </c>
      <c r="K299" s="2">
        <v>45294</v>
      </c>
      <c r="L299" t="s">
        <v>316</v>
      </c>
    </row>
    <row r="300" spans="1:12" x14ac:dyDescent="0.25">
      <c r="A300" t="s">
        <v>92</v>
      </c>
      <c r="B300" t="s">
        <v>13</v>
      </c>
      <c r="C300" t="s">
        <v>321</v>
      </c>
      <c r="D300" t="s">
        <v>40</v>
      </c>
      <c r="E300" t="s">
        <v>15</v>
      </c>
      <c r="F300">
        <v>63</v>
      </c>
      <c r="G300">
        <v>800</v>
      </c>
      <c r="H300">
        <v>2</v>
      </c>
      <c r="I300">
        <v>1600</v>
      </c>
      <c r="J300">
        <v>19.63</v>
      </c>
      <c r="K300" s="2">
        <v>45287</v>
      </c>
      <c r="L300" t="s">
        <v>318</v>
      </c>
    </row>
    <row r="301" spans="1:12" x14ac:dyDescent="0.25">
      <c r="A301" t="s">
        <v>108</v>
      </c>
      <c r="B301" t="s">
        <v>13</v>
      </c>
      <c r="C301" t="s">
        <v>320</v>
      </c>
      <c r="D301" t="s">
        <v>40</v>
      </c>
      <c r="E301" t="s">
        <v>15</v>
      </c>
      <c r="F301">
        <v>25</v>
      </c>
      <c r="G301">
        <v>800</v>
      </c>
      <c r="H301">
        <v>1</v>
      </c>
      <c r="I301">
        <v>800</v>
      </c>
      <c r="J301">
        <v>5.64</v>
      </c>
      <c r="K301" s="2">
        <v>45192</v>
      </c>
      <c r="L301" t="s">
        <v>317</v>
      </c>
    </row>
    <row r="302" spans="1:12" x14ac:dyDescent="0.25">
      <c r="A302" t="s">
        <v>199</v>
      </c>
      <c r="B302" t="s">
        <v>13</v>
      </c>
      <c r="C302" t="s">
        <v>320</v>
      </c>
      <c r="D302" t="s">
        <v>23</v>
      </c>
      <c r="E302" t="s">
        <v>15</v>
      </c>
      <c r="F302">
        <v>50</v>
      </c>
      <c r="G302">
        <v>1500</v>
      </c>
      <c r="H302">
        <v>5</v>
      </c>
      <c r="I302">
        <v>7500</v>
      </c>
      <c r="J302">
        <v>15.14</v>
      </c>
      <c r="K302" s="2">
        <v>45085</v>
      </c>
      <c r="L302" t="s">
        <v>317</v>
      </c>
    </row>
    <row r="303" spans="1:12" x14ac:dyDescent="0.25">
      <c r="A303" t="s">
        <v>146</v>
      </c>
      <c r="B303" t="s">
        <v>13</v>
      </c>
      <c r="C303" t="s">
        <v>321</v>
      </c>
      <c r="D303" t="s">
        <v>30</v>
      </c>
      <c r="E303" t="s">
        <v>18</v>
      </c>
      <c r="F303">
        <v>68</v>
      </c>
      <c r="G303">
        <v>30</v>
      </c>
      <c r="H303">
        <v>4</v>
      </c>
      <c r="I303">
        <v>120</v>
      </c>
      <c r="J303">
        <v>14.02</v>
      </c>
      <c r="K303" s="2">
        <v>45182</v>
      </c>
      <c r="L303" t="s">
        <v>316</v>
      </c>
    </row>
    <row r="304" spans="1:12" x14ac:dyDescent="0.25">
      <c r="A304" t="s">
        <v>215</v>
      </c>
      <c r="B304" t="s">
        <v>13</v>
      </c>
      <c r="C304" t="s">
        <v>321</v>
      </c>
      <c r="D304" t="s">
        <v>25</v>
      </c>
      <c r="E304" t="s">
        <v>26</v>
      </c>
      <c r="F304">
        <v>62</v>
      </c>
      <c r="G304">
        <v>200</v>
      </c>
      <c r="H304">
        <v>3</v>
      </c>
      <c r="I304">
        <v>600</v>
      </c>
      <c r="J304">
        <v>17.899999999999999</v>
      </c>
      <c r="K304" s="2">
        <v>44929</v>
      </c>
      <c r="L304" t="s">
        <v>316</v>
      </c>
    </row>
    <row r="305" spans="1:12" x14ac:dyDescent="0.25">
      <c r="A305" t="s">
        <v>174</v>
      </c>
      <c r="B305" t="s">
        <v>13</v>
      </c>
      <c r="C305" t="s">
        <v>322</v>
      </c>
      <c r="D305" t="s">
        <v>40</v>
      </c>
      <c r="E305" t="s">
        <v>15</v>
      </c>
      <c r="F305">
        <v>54</v>
      </c>
      <c r="G305">
        <v>800</v>
      </c>
      <c r="H305">
        <v>1</v>
      </c>
      <c r="I305">
        <v>800</v>
      </c>
      <c r="J305">
        <v>7.77</v>
      </c>
      <c r="K305" s="2">
        <v>45130</v>
      </c>
      <c r="L305" t="s">
        <v>316</v>
      </c>
    </row>
    <row r="306" spans="1:12" x14ac:dyDescent="0.25">
      <c r="A306" t="s">
        <v>153</v>
      </c>
      <c r="B306" t="s">
        <v>13</v>
      </c>
      <c r="C306" t="s">
        <v>321</v>
      </c>
      <c r="D306" t="s">
        <v>25</v>
      </c>
      <c r="E306" t="s">
        <v>26</v>
      </c>
      <c r="F306">
        <v>43</v>
      </c>
      <c r="G306">
        <v>200</v>
      </c>
      <c r="H306">
        <v>2</v>
      </c>
      <c r="I306">
        <v>400</v>
      </c>
      <c r="J306">
        <v>13.02</v>
      </c>
      <c r="K306" s="2">
        <v>45207</v>
      </c>
      <c r="L306" t="s">
        <v>318</v>
      </c>
    </row>
    <row r="307" spans="1:12" x14ac:dyDescent="0.25">
      <c r="A307" t="s">
        <v>155</v>
      </c>
      <c r="B307" t="s">
        <v>13</v>
      </c>
      <c r="C307" t="s">
        <v>322</v>
      </c>
      <c r="D307" t="s">
        <v>29</v>
      </c>
      <c r="E307" t="s">
        <v>18</v>
      </c>
      <c r="F307">
        <v>60</v>
      </c>
      <c r="G307">
        <v>50</v>
      </c>
      <c r="H307">
        <v>1</v>
      </c>
      <c r="I307">
        <v>50</v>
      </c>
      <c r="J307">
        <v>6.25</v>
      </c>
      <c r="K307" s="2">
        <v>44963</v>
      </c>
      <c r="L307" t="s">
        <v>317</v>
      </c>
    </row>
    <row r="308" spans="1:12" x14ac:dyDescent="0.25">
      <c r="A308" t="s">
        <v>216</v>
      </c>
      <c r="B308" t="s">
        <v>13</v>
      </c>
      <c r="C308" t="s">
        <v>321</v>
      </c>
      <c r="D308" t="s">
        <v>14</v>
      </c>
      <c r="E308" t="s">
        <v>15</v>
      </c>
      <c r="F308">
        <v>25</v>
      </c>
      <c r="G308">
        <v>300</v>
      </c>
      <c r="H308">
        <v>3</v>
      </c>
      <c r="I308">
        <v>900</v>
      </c>
      <c r="J308">
        <v>9.94</v>
      </c>
      <c r="K308" s="2">
        <v>45220</v>
      </c>
      <c r="L308" t="s">
        <v>318</v>
      </c>
    </row>
    <row r="309" spans="1:12" x14ac:dyDescent="0.25">
      <c r="A309" t="s">
        <v>143</v>
      </c>
      <c r="B309" t="s">
        <v>13</v>
      </c>
      <c r="C309" t="s">
        <v>323</v>
      </c>
      <c r="D309" t="s">
        <v>40</v>
      </c>
      <c r="E309" t="s">
        <v>15</v>
      </c>
      <c r="F309">
        <v>50</v>
      </c>
      <c r="G309">
        <v>800</v>
      </c>
      <c r="H309">
        <v>1</v>
      </c>
      <c r="I309">
        <v>800</v>
      </c>
      <c r="J309">
        <v>10.36</v>
      </c>
      <c r="K309" s="2">
        <v>45071</v>
      </c>
      <c r="L309" t="s">
        <v>316</v>
      </c>
    </row>
    <row r="310" spans="1:12" x14ac:dyDescent="0.25">
      <c r="A310" t="s">
        <v>158</v>
      </c>
      <c r="B310" t="s">
        <v>20</v>
      </c>
      <c r="C310" t="s">
        <v>322</v>
      </c>
      <c r="D310" t="s">
        <v>40</v>
      </c>
      <c r="E310" t="s">
        <v>15</v>
      </c>
      <c r="F310">
        <v>32</v>
      </c>
      <c r="G310">
        <v>800</v>
      </c>
      <c r="H310">
        <v>1</v>
      </c>
      <c r="I310">
        <v>800</v>
      </c>
      <c r="J310">
        <v>8.4499999999999993</v>
      </c>
      <c r="K310" s="2">
        <v>45044</v>
      </c>
      <c r="L310" t="s">
        <v>316</v>
      </c>
    </row>
    <row r="311" spans="1:12" x14ac:dyDescent="0.25">
      <c r="A311" t="s">
        <v>203</v>
      </c>
      <c r="B311" t="s">
        <v>13</v>
      </c>
      <c r="C311" t="s">
        <v>323</v>
      </c>
      <c r="D311" t="s">
        <v>40</v>
      </c>
      <c r="E311" t="s">
        <v>15</v>
      </c>
      <c r="F311">
        <v>61</v>
      </c>
      <c r="G311">
        <v>800</v>
      </c>
      <c r="H311">
        <v>2</v>
      </c>
      <c r="I311">
        <v>1600</v>
      </c>
      <c r="J311">
        <v>19.07</v>
      </c>
      <c r="K311" s="2">
        <v>45202</v>
      </c>
      <c r="L311" t="s">
        <v>318</v>
      </c>
    </row>
    <row r="312" spans="1:12" x14ac:dyDescent="0.25">
      <c r="A312" t="s">
        <v>31</v>
      </c>
      <c r="B312" t="s">
        <v>13</v>
      </c>
      <c r="C312" t="s">
        <v>322</v>
      </c>
      <c r="D312" t="s">
        <v>29</v>
      </c>
      <c r="E312" t="s">
        <v>18</v>
      </c>
      <c r="F312">
        <v>49</v>
      </c>
      <c r="G312">
        <v>50</v>
      </c>
      <c r="H312">
        <v>5</v>
      </c>
      <c r="I312">
        <v>250</v>
      </c>
      <c r="J312">
        <v>10.029999999999999</v>
      </c>
      <c r="K312" s="2">
        <v>45231</v>
      </c>
      <c r="L312" t="s">
        <v>316</v>
      </c>
    </row>
    <row r="313" spans="1:12" x14ac:dyDescent="0.25">
      <c r="A313" t="s">
        <v>119</v>
      </c>
      <c r="B313" t="s">
        <v>20</v>
      </c>
      <c r="C313" t="s">
        <v>321</v>
      </c>
      <c r="D313" t="s">
        <v>30</v>
      </c>
      <c r="E313" t="s">
        <v>18</v>
      </c>
      <c r="F313">
        <v>18</v>
      </c>
      <c r="G313">
        <v>30</v>
      </c>
      <c r="H313">
        <v>4</v>
      </c>
      <c r="I313">
        <v>120</v>
      </c>
      <c r="J313">
        <v>8.76</v>
      </c>
      <c r="K313" s="2">
        <v>45107</v>
      </c>
      <c r="L313" t="s">
        <v>317</v>
      </c>
    </row>
    <row r="314" spans="1:12" x14ac:dyDescent="0.25">
      <c r="A314" t="s">
        <v>12</v>
      </c>
      <c r="B314" t="s">
        <v>13</v>
      </c>
      <c r="C314" t="s">
        <v>320</v>
      </c>
      <c r="D314" t="s">
        <v>14</v>
      </c>
      <c r="E314" t="s">
        <v>15</v>
      </c>
      <c r="F314">
        <v>21</v>
      </c>
      <c r="G314">
        <v>300</v>
      </c>
      <c r="H314">
        <v>2</v>
      </c>
      <c r="I314">
        <v>600</v>
      </c>
      <c r="J314">
        <v>5.69</v>
      </c>
      <c r="K314" s="2">
        <v>45141</v>
      </c>
      <c r="L314" t="s">
        <v>316</v>
      </c>
    </row>
    <row r="315" spans="1:12" x14ac:dyDescent="0.25">
      <c r="A315" t="s">
        <v>217</v>
      </c>
      <c r="B315" t="s">
        <v>13</v>
      </c>
      <c r="C315" t="s">
        <v>323</v>
      </c>
      <c r="D315" t="s">
        <v>17</v>
      </c>
      <c r="E315" t="s">
        <v>18</v>
      </c>
      <c r="F315">
        <v>69</v>
      </c>
      <c r="G315">
        <v>100</v>
      </c>
      <c r="H315">
        <v>1</v>
      </c>
      <c r="I315">
        <v>100</v>
      </c>
      <c r="J315">
        <v>6.43</v>
      </c>
      <c r="K315" s="2">
        <v>45072</v>
      </c>
      <c r="L315" t="s">
        <v>316</v>
      </c>
    </row>
    <row r="316" spans="1:12" x14ac:dyDescent="0.25">
      <c r="A316" t="s">
        <v>218</v>
      </c>
      <c r="B316" t="s">
        <v>20</v>
      </c>
      <c r="C316" t="s">
        <v>321</v>
      </c>
      <c r="D316" t="s">
        <v>25</v>
      </c>
      <c r="E316" t="s">
        <v>26</v>
      </c>
      <c r="F316">
        <v>66</v>
      </c>
      <c r="G316">
        <v>200</v>
      </c>
      <c r="H316">
        <v>5</v>
      </c>
      <c r="I316">
        <v>1000</v>
      </c>
      <c r="J316">
        <v>19.190000000000001</v>
      </c>
      <c r="K316" s="2">
        <v>45188</v>
      </c>
      <c r="L316" t="s">
        <v>316</v>
      </c>
    </row>
    <row r="317" spans="1:12" x14ac:dyDescent="0.25">
      <c r="A317" t="s">
        <v>219</v>
      </c>
      <c r="B317" t="s">
        <v>20</v>
      </c>
      <c r="C317" t="s">
        <v>321</v>
      </c>
      <c r="D317" t="s">
        <v>25</v>
      </c>
      <c r="E317" t="s">
        <v>26</v>
      </c>
      <c r="F317">
        <v>41</v>
      </c>
      <c r="G317">
        <v>200</v>
      </c>
      <c r="H317">
        <v>3</v>
      </c>
      <c r="I317">
        <v>600</v>
      </c>
      <c r="J317">
        <v>10.92</v>
      </c>
      <c r="K317" s="2">
        <v>45095</v>
      </c>
      <c r="L317" t="s">
        <v>316</v>
      </c>
    </row>
    <row r="318" spans="1:12" x14ac:dyDescent="0.25">
      <c r="A318" t="s">
        <v>212</v>
      </c>
      <c r="B318" t="s">
        <v>13</v>
      </c>
      <c r="C318" t="s">
        <v>323</v>
      </c>
      <c r="D318" t="s">
        <v>29</v>
      </c>
      <c r="E318" t="s">
        <v>18</v>
      </c>
      <c r="F318">
        <v>67</v>
      </c>
      <c r="G318">
        <v>50</v>
      </c>
      <c r="H318">
        <v>5</v>
      </c>
      <c r="I318">
        <v>250</v>
      </c>
      <c r="J318">
        <v>11.17</v>
      </c>
      <c r="K318" s="2">
        <v>44988</v>
      </c>
      <c r="L318" t="s">
        <v>317</v>
      </c>
    </row>
    <row r="319" spans="1:12" x14ac:dyDescent="0.25">
      <c r="A319" t="s">
        <v>106</v>
      </c>
      <c r="B319" t="s">
        <v>20</v>
      </c>
      <c r="C319" t="s">
        <v>323</v>
      </c>
      <c r="D319" t="s">
        <v>40</v>
      </c>
      <c r="E319" t="s">
        <v>15</v>
      </c>
      <c r="F319">
        <v>42</v>
      </c>
      <c r="G319">
        <v>800</v>
      </c>
      <c r="H319">
        <v>3</v>
      </c>
      <c r="I319">
        <v>2400</v>
      </c>
      <c r="J319">
        <v>10.65</v>
      </c>
      <c r="K319" s="2">
        <v>45248</v>
      </c>
      <c r="L319" t="s">
        <v>317</v>
      </c>
    </row>
    <row r="320" spans="1:12" x14ac:dyDescent="0.25">
      <c r="A320" t="s">
        <v>126</v>
      </c>
      <c r="B320" t="s">
        <v>20</v>
      </c>
      <c r="C320" t="s">
        <v>321</v>
      </c>
      <c r="D320" t="s">
        <v>14</v>
      </c>
      <c r="E320" t="s">
        <v>15</v>
      </c>
      <c r="F320">
        <v>50</v>
      </c>
      <c r="G320">
        <v>300</v>
      </c>
      <c r="H320">
        <v>1</v>
      </c>
      <c r="I320">
        <v>300</v>
      </c>
      <c r="J320">
        <v>14.36</v>
      </c>
      <c r="K320" s="2">
        <v>45143</v>
      </c>
      <c r="L320" t="s">
        <v>318</v>
      </c>
    </row>
    <row r="321" spans="1:12" x14ac:dyDescent="0.25">
      <c r="A321" t="s">
        <v>146</v>
      </c>
      <c r="B321" t="s">
        <v>20</v>
      </c>
      <c r="C321" t="s">
        <v>323</v>
      </c>
      <c r="D321" t="s">
        <v>17</v>
      </c>
      <c r="E321" t="s">
        <v>18</v>
      </c>
      <c r="F321">
        <v>68</v>
      </c>
      <c r="G321">
        <v>100</v>
      </c>
      <c r="H321">
        <v>4</v>
      </c>
      <c r="I321">
        <v>400</v>
      </c>
      <c r="J321">
        <v>11.92</v>
      </c>
      <c r="K321" s="2">
        <v>45230</v>
      </c>
      <c r="L321" t="s">
        <v>317</v>
      </c>
    </row>
    <row r="322" spans="1:12" x14ac:dyDescent="0.25">
      <c r="A322" t="s">
        <v>88</v>
      </c>
      <c r="B322" t="s">
        <v>20</v>
      </c>
      <c r="C322" t="s">
        <v>323</v>
      </c>
      <c r="D322" t="s">
        <v>40</v>
      </c>
      <c r="E322" t="s">
        <v>15</v>
      </c>
      <c r="F322">
        <v>50</v>
      </c>
      <c r="G322">
        <v>800</v>
      </c>
      <c r="H322">
        <v>5</v>
      </c>
      <c r="I322">
        <v>4000</v>
      </c>
      <c r="J322">
        <v>13.43</v>
      </c>
      <c r="K322" s="2">
        <v>45149</v>
      </c>
      <c r="L322" t="s">
        <v>316</v>
      </c>
    </row>
    <row r="323" spans="1:12" x14ac:dyDescent="0.25">
      <c r="A323" t="s">
        <v>220</v>
      </c>
      <c r="B323" t="s">
        <v>13</v>
      </c>
      <c r="C323" t="s">
        <v>319</v>
      </c>
      <c r="D323" t="s">
        <v>40</v>
      </c>
      <c r="E323" t="s">
        <v>15</v>
      </c>
      <c r="F323">
        <v>49</v>
      </c>
      <c r="G323">
        <v>800</v>
      </c>
      <c r="H323">
        <v>1</v>
      </c>
      <c r="I323">
        <v>800</v>
      </c>
      <c r="J323">
        <v>16.2</v>
      </c>
      <c r="K323" s="2">
        <v>45255</v>
      </c>
      <c r="L323" t="s">
        <v>316</v>
      </c>
    </row>
    <row r="324" spans="1:12" x14ac:dyDescent="0.25">
      <c r="A324" t="s">
        <v>138</v>
      </c>
      <c r="B324" t="s">
        <v>13</v>
      </c>
      <c r="C324" t="s">
        <v>321</v>
      </c>
      <c r="D324" t="s">
        <v>23</v>
      </c>
      <c r="E324" t="s">
        <v>15</v>
      </c>
      <c r="F324">
        <v>44</v>
      </c>
      <c r="G324">
        <v>1500</v>
      </c>
      <c r="H324">
        <v>5</v>
      </c>
      <c r="I324">
        <v>7500</v>
      </c>
      <c r="J324">
        <v>7.21</v>
      </c>
      <c r="K324" s="2">
        <v>45251</v>
      </c>
      <c r="L324" t="s">
        <v>318</v>
      </c>
    </row>
    <row r="325" spans="1:12" x14ac:dyDescent="0.25">
      <c r="A325" t="s">
        <v>221</v>
      </c>
      <c r="B325" t="s">
        <v>20</v>
      </c>
      <c r="C325" t="s">
        <v>323</v>
      </c>
      <c r="D325" t="s">
        <v>17</v>
      </c>
      <c r="E325" t="s">
        <v>18</v>
      </c>
      <c r="F325">
        <v>37</v>
      </c>
      <c r="G325">
        <v>100</v>
      </c>
      <c r="H325">
        <v>3</v>
      </c>
      <c r="I325">
        <v>300</v>
      </c>
      <c r="J325">
        <v>7.41</v>
      </c>
      <c r="K325" s="2">
        <v>45012</v>
      </c>
      <c r="L325" t="s">
        <v>318</v>
      </c>
    </row>
    <row r="326" spans="1:12" x14ac:dyDescent="0.25">
      <c r="A326" t="s">
        <v>171</v>
      </c>
      <c r="B326" t="s">
        <v>20</v>
      </c>
      <c r="C326" t="s">
        <v>321</v>
      </c>
      <c r="D326" t="s">
        <v>23</v>
      </c>
      <c r="E326" t="s">
        <v>15</v>
      </c>
      <c r="F326">
        <v>55</v>
      </c>
      <c r="G326">
        <v>1500</v>
      </c>
      <c r="H326">
        <v>1</v>
      </c>
      <c r="I326">
        <v>1500</v>
      </c>
      <c r="J326">
        <v>19.04</v>
      </c>
      <c r="K326" s="2">
        <v>45219</v>
      </c>
      <c r="L326" t="s">
        <v>317</v>
      </c>
    </row>
    <row r="327" spans="1:12" x14ac:dyDescent="0.25">
      <c r="A327" t="s">
        <v>138</v>
      </c>
      <c r="B327" t="s">
        <v>20</v>
      </c>
      <c r="C327" t="s">
        <v>320</v>
      </c>
      <c r="D327" t="s">
        <v>23</v>
      </c>
      <c r="E327" t="s">
        <v>15</v>
      </c>
      <c r="F327">
        <v>44</v>
      </c>
      <c r="G327">
        <v>1500</v>
      </c>
      <c r="H327">
        <v>2</v>
      </c>
      <c r="I327">
        <v>3000</v>
      </c>
      <c r="J327">
        <v>9.8699999999999992</v>
      </c>
      <c r="K327" s="2">
        <v>45257</v>
      </c>
      <c r="L327" t="s">
        <v>318</v>
      </c>
    </row>
    <row r="328" spans="1:12" x14ac:dyDescent="0.25">
      <c r="A328" t="s">
        <v>222</v>
      </c>
      <c r="B328" t="s">
        <v>20</v>
      </c>
      <c r="C328" t="s">
        <v>323</v>
      </c>
      <c r="D328" t="s">
        <v>40</v>
      </c>
      <c r="E328" t="s">
        <v>15</v>
      </c>
      <c r="F328">
        <v>67</v>
      </c>
      <c r="G328">
        <v>800</v>
      </c>
      <c r="H328">
        <v>5</v>
      </c>
      <c r="I328">
        <v>4000</v>
      </c>
      <c r="J328">
        <v>9.6</v>
      </c>
      <c r="K328" s="2">
        <v>45221</v>
      </c>
      <c r="L328" t="s">
        <v>317</v>
      </c>
    </row>
    <row r="329" spans="1:12" x14ac:dyDescent="0.25">
      <c r="A329" t="s">
        <v>167</v>
      </c>
      <c r="B329" t="s">
        <v>20</v>
      </c>
      <c r="C329" t="s">
        <v>323</v>
      </c>
      <c r="D329" t="s">
        <v>17</v>
      </c>
      <c r="E329" t="s">
        <v>18</v>
      </c>
      <c r="F329">
        <v>49</v>
      </c>
      <c r="G329">
        <v>100</v>
      </c>
      <c r="H329">
        <v>3</v>
      </c>
      <c r="I329">
        <v>300</v>
      </c>
      <c r="J329">
        <v>13.33</v>
      </c>
      <c r="K329" s="2">
        <v>44967</v>
      </c>
      <c r="L329" t="s">
        <v>318</v>
      </c>
    </row>
    <row r="330" spans="1:12" x14ac:dyDescent="0.25">
      <c r="A330" t="s">
        <v>35</v>
      </c>
      <c r="B330" t="s">
        <v>20</v>
      </c>
      <c r="C330" t="s">
        <v>320</v>
      </c>
      <c r="D330" t="s">
        <v>40</v>
      </c>
      <c r="E330" t="s">
        <v>15</v>
      </c>
      <c r="F330">
        <v>60</v>
      </c>
      <c r="G330">
        <v>800</v>
      </c>
      <c r="H330">
        <v>2</v>
      </c>
      <c r="I330">
        <v>1600</v>
      </c>
      <c r="J330">
        <v>19.2</v>
      </c>
      <c r="K330" s="2">
        <v>45149</v>
      </c>
      <c r="L330" t="s">
        <v>317</v>
      </c>
    </row>
    <row r="331" spans="1:12" x14ac:dyDescent="0.25">
      <c r="A331" t="s">
        <v>223</v>
      </c>
      <c r="B331" t="s">
        <v>13</v>
      </c>
      <c r="C331" t="s">
        <v>322</v>
      </c>
      <c r="D331" t="s">
        <v>29</v>
      </c>
      <c r="E331" t="s">
        <v>18</v>
      </c>
      <c r="F331">
        <v>20</v>
      </c>
      <c r="G331">
        <v>50</v>
      </c>
      <c r="H331">
        <v>1</v>
      </c>
      <c r="I331">
        <v>50</v>
      </c>
      <c r="J331">
        <v>17.61</v>
      </c>
      <c r="K331" s="2">
        <v>45151</v>
      </c>
      <c r="L331" t="s">
        <v>316</v>
      </c>
    </row>
    <row r="332" spans="1:12" x14ac:dyDescent="0.25">
      <c r="A332" t="s">
        <v>224</v>
      </c>
      <c r="B332" t="s">
        <v>20</v>
      </c>
      <c r="C332" t="s">
        <v>323</v>
      </c>
      <c r="D332" t="s">
        <v>25</v>
      </c>
      <c r="E332" t="s">
        <v>26</v>
      </c>
      <c r="F332">
        <v>34</v>
      </c>
      <c r="G332">
        <v>200</v>
      </c>
      <c r="H332">
        <v>1</v>
      </c>
      <c r="I332">
        <v>200</v>
      </c>
      <c r="J332">
        <v>17.66</v>
      </c>
      <c r="K332" s="2">
        <v>45067</v>
      </c>
      <c r="L332" t="s">
        <v>316</v>
      </c>
    </row>
    <row r="333" spans="1:12" x14ac:dyDescent="0.25">
      <c r="A333" t="s">
        <v>225</v>
      </c>
      <c r="B333" t="s">
        <v>20</v>
      </c>
      <c r="C333" t="s">
        <v>320</v>
      </c>
      <c r="D333" t="s">
        <v>23</v>
      </c>
      <c r="E333" t="s">
        <v>15</v>
      </c>
      <c r="F333">
        <v>19</v>
      </c>
      <c r="G333">
        <v>1500</v>
      </c>
      <c r="H333">
        <v>4</v>
      </c>
      <c r="I333">
        <v>6000</v>
      </c>
      <c r="J333">
        <v>14.45</v>
      </c>
      <c r="K333" s="2">
        <v>45238</v>
      </c>
      <c r="L333" t="s">
        <v>318</v>
      </c>
    </row>
    <row r="334" spans="1:12" x14ac:dyDescent="0.25">
      <c r="A334" t="s">
        <v>54</v>
      </c>
      <c r="B334" t="s">
        <v>20</v>
      </c>
      <c r="C334" t="s">
        <v>323</v>
      </c>
      <c r="D334" t="s">
        <v>40</v>
      </c>
      <c r="E334" t="s">
        <v>15</v>
      </c>
      <c r="F334">
        <v>49</v>
      </c>
      <c r="G334">
        <v>800</v>
      </c>
      <c r="H334">
        <v>4</v>
      </c>
      <c r="I334">
        <v>3200</v>
      </c>
      <c r="J334">
        <v>19.170000000000002</v>
      </c>
      <c r="K334" s="2">
        <v>45094</v>
      </c>
      <c r="L334" t="s">
        <v>317</v>
      </c>
    </row>
    <row r="335" spans="1:12" x14ac:dyDescent="0.25">
      <c r="A335" t="s">
        <v>58</v>
      </c>
      <c r="B335" t="s">
        <v>20</v>
      </c>
      <c r="C335" t="s">
        <v>322</v>
      </c>
      <c r="D335" t="s">
        <v>14</v>
      </c>
      <c r="E335" t="s">
        <v>15</v>
      </c>
      <c r="F335">
        <v>64</v>
      </c>
      <c r="G335">
        <v>300</v>
      </c>
      <c r="H335">
        <v>3</v>
      </c>
      <c r="I335">
        <v>900</v>
      </c>
      <c r="J335">
        <v>19.12</v>
      </c>
      <c r="K335" s="2">
        <v>45094</v>
      </c>
      <c r="L335" t="s">
        <v>317</v>
      </c>
    </row>
    <row r="336" spans="1:12" x14ac:dyDescent="0.25">
      <c r="A336" t="s">
        <v>221</v>
      </c>
      <c r="B336" t="s">
        <v>13</v>
      </c>
      <c r="C336" t="s">
        <v>321</v>
      </c>
      <c r="D336" t="s">
        <v>14</v>
      </c>
      <c r="E336" t="s">
        <v>15</v>
      </c>
      <c r="F336">
        <v>37</v>
      </c>
      <c r="G336">
        <v>300</v>
      </c>
      <c r="H336">
        <v>1</v>
      </c>
      <c r="I336">
        <v>300</v>
      </c>
      <c r="J336">
        <v>9.7200000000000006</v>
      </c>
      <c r="K336" s="2">
        <v>45015</v>
      </c>
      <c r="L336" t="s">
        <v>316</v>
      </c>
    </row>
    <row r="337" spans="1:12" x14ac:dyDescent="0.25">
      <c r="A337" t="s">
        <v>36</v>
      </c>
      <c r="B337" t="s">
        <v>20</v>
      </c>
      <c r="C337" t="s">
        <v>321</v>
      </c>
      <c r="D337" t="s">
        <v>14</v>
      </c>
      <c r="E337" t="s">
        <v>15</v>
      </c>
      <c r="F337">
        <v>66</v>
      </c>
      <c r="G337">
        <v>300</v>
      </c>
      <c r="H337">
        <v>1</v>
      </c>
      <c r="I337">
        <v>300</v>
      </c>
      <c r="J337">
        <v>18.63</v>
      </c>
      <c r="K337" s="2">
        <v>45231</v>
      </c>
      <c r="L337" t="s">
        <v>318</v>
      </c>
    </row>
    <row r="338" spans="1:12" x14ac:dyDescent="0.25">
      <c r="A338" t="s">
        <v>189</v>
      </c>
      <c r="B338" t="s">
        <v>13</v>
      </c>
      <c r="C338" t="s">
        <v>322</v>
      </c>
      <c r="D338" t="s">
        <v>40</v>
      </c>
      <c r="E338" t="s">
        <v>15</v>
      </c>
      <c r="F338">
        <v>69</v>
      </c>
      <c r="G338">
        <v>800</v>
      </c>
      <c r="H338">
        <v>3</v>
      </c>
      <c r="I338">
        <v>2400</v>
      </c>
      <c r="J338">
        <v>5.26</v>
      </c>
      <c r="K338" s="2">
        <v>45206</v>
      </c>
      <c r="L338" t="s">
        <v>319</v>
      </c>
    </row>
    <row r="339" spans="1:12" x14ac:dyDescent="0.25">
      <c r="A339" t="s">
        <v>226</v>
      </c>
      <c r="B339" t="s">
        <v>20</v>
      </c>
      <c r="C339" t="s">
        <v>322</v>
      </c>
      <c r="D339" t="s">
        <v>30</v>
      </c>
      <c r="E339" t="s">
        <v>18</v>
      </c>
      <c r="F339">
        <v>33</v>
      </c>
      <c r="G339">
        <v>30</v>
      </c>
      <c r="H339">
        <v>2</v>
      </c>
      <c r="I339">
        <v>60</v>
      </c>
      <c r="J339">
        <v>15.69</v>
      </c>
      <c r="K339" s="2">
        <v>45220</v>
      </c>
      <c r="L339" t="s">
        <v>318</v>
      </c>
    </row>
    <row r="340" spans="1:12" x14ac:dyDescent="0.25">
      <c r="A340" t="s">
        <v>153</v>
      </c>
      <c r="B340" t="s">
        <v>20</v>
      </c>
      <c r="C340" t="s">
        <v>321</v>
      </c>
      <c r="D340" t="s">
        <v>14</v>
      </c>
      <c r="E340" t="s">
        <v>15</v>
      </c>
      <c r="F340">
        <v>43</v>
      </c>
      <c r="G340">
        <v>300</v>
      </c>
      <c r="H340">
        <v>3</v>
      </c>
      <c r="I340">
        <v>900</v>
      </c>
      <c r="J340">
        <v>8.58</v>
      </c>
      <c r="K340" s="2">
        <v>45232</v>
      </c>
      <c r="L340" t="s">
        <v>316</v>
      </c>
    </row>
    <row r="341" spans="1:12" x14ac:dyDescent="0.25">
      <c r="A341" t="s">
        <v>100</v>
      </c>
      <c r="B341" t="s">
        <v>20</v>
      </c>
      <c r="C341" t="s">
        <v>322</v>
      </c>
      <c r="D341" t="s">
        <v>17</v>
      </c>
      <c r="E341" t="s">
        <v>18</v>
      </c>
      <c r="F341">
        <v>48</v>
      </c>
      <c r="G341">
        <v>207.30404083244301</v>
      </c>
      <c r="H341">
        <v>1</v>
      </c>
      <c r="I341">
        <v>100</v>
      </c>
      <c r="J341">
        <v>9.5500000000000007</v>
      </c>
      <c r="K341" s="2">
        <v>44949</v>
      </c>
      <c r="L341" t="s">
        <v>318</v>
      </c>
    </row>
    <row r="342" spans="1:12" x14ac:dyDescent="0.25">
      <c r="A342" t="s">
        <v>49</v>
      </c>
      <c r="B342" t="s">
        <v>13</v>
      </c>
      <c r="C342" t="s">
        <v>319</v>
      </c>
      <c r="D342" t="s">
        <v>29</v>
      </c>
      <c r="E342" t="s">
        <v>18</v>
      </c>
      <c r="F342">
        <v>25</v>
      </c>
      <c r="G342">
        <v>50</v>
      </c>
      <c r="H342">
        <v>3</v>
      </c>
      <c r="I342">
        <v>150</v>
      </c>
      <c r="J342">
        <v>11.95</v>
      </c>
      <c r="K342" s="2">
        <v>45217</v>
      </c>
      <c r="L342" t="s">
        <v>316</v>
      </c>
    </row>
    <row r="343" spans="1:12" x14ac:dyDescent="0.25">
      <c r="A343" t="s">
        <v>210</v>
      </c>
      <c r="B343" t="s">
        <v>20</v>
      </c>
      <c r="C343" t="s">
        <v>322</v>
      </c>
      <c r="D343" t="s">
        <v>40</v>
      </c>
      <c r="E343" t="s">
        <v>15</v>
      </c>
      <c r="F343">
        <v>54</v>
      </c>
      <c r="G343">
        <v>800</v>
      </c>
      <c r="H343">
        <v>4</v>
      </c>
      <c r="I343">
        <v>3200</v>
      </c>
      <c r="J343">
        <v>7.86</v>
      </c>
      <c r="K343" s="2">
        <v>45145</v>
      </c>
      <c r="L343" t="s">
        <v>316</v>
      </c>
    </row>
    <row r="344" spans="1:12" x14ac:dyDescent="0.25">
      <c r="A344" t="s">
        <v>65</v>
      </c>
      <c r="B344" t="s">
        <v>13</v>
      </c>
      <c r="C344" t="s">
        <v>322</v>
      </c>
      <c r="D344" t="s">
        <v>14</v>
      </c>
      <c r="E344" t="s">
        <v>15</v>
      </c>
      <c r="F344">
        <v>38</v>
      </c>
      <c r="G344">
        <v>300</v>
      </c>
      <c r="H344">
        <v>5</v>
      </c>
      <c r="I344">
        <v>1500</v>
      </c>
      <c r="J344">
        <v>12.67</v>
      </c>
      <c r="K344" s="2">
        <v>44931</v>
      </c>
      <c r="L344" t="s">
        <v>317</v>
      </c>
    </row>
    <row r="345" spans="1:12" x14ac:dyDescent="0.25">
      <c r="A345" t="s">
        <v>145</v>
      </c>
      <c r="B345" t="s">
        <v>20</v>
      </c>
      <c r="C345" t="s">
        <v>322</v>
      </c>
      <c r="D345" t="s">
        <v>14</v>
      </c>
      <c r="E345" t="s">
        <v>15</v>
      </c>
      <c r="F345">
        <v>30</v>
      </c>
      <c r="G345">
        <v>300</v>
      </c>
      <c r="H345">
        <v>2</v>
      </c>
      <c r="I345">
        <v>600</v>
      </c>
      <c r="J345">
        <v>16.309999999999999</v>
      </c>
      <c r="K345" s="2">
        <v>45132</v>
      </c>
      <c r="L345" t="s">
        <v>318</v>
      </c>
    </row>
    <row r="346" spans="1:12" x14ac:dyDescent="0.25">
      <c r="A346" t="s">
        <v>197</v>
      </c>
      <c r="B346" t="s">
        <v>20</v>
      </c>
      <c r="C346" t="s">
        <v>322</v>
      </c>
      <c r="D346" t="s">
        <v>25</v>
      </c>
      <c r="E346" t="s">
        <v>26</v>
      </c>
      <c r="F346">
        <v>45</v>
      </c>
      <c r="G346">
        <v>200</v>
      </c>
      <c r="H346">
        <v>3</v>
      </c>
      <c r="I346">
        <v>600</v>
      </c>
      <c r="J346">
        <v>18.239999999999998</v>
      </c>
      <c r="K346" s="2">
        <v>45255</v>
      </c>
      <c r="L346" t="s">
        <v>316</v>
      </c>
    </row>
    <row r="347" spans="1:12" x14ac:dyDescent="0.25">
      <c r="A347" t="s">
        <v>188</v>
      </c>
      <c r="B347" t="s">
        <v>13</v>
      </c>
      <c r="C347" t="s">
        <v>320</v>
      </c>
      <c r="D347" t="s">
        <v>30</v>
      </c>
      <c r="E347" t="s">
        <v>18</v>
      </c>
      <c r="F347">
        <v>52</v>
      </c>
      <c r="G347">
        <v>30</v>
      </c>
      <c r="H347">
        <v>3</v>
      </c>
      <c r="I347">
        <v>90</v>
      </c>
      <c r="J347">
        <v>11.88</v>
      </c>
      <c r="K347" s="2">
        <v>45064</v>
      </c>
      <c r="L347" t="s">
        <v>316</v>
      </c>
    </row>
    <row r="348" spans="1:12" x14ac:dyDescent="0.25">
      <c r="A348" t="s">
        <v>227</v>
      </c>
      <c r="B348" t="s">
        <v>20</v>
      </c>
      <c r="C348" t="s">
        <v>322</v>
      </c>
      <c r="D348" t="s">
        <v>30</v>
      </c>
      <c r="E348" t="s">
        <v>18</v>
      </c>
      <c r="F348">
        <v>66</v>
      </c>
      <c r="G348">
        <v>30</v>
      </c>
      <c r="H348">
        <v>2</v>
      </c>
      <c r="I348">
        <v>60</v>
      </c>
      <c r="J348">
        <v>5.53</v>
      </c>
      <c r="K348" s="2">
        <v>45215</v>
      </c>
      <c r="L348" t="s">
        <v>317</v>
      </c>
    </row>
    <row r="349" spans="1:12" x14ac:dyDescent="0.25">
      <c r="A349" t="s">
        <v>78</v>
      </c>
      <c r="B349" t="s">
        <v>13</v>
      </c>
      <c r="C349" t="s">
        <v>322</v>
      </c>
      <c r="D349" t="s">
        <v>25</v>
      </c>
      <c r="E349" t="s">
        <v>26</v>
      </c>
      <c r="F349">
        <v>67</v>
      </c>
      <c r="G349">
        <v>200</v>
      </c>
      <c r="H349">
        <v>3</v>
      </c>
      <c r="I349">
        <v>600</v>
      </c>
      <c r="J349">
        <v>8.01</v>
      </c>
      <c r="K349" s="2">
        <v>45012</v>
      </c>
      <c r="L349" t="s">
        <v>318</v>
      </c>
    </row>
    <row r="350" spans="1:12" x14ac:dyDescent="0.25">
      <c r="A350" t="s">
        <v>228</v>
      </c>
      <c r="B350" t="s">
        <v>20</v>
      </c>
      <c r="C350" t="s">
        <v>322</v>
      </c>
      <c r="D350" t="s">
        <v>30</v>
      </c>
      <c r="E350" t="s">
        <v>18</v>
      </c>
      <c r="F350">
        <v>22</v>
      </c>
      <c r="G350">
        <v>30</v>
      </c>
      <c r="H350">
        <v>4</v>
      </c>
      <c r="I350">
        <v>120</v>
      </c>
      <c r="J350">
        <v>19.239999999999998</v>
      </c>
      <c r="K350" s="2">
        <v>45224</v>
      </c>
      <c r="L350" t="s">
        <v>317</v>
      </c>
    </row>
    <row r="351" spans="1:12" x14ac:dyDescent="0.25">
      <c r="A351" t="s">
        <v>32</v>
      </c>
      <c r="B351" t="s">
        <v>13</v>
      </c>
      <c r="C351" t="s">
        <v>321</v>
      </c>
      <c r="D351" t="s">
        <v>14</v>
      </c>
      <c r="E351" t="s">
        <v>15</v>
      </c>
      <c r="F351">
        <v>49</v>
      </c>
      <c r="G351">
        <v>300</v>
      </c>
      <c r="H351">
        <v>2</v>
      </c>
      <c r="I351">
        <v>600</v>
      </c>
      <c r="J351">
        <v>7</v>
      </c>
      <c r="K351" s="2">
        <v>45190</v>
      </c>
      <c r="L351" t="s">
        <v>317</v>
      </c>
    </row>
    <row r="352" spans="1:12" x14ac:dyDescent="0.25">
      <c r="A352" t="s">
        <v>229</v>
      </c>
      <c r="B352" t="s">
        <v>13</v>
      </c>
      <c r="C352" t="s">
        <v>322</v>
      </c>
      <c r="D352" t="s">
        <v>25</v>
      </c>
      <c r="E352" t="s">
        <v>26</v>
      </c>
      <c r="F352">
        <v>65</v>
      </c>
      <c r="G352">
        <v>200</v>
      </c>
      <c r="H352">
        <v>3</v>
      </c>
      <c r="I352">
        <v>600</v>
      </c>
      <c r="J352">
        <v>6.94</v>
      </c>
      <c r="K352" s="2">
        <v>45294</v>
      </c>
      <c r="L352" t="s">
        <v>317</v>
      </c>
    </row>
    <row r="353" spans="1:12" x14ac:dyDescent="0.25">
      <c r="A353" t="s">
        <v>126</v>
      </c>
      <c r="B353" t="s">
        <v>20</v>
      </c>
      <c r="C353" t="s">
        <v>323</v>
      </c>
      <c r="D353" t="s">
        <v>23</v>
      </c>
      <c r="E353" t="s">
        <v>15</v>
      </c>
      <c r="F353">
        <v>49</v>
      </c>
      <c r="G353">
        <v>1500</v>
      </c>
      <c r="H353">
        <v>1</v>
      </c>
      <c r="I353">
        <v>1500</v>
      </c>
      <c r="J353">
        <v>6.62</v>
      </c>
      <c r="K353" s="2">
        <v>44979</v>
      </c>
      <c r="L353" t="s">
        <v>318</v>
      </c>
    </row>
    <row r="354" spans="1:12" x14ac:dyDescent="0.25">
      <c r="A354" t="s">
        <v>113</v>
      </c>
      <c r="B354" t="s">
        <v>20</v>
      </c>
      <c r="C354" t="s">
        <v>320</v>
      </c>
      <c r="D354" t="s">
        <v>14</v>
      </c>
      <c r="E354" t="s">
        <v>15</v>
      </c>
      <c r="F354">
        <v>63</v>
      </c>
      <c r="G354">
        <v>300</v>
      </c>
      <c r="H354">
        <v>3</v>
      </c>
      <c r="I354">
        <v>900</v>
      </c>
      <c r="J354">
        <v>19.87</v>
      </c>
      <c r="K354" s="2">
        <v>45161</v>
      </c>
      <c r="L354" t="s">
        <v>318</v>
      </c>
    </row>
    <row r="355" spans="1:12" x14ac:dyDescent="0.25">
      <c r="A355" t="s">
        <v>66</v>
      </c>
      <c r="B355" t="s">
        <v>13</v>
      </c>
      <c r="C355" t="s">
        <v>322</v>
      </c>
      <c r="D355" t="s">
        <v>29</v>
      </c>
      <c r="E355" t="s">
        <v>18</v>
      </c>
      <c r="F355">
        <v>44</v>
      </c>
      <c r="G355">
        <v>50</v>
      </c>
      <c r="H355">
        <v>2</v>
      </c>
      <c r="I355">
        <v>100</v>
      </c>
      <c r="J355">
        <v>10.09</v>
      </c>
      <c r="K355" s="2">
        <v>45139</v>
      </c>
      <c r="L355" t="s">
        <v>318</v>
      </c>
    </row>
    <row r="356" spans="1:12" x14ac:dyDescent="0.25">
      <c r="A356" t="s">
        <v>230</v>
      </c>
      <c r="B356" t="s">
        <v>20</v>
      </c>
      <c r="C356" t="s">
        <v>323</v>
      </c>
      <c r="D356" t="s">
        <v>14</v>
      </c>
      <c r="E356" t="s">
        <v>15</v>
      </c>
      <c r="F356">
        <v>42</v>
      </c>
      <c r="G356">
        <v>300</v>
      </c>
      <c r="H356">
        <v>2</v>
      </c>
      <c r="I356">
        <v>600</v>
      </c>
      <c r="J356">
        <v>6.22</v>
      </c>
      <c r="K356" s="2">
        <v>45144</v>
      </c>
      <c r="L356" t="s">
        <v>317</v>
      </c>
    </row>
    <row r="357" spans="1:12" x14ac:dyDescent="0.25">
      <c r="A357" t="s">
        <v>138</v>
      </c>
      <c r="B357" t="s">
        <v>13</v>
      </c>
      <c r="C357" t="s">
        <v>321</v>
      </c>
      <c r="D357" t="s">
        <v>23</v>
      </c>
      <c r="E357" t="s">
        <v>15</v>
      </c>
      <c r="F357">
        <v>49</v>
      </c>
      <c r="G357">
        <v>1500</v>
      </c>
      <c r="H357">
        <v>4</v>
      </c>
      <c r="I357">
        <v>6000</v>
      </c>
      <c r="J357">
        <v>7.66</v>
      </c>
      <c r="K357" s="2">
        <v>44927</v>
      </c>
      <c r="L357" t="s">
        <v>316</v>
      </c>
    </row>
    <row r="358" spans="1:12" x14ac:dyDescent="0.25">
      <c r="A358" t="s">
        <v>80</v>
      </c>
      <c r="B358" t="s">
        <v>13</v>
      </c>
      <c r="C358" t="s">
        <v>323</v>
      </c>
      <c r="D358" t="s">
        <v>40</v>
      </c>
      <c r="E358" t="s">
        <v>15</v>
      </c>
      <c r="F358">
        <v>64</v>
      </c>
      <c r="G358">
        <v>800</v>
      </c>
      <c r="H358">
        <v>4</v>
      </c>
      <c r="I358">
        <v>3200</v>
      </c>
      <c r="J358">
        <v>5.82</v>
      </c>
      <c r="K358" s="2">
        <v>45201</v>
      </c>
      <c r="L358" t="s">
        <v>316</v>
      </c>
    </row>
    <row r="359" spans="1:12" x14ac:dyDescent="0.25">
      <c r="A359" t="s">
        <v>174</v>
      </c>
      <c r="B359" t="s">
        <v>13</v>
      </c>
      <c r="C359" t="s">
        <v>323</v>
      </c>
      <c r="D359" t="s">
        <v>14</v>
      </c>
      <c r="E359" t="s">
        <v>15</v>
      </c>
      <c r="F359">
        <v>54</v>
      </c>
      <c r="G359">
        <v>300</v>
      </c>
      <c r="H359">
        <v>4</v>
      </c>
      <c r="I359">
        <v>1200</v>
      </c>
      <c r="J359">
        <v>18.399999999999999</v>
      </c>
      <c r="K359" s="2">
        <v>45045</v>
      </c>
      <c r="L359" t="s">
        <v>318</v>
      </c>
    </row>
    <row r="360" spans="1:12" x14ac:dyDescent="0.25">
      <c r="A360" t="s">
        <v>173</v>
      </c>
      <c r="B360" t="s">
        <v>20</v>
      </c>
      <c r="C360" t="s">
        <v>320</v>
      </c>
      <c r="D360" t="s">
        <v>25</v>
      </c>
      <c r="E360" t="s">
        <v>26</v>
      </c>
      <c r="F360">
        <v>60</v>
      </c>
      <c r="G360">
        <v>200</v>
      </c>
      <c r="H360">
        <v>2</v>
      </c>
      <c r="I360">
        <v>400</v>
      </c>
      <c r="J360">
        <v>18.88</v>
      </c>
      <c r="K360" s="2">
        <v>45131</v>
      </c>
      <c r="L360" t="s">
        <v>318</v>
      </c>
    </row>
    <row r="361" spans="1:12" x14ac:dyDescent="0.25">
      <c r="A361" t="s">
        <v>188</v>
      </c>
      <c r="B361" t="s">
        <v>20</v>
      </c>
      <c r="C361" t="s">
        <v>320</v>
      </c>
      <c r="D361" t="s">
        <v>25</v>
      </c>
      <c r="E361" t="s">
        <v>26</v>
      </c>
      <c r="F361">
        <v>52</v>
      </c>
      <c r="G361">
        <v>200</v>
      </c>
      <c r="H361">
        <v>3</v>
      </c>
      <c r="I361">
        <v>600</v>
      </c>
      <c r="J361">
        <v>15.36</v>
      </c>
      <c r="K361" s="2">
        <v>45186</v>
      </c>
      <c r="L361" t="s">
        <v>317</v>
      </c>
    </row>
    <row r="362" spans="1:12" x14ac:dyDescent="0.25">
      <c r="A362" t="s">
        <v>140</v>
      </c>
      <c r="B362" t="s">
        <v>13</v>
      </c>
      <c r="C362" t="s">
        <v>323</v>
      </c>
      <c r="D362" t="s">
        <v>14</v>
      </c>
      <c r="E362" t="s">
        <v>15</v>
      </c>
      <c r="F362">
        <v>49</v>
      </c>
      <c r="G362">
        <v>300</v>
      </c>
      <c r="H362">
        <v>4</v>
      </c>
      <c r="I362">
        <v>1200</v>
      </c>
      <c r="J362">
        <v>16.88</v>
      </c>
      <c r="K362" s="2">
        <v>45195</v>
      </c>
      <c r="L362" t="s">
        <v>317</v>
      </c>
    </row>
    <row r="363" spans="1:12" x14ac:dyDescent="0.25">
      <c r="A363" t="s">
        <v>148</v>
      </c>
      <c r="B363" t="s">
        <v>13</v>
      </c>
      <c r="C363" t="s">
        <v>322</v>
      </c>
      <c r="D363" t="s">
        <v>17</v>
      </c>
      <c r="E363" t="s">
        <v>18</v>
      </c>
      <c r="F363">
        <v>56</v>
      </c>
      <c r="G363">
        <v>100</v>
      </c>
      <c r="H363">
        <v>4</v>
      </c>
      <c r="I363">
        <v>400</v>
      </c>
      <c r="J363">
        <v>19.940000000000001</v>
      </c>
      <c r="K363" s="2">
        <v>45084</v>
      </c>
      <c r="L363" t="s">
        <v>317</v>
      </c>
    </row>
    <row r="364" spans="1:12" x14ac:dyDescent="0.25">
      <c r="A364" t="s">
        <v>231</v>
      </c>
      <c r="B364" t="s">
        <v>20</v>
      </c>
      <c r="C364" t="s">
        <v>320</v>
      </c>
      <c r="D364" t="s">
        <v>17</v>
      </c>
      <c r="E364" t="s">
        <v>18</v>
      </c>
      <c r="F364">
        <v>64</v>
      </c>
      <c r="G364">
        <v>100</v>
      </c>
      <c r="H364">
        <v>1</v>
      </c>
      <c r="I364">
        <v>100</v>
      </c>
      <c r="J364">
        <v>10.32</v>
      </c>
      <c r="K364" s="2">
        <v>44997</v>
      </c>
      <c r="L364" t="s">
        <v>318</v>
      </c>
    </row>
    <row r="365" spans="1:12" x14ac:dyDescent="0.25">
      <c r="A365" t="s">
        <v>232</v>
      </c>
      <c r="B365" t="s">
        <v>20</v>
      </c>
      <c r="C365" t="s">
        <v>323</v>
      </c>
      <c r="D365" t="s">
        <v>29</v>
      </c>
      <c r="E365" t="s">
        <v>18</v>
      </c>
      <c r="F365">
        <v>25</v>
      </c>
      <c r="G365">
        <v>50</v>
      </c>
      <c r="H365">
        <v>4</v>
      </c>
      <c r="I365">
        <v>200</v>
      </c>
      <c r="J365">
        <v>7.33</v>
      </c>
      <c r="K365" s="2">
        <v>45223</v>
      </c>
      <c r="L365" t="s">
        <v>318</v>
      </c>
    </row>
    <row r="366" spans="1:12" x14ac:dyDescent="0.25">
      <c r="A366" t="s">
        <v>85</v>
      </c>
      <c r="B366" t="s">
        <v>13</v>
      </c>
      <c r="C366" t="s">
        <v>322</v>
      </c>
      <c r="D366" t="s">
        <v>40</v>
      </c>
      <c r="E366" t="s">
        <v>15</v>
      </c>
      <c r="F366">
        <v>41</v>
      </c>
      <c r="G366">
        <v>800</v>
      </c>
      <c r="H366">
        <v>5</v>
      </c>
      <c r="I366">
        <v>4000</v>
      </c>
      <c r="J366">
        <v>6.41</v>
      </c>
      <c r="K366" s="2">
        <v>45261</v>
      </c>
      <c r="L366" t="s">
        <v>317</v>
      </c>
    </row>
    <row r="367" spans="1:12" x14ac:dyDescent="0.25">
      <c r="A367" t="s">
        <v>104</v>
      </c>
      <c r="B367" t="s">
        <v>13</v>
      </c>
      <c r="C367" t="s">
        <v>321</v>
      </c>
      <c r="D367" t="s">
        <v>25</v>
      </c>
      <c r="E367" t="s">
        <v>26</v>
      </c>
      <c r="F367">
        <v>69</v>
      </c>
      <c r="G367">
        <v>200</v>
      </c>
      <c r="H367">
        <v>1</v>
      </c>
      <c r="I367">
        <v>200</v>
      </c>
      <c r="J367">
        <v>12.86</v>
      </c>
      <c r="K367" s="2">
        <v>45154</v>
      </c>
      <c r="L367" t="s">
        <v>317</v>
      </c>
    </row>
    <row r="368" spans="1:12" x14ac:dyDescent="0.25">
      <c r="A368" t="s">
        <v>231</v>
      </c>
      <c r="B368" t="s">
        <v>20</v>
      </c>
      <c r="C368" t="s">
        <v>320</v>
      </c>
      <c r="D368" t="s">
        <v>29</v>
      </c>
      <c r="E368" t="s">
        <v>18</v>
      </c>
      <c r="F368">
        <v>64</v>
      </c>
      <c r="G368">
        <v>50</v>
      </c>
      <c r="H368">
        <v>1</v>
      </c>
      <c r="I368">
        <v>50</v>
      </c>
      <c r="J368">
        <v>13.13</v>
      </c>
      <c r="K368" s="2">
        <v>44970</v>
      </c>
      <c r="L368" t="s">
        <v>317</v>
      </c>
    </row>
    <row r="369" spans="1:12" x14ac:dyDescent="0.25">
      <c r="A369" t="s">
        <v>233</v>
      </c>
      <c r="B369" t="s">
        <v>20</v>
      </c>
      <c r="C369" t="s">
        <v>319</v>
      </c>
      <c r="D369" t="s">
        <v>30</v>
      </c>
      <c r="E369" t="s">
        <v>18</v>
      </c>
      <c r="F369">
        <v>38</v>
      </c>
      <c r="G369">
        <v>30</v>
      </c>
      <c r="H369">
        <v>2</v>
      </c>
      <c r="I369">
        <v>60</v>
      </c>
      <c r="J369">
        <v>17.21</v>
      </c>
      <c r="K369" s="2">
        <v>45258</v>
      </c>
      <c r="L369" t="s">
        <v>317</v>
      </c>
    </row>
    <row r="370" spans="1:12" x14ac:dyDescent="0.25">
      <c r="A370" t="s">
        <v>234</v>
      </c>
      <c r="B370" t="s">
        <v>13</v>
      </c>
      <c r="C370" t="s">
        <v>320</v>
      </c>
      <c r="D370" t="s">
        <v>23</v>
      </c>
      <c r="E370" t="s">
        <v>15</v>
      </c>
      <c r="F370">
        <v>18</v>
      </c>
      <c r="G370">
        <v>1500</v>
      </c>
      <c r="H370">
        <v>2</v>
      </c>
      <c r="I370">
        <v>3000</v>
      </c>
      <c r="J370">
        <v>7.81</v>
      </c>
      <c r="K370" s="2">
        <v>45099</v>
      </c>
      <c r="L370" t="s">
        <v>316</v>
      </c>
    </row>
    <row r="371" spans="1:12" x14ac:dyDescent="0.25">
      <c r="A371" t="s">
        <v>157</v>
      </c>
      <c r="B371" t="s">
        <v>20</v>
      </c>
      <c r="C371" t="s">
        <v>322</v>
      </c>
      <c r="D371" t="s">
        <v>30</v>
      </c>
      <c r="E371" t="s">
        <v>18</v>
      </c>
      <c r="F371">
        <v>56</v>
      </c>
      <c r="G371">
        <v>30</v>
      </c>
      <c r="H371">
        <v>5</v>
      </c>
      <c r="I371">
        <v>150</v>
      </c>
      <c r="J371">
        <v>5.44</v>
      </c>
      <c r="K371" s="2">
        <v>45100</v>
      </c>
      <c r="L371" t="s">
        <v>317</v>
      </c>
    </row>
    <row r="372" spans="1:12" x14ac:dyDescent="0.25">
      <c r="A372" t="s">
        <v>211</v>
      </c>
      <c r="B372" t="s">
        <v>20</v>
      </c>
      <c r="C372" t="s">
        <v>323</v>
      </c>
      <c r="D372" t="s">
        <v>40</v>
      </c>
      <c r="E372" t="s">
        <v>15</v>
      </c>
      <c r="F372">
        <v>66</v>
      </c>
      <c r="G372">
        <v>800</v>
      </c>
      <c r="H372">
        <v>3</v>
      </c>
      <c r="I372">
        <v>2400</v>
      </c>
      <c r="J372">
        <v>19.63</v>
      </c>
      <c r="K372" s="2">
        <v>45135</v>
      </c>
      <c r="L372" t="s">
        <v>318</v>
      </c>
    </row>
    <row r="373" spans="1:12" x14ac:dyDescent="0.25">
      <c r="A373" t="s">
        <v>235</v>
      </c>
      <c r="B373" t="s">
        <v>13</v>
      </c>
      <c r="C373" t="s">
        <v>320</v>
      </c>
      <c r="D373" t="s">
        <v>40</v>
      </c>
      <c r="E373" t="s">
        <v>15</v>
      </c>
      <c r="F373">
        <v>49</v>
      </c>
      <c r="G373">
        <v>800</v>
      </c>
      <c r="H373">
        <v>1</v>
      </c>
      <c r="I373">
        <v>800</v>
      </c>
      <c r="J373">
        <v>15.79</v>
      </c>
      <c r="K373" s="2">
        <v>45229</v>
      </c>
      <c r="L373" t="s">
        <v>317</v>
      </c>
    </row>
    <row r="374" spans="1:12" x14ac:dyDescent="0.25">
      <c r="A374" t="s">
        <v>73</v>
      </c>
      <c r="B374" t="s">
        <v>20</v>
      </c>
      <c r="C374" t="s">
        <v>322</v>
      </c>
      <c r="D374" t="s">
        <v>23</v>
      </c>
      <c r="E374" t="s">
        <v>15</v>
      </c>
      <c r="F374">
        <v>51</v>
      </c>
      <c r="G374">
        <v>1500</v>
      </c>
      <c r="H374">
        <v>3</v>
      </c>
      <c r="I374">
        <v>4500</v>
      </c>
      <c r="J374">
        <v>5.72</v>
      </c>
      <c r="K374" s="2">
        <v>45240</v>
      </c>
      <c r="L374" t="s">
        <v>317</v>
      </c>
    </row>
    <row r="375" spans="1:12" x14ac:dyDescent="0.25">
      <c r="A375" t="s">
        <v>62</v>
      </c>
      <c r="B375" t="s">
        <v>20</v>
      </c>
      <c r="C375" t="s">
        <v>321</v>
      </c>
      <c r="D375" t="s">
        <v>25</v>
      </c>
      <c r="E375" t="s">
        <v>26</v>
      </c>
      <c r="F375">
        <v>58</v>
      </c>
      <c r="G375">
        <v>200</v>
      </c>
      <c r="H375">
        <v>3</v>
      </c>
      <c r="I375">
        <v>600</v>
      </c>
      <c r="J375">
        <v>9.69</v>
      </c>
      <c r="K375" s="2">
        <v>45294</v>
      </c>
      <c r="L375" t="s">
        <v>316</v>
      </c>
    </row>
    <row r="376" spans="1:12" x14ac:dyDescent="0.25">
      <c r="A376" t="s">
        <v>68</v>
      </c>
      <c r="B376" t="s">
        <v>20</v>
      </c>
      <c r="C376" t="s">
        <v>322</v>
      </c>
      <c r="D376" t="s">
        <v>40</v>
      </c>
      <c r="E376" t="s">
        <v>15</v>
      </c>
      <c r="F376">
        <v>44</v>
      </c>
      <c r="G376">
        <v>1658.43232665954</v>
      </c>
      <c r="H376">
        <v>3</v>
      </c>
      <c r="I376">
        <v>2400</v>
      </c>
      <c r="J376">
        <v>19.309999999999999</v>
      </c>
      <c r="K376" s="2">
        <v>45080</v>
      </c>
      <c r="L376" t="s">
        <v>318</v>
      </c>
    </row>
    <row r="377" spans="1:12" x14ac:dyDescent="0.25">
      <c r="A377" t="s">
        <v>134</v>
      </c>
      <c r="B377" t="s">
        <v>20</v>
      </c>
      <c r="C377" t="s">
        <v>323</v>
      </c>
      <c r="D377" t="s">
        <v>23</v>
      </c>
      <c r="E377" t="s">
        <v>15</v>
      </c>
      <c r="F377">
        <v>46</v>
      </c>
      <c r="G377">
        <v>1500</v>
      </c>
      <c r="H377">
        <v>4</v>
      </c>
      <c r="I377">
        <v>6000</v>
      </c>
      <c r="J377">
        <v>16.309999999999999</v>
      </c>
      <c r="K377" s="2">
        <v>45106</v>
      </c>
      <c r="L377" t="s">
        <v>317</v>
      </c>
    </row>
    <row r="378" spans="1:12" x14ac:dyDescent="0.25">
      <c r="A378" t="s">
        <v>204</v>
      </c>
      <c r="B378" t="s">
        <v>13</v>
      </c>
      <c r="C378" t="s">
        <v>323</v>
      </c>
      <c r="D378" t="s">
        <v>30</v>
      </c>
      <c r="E378" t="s">
        <v>18</v>
      </c>
      <c r="F378">
        <v>69</v>
      </c>
      <c r="G378">
        <v>30</v>
      </c>
      <c r="H378">
        <v>1</v>
      </c>
      <c r="I378">
        <v>30</v>
      </c>
      <c r="J378">
        <v>10.99</v>
      </c>
      <c r="K378" s="2">
        <v>45205</v>
      </c>
      <c r="L378" t="s">
        <v>317</v>
      </c>
    </row>
    <row r="379" spans="1:12" x14ac:dyDescent="0.25">
      <c r="A379" t="s">
        <v>129</v>
      </c>
      <c r="B379" t="s">
        <v>20</v>
      </c>
      <c r="C379" t="s">
        <v>321</v>
      </c>
      <c r="D379" t="s">
        <v>40</v>
      </c>
      <c r="E379" t="s">
        <v>15</v>
      </c>
      <c r="F379">
        <v>62</v>
      </c>
      <c r="G379">
        <v>800</v>
      </c>
      <c r="H379">
        <v>3</v>
      </c>
      <c r="I379">
        <v>2400</v>
      </c>
      <c r="J379">
        <v>16.12</v>
      </c>
      <c r="K379" s="2">
        <v>45139</v>
      </c>
      <c r="L379" t="s">
        <v>317</v>
      </c>
    </row>
    <row r="380" spans="1:12" x14ac:dyDescent="0.25">
      <c r="A380" t="s">
        <v>170</v>
      </c>
      <c r="B380" t="s">
        <v>20</v>
      </c>
      <c r="C380" t="s">
        <v>322</v>
      </c>
      <c r="D380" t="s">
        <v>25</v>
      </c>
      <c r="E380" t="s">
        <v>26</v>
      </c>
      <c r="F380">
        <v>57</v>
      </c>
      <c r="G380">
        <v>200</v>
      </c>
      <c r="H380">
        <v>2</v>
      </c>
      <c r="I380">
        <v>400</v>
      </c>
      <c r="J380">
        <v>8.7100000000000009</v>
      </c>
      <c r="K380" s="2">
        <v>45064</v>
      </c>
      <c r="L380" t="s">
        <v>319</v>
      </c>
    </row>
    <row r="381" spans="1:12" x14ac:dyDescent="0.25">
      <c r="A381" t="s">
        <v>137</v>
      </c>
      <c r="B381" t="s">
        <v>13</v>
      </c>
      <c r="C381" t="s">
        <v>323</v>
      </c>
      <c r="D381" t="s">
        <v>40</v>
      </c>
      <c r="E381" t="s">
        <v>15</v>
      </c>
      <c r="F381">
        <v>27</v>
      </c>
      <c r="G381">
        <v>800</v>
      </c>
      <c r="H381">
        <v>5</v>
      </c>
      <c r="I381">
        <v>4000</v>
      </c>
      <c r="J381">
        <v>12.26</v>
      </c>
      <c r="K381" s="2">
        <v>45048</v>
      </c>
      <c r="L381" t="s">
        <v>316</v>
      </c>
    </row>
    <row r="382" spans="1:12" x14ac:dyDescent="0.25">
      <c r="A382" t="s">
        <v>236</v>
      </c>
      <c r="B382" t="s">
        <v>20</v>
      </c>
      <c r="C382" t="s">
        <v>323</v>
      </c>
      <c r="D382" t="s">
        <v>40</v>
      </c>
      <c r="E382" t="s">
        <v>15</v>
      </c>
      <c r="F382">
        <v>57</v>
      </c>
      <c r="G382">
        <v>800</v>
      </c>
      <c r="H382">
        <v>1</v>
      </c>
      <c r="I382">
        <v>800</v>
      </c>
      <c r="J382">
        <v>19.34</v>
      </c>
      <c r="K382" s="2">
        <v>45250</v>
      </c>
      <c r="L382" t="s">
        <v>318</v>
      </c>
    </row>
    <row r="383" spans="1:12" x14ac:dyDescent="0.25">
      <c r="A383" t="s">
        <v>69</v>
      </c>
      <c r="B383" t="s">
        <v>20</v>
      </c>
      <c r="C383" t="s">
        <v>321</v>
      </c>
      <c r="D383" t="s">
        <v>23</v>
      </c>
      <c r="E383" t="s">
        <v>15</v>
      </c>
      <c r="F383">
        <v>67</v>
      </c>
      <c r="G383">
        <v>1500</v>
      </c>
      <c r="H383">
        <v>2</v>
      </c>
      <c r="I383">
        <v>3000</v>
      </c>
      <c r="J383">
        <v>18.809999999999999</v>
      </c>
      <c r="K383" s="2">
        <v>45148</v>
      </c>
      <c r="L383" t="s">
        <v>317</v>
      </c>
    </row>
    <row r="384" spans="1:12" x14ac:dyDescent="0.25">
      <c r="A384" t="s">
        <v>104</v>
      </c>
      <c r="B384" t="s">
        <v>13</v>
      </c>
      <c r="C384" t="s">
        <v>320</v>
      </c>
      <c r="D384" t="s">
        <v>14</v>
      </c>
      <c r="E384" t="s">
        <v>15</v>
      </c>
      <c r="F384">
        <v>69</v>
      </c>
      <c r="G384">
        <v>300</v>
      </c>
      <c r="H384">
        <v>1</v>
      </c>
      <c r="I384">
        <v>300</v>
      </c>
      <c r="J384">
        <v>14.91</v>
      </c>
      <c r="K384" s="2">
        <v>45021</v>
      </c>
      <c r="L384" t="s">
        <v>318</v>
      </c>
    </row>
    <row r="385" spans="1:12" x14ac:dyDescent="0.25">
      <c r="A385" t="s">
        <v>213</v>
      </c>
      <c r="B385" t="s">
        <v>20</v>
      </c>
      <c r="C385" t="s">
        <v>320</v>
      </c>
      <c r="D385" t="s">
        <v>30</v>
      </c>
      <c r="E385" t="s">
        <v>18</v>
      </c>
      <c r="F385">
        <v>49</v>
      </c>
      <c r="G385">
        <v>30</v>
      </c>
      <c r="H385">
        <v>1</v>
      </c>
      <c r="I385">
        <v>30</v>
      </c>
      <c r="J385">
        <v>5.6</v>
      </c>
      <c r="K385" s="2">
        <v>45035</v>
      </c>
      <c r="L385" t="s">
        <v>318</v>
      </c>
    </row>
    <row r="386" spans="1:12" x14ac:dyDescent="0.25">
      <c r="A386" t="s">
        <v>207</v>
      </c>
      <c r="B386" t="s">
        <v>13</v>
      </c>
      <c r="C386" t="s">
        <v>321</v>
      </c>
      <c r="D386" t="s">
        <v>23</v>
      </c>
      <c r="E386" t="s">
        <v>15</v>
      </c>
      <c r="F386">
        <v>63</v>
      </c>
      <c r="G386">
        <v>1500</v>
      </c>
      <c r="H386">
        <v>3</v>
      </c>
      <c r="I386">
        <v>4500</v>
      </c>
      <c r="J386">
        <v>19.690000000000001</v>
      </c>
      <c r="K386" s="2">
        <v>45290</v>
      </c>
      <c r="L386" t="s">
        <v>317</v>
      </c>
    </row>
    <row r="387" spans="1:12" x14ac:dyDescent="0.25">
      <c r="A387" t="s">
        <v>237</v>
      </c>
      <c r="B387" t="s">
        <v>13</v>
      </c>
      <c r="C387" t="s">
        <v>322</v>
      </c>
      <c r="D387" t="s">
        <v>23</v>
      </c>
      <c r="E387" t="s">
        <v>15</v>
      </c>
      <c r="F387">
        <v>49</v>
      </c>
      <c r="G387">
        <v>1500</v>
      </c>
      <c r="H387">
        <v>4</v>
      </c>
      <c r="I387">
        <v>6000</v>
      </c>
      <c r="J387">
        <v>15.12</v>
      </c>
      <c r="K387" s="2">
        <v>45240</v>
      </c>
      <c r="L387" t="s">
        <v>317</v>
      </c>
    </row>
    <row r="388" spans="1:12" x14ac:dyDescent="0.25">
      <c r="A388" t="s">
        <v>238</v>
      </c>
      <c r="B388" t="s">
        <v>20</v>
      </c>
      <c r="C388" t="s">
        <v>320</v>
      </c>
      <c r="D388" t="s">
        <v>17</v>
      </c>
      <c r="E388" t="s">
        <v>18</v>
      </c>
      <c r="F388">
        <v>58</v>
      </c>
      <c r="G388">
        <v>100</v>
      </c>
      <c r="H388">
        <v>1</v>
      </c>
      <c r="I388">
        <v>100</v>
      </c>
      <c r="J388">
        <v>5.25</v>
      </c>
      <c r="K388" s="2">
        <v>44940</v>
      </c>
      <c r="L388" t="s">
        <v>318</v>
      </c>
    </row>
    <row r="389" spans="1:12" x14ac:dyDescent="0.25">
      <c r="A389" t="s">
        <v>34</v>
      </c>
      <c r="B389" t="s">
        <v>13</v>
      </c>
      <c r="C389" t="s">
        <v>320</v>
      </c>
      <c r="D389" t="s">
        <v>17</v>
      </c>
      <c r="E389" t="s">
        <v>18</v>
      </c>
      <c r="F389">
        <v>41</v>
      </c>
      <c r="G389">
        <v>100</v>
      </c>
      <c r="H389">
        <v>1</v>
      </c>
      <c r="I389">
        <v>100</v>
      </c>
      <c r="J389">
        <v>18.38</v>
      </c>
      <c r="K389" s="2">
        <v>45112</v>
      </c>
      <c r="L389" t="s">
        <v>316</v>
      </c>
    </row>
    <row r="390" spans="1:12" x14ac:dyDescent="0.25">
      <c r="A390" t="s">
        <v>87</v>
      </c>
      <c r="B390" t="s">
        <v>20</v>
      </c>
      <c r="C390" t="s">
        <v>323</v>
      </c>
      <c r="D390" t="s">
        <v>14</v>
      </c>
      <c r="E390" t="s">
        <v>15</v>
      </c>
      <c r="F390">
        <v>21</v>
      </c>
      <c r="G390">
        <v>300</v>
      </c>
      <c r="H390">
        <v>3</v>
      </c>
      <c r="I390">
        <v>900</v>
      </c>
      <c r="J390">
        <v>15.22</v>
      </c>
      <c r="K390" s="2">
        <v>45294</v>
      </c>
      <c r="L390" t="s">
        <v>317</v>
      </c>
    </row>
    <row r="391" spans="1:12" x14ac:dyDescent="0.25">
      <c r="A391" t="s">
        <v>223</v>
      </c>
      <c r="B391" t="s">
        <v>13</v>
      </c>
      <c r="C391" t="s">
        <v>320</v>
      </c>
      <c r="D391" t="s">
        <v>14</v>
      </c>
      <c r="E391" t="s">
        <v>15</v>
      </c>
      <c r="F391">
        <v>20</v>
      </c>
      <c r="G391">
        <v>300</v>
      </c>
      <c r="H391">
        <v>4</v>
      </c>
      <c r="I391">
        <v>1200</v>
      </c>
      <c r="J391">
        <v>15.57</v>
      </c>
      <c r="K391" s="2">
        <v>45236</v>
      </c>
      <c r="L391" t="s">
        <v>318</v>
      </c>
    </row>
    <row r="392" spans="1:12" x14ac:dyDescent="0.25">
      <c r="A392" t="s">
        <v>68</v>
      </c>
      <c r="B392" t="s">
        <v>13</v>
      </c>
      <c r="C392" t="s">
        <v>323</v>
      </c>
      <c r="D392" t="s">
        <v>23</v>
      </c>
      <c r="E392" t="s">
        <v>15</v>
      </c>
      <c r="F392">
        <v>44</v>
      </c>
      <c r="G392">
        <v>1500</v>
      </c>
      <c r="H392">
        <v>5</v>
      </c>
      <c r="I392">
        <v>7500</v>
      </c>
      <c r="J392">
        <v>8.0299999999999994</v>
      </c>
      <c r="K392" s="2">
        <v>44946</v>
      </c>
      <c r="L392" t="s">
        <v>317</v>
      </c>
    </row>
    <row r="393" spans="1:12" x14ac:dyDescent="0.25">
      <c r="A393" t="s">
        <v>39</v>
      </c>
      <c r="B393" t="s">
        <v>20</v>
      </c>
      <c r="C393" t="s">
        <v>320</v>
      </c>
      <c r="D393" t="s">
        <v>14</v>
      </c>
      <c r="E393" t="s">
        <v>15</v>
      </c>
      <c r="F393">
        <v>30</v>
      </c>
      <c r="G393">
        <v>300</v>
      </c>
      <c r="H393">
        <v>5</v>
      </c>
      <c r="I393">
        <v>1500</v>
      </c>
      <c r="J393">
        <v>16.68</v>
      </c>
      <c r="K393" s="2">
        <v>45052</v>
      </c>
      <c r="L393" t="s">
        <v>316</v>
      </c>
    </row>
    <row r="394" spans="1:12" x14ac:dyDescent="0.25">
      <c r="A394" t="s">
        <v>160</v>
      </c>
      <c r="B394" t="s">
        <v>20</v>
      </c>
      <c r="C394" t="s">
        <v>320</v>
      </c>
      <c r="D394" t="s">
        <v>17</v>
      </c>
      <c r="E394" t="s">
        <v>18</v>
      </c>
      <c r="F394">
        <v>27</v>
      </c>
      <c r="G394">
        <v>100</v>
      </c>
      <c r="H394">
        <v>2</v>
      </c>
      <c r="I394">
        <v>200</v>
      </c>
      <c r="J394">
        <v>12.44</v>
      </c>
      <c r="K394" s="2">
        <v>45220</v>
      </c>
      <c r="L394" t="s">
        <v>317</v>
      </c>
    </row>
    <row r="395" spans="1:12" x14ac:dyDescent="0.25">
      <c r="A395" t="s">
        <v>239</v>
      </c>
      <c r="B395" t="s">
        <v>13</v>
      </c>
      <c r="C395" t="s">
        <v>322</v>
      </c>
      <c r="D395" t="s">
        <v>14</v>
      </c>
      <c r="E395" t="s">
        <v>15</v>
      </c>
      <c r="F395">
        <v>49</v>
      </c>
      <c r="G395">
        <v>300</v>
      </c>
      <c r="H395">
        <v>3</v>
      </c>
      <c r="I395">
        <v>900</v>
      </c>
      <c r="J395">
        <v>6.39</v>
      </c>
      <c r="K395" s="2">
        <v>45290</v>
      </c>
      <c r="L395" t="s">
        <v>316</v>
      </c>
    </row>
    <row r="396" spans="1:12" x14ac:dyDescent="0.25">
      <c r="A396" t="s">
        <v>240</v>
      </c>
      <c r="B396" t="s">
        <v>20</v>
      </c>
      <c r="C396" t="s">
        <v>323</v>
      </c>
      <c r="D396" t="s">
        <v>29</v>
      </c>
      <c r="E396" t="s">
        <v>18</v>
      </c>
      <c r="F396">
        <v>27</v>
      </c>
      <c r="G396">
        <v>50</v>
      </c>
      <c r="H396">
        <v>1</v>
      </c>
      <c r="I396">
        <v>50</v>
      </c>
      <c r="J396">
        <v>11.72</v>
      </c>
      <c r="K396" s="2">
        <v>45117</v>
      </c>
      <c r="L396" t="s">
        <v>317</v>
      </c>
    </row>
    <row r="397" spans="1:12" x14ac:dyDescent="0.25">
      <c r="A397" t="s">
        <v>32</v>
      </c>
      <c r="B397" t="s">
        <v>20</v>
      </c>
      <c r="C397" t="s">
        <v>321</v>
      </c>
      <c r="D397" t="s">
        <v>40</v>
      </c>
      <c r="E397" t="s">
        <v>15</v>
      </c>
      <c r="F397">
        <v>49</v>
      </c>
      <c r="G397">
        <v>800</v>
      </c>
      <c r="H397">
        <v>2</v>
      </c>
      <c r="I397">
        <v>1600</v>
      </c>
      <c r="J397">
        <v>6.85</v>
      </c>
      <c r="K397" s="2">
        <v>45294</v>
      </c>
      <c r="L397" t="s">
        <v>318</v>
      </c>
    </row>
    <row r="398" spans="1:12" x14ac:dyDescent="0.25">
      <c r="A398" t="s">
        <v>165</v>
      </c>
      <c r="B398" t="s">
        <v>13</v>
      </c>
      <c r="C398" t="s">
        <v>322</v>
      </c>
      <c r="D398" t="s">
        <v>30</v>
      </c>
      <c r="E398" t="s">
        <v>18</v>
      </c>
      <c r="F398">
        <v>66</v>
      </c>
      <c r="G398">
        <v>30</v>
      </c>
      <c r="H398">
        <v>4</v>
      </c>
      <c r="I398">
        <v>120</v>
      </c>
      <c r="J398">
        <v>14.27</v>
      </c>
      <c r="K398" s="2">
        <v>44962</v>
      </c>
      <c r="L398" t="s">
        <v>317</v>
      </c>
    </row>
    <row r="399" spans="1:12" x14ac:dyDescent="0.25">
      <c r="A399" t="s">
        <v>141</v>
      </c>
      <c r="B399" t="s">
        <v>20</v>
      </c>
      <c r="C399" t="s">
        <v>320</v>
      </c>
      <c r="D399" t="s">
        <v>23</v>
      </c>
      <c r="E399" t="s">
        <v>15</v>
      </c>
      <c r="F399">
        <v>39</v>
      </c>
      <c r="G399">
        <v>1500</v>
      </c>
      <c r="H399">
        <v>3</v>
      </c>
      <c r="I399">
        <v>4500</v>
      </c>
      <c r="J399">
        <v>15.91</v>
      </c>
      <c r="K399" s="2">
        <v>44960</v>
      </c>
      <c r="L399" t="s">
        <v>316</v>
      </c>
    </row>
    <row r="400" spans="1:12" x14ac:dyDescent="0.25">
      <c r="A400" t="s">
        <v>241</v>
      </c>
      <c r="B400" t="s">
        <v>13</v>
      </c>
      <c r="C400" t="s">
        <v>322</v>
      </c>
      <c r="D400" t="s">
        <v>23</v>
      </c>
      <c r="E400" t="s">
        <v>15</v>
      </c>
      <c r="F400">
        <v>52</v>
      </c>
      <c r="G400">
        <v>1500</v>
      </c>
      <c r="H400">
        <v>5</v>
      </c>
      <c r="I400">
        <v>7500</v>
      </c>
      <c r="J400">
        <v>16.010000000000002</v>
      </c>
      <c r="K400" s="2">
        <v>45252</v>
      </c>
      <c r="L400" t="s">
        <v>317</v>
      </c>
    </row>
    <row r="401" spans="1:12" x14ac:dyDescent="0.25">
      <c r="A401" t="s">
        <v>238</v>
      </c>
      <c r="B401" t="s">
        <v>13</v>
      </c>
      <c r="C401" t="s">
        <v>322</v>
      </c>
      <c r="D401" t="s">
        <v>40</v>
      </c>
      <c r="E401" t="s">
        <v>15</v>
      </c>
      <c r="F401">
        <v>49</v>
      </c>
      <c r="G401">
        <v>800</v>
      </c>
      <c r="H401">
        <v>3</v>
      </c>
      <c r="I401">
        <v>2400</v>
      </c>
      <c r="J401">
        <v>19.440000000000001</v>
      </c>
      <c r="K401" s="2">
        <v>45080</v>
      </c>
      <c r="L401" t="s">
        <v>317</v>
      </c>
    </row>
    <row r="402" spans="1:12" x14ac:dyDescent="0.25">
      <c r="A402" t="s">
        <v>190</v>
      </c>
      <c r="B402" t="s">
        <v>20</v>
      </c>
      <c r="C402" t="s">
        <v>321</v>
      </c>
      <c r="D402" t="s">
        <v>30</v>
      </c>
      <c r="E402" t="s">
        <v>18</v>
      </c>
      <c r="F402">
        <v>59</v>
      </c>
      <c r="G402">
        <v>30</v>
      </c>
      <c r="H402">
        <v>3</v>
      </c>
      <c r="I402">
        <v>90</v>
      </c>
      <c r="J402">
        <v>7.34</v>
      </c>
      <c r="K402" s="2">
        <v>45042</v>
      </c>
      <c r="L402" t="s">
        <v>316</v>
      </c>
    </row>
    <row r="403" spans="1:12" x14ac:dyDescent="0.25">
      <c r="A403" t="s">
        <v>165</v>
      </c>
      <c r="B403" t="s">
        <v>20</v>
      </c>
      <c r="C403" t="s">
        <v>323</v>
      </c>
      <c r="D403" t="s">
        <v>17</v>
      </c>
      <c r="E403" t="s">
        <v>18</v>
      </c>
      <c r="F403">
        <v>66</v>
      </c>
      <c r="G403">
        <v>100</v>
      </c>
      <c r="H403">
        <v>3</v>
      </c>
      <c r="I403">
        <v>300</v>
      </c>
      <c r="J403">
        <v>13.21</v>
      </c>
      <c r="K403" s="2">
        <v>44998</v>
      </c>
      <c r="L403" t="s">
        <v>317</v>
      </c>
    </row>
    <row r="404" spans="1:12" x14ac:dyDescent="0.25">
      <c r="A404" t="s">
        <v>242</v>
      </c>
      <c r="B404" t="s">
        <v>20</v>
      </c>
      <c r="C404" t="s">
        <v>321</v>
      </c>
      <c r="D404" t="s">
        <v>23</v>
      </c>
      <c r="E404" t="s">
        <v>15</v>
      </c>
      <c r="F404">
        <v>49</v>
      </c>
      <c r="G404">
        <v>1500</v>
      </c>
      <c r="H404">
        <v>5</v>
      </c>
      <c r="I404">
        <v>7500</v>
      </c>
      <c r="J404">
        <v>11.03</v>
      </c>
      <c r="K404" s="2">
        <v>44937</v>
      </c>
      <c r="L404" t="s">
        <v>316</v>
      </c>
    </row>
    <row r="405" spans="1:12" x14ac:dyDescent="0.25">
      <c r="A405" t="s">
        <v>235</v>
      </c>
      <c r="B405" t="s">
        <v>20</v>
      </c>
      <c r="C405" t="s">
        <v>322</v>
      </c>
      <c r="D405" t="s">
        <v>29</v>
      </c>
      <c r="E405" t="s">
        <v>18</v>
      </c>
      <c r="F405">
        <v>23</v>
      </c>
      <c r="G405">
        <v>50</v>
      </c>
      <c r="H405">
        <v>5</v>
      </c>
      <c r="I405">
        <v>250</v>
      </c>
      <c r="J405">
        <v>14.12</v>
      </c>
      <c r="K405" s="2">
        <v>45026</v>
      </c>
      <c r="L405" t="s">
        <v>317</v>
      </c>
    </row>
    <row r="406" spans="1:12" x14ac:dyDescent="0.25">
      <c r="A406" t="s">
        <v>211</v>
      </c>
      <c r="B406" t="s">
        <v>20</v>
      </c>
      <c r="C406" t="s">
        <v>320</v>
      </c>
      <c r="D406" t="s">
        <v>25</v>
      </c>
      <c r="E406" t="s">
        <v>26</v>
      </c>
      <c r="F406">
        <v>66</v>
      </c>
      <c r="G406">
        <v>200</v>
      </c>
      <c r="H406">
        <v>5</v>
      </c>
      <c r="I406">
        <v>1000</v>
      </c>
      <c r="J406">
        <v>10.43</v>
      </c>
      <c r="K406" s="2">
        <v>44992</v>
      </c>
      <c r="L406" t="s">
        <v>318</v>
      </c>
    </row>
    <row r="407" spans="1:12" x14ac:dyDescent="0.25">
      <c r="A407" t="s">
        <v>192</v>
      </c>
      <c r="B407" t="s">
        <v>20</v>
      </c>
      <c r="C407" t="s">
        <v>320</v>
      </c>
      <c r="D407" t="s">
        <v>23</v>
      </c>
      <c r="E407" t="s">
        <v>15</v>
      </c>
      <c r="F407">
        <v>28</v>
      </c>
      <c r="G407">
        <v>1500</v>
      </c>
      <c r="H407">
        <v>1</v>
      </c>
      <c r="I407">
        <v>1500</v>
      </c>
      <c r="J407">
        <v>12.71</v>
      </c>
      <c r="K407" s="2">
        <v>45169</v>
      </c>
      <c r="L407" t="s">
        <v>316</v>
      </c>
    </row>
    <row r="408" spans="1:12" x14ac:dyDescent="0.25">
      <c r="A408" t="s">
        <v>38</v>
      </c>
      <c r="B408" t="s">
        <v>13</v>
      </c>
      <c r="C408" t="s">
        <v>323</v>
      </c>
      <c r="D408" t="s">
        <v>40</v>
      </c>
      <c r="E408" t="s">
        <v>15</v>
      </c>
      <c r="F408">
        <v>57</v>
      </c>
      <c r="G408">
        <v>800</v>
      </c>
      <c r="H408">
        <v>2</v>
      </c>
      <c r="I408">
        <v>1600</v>
      </c>
      <c r="J408">
        <v>12.55</v>
      </c>
      <c r="K408" s="2">
        <v>44928</v>
      </c>
      <c r="L408" t="s">
        <v>319</v>
      </c>
    </row>
    <row r="409" spans="1:12" x14ac:dyDescent="0.25">
      <c r="A409" t="s">
        <v>243</v>
      </c>
      <c r="B409" t="s">
        <v>13</v>
      </c>
      <c r="C409" t="s">
        <v>322</v>
      </c>
      <c r="D409" t="s">
        <v>29</v>
      </c>
      <c r="E409" t="s">
        <v>18</v>
      </c>
      <c r="F409">
        <v>49</v>
      </c>
      <c r="G409">
        <v>50</v>
      </c>
      <c r="H409">
        <v>2</v>
      </c>
      <c r="I409">
        <v>100</v>
      </c>
      <c r="J409">
        <v>6.85</v>
      </c>
      <c r="K409" s="2">
        <v>45218</v>
      </c>
      <c r="L409" t="s">
        <v>316</v>
      </c>
    </row>
    <row r="410" spans="1:12" x14ac:dyDescent="0.25">
      <c r="A410" t="s">
        <v>43</v>
      </c>
      <c r="B410" t="s">
        <v>13</v>
      </c>
      <c r="C410" t="s">
        <v>321</v>
      </c>
      <c r="D410" t="s">
        <v>23</v>
      </c>
      <c r="E410" t="s">
        <v>15</v>
      </c>
      <c r="F410">
        <v>37</v>
      </c>
      <c r="G410">
        <v>1500</v>
      </c>
      <c r="H410">
        <v>2</v>
      </c>
      <c r="I410">
        <v>3000</v>
      </c>
      <c r="J410">
        <v>17.23</v>
      </c>
      <c r="K410" s="2">
        <v>44936</v>
      </c>
      <c r="L410" t="s">
        <v>316</v>
      </c>
    </row>
    <row r="411" spans="1:12" x14ac:dyDescent="0.25">
      <c r="A411" t="s">
        <v>45</v>
      </c>
      <c r="B411" t="s">
        <v>13</v>
      </c>
      <c r="C411" t="s">
        <v>323</v>
      </c>
      <c r="D411" t="s">
        <v>17</v>
      </c>
      <c r="E411" t="s">
        <v>18</v>
      </c>
      <c r="F411">
        <v>52</v>
      </c>
      <c r="G411">
        <v>100</v>
      </c>
      <c r="H411">
        <v>3</v>
      </c>
      <c r="I411">
        <v>300</v>
      </c>
      <c r="J411">
        <v>19.53</v>
      </c>
      <c r="K411" s="2">
        <v>44942</v>
      </c>
      <c r="L411" t="s">
        <v>317</v>
      </c>
    </row>
    <row r="412" spans="1:12" x14ac:dyDescent="0.25">
      <c r="A412" t="s">
        <v>244</v>
      </c>
      <c r="B412" t="s">
        <v>13</v>
      </c>
      <c r="C412" t="s">
        <v>321</v>
      </c>
      <c r="D412" t="s">
        <v>25</v>
      </c>
      <c r="E412" t="s">
        <v>26</v>
      </c>
      <c r="F412">
        <v>49</v>
      </c>
      <c r="G412">
        <v>200</v>
      </c>
      <c r="H412">
        <v>3</v>
      </c>
      <c r="I412">
        <v>600</v>
      </c>
      <c r="J412">
        <v>18.62</v>
      </c>
      <c r="K412" s="2">
        <v>45130</v>
      </c>
      <c r="L412" t="s">
        <v>318</v>
      </c>
    </row>
    <row r="413" spans="1:12" x14ac:dyDescent="0.25">
      <c r="A413" t="s">
        <v>91</v>
      </c>
      <c r="B413" t="s">
        <v>20</v>
      </c>
      <c r="C413" t="s">
        <v>323</v>
      </c>
      <c r="D413" t="s">
        <v>30</v>
      </c>
      <c r="E413" t="s">
        <v>18</v>
      </c>
      <c r="F413">
        <v>54</v>
      </c>
      <c r="G413">
        <v>30</v>
      </c>
      <c r="H413">
        <v>5</v>
      </c>
      <c r="I413">
        <v>150</v>
      </c>
      <c r="J413">
        <v>14.71</v>
      </c>
      <c r="K413" s="2">
        <v>45264</v>
      </c>
      <c r="L413" t="s">
        <v>317</v>
      </c>
    </row>
    <row r="414" spans="1:12" x14ac:dyDescent="0.25">
      <c r="A414" t="s">
        <v>100</v>
      </c>
      <c r="B414" t="s">
        <v>20</v>
      </c>
      <c r="C414" t="s">
        <v>322</v>
      </c>
      <c r="D414" t="s">
        <v>29</v>
      </c>
      <c r="E414" t="s">
        <v>18</v>
      </c>
      <c r="F414">
        <v>48</v>
      </c>
      <c r="G414">
        <v>50</v>
      </c>
      <c r="H414">
        <v>2</v>
      </c>
      <c r="I414">
        <v>100</v>
      </c>
      <c r="J414">
        <v>12.46</v>
      </c>
      <c r="K414" s="2">
        <v>45025</v>
      </c>
      <c r="L414" t="s">
        <v>317</v>
      </c>
    </row>
    <row r="415" spans="1:12" x14ac:dyDescent="0.25">
      <c r="A415" t="s">
        <v>124</v>
      </c>
      <c r="B415" t="s">
        <v>13</v>
      </c>
      <c r="C415" t="s">
        <v>323</v>
      </c>
      <c r="D415" t="s">
        <v>14</v>
      </c>
      <c r="E415" t="s">
        <v>15</v>
      </c>
      <c r="F415">
        <v>61</v>
      </c>
      <c r="G415">
        <v>300</v>
      </c>
      <c r="H415">
        <v>2</v>
      </c>
      <c r="I415">
        <v>600</v>
      </c>
      <c r="J415">
        <v>12.26</v>
      </c>
      <c r="K415" s="2">
        <v>45041</v>
      </c>
      <c r="L415" t="s">
        <v>316</v>
      </c>
    </row>
    <row r="416" spans="1:12" x14ac:dyDescent="0.25">
      <c r="A416" t="s">
        <v>245</v>
      </c>
      <c r="B416" t="s">
        <v>20</v>
      </c>
      <c r="C416" t="s">
        <v>323</v>
      </c>
      <c r="D416" t="s">
        <v>17</v>
      </c>
      <c r="E416" t="s">
        <v>18</v>
      </c>
      <c r="F416">
        <v>57</v>
      </c>
      <c r="G416">
        <v>100</v>
      </c>
      <c r="H416">
        <v>4</v>
      </c>
      <c r="I416">
        <v>400</v>
      </c>
      <c r="J416">
        <v>8.84</v>
      </c>
      <c r="K416" s="2">
        <v>44985</v>
      </c>
      <c r="L416" t="s">
        <v>317</v>
      </c>
    </row>
    <row r="417" spans="1:12" x14ac:dyDescent="0.25">
      <c r="A417" t="s">
        <v>58</v>
      </c>
      <c r="B417" t="s">
        <v>20</v>
      </c>
      <c r="C417" t="s">
        <v>322</v>
      </c>
      <c r="D417" t="s">
        <v>25</v>
      </c>
      <c r="E417" t="s">
        <v>26</v>
      </c>
      <c r="F417">
        <v>64</v>
      </c>
      <c r="G417">
        <v>200</v>
      </c>
      <c r="H417">
        <v>5</v>
      </c>
      <c r="I417">
        <v>1000</v>
      </c>
      <c r="J417">
        <v>13.46</v>
      </c>
      <c r="K417" s="2">
        <v>45055</v>
      </c>
      <c r="L417" t="s">
        <v>317</v>
      </c>
    </row>
    <row r="418" spans="1:12" x14ac:dyDescent="0.25">
      <c r="A418" t="s">
        <v>122</v>
      </c>
      <c r="B418" t="s">
        <v>20</v>
      </c>
      <c r="C418" t="s">
        <v>321</v>
      </c>
      <c r="D418" t="s">
        <v>14</v>
      </c>
      <c r="E418" t="s">
        <v>15</v>
      </c>
      <c r="F418">
        <v>19</v>
      </c>
      <c r="G418">
        <v>300</v>
      </c>
      <c r="H418">
        <v>5</v>
      </c>
      <c r="I418">
        <v>1500</v>
      </c>
      <c r="J418">
        <v>19.39</v>
      </c>
      <c r="K418" s="2">
        <v>45268</v>
      </c>
      <c r="L418" t="s">
        <v>316</v>
      </c>
    </row>
    <row r="419" spans="1:12" x14ac:dyDescent="0.25">
      <c r="A419" t="s">
        <v>162</v>
      </c>
      <c r="B419" t="s">
        <v>13</v>
      </c>
      <c r="C419" t="s">
        <v>320</v>
      </c>
      <c r="D419" t="s">
        <v>17</v>
      </c>
      <c r="E419" t="s">
        <v>18</v>
      </c>
      <c r="F419">
        <v>62</v>
      </c>
      <c r="G419">
        <v>100</v>
      </c>
      <c r="H419">
        <v>2</v>
      </c>
      <c r="I419">
        <v>200</v>
      </c>
      <c r="J419">
        <v>5.13</v>
      </c>
      <c r="K419" s="2">
        <v>45231</v>
      </c>
      <c r="L419" t="s">
        <v>318</v>
      </c>
    </row>
    <row r="420" spans="1:12" x14ac:dyDescent="0.25">
      <c r="A420" t="s">
        <v>165</v>
      </c>
      <c r="B420" t="s">
        <v>13</v>
      </c>
      <c r="C420" t="s">
        <v>323</v>
      </c>
      <c r="D420" t="s">
        <v>30</v>
      </c>
      <c r="E420" t="s">
        <v>18</v>
      </c>
      <c r="F420">
        <v>66</v>
      </c>
      <c r="G420">
        <v>30</v>
      </c>
      <c r="H420">
        <v>2</v>
      </c>
      <c r="I420">
        <v>60</v>
      </c>
      <c r="J420">
        <v>6.23</v>
      </c>
      <c r="K420" s="2">
        <v>45088</v>
      </c>
      <c r="L420" t="s">
        <v>317</v>
      </c>
    </row>
    <row r="421" spans="1:12" x14ac:dyDescent="0.25">
      <c r="A421" t="s">
        <v>217</v>
      </c>
      <c r="B421" t="s">
        <v>20</v>
      </c>
      <c r="C421" t="s">
        <v>322</v>
      </c>
      <c r="D421" t="s">
        <v>25</v>
      </c>
      <c r="E421" t="s">
        <v>26</v>
      </c>
      <c r="F421">
        <v>69</v>
      </c>
      <c r="G421">
        <v>200</v>
      </c>
      <c r="H421">
        <v>4</v>
      </c>
      <c r="I421">
        <v>800</v>
      </c>
      <c r="J421">
        <v>12.26</v>
      </c>
      <c r="K421" s="2">
        <v>45208</v>
      </c>
      <c r="L421" t="s">
        <v>317</v>
      </c>
    </row>
    <row r="422" spans="1:12" x14ac:dyDescent="0.25">
      <c r="A422" t="s">
        <v>140</v>
      </c>
      <c r="B422" t="s">
        <v>20</v>
      </c>
      <c r="C422" t="s">
        <v>323</v>
      </c>
      <c r="D422" t="s">
        <v>23</v>
      </c>
      <c r="E422" t="s">
        <v>15</v>
      </c>
      <c r="F422">
        <v>66</v>
      </c>
      <c r="G422">
        <v>1500</v>
      </c>
      <c r="H422">
        <v>4</v>
      </c>
      <c r="I422">
        <v>6000</v>
      </c>
      <c r="J422">
        <v>16.920000000000002</v>
      </c>
      <c r="K422" s="2">
        <v>45192</v>
      </c>
      <c r="L422" t="s">
        <v>317</v>
      </c>
    </row>
    <row r="423" spans="1:12" x14ac:dyDescent="0.25">
      <c r="A423" t="s">
        <v>246</v>
      </c>
      <c r="B423" t="s">
        <v>20</v>
      </c>
      <c r="C423" t="s">
        <v>321</v>
      </c>
      <c r="D423" t="s">
        <v>40</v>
      </c>
      <c r="E423" t="s">
        <v>15</v>
      </c>
      <c r="F423">
        <v>54</v>
      </c>
      <c r="G423">
        <v>1658.43232665954</v>
      </c>
      <c r="H423">
        <v>2</v>
      </c>
      <c r="I423">
        <v>1600</v>
      </c>
      <c r="J423">
        <v>15.8</v>
      </c>
      <c r="K423" s="2">
        <v>45022</v>
      </c>
      <c r="L423" t="s">
        <v>317</v>
      </c>
    </row>
    <row r="424" spans="1:12" x14ac:dyDescent="0.25">
      <c r="A424" t="s">
        <v>41</v>
      </c>
      <c r="B424" t="s">
        <v>13</v>
      </c>
      <c r="C424" t="s">
        <v>322</v>
      </c>
      <c r="D424" t="s">
        <v>23</v>
      </c>
      <c r="E424" t="s">
        <v>15</v>
      </c>
      <c r="F424">
        <v>32</v>
      </c>
      <c r="G424">
        <v>1500</v>
      </c>
      <c r="H424">
        <v>3</v>
      </c>
      <c r="I424">
        <v>4500</v>
      </c>
      <c r="J424">
        <v>8.5299999999999994</v>
      </c>
      <c r="K424" s="2">
        <v>45247</v>
      </c>
      <c r="L424" t="s">
        <v>316</v>
      </c>
    </row>
    <row r="425" spans="1:12" x14ac:dyDescent="0.25">
      <c r="A425" t="s">
        <v>127</v>
      </c>
      <c r="B425" t="s">
        <v>20</v>
      </c>
      <c r="C425" t="s">
        <v>323</v>
      </c>
      <c r="D425" t="s">
        <v>14</v>
      </c>
      <c r="E425" t="s">
        <v>15</v>
      </c>
      <c r="F425">
        <v>38</v>
      </c>
      <c r="G425">
        <v>300</v>
      </c>
      <c r="H425">
        <v>1</v>
      </c>
      <c r="I425">
        <v>300</v>
      </c>
      <c r="J425">
        <v>7.57</v>
      </c>
      <c r="K425" s="2">
        <v>44964</v>
      </c>
      <c r="L425" t="s">
        <v>318</v>
      </c>
    </row>
    <row r="426" spans="1:12" x14ac:dyDescent="0.25">
      <c r="A426" t="s">
        <v>247</v>
      </c>
      <c r="B426" t="s">
        <v>20</v>
      </c>
      <c r="C426" t="s">
        <v>319</v>
      </c>
      <c r="D426" t="s">
        <v>17</v>
      </c>
      <c r="E426" t="s">
        <v>18</v>
      </c>
      <c r="F426">
        <v>37</v>
      </c>
      <c r="G426">
        <v>100</v>
      </c>
      <c r="H426">
        <v>3</v>
      </c>
      <c r="I426">
        <v>300</v>
      </c>
      <c r="J426">
        <v>5.29</v>
      </c>
      <c r="K426" s="2">
        <v>45199</v>
      </c>
      <c r="L426" t="s">
        <v>316</v>
      </c>
    </row>
    <row r="427" spans="1:12" x14ac:dyDescent="0.25">
      <c r="A427" t="s">
        <v>67</v>
      </c>
      <c r="B427" t="s">
        <v>20</v>
      </c>
      <c r="C427" t="s">
        <v>321</v>
      </c>
      <c r="D427" t="s">
        <v>25</v>
      </c>
      <c r="E427" t="s">
        <v>26</v>
      </c>
      <c r="F427">
        <v>68</v>
      </c>
      <c r="G427">
        <v>200</v>
      </c>
      <c r="H427">
        <v>3</v>
      </c>
      <c r="I427">
        <v>600</v>
      </c>
      <c r="J427">
        <v>5.65</v>
      </c>
      <c r="K427" s="2">
        <v>45156</v>
      </c>
      <c r="L427" t="s">
        <v>317</v>
      </c>
    </row>
    <row r="428" spans="1:12" x14ac:dyDescent="0.25">
      <c r="A428" t="s">
        <v>171</v>
      </c>
      <c r="B428" t="s">
        <v>20</v>
      </c>
      <c r="C428" t="s">
        <v>323</v>
      </c>
      <c r="D428" t="s">
        <v>25</v>
      </c>
      <c r="E428" t="s">
        <v>26</v>
      </c>
      <c r="F428">
        <v>55</v>
      </c>
      <c r="G428">
        <v>200</v>
      </c>
      <c r="H428">
        <v>5</v>
      </c>
      <c r="I428">
        <v>1000</v>
      </c>
      <c r="J428">
        <v>18.29</v>
      </c>
      <c r="K428" s="2">
        <v>44936</v>
      </c>
      <c r="L428" t="s">
        <v>318</v>
      </c>
    </row>
    <row r="429" spans="1:12" x14ac:dyDescent="0.25">
      <c r="A429" t="s">
        <v>248</v>
      </c>
      <c r="B429" t="s">
        <v>13</v>
      </c>
      <c r="C429" t="s">
        <v>322</v>
      </c>
      <c r="D429" t="s">
        <v>14</v>
      </c>
      <c r="E429" t="s">
        <v>15</v>
      </c>
      <c r="F429">
        <v>50</v>
      </c>
      <c r="G429">
        <v>300</v>
      </c>
      <c r="H429">
        <v>3</v>
      </c>
      <c r="I429">
        <v>900</v>
      </c>
      <c r="J429">
        <v>11.22</v>
      </c>
      <c r="K429" s="2">
        <v>45001</v>
      </c>
      <c r="L429" t="s">
        <v>317</v>
      </c>
    </row>
    <row r="430" spans="1:12" x14ac:dyDescent="0.25">
      <c r="A430" t="s">
        <v>109</v>
      </c>
      <c r="B430" t="s">
        <v>20</v>
      </c>
      <c r="C430" t="s">
        <v>319</v>
      </c>
      <c r="D430" t="s">
        <v>14</v>
      </c>
      <c r="E430" t="s">
        <v>15</v>
      </c>
      <c r="F430">
        <v>57</v>
      </c>
      <c r="G430">
        <v>300</v>
      </c>
      <c r="H430">
        <v>2</v>
      </c>
      <c r="I430">
        <v>600</v>
      </c>
      <c r="J430">
        <v>15.59</v>
      </c>
      <c r="K430" s="2">
        <v>45171</v>
      </c>
      <c r="L430" t="s">
        <v>316</v>
      </c>
    </row>
    <row r="431" spans="1:12" x14ac:dyDescent="0.25">
      <c r="A431" t="s">
        <v>79</v>
      </c>
      <c r="B431" t="s">
        <v>20</v>
      </c>
      <c r="C431" t="s">
        <v>323</v>
      </c>
      <c r="D431" t="s">
        <v>25</v>
      </c>
      <c r="E431" t="s">
        <v>26</v>
      </c>
      <c r="F431">
        <v>49</v>
      </c>
      <c r="G431">
        <v>200</v>
      </c>
      <c r="H431">
        <v>3</v>
      </c>
      <c r="I431">
        <v>600</v>
      </c>
      <c r="J431">
        <v>13.94</v>
      </c>
      <c r="K431" s="2">
        <v>45023</v>
      </c>
      <c r="L431" t="s">
        <v>318</v>
      </c>
    </row>
    <row r="432" spans="1:12" x14ac:dyDescent="0.25">
      <c r="A432" t="s">
        <v>54</v>
      </c>
      <c r="B432" t="s">
        <v>20</v>
      </c>
      <c r="C432" t="s">
        <v>320</v>
      </c>
      <c r="D432" t="s">
        <v>14</v>
      </c>
      <c r="E432" t="s">
        <v>15</v>
      </c>
      <c r="F432">
        <v>53</v>
      </c>
      <c r="G432">
        <v>300</v>
      </c>
      <c r="H432">
        <v>1</v>
      </c>
      <c r="I432">
        <v>300</v>
      </c>
      <c r="J432">
        <v>16.32</v>
      </c>
      <c r="K432" s="2">
        <v>45154</v>
      </c>
      <c r="L432" t="s">
        <v>318</v>
      </c>
    </row>
    <row r="433" spans="1:12" x14ac:dyDescent="0.25">
      <c r="A433" t="s">
        <v>57</v>
      </c>
      <c r="B433" t="s">
        <v>20</v>
      </c>
      <c r="C433" t="s">
        <v>321</v>
      </c>
      <c r="D433" t="s">
        <v>17</v>
      </c>
      <c r="E433" t="s">
        <v>18</v>
      </c>
      <c r="F433">
        <v>41</v>
      </c>
      <c r="G433">
        <v>100</v>
      </c>
      <c r="H433">
        <v>5</v>
      </c>
      <c r="I433">
        <v>500</v>
      </c>
      <c r="J433">
        <v>18.059999999999999</v>
      </c>
      <c r="K433" s="2">
        <v>45000</v>
      </c>
      <c r="L433" t="s">
        <v>318</v>
      </c>
    </row>
    <row r="434" spans="1:12" x14ac:dyDescent="0.25">
      <c r="A434" t="s">
        <v>16</v>
      </c>
      <c r="B434" t="s">
        <v>20</v>
      </c>
      <c r="C434" t="s">
        <v>320</v>
      </c>
      <c r="D434" t="s">
        <v>30</v>
      </c>
      <c r="E434" t="s">
        <v>18</v>
      </c>
      <c r="F434">
        <v>22</v>
      </c>
      <c r="G434">
        <v>30</v>
      </c>
      <c r="H434">
        <v>1</v>
      </c>
      <c r="I434">
        <v>30</v>
      </c>
      <c r="J434">
        <v>8.9600000000000009</v>
      </c>
      <c r="K434" s="2">
        <v>44988</v>
      </c>
      <c r="L434" t="s">
        <v>316</v>
      </c>
    </row>
    <row r="435" spans="1:12" x14ac:dyDescent="0.25">
      <c r="A435" t="s">
        <v>200</v>
      </c>
      <c r="B435" t="s">
        <v>13</v>
      </c>
      <c r="C435" t="s">
        <v>322</v>
      </c>
      <c r="D435" t="s">
        <v>25</v>
      </c>
      <c r="E435" t="s">
        <v>26</v>
      </c>
      <c r="F435">
        <v>44</v>
      </c>
      <c r="G435">
        <v>200</v>
      </c>
      <c r="H435">
        <v>4</v>
      </c>
      <c r="I435">
        <v>800</v>
      </c>
      <c r="J435">
        <v>6.43</v>
      </c>
      <c r="K435" s="2">
        <v>44988</v>
      </c>
      <c r="L435" t="s">
        <v>319</v>
      </c>
    </row>
    <row r="436" spans="1:12" x14ac:dyDescent="0.25">
      <c r="A436" t="s">
        <v>192</v>
      </c>
      <c r="B436" t="s">
        <v>13</v>
      </c>
      <c r="C436" t="s">
        <v>322</v>
      </c>
      <c r="D436" t="s">
        <v>17</v>
      </c>
      <c r="E436" t="s">
        <v>18</v>
      </c>
      <c r="F436">
        <v>28</v>
      </c>
      <c r="G436">
        <v>100</v>
      </c>
      <c r="H436">
        <v>3</v>
      </c>
      <c r="I436">
        <v>300</v>
      </c>
      <c r="J436">
        <v>17.16</v>
      </c>
      <c r="K436" s="2">
        <v>45148</v>
      </c>
      <c r="L436" t="s">
        <v>316</v>
      </c>
    </row>
    <row r="437" spans="1:12" x14ac:dyDescent="0.25">
      <c r="A437" t="s">
        <v>173</v>
      </c>
      <c r="B437" t="s">
        <v>13</v>
      </c>
      <c r="C437" t="s">
        <v>323</v>
      </c>
      <c r="D437" t="s">
        <v>30</v>
      </c>
      <c r="E437" t="s">
        <v>18</v>
      </c>
      <c r="F437">
        <v>60</v>
      </c>
      <c r="G437">
        <v>30</v>
      </c>
      <c r="H437">
        <v>3</v>
      </c>
      <c r="I437">
        <v>90</v>
      </c>
      <c r="J437">
        <v>18.420000000000002</v>
      </c>
      <c r="K437" s="2">
        <v>44951</v>
      </c>
      <c r="L437" t="s">
        <v>318</v>
      </c>
    </row>
    <row r="438" spans="1:12" x14ac:dyDescent="0.25">
      <c r="A438" t="s">
        <v>190</v>
      </c>
      <c r="B438" t="s">
        <v>20</v>
      </c>
      <c r="C438" t="s">
        <v>319</v>
      </c>
      <c r="D438" t="s">
        <v>30</v>
      </c>
      <c r="E438" t="s">
        <v>18</v>
      </c>
      <c r="F438">
        <v>49</v>
      </c>
      <c r="G438">
        <v>30</v>
      </c>
      <c r="H438">
        <v>2</v>
      </c>
      <c r="I438">
        <v>60</v>
      </c>
      <c r="J438">
        <v>11.28</v>
      </c>
      <c r="K438" s="2">
        <v>45188</v>
      </c>
      <c r="L438" t="s">
        <v>316</v>
      </c>
    </row>
    <row r="439" spans="1:12" x14ac:dyDescent="0.25">
      <c r="A439" t="s">
        <v>195</v>
      </c>
      <c r="B439" t="s">
        <v>20</v>
      </c>
      <c r="C439" t="s">
        <v>319</v>
      </c>
      <c r="D439" t="s">
        <v>14</v>
      </c>
      <c r="E439" t="s">
        <v>15</v>
      </c>
      <c r="F439">
        <v>51</v>
      </c>
      <c r="G439">
        <v>300</v>
      </c>
      <c r="H439">
        <v>4</v>
      </c>
      <c r="I439">
        <v>1200</v>
      </c>
      <c r="J439">
        <v>6.91</v>
      </c>
      <c r="K439" s="2">
        <v>45182</v>
      </c>
      <c r="L439" t="s">
        <v>317</v>
      </c>
    </row>
    <row r="440" spans="1:12" x14ac:dyDescent="0.25">
      <c r="A440" t="s">
        <v>249</v>
      </c>
      <c r="B440" t="s">
        <v>13</v>
      </c>
      <c r="C440" t="s">
        <v>322</v>
      </c>
      <c r="D440" t="s">
        <v>29</v>
      </c>
      <c r="E440" t="s">
        <v>18</v>
      </c>
      <c r="F440">
        <v>64</v>
      </c>
      <c r="G440">
        <v>50</v>
      </c>
      <c r="H440">
        <v>4</v>
      </c>
      <c r="I440">
        <v>200</v>
      </c>
      <c r="J440">
        <v>17.18</v>
      </c>
      <c r="K440" s="2">
        <v>45236</v>
      </c>
      <c r="L440" t="s">
        <v>317</v>
      </c>
    </row>
    <row r="441" spans="1:12" x14ac:dyDescent="0.25">
      <c r="A441" t="s">
        <v>167</v>
      </c>
      <c r="B441" t="s">
        <v>13</v>
      </c>
      <c r="C441" t="s">
        <v>323</v>
      </c>
      <c r="D441" t="s">
        <v>29</v>
      </c>
      <c r="E441" t="s">
        <v>18</v>
      </c>
      <c r="F441">
        <v>64</v>
      </c>
      <c r="G441">
        <v>50</v>
      </c>
      <c r="H441">
        <v>1</v>
      </c>
      <c r="I441">
        <v>50</v>
      </c>
      <c r="J441">
        <v>18.23</v>
      </c>
      <c r="K441" s="2">
        <v>45070</v>
      </c>
      <c r="L441" t="s">
        <v>318</v>
      </c>
    </row>
    <row r="442" spans="1:12" x14ac:dyDescent="0.25">
      <c r="A442" t="s">
        <v>250</v>
      </c>
      <c r="B442" t="s">
        <v>20</v>
      </c>
      <c r="C442" t="s">
        <v>323</v>
      </c>
      <c r="D442" t="s">
        <v>30</v>
      </c>
      <c r="E442" t="s">
        <v>18</v>
      </c>
      <c r="F442">
        <v>56</v>
      </c>
      <c r="G442">
        <v>30</v>
      </c>
      <c r="H442">
        <v>2</v>
      </c>
      <c r="I442">
        <v>60</v>
      </c>
      <c r="J442">
        <v>7.58</v>
      </c>
      <c r="K442" s="2">
        <v>44972</v>
      </c>
      <c r="L442" t="s">
        <v>317</v>
      </c>
    </row>
    <row r="443" spans="1:12" x14ac:dyDescent="0.25">
      <c r="A443" t="s">
        <v>244</v>
      </c>
      <c r="B443" t="s">
        <v>20</v>
      </c>
      <c r="C443" t="s">
        <v>321</v>
      </c>
      <c r="D443" t="s">
        <v>40</v>
      </c>
      <c r="E443" t="s">
        <v>15</v>
      </c>
      <c r="F443">
        <v>23</v>
      </c>
      <c r="G443">
        <v>800</v>
      </c>
      <c r="H443">
        <v>2</v>
      </c>
      <c r="I443">
        <v>1600</v>
      </c>
      <c r="J443">
        <v>9.07</v>
      </c>
      <c r="K443" s="2">
        <v>45218</v>
      </c>
      <c r="L443" t="s">
        <v>317</v>
      </c>
    </row>
    <row r="444" spans="1:12" x14ac:dyDescent="0.25">
      <c r="A444" t="s">
        <v>203</v>
      </c>
      <c r="B444" t="s">
        <v>20</v>
      </c>
      <c r="C444" t="s">
        <v>320</v>
      </c>
      <c r="D444" t="s">
        <v>29</v>
      </c>
      <c r="E444" t="s">
        <v>18</v>
      </c>
      <c r="F444">
        <v>61</v>
      </c>
      <c r="G444">
        <v>50</v>
      </c>
      <c r="H444">
        <v>1</v>
      </c>
      <c r="I444">
        <v>50</v>
      </c>
      <c r="J444">
        <v>19.39</v>
      </c>
      <c r="K444" s="2">
        <v>45135</v>
      </c>
      <c r="L444" t="s">
        <v>318</v>
      </c>
    </row>
    <row r="445" spans="1:12" x14ac:dyDescent="0.25">
      <c r="A445" t="s">
        <v>72</v>
      </c>
      <c r="B445" t="s">
        <v>20</v>
      </c>
      <c r="C445" t="s">
        <v>322</v>
      </c>
      <c r="D445" t="s">
        <v>29</v>
      </c>
      <c r="E445" t="s">
        <v>18</v>
      </c>
      <c r="F445">
        <v>42</v>
      </c>
      <c r="G445">
        <v>50</v>
      </c>
      <c r="H445">
        <v>2</v>
      </c>
      <c r="I445">
        <v>100</v>
      </c>
      <c r="J445">
        <v>12.44</v>
      </c>
      <c r="K445" s="2">
        <v>44978</v>
      </c>
      <c r="L445" t="s">
        <v>317</v>
      </c>
    </row>
    <row r="446" spans="1:12" x14ac:dyDescent="0.25">
      <c r="A446" t="s">
        <v>102</v>
      </c>
      <c r="B446" t="s">
        <v>13</v>
      </c>
      <c r="C446" t="s">
        <v>320</v>
      </c>
      <c r="D446" t="s">
        <v>29</v>
      </c>
      <c r="E446" t="s">
        <v>18</v>
      </c>
      <c r="F446">
        <v>30</v>
      </c>
      <c r="G446">
        <v>50</v>
      </c>
      <c r="H446">
        <v>1</v>
      </c>
      <c r="I446">
        <v>50</v>
      </c>
      <c r="J446">
        <v>19.02</v>
      </c>
      <c r="K446" s="2">
        <v>45274</v>
      </c>
      <c r="L446" t="s">
        <v>318</v>
      </c>
    </row>
    <row r="447" spans="1:12" x14ac:dyDescent="0.25">
      <c r="A447" t="s">
        <v>136</v>
      </c>
      <c r="B447" t="s">
        <v>20</v>
      </c>
      <c r="C447" t="s">
        <v>321</v>
      </c>
      <c r="D447" t="s">
        <v>17</v>
      </c>
      <c r="E447" t="s">
        <v>18</v>
      </c>
      <c r="F447">
        <v>37</v>
      </c>
      <c r="G447">
        <v>100</v>
      </c>
      <c r="H447">
        <v>3</v>
      </c>
      <c r="I447">
        <v>300</v>
      </c>
      <c r="J447">
        <v>16.670000000000002</v>
      </c>
      <c r="K447" s="2">
        <v>44992</v>
      </c>
      <c r="L447" t="s">
        <v>316</v>
      </c>
    </row>
    <row r="448" spans="1:12" x14ac:dyDescent="0.25">
      <c r="A448" t="s">
        <v>171</v>
      </c>
      <c r="B448" t="s">
        <v>20</v>
      </c>
      <c r="C448" t="s">
        <v>323</v>
      </c>
      <c r="D448" t="s">
        <v>30</v>
      </c>
      <c r="E448" t="s">
        <v>18</v>
      </c>
      <c r="F448">
        <v>55</v>
      </c>
      <c r="G448">
        <v>30</v>
      </c>
      <c r="H448">
        <v>1</v>
      </c>
      <c r="I448">
        <v>30</v>
      </c>
      <c r="J448">
        <v>5.24</v>
      </c>
      <c r="K448" s="2">
        <v>45071</v>
      </c>
      <c r="L448" t="s">
        <v>316</v>
      </c>
    </row>
    <row r="449" spans="1:12" x14ac:dyDescent="0.25">
      <c r="A449" t="s">
        <v>67</v>
      </c>
      <c r="B449" t="s">
        <v>20</v>
      </c>
      <c r="C449" t="s">
        <v>320</v>
      </c>
      <c r="D449" t="s">
        <v>14</v>
      </c>
      <c r="E449" t="s">
        <v>15</v>
      </c>
      <c r="F449">
        <v>68</v>
      </c>
      <c r="G449">
        <v>300</v>
      </c>
      <c r="H449">
        <v>3</v>
      </c>
      <c r="I449">
        <v>900</v>
      </c>
      <c r="J449">
        <v>10.39</v>
      </c>
      <c r="K449" s="2">
        <v>44966</v>
      </c>
      <c r="L449" t="s">
        <v>316</v>
      </c>
    </row>
    <row r="450" spans="1:12" x14ac:dyDescent="0.25">
      <c r="A450" t="s">
        <v>251</v>
      </c>
      <c r="B450" t="s">
        <v>20</v>
      </c>
      <c r="C450" t="s">
        <v>321</v>
      </c>
      <c r="D450" t="s">
        <v>29</v>
      </c>
      <c r="E450" t="s">
        <v>18</v>
      </c>
      <c r="F450">
        <v>51</v>
      </c>
      <c r="G450">
        <v>50</v>
      </c>
      <c r="H450">
        <v>3</v>
      </c>
      <c r="I450">
        <v>150</v>
      </c>
      <c r="J450">
        <v>19.79</v>
      </c>
      <c r="K450" s="2">
        <v>45294</v>
      </c>
      <c r="L450" t="s">
        <v>318</v>
      </c>
    </row>
    <row r="451" spans="1:12" x14ac:dyDescent="0.25">
      <c r="A451" t="s">
        <v>173</v>
      </c>
      <c r="B451" t="s">
        <v>20</v>
      </c>
      <c r="C451" t="s">
        <v>323</v>
      </c>
      <c r="D451" t="s">
        <v>14</v>
      </c>
      <c r="E451" t="s">
        <v>15</v>
      </c>
      <c r="F451">
        <v>60</v>
      </c>
      <c r="G451">
        <v>300</v>
      </c>
      <c r="H451">
        <v>4</v>
      </c>
      <c r="I451">
        <v>1200</v>
      </c>
      <c r="J451">
        <v>7.26</v>
      </c>
      <c r="K451" s="2">
        <v>45158</v>
      </c>
      <c r="L451" t="s">
        <v>317</v>
      </c>
    </row>
    <row r="452" spans="1:12" x14ac:dyDescent="0.25">
      <c r="A452" t="s">
        <v>193</v>
      </c>
      <c r="B452" t="s">
        <v>20</v>
      </c>
      <c r="C452" t="s">
        <v>323</v>
      </c>
      <c r="D452" t="s">
        <v>25</v>
      </c>
      <c r="E452" t="s">
        <v>26</v>
      </c>
      <c r="F452">
        <v>52</v>
      </c>
      <c r="G452">
        <v>200</v>
      </c>
      <c r="H452">
        <v>5</v>
      </c>
      <c r="I452">
        <v>1000</v>
      </c>
      <c r="J452">
        <v>18.72</v>
      </c>
      <c r="K452" s="2">
        <v>44987</v>
      </c>
      <c r="L452" t="s">
        <v>318</v>
      </c>
    </row>
    <row r="453" spans="1:12" x14ac:dyDescent="0.25">
      <c r="A453" t="s">
        <v>132</v>
      </c>
      <c r="B453" t="s">
        <v>13</v>
      </c>
      <c r="C453" t="s">
        <v>322</v>
      </c>
      <c r="D453" t="s">
        <v>29</v>
      </c>
      <c r="E453" t="s">
        <v>18</v>
      </c>
      <c r="F453">
        <v>49</v>
      </c>
      <c r="G453">
        <v>50</v>
      </c>
      <c r="H453">
        <v>3</v>
      </c>
      <c r="I453">
        <v>150</v>
      </c>
      <c r="J453">
        <v>9.99</v>
      </c>
      <c r="K453" s="2">
        <v>45053</v>
      </c>
      <c r="L453" t="s">
        <v>319</v>
      </c>
    </row>
    <row r="454" spans="1:12" x14ac:dyDescent="0.25">
      <c r="A454" t="s">
        <v>203</v>
      </c>
      <c r="B454" t="s">
        <v>20</v>
      </c>
      <c r="C454" t="s">
        <v>323</v>
      </c>
      <c r="D454" t="s">
        <v>14</v>
      </c>
      <c r="E454" t="s">
        <v>15</v>
      </c>
      <c r="F454">
        <v>61</v>
      </c>
      <c r="G454">
        <v>300</v>
      </c>
      <c r="H454">
        <v>1</v>
      </c>
      <c r="I454">
        <v>300</v>
      </c>
      <c r="J454">
        <v>6.63</v>
      </c>
      <c r="K454" s="2">
        <v>44940</v>
      </c>
      <c r="L454" t="s">
        <v>317</v>
      </c>
    </row>
    <row r="455" spans="1:12" x14ac:dyDescent="0.25">
      <c r="A455" t="s">
        <v>111</v>
      </c>
      <c r="B455" t="s">
        <v>13</v>
      </c>
      <c r="C455" t="s">
        <v>322</v>
      </c>
      <c r="D455" t="s">
        <v>30</v>
      </c>
      <c r="E455" t="s">
        <v>18</v>
      </c>
      <c r="F455">
        <v>58</v>
      </c>
      <c r="G455">
        <v>30</v>
      </c>
      <c r="H455">
        <v>1</v>
      </c>
      <c r="I455">
        <v>30</v>
      </c>
      <c r="J455">
        <v>11.39</v>
      </c>
      <c r="K455" s="2">
        <v>45061</v>
      </c>
      <c r="L455" t="s">
        <v>317</v>
      </c>
    </row>
    <row r="456" spans="1:12" x14ac:dyDescent="0.25">
      <c r="A456" t="s">
        <v>252</v>
      </c>
      <c r="B456" t="s">
        <v>20</v>
      </c>
      <c r="C456" t="s">
        <v>323</v>
      </c>
      <c r="D456" t="s">
        <v>29</v>
      </c>
      <c r="E456" t="s">
        <v>18</v>
      </c>
      <c r="F456">
        <v>55</v>
      </c>
      <c r="G456">
        <v>50</v>
      </c>
      <c r="H456">
        <v>4</v>
      </c>
      <c r="I456">
        <v>200</v>
      </c>
      <c r="J456">
        <v>6.66</v>
      </c>
      <c r="K456" s="2">
        <v>45151</v>
      </c>
      <c r="L456" t="s">
        <v>319</v>
      </c>
    </row>
    <row r="457" spans="1:12" x14ac:dyDescent="0.25">
      <c r="A457" t="s">
        <v>234</v>
      </c>
      <c r="B457" t="s">
        <v>20</v>
      </c>
      <c r="C457" t="s">
        <v>323</v>
      </c>
      <c r="D457" t="s">
        <v>29</v>
      </c>
      <c r="E457" t="s">
        <v>18</v>
      </c>
      <c r="F457">
        <v>18</v>
      </c>
      <c r="G457">
        <v>50</v>
      </c>
      <c r="H457">
        <v>4</v>
      </c>
      <c r="I457">
        <v>200</v>
      </c>
      <c r="J457">
        <v>7.76</v>
      </c>
      <c r="K457" s="2">
        <v>45158</v>
      </c>
      <c r="L457" t="s">
        <v>317</v>
      </c>
    </row>
    <row r="458" spans="1:12" x14ac:dyDescent="0.25">
      <c r="A458" t="s">
        <v>85</v>
      </c>
      <c r="B458" t="s">
        <v>20</v>
      </c>
      <c r="C458" t="s">
        <v>322</v>
      </c>
      <c r="D458" t="s">
        <v>40</v>
      </c>
      <c r="E458" t="s">
        <v>15</v>
      </c>
      <c r="F458">
        <v>41</v>
      </c>
      <c r="G458">
        <v>800</v>
      </c>
      <c r="H458">
        <v>1</v>
      </c>
      <c r="I458">
        <v>800</v>
      </c>
      <c r="J458">
        <v>6.24</v>
      </c>
      <c r="K458" s="2">
        <v>45141</v>
      </c>
      <c r="L458" t="s">
        <v>318</v>
      </c>
    </row>
    <row r="459" spans="1:12" x14ac:dyDescent="0.25">
      <c r="A459" t="s">
        <v>253</v>
      </c>
      <c r="B459" t="s">
        <v>20</v>
      </c>
      <c r="C459" t="s">
        <v>322</v>
      </c>
      <c r="D459" t="s">
        <v>17</v>
      </c>
      <c r="E459" t="s">
        <v>18</v>
      </c>
      <c r="F459">
        <v>56</v>
      </c>
      <c r="G459">
        <v>100</v>
      </c>
      <c r="H459">
        <v>3</v>
      </c>
      <c r="I459">
        <v>300</v>
      </c>
      <c r="J459">
        <v>5.86</v>
      </c>
      <c r="K459" s="2">
        <v>45255</v>
      </c>
      <c r="L459" t="s">
        <v>317</v>
      </c>
    </row>
    <row r="460" spans="1:12" x14ac:dyDescent="0.25">
      <c r="A460" t="s">
        <v>254</v>
      </c>
      <c r="B460" t="s">
        <v>20</v>
      </c>
      <c r="C460" t="s">
        <v>322</v>
      </c>
      <c r="D460" t="s">
        <v>23</v>
      </c>
      <c r="E460" t="s">
        <v>15</v>
      </c>
      <c r="F460">
        <v>69</v>
      </c>
      <c r="G460">
        <v>1500</v>
      </c>
      <c r="H460">
        <v>2</v>
      </c>
      <c r="I460">
        <v>3000</v>
      </c>
      <c r="J460">
        <v>5.35</v>
      </c>
      <c r="K460" s="2">
        <v>45229</v>
      </c>
      <c r="L460" t="s">
        <v>316</v>
      </c>
    </row>
    <row r="461" spans="1:12" x14ac:dyDescent="0.25">
      <c r="A461" t="s">
        <v>86</v>
      </c>
      <c r="B461" t="s">
        <v>20</v>
      </c>
      <c r="C461" t="s">
        <v>320</v>
      </c>
      <c r="D461" t="s">
        <v>40</v>
      </c>
      <c r="E461" t="s">
        <v>15</v>
      </c>
      <c r="F461">
        <v>61</v>
      </c>
      <c r="G461">
        <v>800</v>
      </c>
      <c r="H461">
        <v>5</v>
      </c>
      <c r="I461">
        <v>4000</v>
      </c>
      <c r="J461">
        <v>13.72</v>
      </c>
      <c r="K461" s="2">
        <v>44994</v>
      </c>
      <c r="L461" t="s">
        <v>319</v>
      </c>
    </row>
    <row r="462" spans="1:12" x14ac:dyDescent="0.25">
      <c r="A462" t="s">
        <v>198</v>
      </c>
      <c r="B462" t="s">
        <v>13</v>
      </c>
      <c r="C462" t="s">
        <v>323</v>
      </c>
      <c r="D462" t="s">
        <v>40</v>
      </c>
      <c r="E462" t="s">
        <v>15</v>
      </c>
      <c r="F462">
        <v>46</v>
      </c>
      <c r="G462">
        <v>800</v>
      </c>
      <c r="H462">
        <v>2</v>
      </c>
      <c r="I462">
        <v>1600</v>
      </c>
      <c r="J462">
        <v>13.1</v>
      </c>
      <c r="K462" s="2">
        <v>44933</v>
      </c>
      <c r="L462" t="s">
        <v>317</v>
      </c>
    </row>
    <row r="463" spans="1:12" x14ac:dyDescent="0.25">
      <c r="A463" t="s">
        <v>145</v>
      </c>
      <c r="B463" t="s">
        <v>13</v>
      </c>
      <c r="C463" t="s">
        <v>323</v>
      </c>
      <c r="D463" t="s">
        <v>25</v>
      </c>
      <c r="E463" t="s">
        <v>26</v>
      </c>
      <c r="F463">
        <v>30</v>
      </c>
      <c r="G463">
        <v>200</v>
      </c>
      <c r="H463">
        <v>2</v>
      </c>
      <c r="I463">
        <v>400</v>
      </c>
      <c r="J463">
        <v>13.54</v>
      </c>
      <c r="K463" s="2">
        <v>45146</v>
      </c>
      <c r="L463" t="s">
        <v>317</v>
      </c>
    </row>
    <row r="464" spans="1:12" x14ac:dyDescent="0.25">
      <c r="A464" t="s">
        <v>62</v>
      </c>
      <c r="B464" t="s">
        <v>20</v>
      </c>
      <c r="C464" t="s">
        <v>323</v>
      </c>
      <c r="D464" t="s">
        <v>40</v>
      </c>
      <c r="E464" t="s">
        <v>15</v>
      </c>
      <c r="F464">
        <v>58</v>
      </c>
      <c r="G464">
        <v>800</v>
      </c>
      <c r="H464">
        <v>5</v>
      </c>
      <c r="I464">
        <v>4000</v>
      </c>
      <c r="J464">
        <v>5.65</v>
      </c>
      <c r="K464" s="2">
        <v>45276</v>
      </c>
      <c r="L464" t="s">
        <v>318</v>
      </c>
    </row>
    <row r="465" spans="1:12" x14ac:dyDescent="0.25">
      <c r="A465" t="s">
        <v>213</v>
      </c>
      <c r="B465" t="s">
        <v>20</v>
      </c>
      <c r="C465" t="s">
        <v>322</v>
      </c>
      <c r="D465" t="s">
        <v>14</v>
      </c>
      <c r="E465" t="s">
        <v>15</v>
      </c>
      <c r="F465">
        <v>49</v>
      </c>
      <c r="G465">
        <v>300</v>
      </c>
      <c r="H465">
        <v>3</v>
      </c>
      <c r="I465">
        <v>900</v>
      </c>
      <c r="J465">
        <v>17.93</v>
      </c>
      <c r="K465" s="2">
        <v>45075</v>
      </c>
      <c r="L465" t="s">
        <v>318</v>
      </c>
    </row>
    <row r="466" spans="1:12" x14ac:dyDescent="0.25">
      <c r="A466" t="s">
        <v>117</v>
      </c>
      <c r="B466" t="s">
        <v>20</v>
      </c>
      <c r="C466" t="s">
        <v>320</v>
      </c>
      <c r="D466" t="s">
        <v>14</v>
      </c>
      <c r="E466" t="s">
        <v>15</v>
      </c>
      <c r="F466">
        <v>29</v>
      </c>
      <c r="G466">
        <v>300</v>
      </c>
      <c r="H466">
        <v>4</v>
      </c>
      <c r="I466">
        <v>1200</v>
      </c>
      <c r="J466">
        <v>5.79</v>
      </c>
      <c r="K466" s="2">
        <v>45173</v>
      </c>
      <c r="L466" t="s">
        <v>317</v>
      </c>
    </row>
    <row r="467" spans="1:12" x14ac:dyDescent="0.25">
      <c r="A467" t="s">
        <v>156</v>
      </c>
      <c r="B467" t="s">
        <v>20</v>
      </c>
      <c r="C467" t="s">
        <v>320</v>
      </c>
      <c r="D467" t="s">
        <v>40</v>
      </c>
      <c r="E467" t="s">
        <v>15</v>
      </c>
      <c r="F467">
        <v>54</v>
      </c>
      <c r="G467">
        <v>800</v>
      </c>
      <c r="H467">
        <v>1</v>
      </c>
      <c r="I467">
        <v>800</v>
      </c>
      <c r="J467">
        <v>13.72</v>
      </c>
      <c r="K467" s="2">
        <v>45168</v>
      </c>
      <c r="L467" t="s">
        <v>317</v>
      </c>
    </row>
    <row r="468" spans="1:12" x14ac:dyDescent="0.25">
      <c r="A468" t="s">
        <v>67</v>
      </c>
      <c r="B468" t="s">
        <v>13</v>
      </c>
      <c r="C468" t="s">
        <v>321</v>
      </c>
      <c r="D468" t="s">
        <v>29</v>
      </c>
      <c r="E468" t="s">
        <v>18</v>
      </c>
      <c r="F468">
        <v>68</v>
      </c>
      <c r="G468">
        <v>50</v>
      </c>
      <c r="H468">
        <v>3</v>
      </c>
      <c r="I468">
        <v>150</v>
      </c>
      <c r="J468">
        <v>8.99</v>
      </c>
      <c r="K468" s="2">
        <v>44959</v>
      </c>
      <c r="L468" t="s">
        <v>318</v>
      </c>
    </row>
    <row r="469" spans="1:12" x14ac:dyDescent="0.25">
      <c r="A469" t="s">
        <v>165</v>
      </c>
      <c r="B469" t="s">
        <v>13</v>
      </c>
      <c r="C469" t="s">
        <v>322</v>
      </c>
      <c r="D469" t="s">
        <v>14</v>
      </c>
      <c r="E469" t="s">
        <v>15</v>
      </c>
      <c r="F469">
        <v>66</v>
      </c>
      <c r="G469">
        <v>300</v>
      </c>
      <c r="H469">
        <v>4</v>
      </c>
      <c r="I469">
        <v>1200</v>
      </c>
      <c r="J469">
        <v>17.59</v>
      </c>
      <c r="K469" s="2">
        <v>45181</v>
      </c>
      <c r="L469" t="s">
        <v>316</v>
      </c>
    </row>
    <row r="470" spans="1:12" x14ac:dyDescent="0.25">
      <c r="A470" t="s">
        <v>255</v>
      </c>
      <c r="B470" t="s">
        <v>13</v>
      </c>
      <c r="C470" t="s">
        <v>323</v>
      </c>
      <c r="D470" t="s">
        <v>29</v>
      </c>
      <c r="E470" t="s">
        <v>18</v>
      </c>
      <c r="F470">
        <v>39</v>
      </c>
      <c r="G470">
        <v>50</v>
      </c>
      <c r="H470">
        <v>4</v>
      </c>
      <c r="I470">
        <v>200</v>
      </c>
      <c r="J470">
        <v>13.51</v>
      </c>
      <c r="K470" s="2">
        <v>45281</v>
      </c>
      <c r="L470" t="s">
        <v>318</v>
      </c>
    </row>
    <row r="471" spans="1:12" x14ac:dyDescent="0.25">
      <c r="A471" t="s">
        <v>231</v>
      </c>
      <c r="B471" t="s">
        <v>13</v>
      </c>
      <c r="C471" t="s">
        <v>322</v>
      </c>
      <c r="D471" t="s">
        <v>40</v>
      </c>
      <c r="E471" t="s">
        <v>15</v>
      </c>
      <c r="F471">
        <v>64</v>
      </c>
      <c r="G471">
        <v>800</v>
      </c>
      <c r="H471">
        <v>1</v>
      </c>
      <c r="I471">
        <v>800</v>
      </c>
      <c r="J471">
        <v>19.149999999999999</v>
      </c>
      <c r="K471" s="2">
        <v>45206</v>
      </c>
      <c r="L471" t="s">
        <v>318</v>
      </c>
    </row>
    <row r="472" spans="1:12" x14ac:dyDescent="0.25">
      <c r="A472" t="s">
        <v>52</v>
      </c>
      <c r="B472" t="s">
        <v>20</v>
      </c>
      <c r="C472" t="s">
        <v>320</v>
      </c>
      <c r="D472" t="s">
        <v>29</v>
      </c>
      <c r="E472" t="s">
        <v>18</v>
      </c>
      <c r="F472">
        <v>57</v>
      </c>
      <c r="G472">
        <v>50</v>
      </c>
      <c r="H472">
        <v>2</v>
      </c>
      <c r="I472">
        <v>100</v>
      </c>
      <c r="J472">
        <v>16.78</v>
      </c>
      <c r="K472" s="2">
        <v>45246</v>
      </c>
      <c r="L472" t="s">
        <v>319</v>
      </c>
    </row>
    <row r="473" spans="1:12" x14ac:dyDescent="0.25">
      <c r="A473" t="s">
        <v>31</v>
      </c>
      <c r="B473" t="s">
        <v>13</v>
      </c>
      <c r="C473" t="s">
        <v>323</v>
      </c>
      <c r="D473" t="s">
        <v>14</v>
      </c>
      <c r="E473" t="s">
        <v>15</v>
      </c>
      <c r="F473">
        <v>49</v>
      </c>
      <c r="G473">
        <v>300</v>
      </c>
      <c r="H473">
        <v>5</v>
      </c>
      <c r="I473">
        <v>1500</v>
      </c>
      <c r="J473">
        <v>8.56</v>
      </c>
      <c r="K473" s="2">
        <v>45229</v>
      </c>
      <c r="L473" t="s">
        <v>317</v>
      </c>
    </row>
    <row r="474" spans="1:12" x14ac:dyDescent="0.25">
      <c r="A474" t="s">
        <v>168</v>
      </c>
      <c r="B474" t="s">
        <v>13</v>
      </c>
      <c r="C474" t="s">
        <v>320</v>
      </c>
      <c r="D474" t="s">
        <v>30</v>
      </c>
      <c r="E474" t="s">
        <v>18</v>
      </c>
      <c r="F474">
        <v>42</v>
      </c>
      <c r="G474">
        <v>30</v>
      </c>
      <c r="H474">
        <v>5</v>
      </c>
      <c r="I474">
        <v>150</v>
      </c>
      <c r="J474">
        <v>9.26</v>
      </c>
      <c r="K474" s="2">
        <v>44978</v>
      </c>
      <c r="L474" t="s">
        <v>318</v>
      </c>
    </row>
    <row r="475" spans="1:12" x14ac:dyDescent="0.25">
      <c r="A475" t="s">
        <v>192</v>
      </c>
      <c r="B475" t="s">
        <v>13</v>
      </c>
      <c r="C475" t="s">
        <v>319</v>
      </c>
      <c r="D475" t="s">
        <v>14</v>
      </c>
      <c r="E475" t="s">
        <v>15</v>
      </c>
      <c r="F475">
        <v>28</v>
      </c>
      <c r="G475">
        <v>300</v>
      </c>
      <c r="H475">
        <v>5</v>
      </c>
      <c r="I475">
        <v>1500</v>
      </c>
      <c r="J475">
        <v>13.09</v>
      </c>
      <c r="K475" s="2">
        <v>44997</v>
      </c>
      <c r="L475" t="s">
        <v>318</v>
      </c>
    </row>
    <row r="476" spans="1:12" x14ac:dyDescent="0.25">
      <c r="A476" t="s">
        <v>256</v>
      </c>
      <c r="B476" t="s">
        <v>20</v>
      </c>
      <c r="C476" t="s">
        <v>322</v>
      </c>
      <c r="D476" t="s">
        <v>30</v>
      </c>
      <c r="E476" t="s">
        <v>18</v>
      </c>
      <c r="F476">
        <v>36</v>
      </c>
      <c r="G476">
        <v>30</v>
      </c>
      <c r="H476">
        <v>5</v>
      </c>
      <c r="I476">
        <v>150</v>
      </c>
      <c r="J476">
        <v>6.58</v>
      </c>
      <c r="K476" s="2">
        <v>45216</v>
      </c>
      <c r="L476" t="s">
        <v>317</v>
      </c>
    </row>
    <row r="477" spans="1:12" x14ac:dyDescent="0.25">
      <c r="A477" t="s">
        <v>165</v>
      </c>
      <c r="B477" t="s">
        <v>20</v>
      </c>
      <c r="C477" t="s">
        <v>322</v>
      </c>
      <c r="D477" t="s">
        <v>30</v>
      </c>
      <c r="E477" t="s">
        <v>18</v>
      </c>
      <c r="F477">
        <v>66</v>
      </c>
      <c r="G477">
        <v>30</v>
      </c>
      <c r="H477">
        <v>2</v>
      </c>
      <c r="I477">
        <v>60</v>
      </c>
      <c r="J477">
        <v>12.21</v>
      </c>
      <c r="K477" s="2">
        <v>45082</v>
      </c>
      <c r="L477" t="s">
        <v>318</v>
      </c>
    </row>
    <row r="478" spans="1:12" x14ac:dyDescent="0.25">
      <c r="A478" t="s">
        <v>147</v>
      </c>
      <c r="B478" t="s">
        <v>13</v>
      </c>
      <c r="C478" t="s">
        <v>321</v>
      </c>
      <c r="D478" t="s">
        <v>14</v>
      </c>
      <c r="E478" t="s">
        <v>15</v>
      </c>
      <c r="F478">
        <v>58</v>
      </c>
      <c r="G478">
        <v>300</v>
      </c>
      <c r="H478">
        <v>4</v>
      </c>
      <c r="I478">
        <v>1200</v>
      </c>
      <c r="J478">
        <v>6.4</v>
      </c>
      <c r="K478" s="2">
        <v>44988</v>
      </c>
      <c r="L478" t="s">
        <v>318</v>
      </c>
    </row>
    <row r="479" spans="1:12" x14ac:dyDescent="0.25">
      <c r="A479" t="s">
        <v>210</v>
      </c>
      <c r="B479" t="s">
        <v>13</v>
      </c>
      <c r="C479" t="s">
        <v>322</v>
      </c>
      <c r="D479" t="s">
        <v>40</v>
      </c>
      <c r="E479" t="s">
        <v>15</v>
      </c>
      <c r="F479">
        <v>54</v>
      </c>
      <c r="G479">
        <v>800</v>
      </c>
      <c r="H479">
        <v>5</v>
      </c>
      <c r="I479">
        <v>4000</v>
      </c>
      <c r="J479">
        <v>19.43</v>
      </c>
      <c r="K479" s="2">
        <v>45119</v>
      </c>
      <c r="L479" t="s">
        <v>317</v>
      </c>
    </row>
    <row r="480" spans="1:12" x14ac:dyDescent="0.25">
      <c r="A480" t="s">
        <v>164</v>
      </c>
      <c r="B480" t="s">
        <v>20</v>
      </c>
      <c r="C480" t="s">
        <v>320</v>
      </c>
      <c r="D480" t="s">
        <v>14</v>
      </c>
      <c r="E480" t="s">
        <v>15</v>
      </c>
      <c r="F480">
        <v>57</v>
      </c>
      <c r="G480">
        <v>300</v>
      </c>
      <c r="H480">
        <v>1</v>
      </c>
      <c r="I480">
        <v>300</v>
      </c>
      <c r="J480">
        <v>15.49</v>
      </c>
      <c r="K480" s="2">
        <v>44962</v>
      </c>
      <c r="L480" t="s">
        <v>317</v>
      </c>
    </row>
    <row r="481" spans="1:12" x14ac:dyDescent="0.25">
      <c r="A481" t="s">
        <v>34</v>
      </c>
      <c r="B481" t="s">
        <v>13</v>
      </c>
      <c r="C481" t="s">
        <v>321</v>
      </c>
      <c r="D481" t="s">
        <v>40</v>
      </c>
      <c r="E481" t="s">
        <v>15</v>
      </c>
      <c r="F481">
        <v>49</v>
      </c>
      <c r="G481">
        <v>800</v>
      </c>
      <c r="H481">
        <v>3</v>
      </c>
      <c r="I481">
        <v>2400</v>
      </c>
      <c r="J481">
        <v>6.95</v>
      </c>
      <c r="K481" s="2">
        <v>45191</v>
      </c>
      <c r="L481" t="s">
        <v>316</v>
      </c>
    </row>
    <row r="482" spans="1:12" x14ac:dyDescent="0.25">
      <c r="A482" t="s">
        <v>135</v>
      </c>
      <c r="B482" t="s">
        <v>13</v>
      </c>
      <c r="C482" t="s">
        <v>320</v>
      </c>
      <c r="D482" t="s">
        <v>23</v>
      </c>
      <c r="E482" t="s">
        <v>15</v>
      </c>
      <c r="F482">
        <v>54</v>
      </c>
      <c r="G482">
        <v>1500</v>
      </c>
      <c r="H482">
        <v>4</v>
      </c>
      <c r="I482">
        <v>6000</v>
      </c>
      <c r="J482">
        <v>5.05</v>
      </c>
      <c r="K482" s="2">
        <v>45119</v>
      </c>
      <c r="L482" t="s">
        <v>318</v>
      </c>
    </row>
    <row r="483" spans="1:12" x14ac:dyDescent="0.25">
      <c r="A483" t="s">
        <v>43</v>
      </c>
      <c r="B483" t="s">
        <v>20</v>
      </c>
      <c r="C483" t="s">
        <v>321</v>
      </c>
      <c r="D483" t="s">
        <v>23</v>
      </c>
      <c r="E483" t="s">
        <v>15</v>
      </c>
      <c r="F483">
        <v>37</v>
      </c>
      <c r="G483">
        <v>1500</v>
      </c>
      <c r="H483">
        <v>1</v>
      </c>
      <c r="I483">
        <v>1500</v>
      </c>
      <c r="J483">
        <v>12.95</v>
      </c>
      <c r="K483" s="2">
        <v>45236</v>
      </c>
      <c r="L483" t="s">
        <v>316</v>
      </c>
    </row>
    <row r="484" spans="1:12" x14ac:dyDescent="0.25">
      <c r="A484" t="s">
        <v>257</v>
      </c>
      <c r="B484" t="s">
        <v>20</v>
      </c>
      <c r="C484" t="s">
        <v>321</v>
      </c>
      <c r="D484" t="s">
        <v>17</v>
      </c>
      <c r="E484" t="s">
        <v>18</v>
      </c>
      <c r="F484">
        <v>58</v>
      </c>
      <c r="G484">
        <v>100</v>
      </c>
      <c r="H484">
        <v>5</v>
      </c>
      <c r="I484">
        <v>500</v>
      </c>
      <c r="J484">
        <v>19.98</v>
      </c>
      <c r="K484" s="2">
        <v>45151</v>
      </c>
      <c r="L484" t="s">
        <v>316</v>
      </c>
    </row>
    <row r="485" spans="1:12" x14ac:dyDescent="0.25">
      <c r="A485" t="s">
        <v>99</v>
      </c>
      <c r="B485" t="s">
        <v>13</v>
      </c>
      <c r="C485" t="s">
        <v>322</v>
      </c>
      <c r="D485" t="s">
        <v>40</v>
      </c>
      <c r="E485" t="s">
        <v>15</v>
      </c>
      <c r="F485">
        <v>19</v>
      </c>
      <c r="G485">
        <v>800</v>
      </c>
      <c r="H485">
        <v>4</v>
      </c>
      <c r="I485">
        <v>3200</v>
      </c>
      <c r="J485">
        <v>12.3</v>
      </c>
      <c r="K485" s="2">
        <v>44949</v>
      </c>
      <c r="L485" t="s">
        <v>318</v>
      </c>
    </row>
    <row r="486" spans="1:12" x14ac:dyDescent="0.25">
      <c r="A486" t="s">
        <v>88</v>
      </c>
      <c r="B486" t="s">
        <v>20</v>
      </c>
      <c r="C486" t="s">
        <v>322</v>
      </c>
      <c r="D486" t="s">
        <v>14</v>
      </c>
      <c r="E486" t="s">
        <v>15</v>
      </c>
      <c r="F486">
        <v>50</v>
      </c>
      <c r="G486">
        <v>300</v>
      </c>
      <c r="H486">
        <v>4</v>
      </c>
      <c r="I486">
        <v>1200</v>
      </c>
      <c r="J486">
        <v>7.42</v>
      </c>
      <c r="K486" s="2">
        <v>45206</v>
      </c>
      <c r="L486" t="s">
        <v>318</v>
      </c>
    </row>
    <row r="487" spans="1:12" x14ac:dyDescent="0.25">
      <c r="A487" t="s">
        <v>88</v>
      </c>
      <c r="B487" t="s">
        <v>20</v>
      </c>
      <c r="C487" t="s">
        <v>321</v>
      </c>
      <c r="D487" t="s">
        <v>30</v>
      </c>
      <c r="E487" t="s">
        <v>18</v>
      </c>
      <c r="F487">
        <v>50</v>
      </c>
      <c r="G487">
        <v>30</v>
      </c>
      <c r="H487">
        <v>1</v>
      </c>
      <c r="I487">
        <v>30</v>
      </c>
      <c r="J487">
        <v>15.21</v>
      </c>
      <c r="K487" s="2">
        <v>45245</v>
      </c>
      <c r="L487" t="s">
        <v>317</v>
      </c>
    </row>
    <row r="488" spans="1:12" x14ac:dyDescent="0.25">
      <c r="A488" t="s">
        <v>48</v>
      </c>
      <c r="B488" t="s">
        <v>20</v>
      </c>
      <c r="C488" t="s">
        <v>321</v>
      </c>
      <c r="D488" t="s">
        <v>14</v>
      </c>
      <c r="E488" t="s">
        <v>15</v>
      </c>
      <c r="F488">
        <v>59</v>
      </c>
      <c r="G488">
        <v>300</v>
      </c>
      <c r="H488">
        <v>3</v>
      </c>
      <c r="I488">
        <v>900</v>
      </c>
      <c r="J488">
        <v>19.8</v>
      </c>
      <c r="K488" s="2">
        <v>45286</v>
      </c>
      <c r="L488" t="s">
        <v>317</v>
      </c>
    </row>
    <row r="489" spans="1:12" x14ac:dyDescent="0.25">
      <c r="A489" t="s">
        <v>256</v>
      </c>
      <c r="B489" t="s">
        <v>20</v>
      </c>
      <c r="C489" t="s">
        <v>321</v>
      </c>
      <c r="D489" t="s">
        <v>30</v>
      </c>
      <c r="E489" t="s">
        <v>18</v>
      </c>
      <c r="F489">
        <v>49</v>
      </c>
      <c r="G489">
        <v>30</v>
      </c>
      <c r="H489">
        <v>5</v>
      </c>
      <c r="I489">
        <v>150</v>
      </c>
      <c r="J489">
        <v>13.14</v>
      </c>
      <c r="K489" s="2">
        <v>45241</v>
      </c>
      <c r="L489" t="s">
        <v>316</v>
      </c>
    </row>
    <row r="490" spans="1:12" x14ac:dyDescent="0.25">
      <c r="A490" t="s">
        <v>221</v>
      </c>
      <c r="B490" t="s">
        <v>13</v>
      </c>
      <c r="C490" t="s">
        <v>321</v>
      </c>
      <c r="D490" t="s">
        <v>17</v>
      </c>
      <c r="E490" t="s">
        <v>18</v>
      </c>
      <c r="F490">
        <v>49</v>
      </c>
      <c r="G490">
        <v>100</v>
      </c>
      <c r="H490">
        <v>5</v>
      </c>
      <c r="I490">
        <v>500</v>
      </c>
      <c r="J490">
        <v>15.78</v>
      </c>
      <c r="K490" s="2">
        <v>45037</v>
      </c>
      <c r="L490" t="s">
        <v>318</v>
      </c>
    </row>
    <row r="491" spans="1:12" x14ac:dyDescent="0.25">
      <c r="A491" t="s">
        <v>69</v>
      </c>
      <c r="B491" t="s">
        <v>13</v>
      </c>
      <c r="C491" t="s">
        <v>321</v>
      </c>
      <c r="D491" t="s">
        <v>29</v>
      </c>
      <c r="E491" t="s">
        <v>18</v>
      </c>
      <c r="F491">
        <v>67</v>
      </c>
      <c r="G491">
        <v>50</v>
      </c>
      <c r="H491">
        <v>5</v>
      </c>
      <c r="I491">
        <v>250</v>
      </c>
      <c r="J491">
        <v>5.81</v>
      </c>
      <c r="K491" s="2">
        <v>45064</v>
      </c>
      <c r="L491" t="s">
        <v>318</v>
      </c>
    </row>
    <row r="492" spans="1:12" x14ac:dyDescent="0.25">
      <c r="A492" t="s">
        <v>258</v>
      </c>
      <c r="B492" t="s">
        <v>13</v>
      </c>
      <c r="C492" t="s">
        <v>321</v>
      </c>
      <c r="D492" t="s">
        <v>17</v>
      </c>
      <c r="E492" t="s">
        <v>18</v>
      </c>
      <c r="F492">
        <v>55</v>
      </c>
      <c r="G492">
        <v>100</v>
      </c>
      <c r="H492">
        <v>5</v>
      </c>
      <c r="I492">
        <v>500</v>
      </c>
      <c r="J492">
        <v>7.98</v>
      </c>
      <c r="K492" s="2">
        <v>45062</v>
      </c>
      <c r="L492" t="s">
        <v>316</v>
      </c>
    </row>
    <row r="493" spans="1:12" x14ac:dyDescent="0.25">
      <c r="A493" t="s">
        <v>259</v>
      </c>
      <c r="B493" t="s">
        <v>20</v>
      </c>
      <c r="C493" t="s">
        <v>323</v>
      </c>
      <c r="D493" t="s">
        <v>30</v>
      </c>
      <c r="E493" t="s">
        <v>18</v>
      </c>
      <c r="F493">
        <v>49</v>
      </c>
      <c r="G493">
        <v>30</v>
      </c>
      <c r="H493">
        <v>5</v>
      </c>
      <c r="I493">
        <v>150</v>
      </c>
      <c r="J493">
        <v>19.829999999999998</v>
      </c>
      <c r="K493" s="2">
        <v>45180</v>
      </c>
      <c r="L493" t="s">
        <v>317</v>
      </c>
    </row>
    <row r="494" spans="1:12" x14ac:dyDescent="0.25">
      <c r="A494" t="s">
        <v>184</v>
      </c>
      <c r="B494" t="s">
        <v>13</v>
      </c>
      <c r="C494" t="s">
        <v>321</v>
      </c>
      <c r="D494" t="s">
        <v>40</v>
      </c>
      <c r="E494" t="s">
        <v>15</v>
      </c>
      <c r="F494">
        <v>51</v>
      </c>
      <c r="G494">
        <v>800</v>
      </c>
      <c r="H494">
        <v>5</v>
      </c>
      <c r="I494">
        <v>4000</v>
      </c>
      <c r="J494">
        <v>16.14</v>
      </c>
      <c r="K494" s="2">
        <v>45089</v>
      </c>
      <c r="L494" t="s">
        <v>316</v>
      </c>
    </row>
    <row r="495" spans="1:12" x14ac:dyDescent="0.25">
      <c r="A495" t="s">
        <v>118</v>
      </c>
      <c r="B495" t="s">
        <v>20</v>
      </c>
      <c r="C495" t="s">
        <v>320</v>
      </c>
      <c r="D495" t="s">
        <v>30</v>
      </c>
      <c r="E495" t="s">
        <v>18</v>
      </c>
      <c r="F495">
        <v>37</v>
      </c>
      <c r="G495">
        <v>30</v>
      </c>
      <c r="H495">
        <v>4</v>
      </c>
      <c r="I495">
        <v>120</v>
      </c>
      <c r="J495">
        <v>9</v>
      </c>
      <c r="K495" s="2">
        <v>45294</v>
      </c>
      <c r="L495" t="s">
        <v>316</v>
      </c>
    </row>
    <row r="496" spans="1:12" x14ac:dyDescent="0.25">
      <c r="A496" t="s">
        <v>227</v>
      </c>
      <c r="B496" t="s">
        <v>20</v>
      </c>
      <c r="C496" t="s">
        <v>320</v>
      </c>
      <c r="D496" t="s">
        <v>40</v>
      </c>
      <c r="E496" t="s">
        <v>15</v>
      </c>
      <c r="F496">
        <v>66</v>
      </c>
      <c r="G496">
        <v>800</v>
      </c>
      <c r="H496">
        <v>1</v>
      </c>
      <c r="I496">
        <v>800</v>
      </c>
      <c r="J496">
        <v>16.420000000000002</v>
      </c>
      <c r="K496" s="2">
        <v>45195</v>
      </c>
      <c r="L496" t="s">
        <v>317</v>
      </c>
    </row>
    <row r="497" spans="1:12" x14ac:dyDescent="0.25">
      <c r="A497" t="s">
        <v>109</v>
      </c>
      <c r="B497" t="s">
        <v>20</v>
      </c>
      <c r="C497" t="s">
        <v>322</v>
      </c>
      <c r="D497" t="s">
        <v>23</v>
      </c>
      <c r="E497" t="s">
        <v>15</v>
      </c>
      <c r="F497">
        <v>57</v>
      </c>
      <c r="G497">
        <v>1500</v>
      </c>
      <c r="H497">
        <v>1</v>
      </c>
      <c r="I497">
        <v>1500</v>
      </c>
      <c r="J497">
        <v>9.69</v>
      </c>
      <c r="K497" s="2">
        <v>45252</v>
      </c>
      <c r="L497" t="s">
        <v>318</v>
      </c>
    </row>
    <row r="498" spans="1:12" x14ac:dyDescent="0.25">
      <c r="A498" t="s">
        <v>230</v>
      </c>
      <c r="B498" t="s">
        <v>13</v>
      </c>
      <c r="C498" t="s">
        <v>323</v>
      </c>
      <c r="D498" t="s">
        <v>23</v>
      </c>
      <c r="E498" t="s">
        <v>15</v>
      </c>
      <c r="F498">
        <v>49</v>
      </c>
      <c r="G498">
        <v>1500</v>
      </c>
      <c r="H498">
        <v>4</v>
      </c>
      <c r="I498">
        <v>6000</v>
      </c>
      <c r="J498">
        <v>16.489999999999998</v>
      </c>
      <c r="K498" s="2">
        <v>45117</v>
      </c>
      <c r="L498" t="s">
        <v>318</v>
      </c>
    </row>
    <row r="499" spans="1:12" x14ac:dyDescent="0.25">
      <c r="A499" t="s">
        <v>98</v>
      </c>
      <c r="B499" t="s">
        <v>13</v>
      </c>
      <c r="C499" t="s">
        <v>321</v>
      </c>
      <c r="D499" t="s">
        <v>29</v>
      </c>
      <c r="E499" t="s">
        <v>18</v>
      </c>
      <c r="F499">
        <v>40</v>
      </c>
      <c r="G499">
        <v>50</v>
      </c>
      <c r="H499">
        <v>2</v>
      </c>
      <c r="I499">
        <v>100</v>
      </c>
      <c r="J499">
        <v>14</v>
      </c>
      <c r="K499" s="2">
        <v>45253</v>
      </c>
      <c r="L499" t="s">
        <v>318</v>
      </c>
    </row>
    <row r="500" spans="1:12" x14ac:dyDescent="0.25">
      <c r="A500" t="s">
        <v>63</v>
      </c>
      <c r="B500" t="s">
        <v>20</v>
      </c>
      <c r="C500" t="s">
        <v>323</v>
      </c>
      <c r="D500" t="s">
        <v>23</v>
      </c>
      <c r="E500" t="s">
        <v>15</v>
      </c>
      <c r="F500">
        <v>61</v>
      </c>
      <c r="G500">
        <v>1500</v>
      </c>
      <c r="H500">
        <v>3</v>
      </c>
      <c r="I500">
        <v>4500</v>
      </c>
      <c r="J500">
        <v>12.21</v>
      </c>
      <c r="K500" s="2">
        <v>45227</v>
      </c>
      <c r="L500" t="s">
        <v>316</v>
      </c>
    </row>
    <row r="501" spans="1:12" x14ac:dyDescent="0.25">
      <c r="A501" t="s">
        <v>228</v>
      </c>
      <c r="B501" t="s">
        <v>13</v>
      </c>
      <c r="C501" t="s">
        <v>320</v>
      </c>
      <c r="D501" t="s">
        <v>29</v>
      </c>
      <c r="E501" t="s">
        <v>18</v>
      </c>
      <c r="F501">
        <v>22</v>
      </c>
      <c r="G501">
        <v>50</v>
      </c>
      <c r="H501">
        <v>4</v>
      </c>
      <c r="I501">
        <v>200</v>
      </c>
      <c r="J501">
        <v>9.82</v>
      </c>
      <c r="K501" s="2">
        <v>44931</v>
      </c>
      <c r="L501" t="s">
        <v>318</v>
      </c>
    </row>
    <row r="502" spans="1:12" x14ac:dyDescent="0.25">
      <c r="A502" t="s">
        <v>235</v>
      </c>
      <c r="B502" t="s">
        <v>13</v>
      </c>
      <c r="C502" t="s">
        <v>320</v>
      </c>
      <c r="D502" t="s">
        <v>25</v>
      </c>
      <c r="E502" t="s">
        <v>26</v>
      </c>
      <c r="F502">
        <v>23</v>
      </c>
      <c r="G502">
        <v>200</v>
      </c>
      <c r="H502">
        <v>5</v>
      </c>
      <c r="I502">
        <v>1000</v>
      </c>
      <c r="J502">
        <v>14.5</v>
      </c>
      <c r="K502" s="2">
        <v>45245</v>
      </c>
      <c r="L502" t="s">
        <v>318</v>
      </c>
    </row>
    <row r="503" spans="1:12" x14ac:dyDescent="0.25">
      <c r="A503" t="s">
        <v>207</v>
      </c>
      <c r="B503" t="s">
        <v>13</v>
      </c>
      <c r="C503" t="s">
        <v>320</v>
      </c>
      <c r="D503" t="s">
        <v>30</v>
      </c>
      <c r="E503" t="s">
        <v>18</v>
      </c>
      <c r="F503">
        <v>63</v>
      </c>
      <c r="G503">
        <v>30</v>
      </c>
      <c r="H503">
        <v>4</v>
      </c>
      <c r="I503">
        <v>120</v>
      </c>
      <c r="J503">
        <v>14.68</v>
      </c>
      <c r="K503" s="2">
        <v>44996</v>
      </c>
      <c r="L503" t="s">
        <v>316</v>
      </c>
    </row>
    <row r="504" spans="1:12" x14ac:dyDescent="0.25">
      <c r="A504" t="s">
        <v>99</v>
      </c>
      <c r="B504" t="s">
        <v>13</v>
      </c>
      <c r="C504" t="s">
        <v>321</v>
      </c>
      <c r="D504" t="s">
        <v>30</v>
      </c>
      <c r="E504" t="s">
        <v>18</v>
      </c>
      <c r="F504">
        <v>19</v>
      </c>
      <c r="G504">
        <v>30</v>
      </c>
      <c r="H504">
        <v>1</v>
      </c>
      <c r="I504">
        <v>30</v>
      </c>
      <c r="J504">
        <v>17.329999999999998</v>
      </c>
      <c r="K504" s="2">
        <v>45169</v>
      </c>
      <c r="L504" t="s">
        <v>318</v>
      </c>
    </row>
    <row r="505" spans="1:12" x14ac:dyDescent="0.25">
      <c r="A505" t="s">
        <v>159</v>
      </c>
      <c r="B505" t="s">
        <v>13</v>
      </c>
      <c r="C505" t="s">
        <v>320</v>
      </c>
      <c r="D505" t="s">
        <v>17</v>
      </c>
      <c r="E505" t="s">
        <v>18</v>
      </c>
      <c r="F505">
        <v>26</v>
      </c>
      <c r="G505">
        <v>100</v>
      </c>
      <c r="H505">
        <v>2</v>
      </c>
      <c r="I505">
        <v>200</v>
      </c>
      <c r="J505">
        <v>17.84</v>
      </c>
      <c r="K505" s="2">
        <v>45272</v>
      </c>
      <c r="L505" t="s">
        <v>318</v>
      </c>
    </row>
    <row r="506" spans="1:12" x14ac:dyDescent="0.25">
      <c r="A506" t="s">
        <v>260</v>
      </c>
      <c r="B506" t="s">
        <v>20</v>
      </c>
      <c r="C506" t="s">
        <v>320</v>
      </c>
      <c r="D506" t="s">
        <v>14</v>
      </c>
      <c r="E506" t="s">
        <v>15</v>
      </c>
      <c r="F506">
        <v>35</v>
      </c>
      <c r="G506">
        <v>300</v>
      </c>
      <c r="H506">
        <v>5</v>
      </c>
      <c r="I506">
        <v>1500</v>
      </c>
      <c r="J506">
        <v>19.579999999999998</v>
      </c>
      <c r="K506" s="2">
        <v>44948</v>
      </c>
      <c r="L506" t="s">
        <v>318</v>
      </c>
    </row>
    <row r="507" spans="1:12" x14ac:dyDescent="0.25">
      <c r="A507" t="s">
        <v>160</v>
      </c>
      <c r="B507" t="s">
        <v>13</v>
      </c>
      <c r="C507" t="s">
        <v>322</v>
      </c>
      <c r="D507" t="s">
        <v>29</v>
      </c>
      <c r="E507" t="s">
        <v>18</v>
      </c>
      <c r="F507">
        <v>27</v>
      </c>
      <c r="G507">
        <v>50</v>
      </c>
      <c r="H507">
        <v>5</v>
      </c>
      <c r="I507">
        <v>250</v>
      </c>
      <c r="J507">
        <v>17.690000000000001</v>
      </c>
      <c r="K507" s="2">
        <v>45291</v>
      </c>
      <c r="L507" t="s">
        <v>317</v>
      </c>
    </row>
    <row r="508" spans="1:12" x14ac:dyDescent="0.25">
      <c r="A508" t="s">
        <v>261</v>
      </c>
      <c r="B508" t="s">
        <v>20</v>
      </c>
      <c r="C508" t="s">
        <v>323</v>
      </c>
      <c r="D508" t="s">
        <v>40</v>
      </c>
      <c r="E508" t="s">
        <v>15</v>
      </c>
      <c r="F508">
        <v>26</v>
      </c>
      <c r="G508">
        <v>800</v>
      </c>
      <c r="H508">
        <v>5</v>
      </c>
      <c r="I508">
        <v>4000</v>
      </c>
      <c r="J508">
        <v>18.989999999999998</v>
      </c>
      <c r="K508" s="2">
        <v>45291</v>
      </c>
      <c r="L508" t="s">
        <v>317</v>
      </c>
    </row>
    <row r="509" spans="1:12" x14ac:dyDescent="0.25">
      <c r="A509" t="s">
        <v>21</v>
      </c>
      <c r="B509" t="s">
        <v>20</v>
      </c>
      <c r="C509" t="s">
        <v>322</v>
      </c>
      <c r="D509" t="s">
        <v>29</v>
      </c>
      <c r="E509" t="s">
        <v>18</v>
      </c>
      <c r="F509">
        <v>23</v>
      </c>
      <c r="G509">
        <v>50</v>
      </c>
      <c r="H509">
        <v>5</v>
      </c>
      <c r="I509">
        <v>250</v>
      </c>
      <c r="J509">
        <v>17.96</v>
      </c>
      <c r="K509" s="2">
        <v>45156</v>
      </c>
      <c r="L509" t="s">
        <v>317</v>
      </c>
    </row>
    <row r="510" spans="1:12" x14ac:dyDescent="0.25">
      <c r="A510" t="s">
        <v>33</v>
      </c>
      <c r="B510" t="s">
        <v>20</v>
      </c>
      <c r="C510" t="s">
        <v>323</v>
      </c>
      <c r="D510" t="s">
        <v>23</v>
      </c>
      <c r="E510" t="s">
        <v>15</v>
      </c>
      <c r="F510">
        <v>67</v>
      </c>
      <c r="G510">
        <v>1500</v>
      </c>
      <c r="H510">
        <v>1</v>
      </c>
      <c r="I510">
        <v>1500</v>
      </c>
      <c r="J510">
        <v>11.14</v>
      </c>
      <c r="K510" s="2">
        <v>45102</v>
      </c>
      <c r="L510" t="s">
        <v>317</v>
      </c>
    </row>
    <row r="511" spans="1:12" x14ac:dyDescent="0.25">
      <c r="A511" t="s">
        <v>219</v>
      </c>
      <c r="B511" t="s">
        <v>20</v>
      </c>
      <c r="C511" t="s">
        <v>321</v>
      </c>
      <c r="D511" t="s">
        <v>23</v>
      </c>
      <c r="E511" t="s">
        <v>15</v>
      </c>
      <c r="F511">
        <v>41</v>
      </c>
      <c r="G511">
        <v>1500</v>
      </c>
      <c r="H511">
        <v>1</v>
      </c>
      <c r="I511">
        <v>1500</v>
      </c>
      <c r="J511">
        <v>14.86</v>
      </c>
      <c r="K511" s="2">
        <v>45220</v>
      </c>
      <c r="L511" t="s">
        <v>316</v>
      </c>
    </row>
    <row r="512" spans="1:12" x14ac:dyDescent="0.25">
      <c r="A512" t="s">
        <v>112</v>
      </c>
      <c r="B512" t="s">
        <v>13</v>
      </c>
      <c r="C512" t="s">
        <v>321</v>
      </c>
      <c r="D512" t="s">
        <v>30</v>
      </c>
      <c r="E512" t="s">
        <v>18</v>
      </c>
      <c r="F512">
        <v>49</v>
      </c>
      <c r="G512">
        <v>30</v>
      </c>
      <c r="H512">
        <v>2</v>
      </c>
      <c r="I512">
        <v>60</v>
      </c>
      <c r="J512">
        <v>6.54</v>
      </c>
      <c r="K512" s="2">
        <v>45251</v>
      </c>
      <c r="L512" t="s">
        <v>316</v>
      </c>
    </row>
    <row r="513" spans="1:12" x14ac:dyDescent="0.25">
      <c r="A513" t="s">
        <v>219</v>
      </c>
      <c r="B513" t="s">
        <v>13</v>
      </c>
      <c r="C513" t="s">
        <v>323</v>
      </c>
      <c r="D513" t="s">
        <v>17</v>
      </c>
      <c r="E513" t="s">
        <v>18</v>
      </c>
      <c r="F513">
        <v>41</v>
      </c>
      <c r="G513">
        <v>207.30404083244301</v>
      </c>
      <c r="H513">
        <v>2</v>
      </c>
      <c r="I513">
        <v>200</v>
      </c>
      <c r="J513">
        <v>9.15</v>
      </c>
      <c r="K513" s="2">
        <v>45039</v>
      </c>
      <c r="L513" t="s">
        <v>316</v>
      </c>
    </row>
    <row r="514" spans="1:12" x14ac:dyDescent="0.25">
      <c r="A514" t="s">
        <v>96</v>
      </c>
      <c r="B514" t="s">
        <v>13</v>
      </c>
      <c r="C514" t="s">
        <v>323</v>
      </c>
      <c r="D514" t="s">
        <v>14</v>
      </c>
      <c r="E514" t="s">
        <v>15</v>
      </c>
      <c r="F514">
        <v>64</v>
      </c>
      <c r="G514">
        <v>300</v>
      </c>
      <c r="H514">
        <v>4</v>
      </c>
      <c r="I514">
        <v>1200</v>
      </c>
      <c r="J514">
        <v>13.49</v>
      </c>
      <c r="K514" s="2">
        <v>45178</v>
      </c>
      <c r="L514" t="s">
        <v>316</v>
      </c>
    </row>
    <row r="515" spans="1:12" x14ac:dyDescent="0.25">
      <c r="A515" t="s">
        <v>95</v>
      </c>
      <c r="B515" t="s">
        <v>13</v>
      </c>
      <c r="C515" t="s">
        <v>320</v>
      </c>
      <c r="D515" t="s">
        <v>23</v>
      </c>
      <c r="E515" t="s">
        <v>15</v>
      </c>
      <c r="F515">
        <v>49</v>
      </c>
      <c r="G515">
        <v>1500</v>
      </c>
      <c r="H515">
        <v>2</v>
      </c>
      <c r="I515">
        <v>3000</v>
      </c>
      <c r="J515">
        <v>8.24</v>
      </c>
      <c r="K515" s="2">
        <v>45031</v>
      </c>
      <c r="L515" t="s">
        <v>318</v>
      </c>
    </row>
    <row r="516" spans="1:12" x14ac:dyDescent="0.25">
      <c r="A516" t="s">
        <v>199</v>
      </c>
      <c r="B516" t="s">
        <v>20</v>
      </c>
      <c r="C516" t="s">
        <v>323</v>
      </c>
      <c r="D516" t="s">
        <v>40</v>
      </c>
      <c r="E516" t="s">
        <v>15</v>
      </c>
      <c r="F516">
        <v>50</v>
      </c>
      <c r="G516">
        <v>800</v>
      </c>
      <c r="H516">
        <v>3</v>
      </c>
      <c r="I516">
        <v>2400</v>
      </c>
      <c r="J516">
        <v>10.130000000000001</v>
      </c>
      <c r="K516" s="2">
        <v>45103</v>
      </c>
      <c r="L516" t="s">
        <v>316</v>
      </c>
    </row>
    <row r="517" spans="1:12" x14ac:dyDescent="0.25">
      <c r="A517" t="s">
        <v>58</v>
      </c>
      <c r="B517" t="s">
        <v>13</v>
      </c>
      <c r="C517" t="s">
        <v>322</v>
      </c>
      <c r="D517" t="s">
        <v>17</v>
      </c>
      <c r="E517" t="s">
        <v>18</v>
      </c>
      <c r="F517">
        <v>64</v>
      </c>
      <c r="G517">
        <v>100</v>
      </c>
      <c r="H517">
        <v>2</v>
      </c>
      <c r="I517">
        <v>200</v>
      </c>
      <c r="J517">
        <v>10.57</v>
      </c>
      <c r="K517" s="2">
        <v>45080</v>
      </c>
      <c r="L517" t="s">
        <v>317</v>
      </c>
    </row>
    <row r="518" spans="1:12" x14ac:dyDescent="0.25">
      <c r="A518" t="s">
        <v>262</v>
      </c>
      <c r="B518" t="s">
        <v>13</v>
      </c>
      <c r="C518" t="s">
        <v>322</v>
      </c>
      <c r="D518" t="s">
        <v>23</v>
      </c>
      <c r="E518" t="s">
        <v>15</v>
      </c>
      <c r="F518">
        <v>40</v>
      </c>
      <c r="G518">
        <v>1500</v>
      </c>
      <c r="H518">
        <v>1</v>
      </c>
      <c r="I518">
        <v>1500</v>
      </c>
      <c r="J518">
        <v>14.19</v>
      </c>
      <c r="K518" s="2">
        <v>45066</v>
      </c>
      <c r="L518" t="s">
        <v>317</v>
      </c>
    </row>
    <row r="519" spans="1:12" x14ac:dyDescent="0.25">
      <c r="A519" t="s">
        <v>263</v>
      </c>
      <c r="B519" t="s">
        <v>13</v>
      </c>
      <c r="C519" t="s">
        <v>323</v>
      </c>
      <c r="D519" t="s">
        <v>25</v>
      </c>
      <c r="E519" t="s">
        <v>26</v>
      </c>
      <c r="F519">
        <v>64</v>
      </c>
      <c r="G519">
        <v>200</v>
      </c>
      <c r="H519">
        <v>3</v>
      </c>
      <c r="I519">
        <v>600</v>
      </c>
      <c r="J519">
        <v>5.7</v>
      </c>
      <c r="K519" s="2">
        <v>45023</v>
      </c>
      <c r="L519" t="s">
        <v>317</v>
      </c>
    </row>
    <row r="520" spans="1:12" x14ac:dyDescent="0.25">
      <c r="A520" t="s">
        <v>118</v>
      </c>
      <c r="B520" t="s">
        <v>20</v>
      </c>
      <c r="C520" t="s">
        <v>323</v>
      </c>
      <c r="D520" t="s">
        <v>25</v>
      </c>
      <c r="E520" t="s">
        <v>26</v>
      </c>
      <c r="F520">
        <v>37</v>
      </c>
      <c r="G520">
        <v>200</v>
      </c>
      <c r="H520">
        <v>5</v>
      </c>
      <c r="I520">
        <v>1000</v>
      </c>
      <c r="J520">
        <v>5.6</v>
      </c>
      <c r="K520" s="2">
        <v>45248</v>
      </c>
      <c r="L520" t="s">
        <v>316</v>
      </c>
    </row>
    <row r="521" spans="1:12" x14ac:dyDescent="0.25">
      <c r="A521" t="s">
        <v>66</v>
      </c>
      <c r="B521" t="s">
        <v>13</v>
      </c>
      <c r="C521" t="s">
        <v>322</v>
      </c>
      <c r="D521" t="s">
        <v>23</v>
      </c>
      <c r="E521" t="s">
        <v>15</v>
      </c>
      <c r="F521">
        <v>44</v>
      </c>
      <c r="G521">
        <v>1500</v>
      </c>
      <c r="H521">
        <v>3</v>
      </c>
      <c r="I521">
        <v>4500</v>
      </c>
      <c r="J521">
        <v>18.21</v>
      </c>
      <c r="K521" s="2">
        <v>45047</v>
      </c>
      <c r="L521" t="s">
        <v>317</v>
      </c>
    </row>
    <row r="522" spans="1:12" x14ac:dyDescent="0.25">
      <c r="A522" t="s">
        <v>261</v>
      </c>
      <c r="B522" t="s">
        <v>13</v>
      </c>
      <c r="C522" t="s">
        <v>321</v>
      </c>
      <c r="D522" t="s">
        <v>23</v>
      </c>
      <c r="E522" t="s">
        <v>15</v>
      </c>
      <c r="F522">
        <v>26</v>
      </c>
      <c r="G522">
        <v>1500</v>
      </c>
      <c r="H522">
        <v>3</v>
      </c>
      <c r="I522">
        <v>4500</v>
      </c>
      <c r="J522">
        <v>12.84</v>
      </c>
      <c r="K522" s="2">
        <v>45073</v>
      </c>
      <c r="L522" t="s">
        <v>319</v>
      </c>
    </row>
    <row r="523" spans="1:12" x14ac:dyDescent="0.25">
      <c r="A523" t="s">
        <v>105</v>
      </c>
      <c r="B523" t="s">
        <v>13</v>
      </c>
      <c r="C523" t="s">
        <v>321</v>
      </c>
      <c r="D523" t="s">
        <v>23</v>
      </c>
      <c r="E523" t="s">
        <v>15</v>
      </c>
      <c r="F523">
        <v>18</v>
      </c>
      <c r="G523">
        <v>1500</v>
      </c>
      <c r="H523">
        <v>2</v>
      </c>
      <c r="I523">
        <v>3000</v>
      </c>
      <c r="J523">
        <v>18.07</v>
      </c>
      <c r="K523" s="2">
        <v>44949</v>
      </c>
      <c r="L523" t="s">
        <v>316</v>
      </c>
    </row>
    <row r="524" spans="1:12" x14ac:dyDescent="0.25">
      <c r="A524" t="s">
        <v>212</v>
      </c>
      <c r="B524" t="s">
        <v>13</v>
      </c>
      <c r="C524" t="s">
        <v>321</v>
      </c>
      <c r="D524" t="s">
        <v>29</v>
      </c>
      <c r="E524" t="s">
        <v>18</v>
      </c>
      <c r="F524">
        <v>49</v>
      </c>
      <c r="G524">
        <v>50</v>
      </c>
      <c r="H524">
        <v>4</v>
      </c>
      <c r="I524">
        <v>200</v>
      </c>
      <c r="J524">
        <v>14.29</v>
      </c>
      <c r="K524" s="2">
        <v>45207</v>
      </c>
      <c r="L524" t="s">
        <v>318</v>
      </c>
    </row>
    <row r="525" spans="1:12" x14ac:dyDescent="0.25">
      <c r="A525" t="s">
        <v>71</v>
      </c>
      <c r="B525" t="s">
        <v>13</v>
      </c>
      <c r="C525" t="s">
        <v>320</v>
      </c>
      <c r="D525" t="s">
        <v>17</v>
      </c>
      <c r="E525" t="s">
        <v>18</v>
      </c>
      <c r="F525">
        <v>68</v>
      </c>
      <c r="G525">
        <v>100</v>
      </c>
      <c r="H525">
        <v>4</v>
      </c>
      <c r="I525">
        <v>400</v>
      </c>
      <c r="J525">
        <v>11.52</v>
      </c>
      <c r="K525" s="2">
        <v>45259</v>
      </c>
      <c r="L525" t="s">
        <v>316</v>
      </c>
    </row>
    <row r="526" spans="1:12" x14ac:dyDescent="0.25">
      <c r="A526" t="s">
        <v>264</v>
      </c>
      <c r="B526" t="s">
        <v>20</v>
      </c>
      <c r="C526" t="s">
        <v>322</v>
      </c>
      <c r="D526" t="s">
        <v>14</v>
      </c>
      <c r="E526" t="s">
        <v>15</v>
      </c>
      <c r="F526">
        <v>64</v>
      </c>
      <c r="G526">
        <v>300</v>
      </c>
      <c r="H526">
        <v>3</v>
      </c>
      <c r="I526">
        <v>900</v>
      </c>
      <c r="J526">
        <v>15.77</v>
      </c>
      <c r="K526" s="2">
        <v>45198</v>
      </c>
      <c r="L526" t="s">
        <v>318</v>
      </c>
    </row>
    <row r="527" spans="1:12" x14ac:dyDescent="0.25">
      <c r="A527" t="s">
        <v>59</v>
      </c>
      <c r="B527" t="s">
        <v>13</v>
      </c>
      <c r="C527" t="s">
        <v>320</v>
      </c>
      <c r="D527" t="s">
        <v>23</v>
      </c>
      <c r="E527" t="s">
        <v>15</v>
      </c>
      <c r="F527">
        <v>68</v>
      </c>
      <c r="G527">
        <v>1500</v>
      </c>
      <c r="H527">
        <v>4</v>
      </c>
      <c r="I527">
        <v>6000</v>
      </c>
      <c r="J527">
        <v>5.24</v>
      </c>
      <c r="K527" s="2">
        <v>45237</v>
      </c>
      <c r="L527" t="s">
        <v>318</v>
      </c>
    </row>
    <row r="528" spans="1:12" x14ac:dyDescent="0.25">
      <c r="A528" t="s">
        <v>174</v>
      </c>
      <c r="B528" t="s">
        <v>13</v>
      </c>
      <c r="C528" t="s">
        <v>321</v>
      </c>
      <c r="D528" t="s">
        <v>17</v>
      </c>
      <c r="E528" t="s">
        <v>18</v>
      </c>
      <c r="F528">
        <v>54</v>
      </c>
      <c r="G528">
        <v>100</v>
      </c>
      <c r="H528">
        <v>5</v>
      </c>
      <c r="I528">
        <v>500</v>
      </c>
      <c r="J528">
        <v>8.64</v>
      </c>
      <c r="K528" s="2">
        <v>45219</v>
      </c>
      <c r="L528" t="s">
        <v>318</v>
      </c>
    </row>
    <row r="529" spans="1:12" x14ac:dyDescent="0.25">
      <c r="A529" t="s">
        <v>49</v>
      </c>
      <c r="B529" t="s">
        <v>13</v>
      </c>
      <c r="C529" t="s">
        <v>320</v>
      </c>
      <c r="D529" t="s">
        <v>23</v>
      </c>
      <c r="E529" t="s">
        <v>15</v>
      </c>
      <c r="F529">
        <v>25</v>
      </c>
      <c r="G529">
        <v>1500</v>
      </c>
      <c r="H529">
        <v>4</v>
      </c>
      <c r="I529">
        <v>6000</v>
      </c>
      <c r="J529">
        <v>13.08</v>
      </c>
      <c r="K529" s="2">
        <v>45187</v>
      </c>
      <c r="L529" t="s">
        <v>317</v>
      </c>
    </row>
    <row r="530" spans="1:12" x14ac:dyDescent="0.25">
      <c r="A530" t="s">
        <v>132</v>
      </c>
      <c r="B530" t="s">
        <v>13</v>
      </c>
      <c r="C530" t="s">
        <v>319</v>
      </c>
      <c r="D530" t="s">
        <v>40</v>
      </c>
      <c r="E530" t="s">
        <v>15</v>
      </c>
      <c r="F530">
        <v>33</v>
      </c>
      <c r="G530">
        <v>800</v>
      </c>
      <c r="H530">
        <v>4</v>
      </c>
      <c r="I530">
        <v>3200</v>
      </c>
      <c r="J530">
        <v>13.29</v>
      </c>
      <c r="K530" s="2">
        <v>45130</v>
      </c>
      <c r="L530" t="s">
        <v>316</v>
      </c>
    </row>
    <row r="531" spans="1:12" x14ac:dyDescent="0.25">
      <c r="A531" t="s">
        <v>220</v>
      </c>
      <c r="B531" t="s">
        <v>13</v>
      </c>
      <c r="C531" t="s">
        <v>321</v>
      </c>
      <c r="D531" t="s">
        <v>40</v>
      </c>
      <c r="E531" t="s">
        <v>15</v>
      </c>
      <c r="F531">
        <v>18</v>
      </c>
      <c r="G531">
        <v>800</v>
      </c>
      <c r="H531">
        <v>5</v>
      </c>
      <c r="I531">
        <v>4000</v>
      </c>
      <c r="J531">
        <v>13.44</v>
      </c>
      <c r="K531" s="2">
        <v>45048</v>
      </c>
      <c r="L531" t="s">
        <v>318</v>
      </c>
    </row>
    <row r="532" spans="1:12" x14ac:dyDescent="0.25">
      <c r="A532" t="s">
        <v>198</v>
      </c>
      <c r="B532" t="s">
        <v>20</v>
      </c>
      <c r="C532" t="s">
        <v>322</v>
      </c>
      <c r="D532" t="s">
        <v>17</v>
      </c>
      <c r="E532" t="s">
        <v>18</v>
      </c>
      <c r="F532">
        <v>49</v>
      </c>
      <c r="G532">
        <v>100</v>
      </c>
      <c r="H532">
        <v>1</v>
      </c>
      <c r="I532">
        <v>100</v>
      </c>
      <c r="J532">
        <v>14.98</v>
      </c>
      <c r="K532" s="2">
        <v>45264</v>
      </c>
      <c r="L532" t="s">
        <v>318</v>
      </c>
    </row>
    <row r="533" spans="1:12" x14ac:dyDescent="0.25">
      <c r="A533" t="s">
        <v>265</v>
      </c>
      <c r="B533" t="s">
        <v>13</v>
      </c>
      <c r="C533" t="s">
        <v>323</v>
      </c>
      <c r="D533" t="s">
        <v>14</v>
      </c>
      <c r="E533" t="s">
        <v>15</v>
      </c>
      <c r="F533">
        <v>67</v>
      </c>
      <c r="G533">
        <v>300</v>
      </c>
      <c r="H533">
        <v>1</v>
      </c>
      <c r="I533">
        <v>300</v>
      </c>
      <c r="J533">
        <v>8.65</v>
      </c>
      <c r="K533" s="2">
        <v>45165</v>
      </c>
      <c r="L533" t="s">
        <v>316</v>
      </c>
    </row>
    <row r="534" spans="1:12" x14ac:dyDescent="0.25">
      <c r="A534" t="s">
        <v>196</v>
      </c>
      <c r="B534" t="s">
        <v>20</v>
      </c>
      <c r="C534" t="s">
        <v>321</v>
      </c>
      <c r="D534" t="s">
        <v>17</v>
      </c>
      <c r="E534" t="s">
        <v>18</v>
      </c>
      <c r="F534">
        <v>66</v>
      </c>
      <c r="G534">
        <v>100</v>
      </c>
      <c r="H534">
        <v>5</v>
      </c>
      <c r="I534">
        <v>500</v>
      </c>
      <c r="J534">
        <v>14.84</v>
      </c>
      <c r="K534" s="2">
        <v>45085</v>
      </c>
      <c r="L534" t="s">
        <v>318</v>
      </c>
    </row>
    <row r="535" spans="1:12" x14ac:dyDescent="0.25">
      <c r="A535" t="s">
        <v>266</v>
      </c>
      <c r="B535" t="s">
        <v>20</v>
      </c>
      <c r="C535" t="s">
        <v>320</v>
      </c>
      <c r="D535" t="s">
        <v>14</v>
      </c>
      <c r="E535" t="s">
        <v>15</v>
      </c>
      <c r="F535">
        <v>55</v>
      </c>
      <c r="G535">
        <v>300</v>
      </c>
      <c r="H535">
        <v>1</v>
      </c>
      <c r="I535">
        <v>300</v>
      </c>
      <c r="J535">
        <v>7.38</v>
      </c>
      <c r="K535" s="2">
        <v>45225</v>
      </c>
      <c r="L535" t="s">
        <v>318</v>
      </c>
    </row>
    <row r="536" spans="1:12" x14ac:dyDescent="0.25">
      <c r="A536" t="s">
        <v>251</v>
      </c>
      <c r="B536" t="s">
        <v>20</v>
      </c>
      <c r="C536" t="s">
        <v>323</v>
      </c>
      <c r="D536" t="s">
        <v>23</v>
      </c>
      <c r="E536" t="s">
        <v>15</v>
      </c>
      <c r="F536">
        <v>51</v>
      </c>
      <c r="G536">
        <v>1500</v>
      </c>
      <c r="H536">
        <v>5</v>
      </c>
      <c r="I536">
        <v>7500</v>
      </c>
      <c r="J536">
        <v>12.33</v>
      </c>
      <c r="K536" s="2">
        <v>44933</v>
      </c>
      <c r="L536" t="s">
        <v>317</v>
      </c>
    </row>
    <row r="537" spans="1:12" x14ac:dyDescent="0.25">
      <c r="A537" t="s">
        <v>43</v>
      </c>
      <c r="B537" t="s">
        <v>13</v>
      </c>
      <c r="C537" t="s">
        <v>323</v>
      </c>
      <c r="D537" t="s">
        <v>25</v>
      </c>
      <c r="E537" t="s">
        <v>26</v>
      </c>
      <c r="F537">
        <v>37</v>
      </c>
      <c r="G537">
        <v>200</v>
      </c>
      <c r="H537">
        <v>5</v>
      </c>
      <c r="I537">
        <v>1000</v>
      </c>
      <c r="J537">
        <v>19.55</v>
      </c>
      <c r="K537" s="2">
        <v>45039</v>
      </c>
      <c r="L537" t="s">
        <v>318</v>
      </c>
    </row>
    <row r="538" spans="1:12" x14ac:dyDescent="0.25">
      <c r="A538" t="s">
        <v>95</v>
      </c>
      <c r="B538" t="s">
        <v>13</v>
      </c>
      <c r="C538" t="s">
        <v>319</v>
      </c>
      <c r="D538" t="s">
        <v>40</v>
      </c>
      <c r="E538" t="s">
        <v>15</v>
      </c>
      <c r="F538">
        <v>33</v>
      </c>
      <c r="G538">
        <v>800</v>
      </c>
      <c r="H538">
        <v>3</v>
      </c>
      <c r="I538">
        <v>2400</v>
      </c>
      <c r="J538">
        <v>5.22</v>
      </c>
      <c r="K538" s="2">
        <v>45181</v>
      </c>
      <c r="L538" t="s">
        <v>316</v>
      </c>
    </row>
    <row r="539" spans="1:12" x14ac:dyDescent="0.25">
      <c r="A539" t="s">
        <v>56</v>
      </c>
      <c r="B539" t="s">
        <v>13</v>
      </c>
      <c r="C539" t="s">
        <v>321</v>
      </c>
      <c r="D539" t="s">
        <v>29</v>
      </c>
      <c r="E539" t="s">
        <v>18</v>
      </c>
      <c r="F539">
        <v>49</v>
      </c>
      <c r="G539">
        <v>50</v>
      </c>
      <c r="H539">
        <v>1</v>
      </c>
      <c r="I539">
        <v>50</v>
      </c>
      <c r="J539">
        <v>14.62</v>
      </c>
      <c r="K539" s="2">
        <v>44954</v>
      </c>
      <c r="L539" t="s">
        <v>316</v>
      </c>
    </row>
    <row r="540" spans="1:12" x14ac:dyDescent="0.25">
      <c r="A540" t="s">
        <v>204</v>
      </c>
      <c r="B540" t="s">
        <v>20</v>
      </c>
      <c r="C540" t="s">
        <v>322</v>
      </c>
      <c r="D540" t="s">
        <v>25</v>
      </c>
      <c r="E540" t="s">
        <v>26</v>
      </c>
      <c r="F540">
        <v>69</v>
      </c>
      <c r="G540">
        <v>200</v>
      </c>
      <c r="H540">
        <v>3</v>
      </c>
      <c r="I540">
        <v>600</v>
      </c>
      <c r="J540">
        <v>19.07</v>
      </c>
      <c r="K540" s="2">
        <v>45123</v>
      </c>
      <c r="L540" t="s">
        <v>318</v>
      </c>
    </row>
    <row r="541" spans="1:12" x14ac:dyDescent="0.25">
      <c r="A541" t="s">
        <v>47</v>
      </c>
      <c r="B541" t="s">
        <v>13</v>
      </c>
      <c r="C541" t="s">
        <v>323</v>
      </c>
      <c r="D541" t="s">
        <v>25</v>
      </c>
      <c r="E541" t="s">
        <v>26</v>
      </c>
      <c r="F541">
        <v>57</v>
      </c>
      <c r="G541">
        <v>200</v>
      </c>
      <c r="H541">
        <v>5</v>
      </c>
      <c r="I541">
        <v>1000</v>
      </c>
      <c r="J541">
        <v>15.99</v>
      </c>
      <c r="K541" s="2">
        <v>44930</v>
      </c>
      <c r="L541" t="s">
        <v>316</v>
      </c>
    </row>
    <row r="542" spans="1:12" x14ac:dyDescent="0.25">
      <c r="A542" t="s">
        <v>267</v>
      </c>
      <c r="B542" t="s">
        <v>13</v>
      </c>
      <c r="C542" t="s">
        <v>323</v>
      </c>
      <c r="D542" t="s">
        <v>17</v>
      </c>
      <c r="E542" t="s">
        <v>18</v>
      </c>
      <c r="F542">
        <v>19</v>
      </c>
      <c r="G542">
        <v>100</v>
      </c>
      <c r="H542">
        <v>5</v>
      </c>
      <c r="I542">
        <v>500</v>
      </c>
      <c r="J542">
        <v>19.53</v>
      </c>
      <c r="K542" s="2">
        <v>45024</v>
      </c>
      <c r="L542" t="s">
        <v>317</v>
      </c>
    </row>
    <row r="543" spans="1:12" x14ac:dyDescent="0.25">
      <c r="A543" t="s">
        <v>268</v>
      </c>
      <c r="B543" t="s">
        <v>13</v>
      </c>
      <c r="C543" t="s">
        <v>322</v>
      </c>
      <c r="D543" t="s">
        <v>23</v>
      </c>
      <c r="E543" t="s">
        <v>15</v>
      </c>
      <c r="F543">
        <v>43</v>
      </c>
      <c r="G543">
        <v>1500</v>
      </c>
      <c r="H543">
        <v>5</v>
      </c>
      <c r="I543">
        <v>7500</v>
      </c>
      <c r="J543">
        <v>13.04</v>
      </c>
      <c r="K543" s="2">
        <v>45049</v>
      </c>
      <c r="L543" t="s">
        <v>317</v>
      </c>
    </row>
    <row r="544" spans="1:12" x14ac:dyDescent="0.25">
      <c r="A544" t="s">
        <v>235</v>
      </c>
      <c r="B544" t="s">
        <v>20</v>
      </c>
      <c r="C544" t="s">
        <v>319</v>
      </c>
      <c r="D544" t="s">
        <v>30</v>
      </c>
      <c r="E544" t="s">
        <v>18</v>
      </c>
      <c r="F544">
        <v>23</v>
      </c>
      <c r="G544">
        <v>30</v>
      </c>
      <c r="H544">
        <v>2</v>
      </c>
      <c r="I544">
        <v>60</v>
      </c>
      <c r="J544">
        <v>18.45</v>
      </c>
      <c r="K544" s="2">
        <v>45122</v>
      </c>
      <c r="L544" t="s">
        <v>316</v>
      </c>
    </row>
    <row r="545" spans="1:12" x14ac:dyDescent="0.25">
      <c r="A545" t="s">
        <v>94</v>
      </c>
      <c r="B545" t="s">
        <v>13</v>
      </c>
      <c r="C545" t="s">
        <v>320</v>
      </c>
      <c r="D545" t="s">
        <v>40</v>
      </c>
      <c r="E545" t="s">
        <v>15</v>
      </c>
      <c r="F545">
        <v>45</v>
      </c>
      <c r="G545">
        <v>800</v>
      </c>
      <c r="H545">
        <v>4</v>
      </c>
      <c r="I545">
        <v>3200</v>
      </c>
      <c r="J545">
        <v>15.02</v>
      </c>
      <c r="K545" s="2">
        <v>45197</v>
      </c>
      <c r="L545" t="s">
        <v>316</v>
      </c>
    </row>
    <row r="546" spans="1:12" x14ac:dyDescent="0.25">
      <c r="A546" t="s">
        <v>269</v>
      </c>
      <c r="B546" t="s">
        <v>20</v>
      </c>
      <c r="C546" t="s">
        <v>323</v>
      </c>
      <c r="D546" t="s">
        <v>29</v>
      </c>
      <c r="E546" t="s">
        <v>18</v>
      </c>
      <c r="F546">
        <v>48</v>
      </c>
      <c r="G546">
        <v>50</v>
      </c>
      <c r="H546">
        <v>4</v>
      </c>
      <c r="I546">
        <v>200</v>
      </c>
      <c r="J546">
        <v>8.27</v>
      </c>
      <c r="K546" s="2">
        <v>45068</v>
      </c>
      <c r="L546" t="s">
        <v>317</v>
      </c>
    </row>
    <row r="547" spans="1:12" x14ac:dyDescent="0.25">
      <c r="A547" t="s">
        <v>188</v>
      </c>
      <c r="B547" t="s">
        <v>13</v>
      </c>
      <c r="C547" t="s">
        <v>322</v>
      </c>
      <c r="D547" t="s">
        <v>30</v>
      </c>
      <c r="E547" t="s">
        <v>18</v>
      </c>
      <c r="F547">
        <v>52</v>
      </c>
      <c r="G547">
        <v>30</v>
      </c>
      <c r="H547">
        <v>3</v>
      </c>
      <c r="I547">
        <v>90</v>
      </c>
      <c r="J547">
        <v>8.66</v>
      </c>
      <c r="K547" s="2">
        <v>45015</v>
      </c>
      <c r="L547" t="s">
        <v>317</v>
      </c>
    </row>
    <row r="548" spans="1:12" x14ac:dyDescent="0.25">
      <c r="A548" t="s">
        <v>198</v>
      </c>
      <c r="B548" t="s">
        <v>20</v>
      </c>
      <c r="C548" t="s">
        <v>322</v>
      </c>
      <c r="D548" t="s">
        <v>17</v>
      </c>
      <c r="E548" t="s">
        <v>18</v>
      </c>
      <c r="F548">
        <v>46</v>
      </c>
      <c r="G548">
        <v>100</v>
      </c>
      <c r="H548">
        <v>5</v>
      </c>
      <c r="I548">
        <v>500</v>
      </c>
      <c r="J548">
        <v>11.88</v>
      </c>
      <c r="K548" s="2">
        <v>45140</v>
      </c>
      <c r="L548" t="s">
        <v>316</v>
      </c>
    </row>
    <row r="549" spans="1:12" x14ac:dyDescent="0.25">
      <c r="A549" t="s">
        <v>12</v>
      </c>
      <c r="B549" t="s">
        <v>13</v>
      </c>
      <c r="C549" t="s">
        <v>320</v>
      </c>
      <c r="D549" t="s">
        <v>29</v>
      </c>
      <c r="E549" t="s">
        <v>18</v>
      </c>
      <c r="F549">
        <v>21</v>
      </c>
      <c r="G549">
        <v>50</v>
      </c>
      <c r="H549">
        <v>3</v>
      </c>
      <c r="I549">
        <v>150</v>
      </c>
      <c r="J549">
        <v>15.03</v>
      </c>
      <c r="K549" s="2">
        <v>45066</v>
      </c>
      <c r="L549" t="s">
        <v>317</v>
      </c>
    </row>
    <row r="550" spans="1:12" x14ac:dyDescent="0.25">
      <c r="A550" t="s">
        <v>270</v>
      </c>
      <c r="B550" t="s">
        <v>20</v>
      </c>
      <c r="C550" t="s">
        <v>321</v>
      </c>
      <c r="D550" t="s">
        <v>29</v>
      </c>
      <c r="E550" t="s">
        <v>18</v>
      </c>
      <c r="F550">
        <v>36</v>
      </c>
      <c r="G550">
        <v>50</v>
      </c>
      <c r="H550">
        <v>5</v>
      </c>
      <c r="I550">
        <v>250</v>
      </c>
      <c r="J550">
        <v>12.63</v>
      </c>
      <c r="K550" s="2">
        <v>45277</v>
      </c>
      <c r="L550" t="s">
        <v>318</v>
      </c>
    </row>
    <row r="551" spans="1:12" x14ac:dyDescent="0.25">
      <c r="A551" t="s">
        <v>226</v>
      </c>
      <c r="B551" t="s">
        <v>13</v>
      </c>
      <c r="C551" t="s">
        <v>321</v>
      </c>
      <c r="D551" t="s">
        <v>14</v>
      </c>
      <c r="E551" t="s">
        <v>15</v>
      </c>
      <c r="F551">
        <v>33</v>
      </c>
      <c r="G551">
        <v>300</v>
      </c>
      <c r="H551">
        <v>3</v>
      </c>
      <c r="I551">
        <v>900</v>
      </c>
      <c r="J551">
        <v>7.25</v>
      </c>
      <c r="K551" s="2">
        <v>45231</v>
      </c>
      <c r="L551" t="s">
        <v>316</v>
      </c>
    </row>
    <row r="552" spans="1:12" x14ac:dyDescent="0.25">
      <c r="A552" t="s">
        <v>77</v>
      </c>
      <c r="B552" t="s">
        <v>13</v>
      </c>
      <c r="C552" t="s">
        <v>321</v>
      </c>
      <c r="D552" t="s">
        <v>17</v>
      </c>
      <c r="E552" t="s">
        <v>18</v>
      </c>
      <c r="F552">
        <v>54</v>
      </c>
      <c r="G552">
        <v>100</v>
      </c>
      <c r="H552">
        <v>2</v>
      </c>
      <c r="I552">
        <v>200</v>
      </c>
      <c r="J552">
        <v>6.22</v>
      </c>
      <c r="K552" s="2">
        <v>45294</v>
      </c>
      <c r="L552" t="s">
        <v>316</v>
      </c>
    </row>
    <row r="553" spans="1:12" x14ac:dyDescent="0.25">
      <c r="A553" t="s">
        <v>90</v>
      </c>
      <c r="B553" t="s">
        <v>13</v>
      </c>
      <c r="C553" t="s">
        <v>323</v>
      </c>
      <c r="D553" t="s">
        <v>14</v>
      </c>
      <c r="E553" t="s">
        <v>15</v>
      </c>
      <c r="F553">
        <v>50</v>
      </c>
      <c r="G553">
        <v>300</v>
      </c>
      <c r="H553">
        <v>3</v>
      </c>
      <c r="I553">
        <v>900</v>
      </c>
      <c r="J553">
        <v>14.75</v>
      </c>
      <c r="K553" s="2">
        <v>44934</v>
      </c>
      <c r="L553" t="s">
        <v>318</v>
      </c>
    </row>
    <row r="554" spans="1:12" x14ac:dyDescent="0.25">
      <c r="A554" t="s">
        <v>184</v>
      </c>
      <c r="B554" t="s">
        <v>20</v>
      </c>
      <c r="C554" t="s">
        <v>323</v>
      </c>
      <c r="D554" t="s">
        <v>17</v>
      </c>
      <c r="E554" t="s">
        <v>18</v>
      </c>
      <c r="F554">
        <v>51</v>
      </c>
      <c r="G554">
        <v>100</v>
      </c>
      <c r="H554">
        <v>4</v>
      </c>
      <c r="I554">
        <v>400</v>
      </c>
      <c r="J554">
        <v>17.18</v>
      </c>
      <c r="K554" s="2">
        <v>45194</v>
      </c>
      <c r="L554" t="s">
        <v>317</v>
      </c>
    </row>
    <row r="555" spans="1:12" x14ac:dyDescent="0.25">
      <c r="A555" t="s">
        <v>184</v>
      </c>
      <c r="B555" t="s">
        <v>20</v>
      </c>
      <c r="C555" t="s">
        <v>323</v>
      </c>
      <c r="D555" t="s">
        <v>29</v>
      </c>
      <c r="E555" t="s">
        <v>18</v>
      </c>
      <c r="F555">
        <v>51</v>
      </c>
      <c r="G555">
        <v>50</v>
      </c>
      <c r="H555">
        <v>3</v>
      </c>
      <c r="I555">
        <v>150</v>
      </c>
      <c r="J555">
        <v>14.99</v>
      </c>
      <c r="K555" s="2">
        <v>45034</v>
      </c>
      <c r="L555" t="s">
        <v>317</v>
      </c>
    </row>
    <row r="556" spans="1:12" x14ac:dyDescent="0.25">
      <c r="A556" t="s">
        <v>271</v>
      </c>
      <c r="B556" t="s">
        <v>20</v>
      </c>
      <c r="C556" t="s">
        <v>320</v>
      </c>
      <c r="D556" t="s">
        <v>25</v>
      </c>
      <c r="E556" t="s">
        <v>26</v>
      </c>
      <c r="F556">
        <v>49</v>
      </c>
      <c r="G556">
        <v>200</v>
      </c>
      <c r="H556">
        <v>1</v>
      </c>
      <c r="I556">
        <v>200</v>
      </c>
      <c r="J556">
        <v>17.3</v>
      </c>
      <c r="K556" s="2">
        <v>44976</v>
      </c>
      <c r="L556" t="s">
        <v>318</v>
      </c>
    </row>
    <row r="557" spans="1:12" x14ac:dyDescent="0.25">
      <c r="A557" t="s">
        <v>102</v>
      </c>
      <c r="B557" t="s">
        <v>20</v>
      </c>
      <c r="C557" t="s">
        <v>321</v>
      </c>
      <c r="D557" t="s">
        <v>17</v>
      </c>
      <c r="E557" t="s">
        <v>18</v>
      </c>
      <c r="F557">
        <v>30</v>
      </c>
      <c r="G557">
        <v>100</v>
      </c>
      <c r="H557">
        <v>1</v>
      </c>
      <c r="I557">
        <v>100</v>
      </c>
      <c r="J557">
        <v>6.47</v>
      </c>
      <c r="K557" s="2">
        <v>45078</v>
      </c>
      <c r="L557" t="s">
        <v>318</v>
      </c>
    </row>
    <row r="558" spans="1:12" x14ac:dyDescent="0.25">
      <c r="A558" t="s">
        <v>158</v>
      </c>
      <c r="B558" t="s">
        <v>20</v>
      </c>
      <c r="C558" t="s">
        <v>322</v>
      </c>
      <c r="D558" t="s">
        <v>29</v>
      </c>
      <c r="E558" t="s">
        <v>18</v>
      </c>
      <c r="F558">
        <v>32</v>
      </c>
      <c r="G558">
        <v>50</v>
      </c>
      <c r="H558">
        <v>5</v>
      </c>
      <c r="I558">
        <v>250</v>
      </c>
      <c r="J558">
        <v>10.39</v>
      </c>
      <c r="K558" s="2">
        <v>45105</v>
      </c>
      <c r="L558" t="s">
        <v>317</v>
      </c>
    </row>
    <row r="559" spans="1:12" x14ac:dyDescent="0.25">
      <c r="A559" t="s">
        <v>158</v>
      </c>
      <c r="B559" t="s">
        <v>20</v>
      </c>
      <c r="C559" t="s">
        <v>322</v>
      </c>
      <c r="D559" t="s">
        <v>14</v>
      </c>
      <c r="E559" t="s">
        <v>15</v>
      </c>
      <c r="F559">
        <v>32</v>
      </c>
      <c r="G559">
        <v>300</v>
      </c>
      <c r="H559">
        <v>1</v>
      </c>
      <c r="I559">
        <v>300</v>
      </c>
      <c r="J559">
        <v>9.57</v>
      </c>
      <c r="K559" s="2">
        <v>45040</v>
      </c>
      <c r="L559" t="s">
        <v>317</v>
      </c>
    </row>
    <row r="560" spans="1:12" x14ac:dyDescent="0.25">
      <c r="A560" t="s">
        <v>207</v>
      </c>
      <c r="B560" t="s">
        <v>13</v>
      </c>
      <c r="C560" t="s">
        <v>320</v>
      </c>
      <c r="D560" t="s">
        <v>40</v>
      </c>
      <c r="E560" t="s">
        <v>15</v>
      </c>
      <c r="F560">
        <v>63</v>
      </c>
      <c r="G560">
        <v>800</v>
      </c>
      <c r="H560">
        <v>2</v>
      </c>
      <c r="I560">
        <v>1600</v>
      </c>
      <c r="J560">
        <v>6.57</v>
      </c>
      <c r="K560" s="2">
        <v>45268</v>
      </c>
      <c r="L560" t="s">
        <v>318</v>
      </c>
    </row>
    <row r="561" spans="1:12" x14ac:dyDescent="0.25">
      <c r="A561" t="s">
        <v>246</v>
      </c>
      <c r="B561" t="s">
        <v>13</v>
      </c>
      <c r="C561" t="s">
        <v>321</v>
      </c>
      <c r="D561" t="s">
        <v>29</v>
      </c>
      <c r="E561" t="s">
        <v>18</v>
      </c>
      <c r="F561">
        <v>54</v>
      </c>
      <c r="G561">
        <v>50</v>
      </c>
      <c r="H561">
        <v>1</v>
      </c>
      <c r="I561">
        <v>50</v>
      </c>
      <c r="J561">
        <v>13.9</v>
      </c>
      <c r="K561" s="2">
        <v>45234</v>
      </c>
      <c r="L561" t="s">
        <v>318</v>
      </c>
    </row>
    <row r="562" spans="1:12" x14ac:dyDescent="0.25">
      <c r="A562" t="s">
        <v>174</v>
      </c>
      <c r="B562" t="s">
        <v>13</v>
      </c>
      <c r="C562" t="s">
        <v>321</v>
      </c>
      <c r="D562" t="s">
        <v>23</v>
      </c>
      <c r="E562" t="s">
        <v>15</v>
      </c>
      <c r="F562">
        <v>54</v>
      </c>
      <c r="G562">
        <v>3109.5606124866499</v>
      </c>
      <c r="H562">
        <v>5</v>
      </c>
      <c r="I562">
        <v>7500</v>
      </c>
      <c r="J562">
        <v>19.71</v>
      </c>
      <c r="K562" s="2">
        <v>45034</v>
      </c>
      <c r="L562" t="s">
        <v>316</v>
      </c>
    </row>
    <row r="563" spans="1:12" x14ac:dyDescent="0.25">
      <c r="A563" t="s">
        <v>263</v>
      </c>
      <c r="B563" t="s">
        <v>13</v>
      </c>
      <c r="C563" t="s">
        <v>323</v>
      </c>
      <c r="D563" t="s">
        <v>25</v>
      </c>
      <c r="E563" t="s">
        <v>26</v>
      </c>
      <c r="F563">
        <v>64</v>
      </c>
      <c r="G563">
        <v>200</v>
      </c>
      <c r="H563">
        <v>2</v>
      </c>
      <c r="I563">
        <v>400</v>
      </c>
      <c r="J563">
        <v>11.49</v>
      </c>
      <c r="K563" s="2">
        <v>45193</v>
      </c>
      <c r="L563" t="s">
        <v>316</v>
      </c>
    </row>
    <row r="564" spans="1:12" x14ac:dyDescent="0.25">
      <c r="A564" t="s">
        <v>61</v>
      </c>
      <c r="B564" t="s">
        <v>20</v>
      </c>
      <c r="C564" t="s">
        <v>323</v>
      </c>
      <c r="D564" t="s">
        <v>30</v>
      </c>
      <c r="E564" t="s">
        <v>18</v>
      </c>
      <c r="F564">
        <v>61</v>
      </c>
      <c r="G564">
        <v>30</v>
      </c>
      <c r="H564">
        <v>2</v>
      </c>
      <c r="I564">
        <v>60</v>
      </c>
      <c r="J564">
        <v>13.74</v>
      </c>
      <c r="K564" s="2">
        <v>45243</v>
      </c>
      <c r="L564" t="s">
        <v>318</v>
      </c>
    </row>
    <row r="565" spans="1:12" x14ac:dyDescent="0.25">
      <c r="A565" t="s">
        <v>272</v>
      </c>
      <c r="B565" t="s">
        <v>13</v>
      </c>
      <c r="C565" t="s">
        <v>323</v>
      </c>
      <c r="D565" t="s">
        <v>23</v>
      </c>
      <c r="E565" t="s">
        <v>15</v>
      </c>
      <c r="F565">
        <v>51</v>
      </c>
      <c r="G565">
        <v>1500</v>
      </c>
      <c r="H565">
        <v>1</v>
      </c>
      <c r="I565">
        <v>1500</v>
      </c>
      <c r="J565">
        <v>15.23</v>
      </c>
      <c r="K565" s="2">
        <v>45209</v>
      </c>
      <c r="L565" t="s">
        <v>316</v>
      </c>
    </row>
    <row r="566" spans="1:12" x14ac:dyDescent="0.25">
      <c r="A566" t="s">
        <v>84</v>
      </c>
      <c r="B566" t="s">
        <v>20</v>
      </c>
      <c r="C566" t="s">
        <v>322</v>
      </c>
      <c r="D566" t="s">
        <v>23</v>
      </c>
      <c r="E566" t="s">
        <v>15</v>
      </c>
      <c r="F566">
        <v>28</v>
      </c>
      <c r="G566">
        <v>1500</v>
      </c>
      <c r="H566">
        <v>1</v>
      </c>
      <c r="I566">
        <v>1500</v>
      </c>
      <c r="J566">
        <v>19.84</v>
      </c>
      <c r="K566" s="2">
        <v>44974</v>
      </c>
      <c r="L566" t="s">
        <v>319</v>
      </c>
    </row>
    <row r="567" spans="1:12" x14ac:dyDescent="0.25">
      <c r="A567" t="s">
        <v>195</v>
      </c>
      <c r="B567" t="s">
        <v>20</v>
      </c>
      <c r="C567" t="s">
        <v>320</v>
      </c>
      <c r="D567" t="s">
        <v>17</v>
      </c>
      <c r="E567" t="s">
        <v>18</v>
      </c>
      <c r="F567">
        <v>51</v>
      </c>
      <c r="G567">
        <v>100</v>
      </c>
      <c r="H567">
        <v>3</v>
      </c>
      <c r="I567">
        <v>300</v>
      </c>
      <c r="J567">
        <v>18.63</v>
      </c>
      <c r="K567" s="2">
        <v>45005</v>
      </c>
      <c r="L567" t="s">
        <v>319</v>
      </c>
    </row>
    <row r="568" spans="1:12" x14ac:dyDescent="0.25">
      <c r="A568" t="s">
        <v>223</v>
      </c>
      <c r="B568" t="s">
        <v>20</v>
      </c>
      <c r="C568" t="s">
        <v>320</v>
      </c>
      <c r="D568" t="s">
        <v>23</v>
      </c>
      <c r="E568" t="s">
        <v>15</v>
      </c>
      <c r="F568">
        <v>20</v>
      </c>
      <c r="G568">
        <v>1500</v>
      </c>
      <c r="H568">
        <v>5</v>
      </c>
      <c r="I568">
        <v>7500</v>
      </c>
      <c r="J568">
        <v>15.07</v>
      </c>
      <c r="K568" s="2">
        <v>45227</v>
      </c>
      <c r="L568" t="s">
        <v>317</v>
      </c>
    </row>
    <row r="569" spans="1:12" x14ac:dyDescent="0.25">
      <c r="A569" t="s">
        <v>273</v>
      </c>
      <c r="B569" t="s">
        <v>13</v>
      </c>
      <c r="C569" t="s">
        <v>322</v>
      </c>
      <c r="D569" t="s">
        <v>14</v>
      </c>
      <c r="E569" t="s">
        <v>15</v>
      </c>
      <c r="F569">
        <v>33</v>
      </c>
      <c r="G569">
        <v>300</v>
      </c>
      <c r="H569">
        <v>5</v>
      </c>
      <c r="I569">
        <v>1500</v>
      </c>
      <c r="J569">
        <v>15.98</v>
      </c>
      <c r="K569" s="2">
        <v>44942</v>
      </c>
      <c r="L569" t="s">
        <v>317</v>
      </c>
    </row>
    <row r="570" spans="1:12" x14ac:dyDescent="0.25">
      <c r="A570" t="s">
        <v>192</v>
      </c>
      <c r="B570" t="s">
        <v>13</v>
      </c>
      <c r="C570" t="s">
        <v>321</v>
      </c>
      <c r="D570" t="s">
        <v>14</v>
      </c>
      <c r="E570" t="s">
        <v>15</v>
      </c>
      <c r="F570">
        <v>28</v>
      </c>
      <c r="G570">
        <v>300</v>
      </c>
      <c r="H570">
        <v>2</v>
      </c>
      <c r="I570">
        <v>600</v>
      </c>
      <c r="J570">
        <v>14.13</v>
      </c>
      <c r="K570" s="2">
        <v>44968</v>
      </c>
      <c r="L570" t="s">
        <v>318</v>
      </c>
    </row>
    <row r="571" spans="1:12" x14ac:dyDescent="0.25">
      <c r="A571" t="s">
        <v>52</v>
      </c>
      <c r="B571" t="s">
        <v>13</v>
      </c>
      <c r="C571" t="s">
        <v>323</v>
      </c>
      <c r="D571" t="s">
        <v>14</v>
      </c>
      <c r="E571" t="s">
        <v>15</v>
      </c>
      <c r="F571">
        <v>57</v>
      </c>
      <c r="G571">
        <v>300</v>
      </c>
      <c r="H571">
        <v>2</v>
      </c>
      <c r="I571">
        <v>600</v>
      </c>
      <c r="J571">
        <v>17.670000000000002</v>
      </c>
      <c r="K571" s="2">
        <v>45278</v>
      </c>
      <c r="L571" t="s">
        <v>317</v>
      </c>
    </row>
    <row r="572" spans="1:12" x14ac:dyDescent="0.25">
      <c r="A572" t="s">
        <v>152</v>
      </c>
      <c r="B572" t="s">
        <v>20</v>
      </c>
      <c r="C572" t="s">
        <v>321</v>
      </c>
      <c r="D572" t="s">
        <v>29</v>
      </c>
      <c r="E572" t="s">
        <v>18</v>
      </c>
      <c r="F572">
        <v>53</v>
      </c>
      <c r="G572">
        <v>50</v>
      </c>
      <c r="H572">
        <v>5</v>
      </c>
      <c r="I572">
        <v>250</v>
      </c>
      <c r="J572">
        <v>15.62</v>
      </c>
      <c r="K572" s="2">
        <v>45170</v>
      </c>
      <c r="L572" t="s">
        <v>316</v>
      </c>
    </row>
    <row r="573" spans="1:12" x14ac:dyDescent="0.25">
      <c r="A573" t="s">
        <v>274</v>
      </c>
      <c r="B573" t="s">
        <v>20</v>
      </c>
      <c r="C573" t="s">
        <v>322</v>
      </c>
      <c r="D573" t="s">
        <v>14</v>
      </c>
      <c r="E573" t="s">
        <v>15</v>
      </c>
      <c r="F573">
        <v>56</v>
      </c>
      <c r="G573">
        <v>300</v>
      </c>
      <c r="H573">
        <v>5</v>
      </c>
      <c r="I573">
        <v>1500</v>
      </c>
      <c r="J573">
        <v>12.62</v>
      </c>
      <c r="K573" s="2">
        <v>45127</v>
      </c>
      <c r="L573" t="s">
        <v>316</v>
      </c>
    </row>
    <row r="574" spans="1:12" x14ac:dyDescent="0.25">
      <c r="A574" t="s">
        <v>275</v>
      </c>
      <c r="B574" t="s">
        <v>13</v>
      </c>
      <c r="C574" t="s">
        <v>320</v>
      </c>
      <c r="D574" t="s">
        <v>14</v>
      </c>
      <c r="E574" t="s">
        <v>15</v>
      </c>
      <c r="F574">
        <v>34</v>
      </c>
      <c r="G574">
        <v>300</v>
      </c>
      <c r="H574">
        <v>2</v>
      </c>
      <c r="I574">
        <v>600</v>
      </c>
      <c r="J574">
        <v>11.88</v>
      </c>
      <c r="K574" s="2">
        <v>45192</v>
      </c>
      <c r="L574" t="s">
        <v>316</v>
      </c>
    </row>
    <row r="575" spans="1:12" x14ac:dyDescent="0.25">
      <c r="A575" t="s">
        <v>276</v>
      </c>
      <c r="B575" t="s">
        <v>13</v>
      </c>
      <c r="C575" t="s">
        <v>323</v>
      </c>
      <c r="D575" t="s">
        <v>14</v>
      </c>
      <c r="E575" t="s">
        <v>15</v>
      </c>
      <c r="F575">
        <v>32</v>
      </c>
      <c r="G575">
        <v>300</v>
      </c>
      <c r="H575">
        <v>2</v>
      </c>
      <c r="I575">
        <v>600</v>
      </c>
      <c r="J575">
        <v>12.92</v>
      </c>
      <c r="K575" s="2">
        <v>45121</v>
      </c>
      <c r="L575" t="s">
        <v>316</v>
      </c>
    </row>
    <row r="576" spans="1:12" x14ac:dyDescent="0.25">
      <c r="A576" t="s">
        <v>223</v>
      </c>
      <c r="B576" t="s">
        <v>13</v>
      </c>
      <c r="C576" t="s">
        <v>320</v>
      </c>
      <c r="D576" t="s">
        <v>25</v>
      </c>
      <c r="E576" t="s">
        <v>26</v>
      </c>
      <c r="F576">
        <v>20</v>
      </c>
      <c r="G576">
        <v>200</v>
      </c>
      <c r="H576">
        <v>4</v>
      </c>
      <c r="I576">
        <v>800</v>
      </c>
      <c r="J576">
        <v>15.78</v>
      </c>
      <c r="K576" s="2">
        <v>45091</v>
      </c>
      <c r="L576" t="s">
        <v>318</v>
      </c>
    </row>
    <row r="577" spans="1:12" x14ac:dyDescent="0.25">
      <c r="A577" t="s">
        <v>83</v>
      </c>
      <c r="B577" t="s">
        <v>13</v>
      </c>
      <c r="C577" t="s">
        <v>319</v>
      </c>
      <c r="D577" t="s">
        <v>23</v>
      </c>
      <c r="E577" t="s">
        <v>15</v>
      </c>
      <c r="F577">
        <v>36</v>
      </c>
      <c r="G577">
        <v>1500</v>
      </c>
      <c r="H577">
        <v>4</v>
      </c>
      <c r="I577">
        <v>6000</v>
      </c>
      <c r="J577">
        <v>14</v>
      </c>
      <c r="K577" s="2">
        <v>45083</v>
      </c>
      <c r="L577" t="s">
        <v>316</v>
      </c>
    </row>
    <row r="578" spans="1:12" x14ac:dyDescent="0.25">
      <c r="A578" t="s">
        <v>186</v>
      </c>
      <c r="B578" t="s">
        <v>13</v>
      </c>
      <c r="C578" t="s">
        <v>320</v>
      </c>
      <c r="D578" t="s">
        <v>40</v>
      </c>
      <c r="E578" t="s">
        <v>15</v>
      </c>
      <c r="F578">
        <v>49</v>
      </c>
      <c r="G578">
        <v>800</v>
      </c>
      <c r="H578">
        <v>2</v>
      </c>
      <c r="I578">
        <v>1600</v>
      </c>
      <c r="J578">
        <v>7.17</v>
      </c>
      <c r="K578" s="2">
        <v>44935</v>
      </c>
      <c r="L578" t="s">
        <v>319</v>
      </c>
    </row>
    <row r="579" spans="1:12" x14ac:dyDescent="0.25">
      <c r="A579" t="s">
        <v>254</v>
      </c>
      <c r="B579" t="s">
        <v>13</v>
      </c>
      <c r="C579" t="s">
        <v>322</v>
      </c>
      <c r="D579" t="s">
        <v>14</v>
      </c>
      <c r="E579" t="s">
        <v>15</v>
      </c>
      <c r="F579">
        <v>69</v>
      </c>
      <c r="G579">
        <v>300</v>
      </c>
      <c r="H579">
        <v>2</v>
      </c>
      <c r="I579">
        <v>600</v>
      </c>
      <c r="J579">
        <v>18.79</v>
      </c>
      <c r="K579" s="2">
        <v>45136</v>
      </c>
      <c r="L579" t="s">
        <v>318</v>
      </c>
    </row>
    <row r="580" spans="1:12" x14ac:dyDescent="0.25">
      <c r="A580" t="s">
        <v>191</v>
      </c>
      <c r="B580" t="s">
        <v>20</v>
      </c>
      <c r="C580" t="s">
        <v>320</v>
      </c>
      <c r="D580" t="s">
        <v>40</v>
      </c>
      <c r="E580" t="s">
        <v>15</v>
      </c>
      <c r="F580">
        <v>64</v>
      </c>
      <c r="G580">
        <v>800</v>
      </c>
      <c r="H580">
        <v>2</v>
      </c>
      <c r="I580">
        <v>1600</v>
      </c>
      <c r="J580">
        <v>17.54</v>
      </c>
      <c r="K580" s="2">
        <v>45143</v>
      </c>
      <c r="L580" t="s">
        <v>316</v>
      </c>
    </row>
    <row r="581" spans="1:12" x14ac:dyDescent="0.25">
      <c r="A581" t="s">
        <v>52</v>
      </c>
      <c r="B581" t="s">
        <v>13</v>
      </c>
      <c r="C581" t="s">
        <v>320</v>
      </c>
      <c r="D581" t="s">
        <v>29</v>
      </c>
      <c r="E581" t="s">
        <v>18</v>
      </c>
      <c r="F581">
        <v>57</v>
      </c>
      <c r="G581">
        <v>50</v>
      </c>
      <c r="H581">
        <v>3</v>
      </c>
      <c r="I581">
        <v>150</v>
      </c>
      <c r="J581">
        <v>18.440000000000001</v>
      </c>
      <c r="K581" s="2">
        <v>44978</v>
      </c>
      <c r="L581" t="s">
        <v>317</v>
      </c>
    </row>
    <row r="582" spans="1:12" x14ac:dyDescent="0.25">
      <c r="A582" t="s">
        <v>275</v>
      </c>
      <c r="B582" t="s">
        <v>13</v>
      </c>
      <c r="C582" t="s">
        <v>320</v>
      </c>
      <c r="D582" t="s">
        <v>14</v>
      </c>
      <c r="E582" t="s">
        <v>15</v>
      </c>
      <c r="F582">
        <v>34</v>
      </c>
      <c r="G582">
        <v>300</v>
      </c>
      <c r="H582">
        <v>2</v>
      </c>
      <c r="I582">
        <v>600</v>
      </c>
      <c r="J582">
        <v>12.94</v>
      </c>
      <c r="K582" s="2">
        <v>45051</v>
      </c>
      <c r="L582" t="s">
        <v>317</v>
      </c>
    </row>
    <row r="583" spans="1:12" x14ac:dyDescent="0.25">
      <c r="A583" t="s">
        <v>168</v>
      </c>
      <c r="B583" t="s">
        <v>20</v>
      </c>
      <c r="C583" t="s">
        <v>321</v>
      </c>
      <c r="D583" t="s">
        <v>14</v>
      </c>
      <c r="E583" t="s">
        <v>15</v>
      </c>
      <c r="F583">
        <v>42</v>
      </c>
      <c r="G583">
        <v>300</v>
      </c>
      <c r="H583">
        <v>3</v>
      </c>
      <c r="I583">
        <v>900</v>
      </c>
      <c r="J583">
        <v>14.11</v>
      </c>
      <c r="K583" s="2">
        <v>44942</v>
      </c>
      <c r="L583" t="s">
        <v>316</v>
      </c>
    </row>
    <row r="584" spans="1:12" x14ac:dyDescent="0.25">
      <c r="A584" t="s">
        <v>255</v>
      </c>
      <c r="B584" t="s">
        <v>20</v>
      </c>
      <c r="C584" t="s">
        <v>319</v>
      </c>
      <c r="D584" t="s">
        <v>17</v>
      </c>
      <c r="E584" t="s">
        <v>18</v>
      </c>
      <c r="F584">
        <v>39</v>
      </c>
      <c r="G584">
        <v>100</v>
      </c>
      <c r="H584">
        <v>1</v>
      </c>
      <c r="I584">
        <v>100</v>
      </c>
      <c r="J584">
        <v>7.09</v>
      </c>
      <c r="K584" s="2">
        <v>45103</v>
      </c>
      <c r="L584" t="s">
        <v>318</v>
      </c>
    </row>
    <row r="585" spans="1:12" x14ac:dyDescent="0.25">
      <c r="A585" t="s">
        <v>133</v>
      </c>
      <c r="B585" t="s">
        <v>13</v>
      </c>
      <c r="C585" t="s">
        <v>320</v>
      </c>
      <c r="D585" t="s">
        <v>25</v>
      </c>
      <c r="E585" t="s">
        <v>26</v>
      </c>
      <c r="F585">
        <v>41</v>
      </c>
      <c r="G585">
        <v>200</v>
      </c>
      <c r="H585">
        <v>1</v>
      </c>
      <c r="I585">
        <v>200</v>
      </c>
      <c r="J585">
        <v>18.84</v>
      </c>
      <c r="K585" s="2">
        <v>45036</v>
      </c>
      <c r="L585" t="s">
        <v>317</v>
      </c>
    </row>
    <row r="586" spans="1:12" x14ac:dyDescent="0.25">
      <c r="A586" t="s">
        <v>277</v>
      </c>
      <c r="B586" t="s">
        <v>13</v>
      </c>
      <c r="C586" t="s">
        <v>320</v>
      </c>
      <c r="D586" t="s">
        <v>23</v>
      </c>
      <c r="E586" t="s">
        <v>15</v>
      </c>
      <c r="F586">
        <v>29</v>
      </c>
      <c r="G586">
        <v>1500</v>
      </c>
      <c r="H586">
        <v>5</v>
      </c>
      <c r="I586">
        <v>7500</v>
      </c>
      <c r="J586">
        <v>13.95</v>
      </c>
      <c r="K586" s="2">
        <v>45229</v>
      </c>
      <c r="L586" t="s">
        <v>318</v>
      </c>
    </row>
    <row r="587" spans="1:12" x14ac:dyDescent="0.25">
      <c r="A587" t="s">
        <v>206</v>
      </c>
      <c r="B587" t="s">
        <v>20</v>
      </c>
      <c r="C587" t="s">
        <v>320</v>
      </c>
      <c r="D587" t="s">
        <v>17</v>
      </c>
      <c r="E587" t="s">
        <v>18</v>
      </c>
      <c r="F587">
        <v>49</v>
      </c>
      <c r="G587">
        <v>100</v>
      </c>
      <c r="H587">
        <v>4</v>
      </c>
      <c r="I587">
        <v>400</v>
      </c>
      <c r="J587">
        <v>11.95</v>
      </c>
      <c r="K587" s="2">
        <v>45173</v>
      </c>
      <c r="L587" t="s">
        <v>318</v>
      </c>
    </row>
    <row r="588" spans="1:12" x14ac:dyDescent="0.25">
      <c r="A588" t="s">
        <v>206</v>
      </c>
      <c r="B588" t="s">
        <v>13</v>
      </c>
      <c r="C588" t="s">
        <v>320</v>
      </c>
      <c r="D588" t="s">
        <v>30</v>
      </c>
      <c r="E588" t="s">
        <v>18</v>
      </c>
      <c r="F588">
        <v>45</v>
      </c>
      <c r="G588">
        <v>30</v>
      </c>
      <c r="H588">
        <v>3</v>
      </c>
      <c r="I588">
        <v>90</v>
      </c>
      <c r="J588">
        <v>10.06</v>
      </c>
      <c r="K588" s="2">
        <v>44975</v>
      </c>
      <c r="L588" t="s">
        <v>318</v>
      </c>
    </row>
    <row r="589" spans="1:12" x14ac:dyDescent="0.25">
      <c r="A589" t="s">
        <v>38</v>
      </c>
      <c r="B589" t="s">
        <v>13</v>
      </c>
      <c r="C589" t="s">
        <v>320</v>
      </c>
      <c r="D589" t="s">
        <v>30</v>
      </c>
      <c r="E589" t="s">
        <v>18</v>
      </c>
      <c r="F589">
        <v>57</v>
      </c>
      <c r="G589">
        <v>30</v>
      </c>
      <c r="H589">
        <v>5</v>
      </c>
      <c r="I589">
        <v>150</v>
      </c>
      <c r="J589">
        <v>19.16</v>
      </c>
      <c r="K589" s="2">
        <v>44933</v>
      </c>
      <c r="L589" t="s">
        <v>316</v>
      </c>
    </row>
    <row r="590" spans="1:12" x14ac:dyDescent="0.25">
      <c r="A590" t="s">
        <v>278</v>
      </c>
      <c r="B590" t="s">
        <v>13</v>
      </c>
      <c r="C590" t="s">
        <v>321</v>
      </c>
      <c r="D590" t="s">
        <v>17</v>
      </c>
      <c r="E590" t="s">
        <v>18</v>
      </c>
      <c r="F590">
        <v>50</v>
      </c>
      <c r="G590">
        <v>100</v>
      </c>
      <c r="H590">
        <v>2</v>
      </c>
      <c r="I590">
        <v>200</v>
      </c>
      <c r="J590">
        <v>19.13</v>
      </c>
      <c r="K590" s="2">
        <v>45207</v>
      </c>
      <c r="L590" t="s">
        <v>319</v>
      </c>
    </row>
    <row r="591" spans="1:12" x14ac:dyDescent="0.25">
      <c r="A591" t="s">
        <v>173</v>
      </c>
      <c r="B591" t="s">
        <v>13</v>
      </c>
      <c r="C591" t="s">
        <v>321</v>
      </c>
      <c r="D591" t="s">
        <v>29</v>
      </c>
      <c r="E591" t="s">
        <v>18</v>
      </c>
      <c r="F591">
        <v>60</v>
      </c>
      <c r="G591">
        <v>50</v>
      </c>
      <c r="H591">
        <v>5</v>
      </c>
      <c r="I591">
        <v>250</v>
      </c>
      <c r="J591">
        <v>13</v>
      </c>
      <c r="K591" s="2">
        <v>45279</v>
      </c>
      <c r="L591" t="s">
        <v>316</v>
      </c>
    </row>
    <row r="592" spans="1:12" x14ac:dyDescent="0.25">
      <c r="A592" t="s">
        <v>279</v>
      </c>
      <c r="B592" t="s">
        <v>20</v>
      </c>
      <c r="C592" t="s">
        <v>323</v>
      </c>
      <c r="D592" t="s">
        <v>29</v>
      </c>
      <c r="E592" t="s">
        <v>18</v>
      </c>
      <c r="F592">
        <v>38</v>
      </c>
      <c r="G592">
        <v>50</v>
      </c>
      <c r="H592">
        <v>3</v>
      </c>
      <c r="I592">
        <v>150</v>
      </c>
      <c r="J592">
        <v>6.14</v>
      </c>
      <c r="K592" s="2">
        <v>45026</v>
      </c>
      <c r="L592" t="s">
        <v>316</v>
      </c>
    </row>
    <row r="593" spans="1:12" x14ac:dyDescent="0.25">
      <c r="A593" t="s">
        <v>242</v>
      </c>
      <c r="B593" t="s">
        <v>13</v>
      </c>
      <c r="C593" t="s">
        <v>323</v>
      </c>
      <c r="D593" t="s">
        <v>23</v>
      </c>
      <c r="E593" t="s">
        <v>15</v>
      </c>
      <c r="F593">
        <v>68</v>
      </c>
      <c r="G593">
        <v>1500</v>
      </c>
      <c r="H593">
        <v>3</v>
      </c>
      <c r="I593">
        <v>4500</v>
      </c>
      <c r="J593">
        <v>11.29</v>
      </c>
      <c r="K593" s="2">
        <v>45078</v>
      </c>
      <c r="L593" t="s">
        <v>316</v>
      </c>
    </row>
    <row r="594" spans="1:12" x14ac:dyDescent="0.25">
      <c r="A594" t="s">
        <v>280</v>
      </c>
      <c r="B594" t="s">
        <v>13</v>
      </c>
      <c r="C594" t="s">
        <v>321</v>
      </c>
      <c r="D594" t="s">
        <v>25</v>
      </c>
      <c r="E594" t="s">
        <v>26</v>
      </c>
      <c r="F594">
        <v>26</v>
      </c>
      <c r="G594">
        <v>200</v>
      </c>
      <c r="H594">
        <v>5</v>
      </c>
      <c r="I594">
        <v>1000</v>
      </c>
      <c r="J594">
        <v>14.83</v>
      </c>
      <c r="K594" s="2">
        <v>45110</v>
      </c>
      <c r="L594" t="s">
        <v>318</v>
      </c>
    </row>
    <row r="595" spans="1:12" x14ac:dyDescent="0.25">
      <c r="A595" t="s">
        <v>249</v>
      </c>
      <c r="B595" t="s">
        <v>20</v>
      </c>
      <c r="C595" t="s">
        <v>320</v>
      </c>
      <c r="D595" t="s">
        <v>14</v>
      </c>
      <c r="E595" t="s">
        <v>15</v>
      </c>
      <c r="F595">
        <v>64</v>
      </c>
      <c r="G595">
        <v>300</v>
      </c>
      <c r="H595">
        <v>3</v>
      </c>
      <c r="I595">
        <v>900</v>
      </c>
      <c r="J595">
        <v>15.97</v>
      </c>
      <c r="K595" s="2">
        <v>45214</v>
      </c>
      <c r="L595" t="s">
        <v>318</v>
      </c>
    </row>
    <row r="596" spans="1:12" x14ac:dyDescent="0.25">
      <c r="A596" t="s">
        <v>249</v>
      </c>
      <c r="B596" t="s">
        <v>20</v>
      </c>
      <c r="C596" t="s">
        <v>323</v>
      </c>
      <c r="D596" t="s">
        <v>17</v>
      </c>
      <c r="E596" t="s">
        <v>18</v>
      </c>
      <c r="F596">
        <v>64</v>
      </c>
      <c r="G596">
        <v>100</v>
      </c>
      <c r="H596">
        <v>4</v>
      </c>
      <c r="I596">
        <v>400</v>
      </c>
      <c r="J596">
        <v>12.48</v>
      </c>
      <c r="K596" s="2">
        <v>45087</v>
      </c>
      <c r="L596" t="s">
        <v>317</v>
      </c>
    </row>
    <row r="597" spans="1:12" x14ac:dyDescent="0.25">
      <c r="A597" t="s">
        <v>145</v>
      </c>
      <c r="B597" t="s">
        <v>20</v>
      </c>
      <c r="C597" t="s">
        <v>323</v>
      </c>
      <c r="D597" t="s">
        <v>14</v>
      </c>
      <c r="E597" t="s">
        <v>15</v>
      </c>
      <c r="F597">
        <v>30</v>
      </c>
      <c r="G597">
        <v>300</v>
      </c>
      <c r="H597">
        <v>4</v>
      </c>
      <c r="I597">
        <v>1200</v>
      </c>
      <c r="J597">
        <v>10.86</v>
      </c>
      <c r="K597" s="2">
        <v>45172</v>
      </c>
      <c r="L597" t="s">
        <v>318</v>
      </c>
    </row>
    <row r="598" spans="1:12" x14ac:dyDescent="0.25">
      <c r="A598" t="s">
        <v>232</v>
      </c>
      <c r="B598" t="s">
        <v>13</v>
      </c>
      <c r="C598" t="s">
        <v>323</v>
      </c>
      <c r="D598" t="s">
        <v>23</v>
      </c>
      <c r="E598" t="s">
        <v>15</v>
      </c>
      <c r="F598">
        <v>25</v>
      </c>
      <c r="G598">
        <v>1500</v>
      </c>
      <c r="H598">
        <v>5</v>
      </c>
      <c r="I598">
        <v>7500</v>
      </c>
      <c r="J598">
        <v>16.95</v>
      </c>
      <c r="K598" s="2">
        <v>44989</v>
      </c>
      <c r="L598" t="s">
        <v>318</v>
      </c>
    </row>
    <row r="599" spans="1:12" x14ac:dyDescent="0.25">
      <c r="A599" t="s">
        <v>79</v>
      </c>
      <c r="B599" t="s">
        <v>20</v>
      </c>
      <c r="C599" t="s">
        <v>323</v>
      </c>
      <c r="D599" t="s">
        <v>17</v>
      </c>
      <c r="E599" t="s">
        <v>18</v>
      </c>
      <c r="F599">
        <v>52</v>
      </c>
      <c r="G599">
        <v>100</v>
      </c>
      <c r="H599">
        <v>2</v>
      </c>
      <c r="I599">
        <v>200</v>
      </c>
      <c r="J599">
        <v>18.95</v>
      </c>
      <c r="K599" s="2">
        <v>44950</v>
      </c>
      <c r="L599" t="s">
        <v>317</v>
      </c>
    </row>
    <row r="600" spans="1:12" x14ac:dyDescent="0.25">
      <c r="A600" t="s">
        <v>281</v>
      </c>
      <c r="B600" t="s">
        <v>13</v>
      </c>
      <c r="C600" t="s">
        <v>320</v>
      </c>
      <c r="D600" t="s">
        <v>30</v>
      </c>
      <c r="E600" t="s">
        <v>18</v>
      </c>
      <c r="F600">
        <v>43</v>
      </c>
      <c r="G600">
        <v>30</v>
      </c>
      <c r="H600">
        <v>4</v>
      </c>
      <c r="I600">
        <v>120</v>
      </c>
      <c r="J600">
        <v>10.77</v>
      </c>
      <c r="K600" s="2">
        <v>45193</v>
      </c>
      <c r="L600" t="s">
        <v>319</v>
      </c>
    </row>
    <row r="601" spans="1:12" x14ac:dyDescent="0.25">
      <c r="A601" t="s">
        <v>282</v>
      </c>
      <c r="B601" t="s">
        <v>20</v>
      </c>
      <c r="C601" t="s">
        <v>322</v>
      </c>
      <c r="D601" t="s">
        <v>17</v>
      </c>
      <c r="E601" t="s">
        <v>18</v>
      </c>
      <c r="F601">
        <v>46</v>
      </c>
      <c r="G601">
        <v>100</v>
      </c>
      <c r="H601">
        <v>2</v>
      </c>
      <c r="I601">
        <v>200</v>
      </c>
      <c r="J601">
        <v>19.54</v>
      </c>
      <c r="K601" s="2">
        <v>45097</v>
      </c>
      <c r="L601" t="s">
        <v>316</v>
      </c>
    </row>
    <row r="602" spans="1:12" x14ac:dyDescent="0.25">
      <c r="A602" t="s">
        <v>254</v>
      </c>
      <c r="B602" t="s">
        <v>13</v>
      </c>
      <c r="C602" t="s">
        <v>323</v>
      </c>
      <c r="D602" t="s">
        <v>23</v>
      </c>
      <c r="E602" t="s">
        <v>15</v>
      </c>
      <c r="F602">
        <v>69</v>
      </c>
      <c r="G602">
        <v>1500</v>
      </c>
      <c r="H602">
        <v>4</v>
      </c>
      <c r="I602">
        <v>6000</v>
      </c>
      <c r="J602">
        <v>10</v>
      </c>
      <c r="K602" s="2">
        <v>45245</v>
      </c>
      <c r="L602" t="s">
        <v>318</v>
      </c>
    </row>
    <row r="603" spans="1:12" x14ac:dyDescent="0.25">
      <c r="A603" t="s">
        <v>173</v>
      </c>
      <c r="B603" t="s">
        <v>20</v>
      </c>
      <c r="C603" t="s">
        <v>323</v>
      </c>
      <c r="D603" t="s">
        <v>23</v>
      </c>
      <c r="E603" t="s">
        <v>15</v>
      </c>
      <c r="F603">
        <v>49</v>
      </c>
      <c r="G603">
        <v>1500</v>
      </c>
      <c r="H603">
        <v>5</v>
      </c>
      <c r="I603">
        <v>7500</v>
      </c>
      <c r="J603">
        <v>12.35</v>
      </c>
      <c r="K603" s="2">
        <v>45044</v>
      </c>
      <c r="L603" t="s">
        <v>317</v>
      </c>
    </row>
    <row r="604" spans="1:12" x14ac:dyDescent="0.25">
      <c r="A604" t="s">
        <v>253</v>
      </c>
      <c r="B604" t="s">
        <v>20</v>
      </c>
      <c r="C604" t="s">
        <v>323</v>
      </c>
      <c r="D604" t="s">
        <v>14</v>
      </c>
      <c r="E604" t="s">
        <v>15</v>
      </c>
      <c r="F604">
        <v>56</v>
      </c>
      <c r="G604">
        <v>300</v>
      </c>
      <c r="H604">
        <v>3</v>
      </c>
      <c r="I604">
        <v>900</v>
      </c>
      <c r="J604">
        <v>17.34</v>
      </c>
      <c r="K604" s="2">
        <v>45068</v>
      </c>
      <c r="L604" t="s">
        <v>316</v>
      </c>
    </row>
    <row r="605" spans="1:12" x14ac:dyDescent="0.25">
      <c r="A605" t="s">
        <v>181</v>
      </c>
      <c r="B605" t="s">
        <v>13</v>
      </c>
      <c r="C605" t="s">
        <v>321</v>
      </c>
      <c r="D605" t="s">
        <v>29</v>
      </c>
      <c r="E605" t="s">
        <v>18</v>
      </c>
      <c r="F605">
        <v>29</v>
      </c>
      <c r="G605">
        <v>50</v>
      </c>
      <c r="H605">
        <v>3</v>
      </c>
      <c r="I605">
        <v>150</v>
      </c>
      <c r="J605">
        <v>12.06</v>
      </c>
      <c r="K605" s="2">
        <v>45018</v>
      </c>
      <c r="L605" t="s">
        <v>316</v>
      </c>
    </row>
    <row r="606" spans="1:12" x14ac:dyDescent="0.25">
      <c r="A606" t="s">
        <v>208</v>
      </c>
      <c r="B606" t="s">
        <v>20</v>
      </c>
      <c r="C606" t="s">
        <v>321</v>
      </c>
      <c r="D606" t="s">
        <v>30</v>
      </c>
      <c r="E606" t="s">
        <v>18</v>
      </c>
      <c r="F606">
        <v>49</v>
      </c>
      <c r="G606">
        <v>30</v>
      </c>
      <c r="H606">
        <v>2</v>
      </c>
      <c r="I606">
        <v>60</v>
      </c>
      <c r="J606">
        <v>14.07</v>
      </c>
      <c r="K606" s="2">
        <v>45245</v>
      </c>
      <c r="L606" t="s">
        <v>319</v>
      </c>
    </row>
    <row r="607" spans="1:12" x14ac:dyDescent="0.25">
      <c r="A607" t="s">
        <v>185</v>
      </c>
      <c r="B607" t="s">
        <v>13</v>
      </c>
      <c r="C607" t="s">
        <v>320</v>
      </c>
      <c r="D607" t="s">
        <v>23</v>
      </c>
      <c r="E607" t="s">
        <v>15</v>
      </c>
      <c r="F607">
        <v>49</v>
      </c>
      <c r="G607">
        <v>1500</v>
      </c>
      <c r="H607">
        <v>2</v>
      </c>
      <c r="I607">
        <v>3000</v>
      </c>
      <c r="J607">
        <v>16.82</v>
      </c>
      <c r="K607" s="2">
        <v>45204</v>
      </c>
      <c r="L607" t="s">
        <v>319</v>
      </c>
    </row>
    <row r="608" spans="1:12" x14ac:dyDescent="0.25">
      <c r="A608" t="s">
        <v>246</v>
      </c>
      <c r="B608" t="s">
        <v>20</v>
      </c>
      <c r="C608" t="s">
        <v>320</v>
      </c>
      <c r="D608" t="s">
        <v>40</v>
      </c>
      <c r="E608" t="s">
        <v>15</v>
      </c>
      <c r="F608">
        <v>54</v>
      </c>
      <c r="G608">
        <v>800</v>
      </c>
      <c r="H608">
        <v>5</v>
      </c>
      <c r="I608">
        <v>4000</v>
      </c>
      <c r="J608">
        <v>19.489999999999998</v>
      </c>
      <c r="K608" s="2">
        <v>45160</v>
      </c>
      <c r="L608" t="s">
        <v>316</v>
      </c>
    </row>
    <row r="609" spans="1:12" x14ac:dyDescent="0.25">
      <c r="A609" t="s">
        <v>48</v>
      </c>
      <c r="B609" t="s">
        <v>13</v>
      </c>
      <c r="C609" t="s">
        <v>321</v>
      </c>
      <c r="D609" t="s">
        <v>29</v>
      </c>
      <c r="E609" t="s">
        <v>18</v>
      </c>
      <c r="F609">
        <v>59</v>
      </c>
      <c r="G609">
        <v>50</v>
      </c>
      <c r="H609">
        <v>2</v>
      </c>
      <c r="I609">
        <v>100</v>
      </c>
      <c r="J609">
        <v>15.51</v>
      </c>
      <c r="K609" s="2">
        <v>45123</v>
      </c>
      <c r="L609" t="s">
        <v>316</v>
      </c>
    </row>
    <row r="610" spans="1:12" x14ac:dyDescent="0.25">
      <c r="A610" t="s">
        <v>164</v>
      </c>
      <c r="B610" t="s">
        <v>13</v>
      </c>
      <c r="C610" t="s">
        <v>323</v>
      </c>
      <c r="D610" t="s">
        <v>25</v>
      </c>
      <c r="E610" t="s">
        <v>26</v>
      </c>
      <c r="F610">
        <v>57</v>
      </c>
      <c r="G610">
        <v>200</v>
      </c>
      <c r="H610">
        <v>5</v>
      </c>
      <c r="I610">
        <v>1000</v>
      </c>
      <c r="J610">
        <v>9.77</v>
      </c>
      <c r="K610" s="2">
        <v>44953</v>
      </c>
      <c r="L610" t="s">
        <v>316</v>
      </c>
    </row>
    <row r="611" spans="1:12" x14ac:dyDescent="0.25">
      <c r="A611" t="s">
        <v>145</v>
      </c>
      <c r="B611" t="s">
        <v>13</v>
      </c>
      <c r="C611" t="s">
        <v>321</v>
      </c>
      <c r="D611" t="s">
        <v>17</v>
      </c>
      <c r="E611" t="s">
        <v>18</v>
      </c>
      <c r="F611">
        <v>30</v>
      </c>
      <c r="G611">
        <v>100</v>
      </c>
      <c r="H611">
        <v>1</v>
      </c>
      <c r="I611">
        <v>100</v>
      </c>
      <c r="J611">
        <v>15.64</v>
      </c>
      <c r="K611" s="2">
        <v>45175</v>
      </c>
      <c r="L611" t="s">
        <v>318</v>
      </c>
    </row>
    <row r="612" spans="1:12" x14ac:dyDescent="0.25">
      <c r="A612" t="s">
        <v>148</v>
      </c>
      <c r="B612" t="s">
        <v>13</v>
      </c>
      <c r="C612" t="s">
        <v>323</v>
      </c>
      <c r="D612" t="s">
        <v>40</v>
      </c>
      <c r="E612" t="s">
        <v>15</v>
      </c>
      <c r="F612">
        <v>56</v>
      </c>
      <c r="G612">
        <v>800</v>
      </c>
      <c r="H612">
        <v>5</v>
      </c>
      <c r="I612">
        <v>4000</v>
      </c>
      <c r="J612">
        <v>12.22</v>
      </c>
      <c r="K612" s="2">
        <v>45052</v>
      </c>
      <c r="L612" t="s">
        <v>318</v>
      </c>
    </row>
    <row r="613" spans="1:12" x14ac:dyDescent="0.25">
      <c r="A613" t="s">
        <v>283</v>
      </c>
      <c r="B613" t="s">
        <v>13</v>
      </c>
      <c r="C613" t="s">
        <v>323</v>
      </c>
      <c r="D613" t="s">
        <v>17</v>
      </c>
      <c r="E613" t="s">
        <v>18</v>
      </c>
      <c r="F613">
        <v>21</v>
      </c>
      <c r="G613">
        <v>100</v>
      </c>
      <c r="H613">
        <v>5</v>
      </c>
      <c r="I613">
        <v>500</v>
      </c>
      <c r="J613">
        <v>13.7</v>
      </c>
      <c r="K613" s="2">
        <v>44940</v>
      </c>
      <c r="L613" t="s">
        <v>317</v>
      </c>
    </row>
    <row r="614" spans="1:12" x14ac:dyDescent="0.25">
      <c r="A614" t="s">
        <v>172</v>
      </c>
      <c r="B614" t="s">
        <v>20</v>
      </c>
      <c r="C614" t="s">
        <v>319</v>
      </c>
      <c r="D614" t="s">
        <v>23</v>
      </c>
      <c r="E614" t="s">
        <v>15</v>
      </c>
      <c r="F614">
        <v>57</v>
      </c>
      <c r="G614">
        <v>1500</v>
      </c>
      <c r="H614">
        <v>4</v>
      </c>
      <c r="I614">
        <v>6000</v>
      </c>
      <c r="J614">
        <v>12.77</v>
      </c>
      <c r="K614" s="2">
        <v>45044</v>
      </c>
      <c r="L614" t="s">
        <v>318</v>
      </c>
    </row>
    <row r="615" spans="1:12" x14ac:dyDescent="0.25">
      <c r="A615" t="s">
        <v>284</v>
      </c>
      <c r="B615" t="s">
        <v>20</v>
      </c>
      <c r="C615" t="s">
        <v>320</v>
      </c>
      <c r="D615" t="s">
        <v>14</v>
      </c>
      <c r="E615" t="s">
        <v>15</v>
      </c>
      <c r="F615">
        <v>45</v>
      </c>
      <c r="G615">
        <v>300</v>
      </c>
      <c r="H615">
        <v>4</v>
      </c>
      <c r="I615">
        <v>1200</v>
      </c>
      <c r="J615">
        <v>14.76</v>
      </c>
      <c r="K615" s="2">
        <v>44928</v>
      </c>
      <c r="L615" t="s">
        <v>318</v>
      </c>
    </row>
    <row r="616" spans="1:12" x14ac:dyDescent="0.25">
      <c r="A616" t="s">
        <v>89</v>
      </c>
      <c r="B616" t="s">
        <v>13</v>
      </c>
      <c r="C616" t="s">
        <v>320</v>
      </c>
      <c r="D616" t="s">
        <v>30</v>
      </c>
      <c r="E616" t="s">
        <v>18</v>
      </c>
      <c r="F616">
        <v>49</v>
      </c>
      <c r="G616">
        <v>30</v>
      </c>
      <c r="H616">
        <v>3</v>
      </c>
      <c r="I616">
        <v>90</v>
      </c>
      <c r="J616">
        <v>11.71</v>
      </c>
      <c r="K616" s="2">
        <v>45239</v>
      </c>
      <c r="L616" t="s">
        <v>318</v>
      </c>
    </row>
    <row r="617" spans="1:12" x14ac:dyDescent="0.25">
      <c r="A617" t="s">
        <v>285</v>
      </c>
      <c r="B617" t="s">
        <v>20</v>
      </c>
      <c r="C617" t="s">
        <v>323</v>
      </c>
      <c r="D617" t="s">
        <v>40</v>
      </c>
      <c r="E617" t="s">
        <v>15</v>
      </c>
      <c r="F617">
        <v>44</v>
      </c>
      <c r="G617">
        <v>800</v>
      </c>
      <c r="H617">
        <v>5</v>
      </c>
      <c r="I617">
        <v>4000</v>
      </c>
      <c r="J617">
        <v>17.36</v>
      </c>
      <c r="K617" s="2">
        <v>45110</v>
      </c>
      <c r="L617" t="s">
        <v>316</v>
      </c>
    </row>
    <row r="618" spans="1:12" x14ac:dyDescent="0.25">
      <c r="A618" t="s">
        <v>272</v>
      </c>
      <c r="B618" t="s">
        <v>13</v>
      </c>
      <c r="C618" t="s">
        <v>320</v>
      </c>
      <c r="D618" t="s">
        <v>17</v>
      </c>
      <c r="E618" t="s">
        <v>18</v>
      </c>
      <c r="F618">
        <v>51</v>
      </c>
      <c r="G618">
        <v>100</v>
      </c>
      <c r="H618">
        <v>4</v>
      </c>
      <c r="I618">
        <v>400</v>
      </c>
      <c r="J618">
        <v>10.89</v>
      </c>
      <c r="K618" s="2">
        <v>44940</v>
      </c>
      <c r="L618" t="s">
        <v>318</v>
      </c>
    </row>
    <row r="619" spans="1:12" x14ac:dyDescent="0.25">
      <c r="A619" t="s">
        <v>145</v>
      </c>
      <c r="B619" t="s">
        <v>13</v>
      </c>
      <c r="C619" t="s">
        <v>319</v>
      </c>
      <c r="D619" t="s">
        <v>40</v>
      </c>
      <c r="E619" t="s">
        <v>15</v>
      </c>
      <c r="F619">
        <v>30</v>
      </c>
      <c r="G619">
        <v>800</v>
      </c>
      <c r="H619">
        <v>1</v>
      </c>
      <c r="I619">
        <v>800</v>
      </c>
      <c r="J619">
        <v>14.23</v>
      </c>
      <c r="K619" s="2">
        <v>44980</v>
      </c>
      <c r="L619" t="s">
        <v>317</v>
      </c>
    </row>
    <row r="620" spans="1:12" x14ac:dyDescent="0.25">
      <c r="A620" t="s">
        <v>34</v>
      </c>
      <c r="B620" t="s">
        <v>13</v>
      </c>
      <c r="C620" t="s">
        <v>320</v>
      </c>
      <c r="D620" t="s">
        <v>14</v>
      </c>
      <c r="E620" t="s">
        <v>15</v>
      </c>
      <c r="F620">
        <v>41</v>
      </c>
      <c r="G620">
        <v>300</v>
      </c>
      <c r="H620">
        <v>1</v>
      </c>
      <c r="I620">
        <v>300</v>
      </c>
      <c r="J620">
        <v>9.5</v>
      </c>
      <c r="K620" s="2">
        <v>45088</v>
      </c>
      <c r="L620" t="s">
        <v>318</v>
      </c>
    </row>
    <row r="621" spans="1:12" x14ac:dyDescent="0.25">
      <c r="A621" t="s">
        <v>286</v>
      </c>
      <c r="B621" t="s">
        <v>20</v>
      </c>
      <c r="C621" t="s">
        <v>321</v>
      </c>
      <c r="D621" t="s">
        <v>14</v>
      </c>
      <c r="E621" t="s">
        <v>15</v>
      </c>
      <c r="F621">
        <v>19</v>
      </c>
      <c r="G621">
        <v>300</v>
      </c>
      <c r="H621">
        <v>3</v>
      </c>
      <c r="I621">
        <v>900</v>
      </c>
      <c r="J621">
        <v>13.79</v>
      </c>
      <c r="K621" s="2">
        <v>45062</v>
      </c>
      <c r="L621" t="s">
        <v>317</v>
      </c>
    </row>
    <row r="622" spans="1:12" x14ac:dyDescent="0.25">
      <c r="A622" t="s">
        <v>54</v>
      </c>
      <c r="B622" t="s">
        <v>13</v>
      </c>
      <c r="C622" t="s">
        <v>322</v>
      </c>
      <c r="D622" t="s">
        <v>40</v>
      </c>
      <c r="E622" t="s">
        <v>15</v>
      </c>
      <c r="F622">
        <v>53</v>
      </c>
      <c r="G622">
        <v>800</v>
      </c>
      <c r="H622">
        <v>1</v>
      </c>
      <c r="I622">
        <v>800</v>
      </c>
      <c r="J622">
        <v>5.36</v>
      </c>
      <c r="K622" s="2">
        <v>45001</v>
      </c>
      <c r="L622" t="s">
        <v>316</v>
      </c>
    </row>
    <row r="623" spans="1:12" x14ac:dyDescent="0.25">
      <c r="A623" t="s">
        <v>62</v>
      </c>
      <c r="B623" t="s">
        <v>13</v>
      </c>
      <c r="C623" t="s">
        <v>321</v>
      </c>
      <c r="D623" t="s">
        <v>40</v>
      </c>
      <c r="E623" t="s">
        <v>15</v>
      </c>
      <c r="F623">
        <v>58</v>
      </c>
      <c r="G623">
        <v>800</v>
      </c>
      <c r="H623">
        <v>5</v>
      </c>
      <c r="I623">
        <v>4000</v>
      </c>
      <c r="J623">
        <v>19.93</v>
      </c>
      <c r="K623" s="2">
        <v>44929</v>
      </c>
      <c r="L623" t="s">
        <v>317</v>
      </c>
    </row>
    <row r="624" spans="1:12" x14ac:dyDescent="0.25">
      <c r="A624" t="s">
        <v>240</v>
      </c>
      <c r="B624" t="s">
        <v>20</v>
      </c>
      <c r="C624" t="s">
        <v>319</v>
      </c>
      <c r="D624" t="s">
        <v>29</v>
      </c>
      <c r="E624" t="s">
        <v>18</v>
      </c>
      <c r="F624">
        <v>27</v>
      </c>
      <c r="G624">
        <v>50</v>
      </c>
      <c r="H624">
        <v>2</v>
      </c>
      <c r="I624">
        <v>100</v>
      </c>
      <c r="J624">
        <v>19.920000000000002</v>
      </c>
      <c r="K624" s="2">
        <v>45079</v>
      </c>
      <c r="L624" t="s">
        <v>318</v>
      </c>
    </row>
    <row r="625" spans="1:12" x14ac:dyDescent="0.25">
      <c r="A625" t="s">
        <v>221</v>
      </c>
      <c r="B625" t="s">
        <v>13</v>
      </c>
      <c r="C625" t="s">
        <v>322</v>
      </c>
      <c r="D625" t="s">
        <v>25</v>
      </c>
      <c r="E625" t="s">
        <v>26</v>
      </c>
      <c r="F625">
        <v>37</v>
      </c>
      <c r="G625">
        <v>200</v>
      </c>
      <c r="H625">
        <v>2</v>
      </c>
      <c r="I625">
        <v>400</v>
      </c>
      <c r="J625">
        <v>14.16</v>
      </c>
      <c r="K625" s="2">
        <v>45083</v>
      </c>
      <c r="L625" t="s">
        <v>318</v>
      </c>
    </row>
    <row r="626" spans="1:12" x14ac:dyDescent="0.25">
      <c r="A626" t="s">
        <v>41</v>
      </c>
      <c r="B626" t="s">
        <v>20</v>
      </c>
      <c r="C626" t="s">
        <v>323</v>
      </c>
      <c r="D626" t="s">
        <v>23</v>
      </c>
      <c r="E626" t="s">
        <v>15</v>
      </c>
      <c r="F626">
        <v>32</v>
      </c>
      <c r="G626">
        <v>1500</v>
      </c>
      <c r="H626">
        <v>5</v>
      </c>
      <c r="I626">
        <v>7500</v>
      </c>
      <c r="J626">
        <v>7.52</v>
      </c>
      <c r="K626" s="2">
        <v>45227</v>
      </c>
      <c r="L626" t="s">
        <v>316</v>
      </c>
    </row>
    <row r="627" spans="1:12" x14ac:dyDescent="0.25">
      <c r="A627" t="s">
        <v>271</v>
      </c>
      <c r="B627" t="s">
        <v>13</v>
      </c>
      <c r="C627" t="s">
        <v>321</v>
      </c>
      <c r="D627" t="s">
        <v>14</v>
      </c>
      <c r="E627" t="s">
        <v>15</v>
      </c>
      <c r="F627">
        <v>65</v>
      </c>
      <c r="G627">
        <v>300</v>
      </c>
      <c r="H627">
        <v>4</v>
      </c>
      <c r="I627">
        <v>1200</v>
      </c>
      <c r="J627">
        <v>10.09</v>
      </c>
      <c r="K627" s="2">
        <v>44957</v>
      </c>
      <c r="L627" t="s">
        <v>316</v>
      </c>
    </row>
    <row r="628" spans="1:12" x14ac:dyDescent="0.25">
      <c r="A628" t="s">
        <v>135</v>
      </c>
      <c r="B628" t="s">
        <v>13</v>
      </c>
      <c r="C628" t="s">
        <v>320</v>
      </c>
      <c r="D628" t="s">
        <v>23</v>
      </c>
      <c r="E628" t="s">
        <v>15</v>
      </c>
      <c r="F628">
        <v>54</v>
      </c>
      <c r="G628">
        <v>1500</v>
      </c>
      <c r="H628">
        <v>4</v>
      </c>
      <c r="I628">
        <v>6000</v>
      </c>
      <c r="J628">
        <v>6.73</v>
      </c>
      <c r="K628" s="2">
        <v>45044</v>
      </c>
      <c r="L628" t="s">
        <v>317</v>
      </c>
    </row>
    <row r="629" spans="1:12" x14ac:dyDescent="0.25">
      <c r="A629" t="s">
        <v>287</v>
      </c>
      <c r="B629" t="s">
        <v>20</v>
      </c>
      <c r="C629" t="s">
        <v>321</v>
      </c>
      <c r="D629" t="s">
        <v>30</v>
      </c>
      <c r="E629" t="s">
        <v>18</v>
      </c>
      <c r="F629">
        <v>20</v>
      </c>
      <c r="G629">
        <v>30</v>
      </c>
      <c r="H629">
        <v>4</v>
      </c>
      <c r="I629">
        <v>120</v>
      </c>
      <c r="J629">
        <v>5.19</v>
      </c>
      <c r="K629" s="2">
        <v>45129</v>
      </c>
      <c r="L629" t="s">
        <v>316</v>
      </c>
    </row>
    <row r="630" spans="1:12" x14ac:dyDescent="0.25">
      <c r="A630" t="s">
        <v>200</v>
      </c>
      <c r="B630" t="s">
        <v>13</v>
      </c>
      <c r="C630" t="s">
        <v>319</v>
      </c>
      <c r="D630" t="s">
        <v>29</v>
      </c>
      <c r="E630" t="s">
        <v>18</v>
      </c>
      <c r="F630">
        <v>44</v>
      </c>
      <c r="G630">
        <v>50</v>
      </c>
      <c r="H630">
        <v>1</v>
      </c>
      <c r="I630">
        <v>50</v>
      </c>
      <c r="J630">
        <v>12.3</v>
      </c>
      <c r="K630" s="2">
        <v>45089</v>
      </c>
      <c r="L630" t="s">
        <v>318</v>
      </c>
    </row>
    <row r="631" spans="1:12" x14ac:dyDescent="0.25">
      <c r="A631" t="s">
        <v>211</v>
      </c>
      <c r="B631" t="s">
        <v>13</v>
      </c>
      <c r="C631" t="s">
        <v>322</v>
      </c>
      <c r="D631" t="s">
        <v>23</v>
      </c>
      <c r="E631" t="s">
        <v>15</v>
      </c>
      <c r="F631">
        <v>66</v>
      </c>
      <c r="G631">
        <v>1500</v>
      </c>
      <c r="H631">
        <v>4</v>
      </c>
      <c r="I631">
        <v>6000</v>
      </c>
      <c r="J631">
        <v>13.08</v>
      </c>
      <c r="K631" s="2">
        <v>45005</v>
      </c>
      <c r="L631" t="s">
        <v>317</v>
      </c>
    </row>
    <row r="632" spans="1:12" x14ac:dyDescent="0.25">
      <c r="A632" t="s">
        <v>210</v>
      </c>
      <c r="B632" t="s">
        <v>20</v>
      </c>
      <c r="C632" t="s">
        <v>319</v>
      </c>
      <c r="D632" t="s">
        <v>23</v>
      </c>
      <c r="E632" t="s">
        <v>15</v>
      </c>
      <c r="F632">
        <v>54</v>
      </c>
      <c r="G632">
        <v>1500</v>
      </c>
      <c r="H632">
        <v>4</v>
      </c>
      <c r="I632">
        <v>6000</v>
      </c>
      <c r="J632">
        <v>12</v>
      </c>
      <c r="K632" s="2">
        <v>45030</v>
      </c>
      <c r="L632" t="s">
        <v>316</v>
      </c>
    </row>
    <row r="633" spans="1:12" x14ac:dyDescent="0.25">
      <c r="A633" t="s">
        <v>146</v>
      </c>
      <c r="B633" t="s">
        <v>13</v>
      </c>
      <c r="C633" t="s">
        <v>320</v>
      </c>
      <c r="D633" t="s">
        <v>30</v>
      </c>
      <c r="E633" t="s">
        <v>18</v>
      </c>
      <c r="F633">
        <v>68</v>
      </c>
      <c r="G633">
        <v>30</v>
      </c>
      <c r="H633">
        <v>2</v>
      </c>
      <c r="I633">
        <v>60</v>
      </c>
      <c r="J633">
        <v>9.2799999999999994</v>
      </c>
      <c r="K633" s="2">
        <v>45050</v>
      </c>
      <c r="L633" t="s">
        <v>318</v>
      </c>
    </row>
    <row r="634" spans="1:12" x14ac:dyDescent="0.25">
      <c r="A634" t="s">
        <v>100</v>
      </c>
      <c r="B634" t="s">
        <v>20</v>
      </c>
      <c r="C634" t="s">
        <v>322</v>
      </c>
      <c r="D634" t="s">
        <v>29</v>
      </c>
      <c r="E634" t="s">
        <v>18</v>
      </c>
      <c r="F634">
        <v>48</v>
      </c>
      <c r="G634">
        <v>50</v>
      </c>
      <c r="H634">
        <v>5</v>
      </c>
      <c r="I634">
        <v>250</v>
      </c>
      <c r="J634">
        <v>14.34</v>
      </c>
      <c r="K634" s="2">
        <v>45197</v>
      </c>
      <c r="L634" t="s">
        <v>318</v>
      </c>
    </row>
    <row r="635" spans="1:12" x14ac:dyDescent="0.25">
      <c r="A635" t="s">
        <v>239</v>
      </c>
      <c r="B635" t="s">
        <v>13</v>
      </c>
      <c r="C635" t="s">
        <v>322</v>
      </c>
      <c r="D635" t="s">
        <v>14</v>
      </c>
      <c r="E635" t="s">
        <v>15</v>
      </c>
      <c r="F635">
        <v>56</v>
      </c>
      <c r="G635">
        <v>300</v>
      </c>
      <c r="H635">
        <v>2</v>
      </c>
      <c r="I635">
        <v>600</v>
      </c>
      <c r="J635">
        <v>17.13</v>
      </c>
      <c r="K635" s="2">
        <v>45139</v>
      </c>
      <c r="L635" t="s">
        <v>317</v>
      </c>
    </row>
    <row r="636" spans="1:12" x14ac:dyDescent="0.25">
      <c r="A636" t="s">
        <v>38</v>
      </c>
      <c r="B636" t="s">
        <v>13</v>
      </c>
      <c r="C636" t="s">
        <v>320</v>
      </c>
      <c r="D636" t="s">
        <v>14</v>
      </c>
      <c r="E636" t="s">
        <v>15</v>
      </c>
      <c r="F636">
        <v>57</v>
      </c>
      <c r="G636">
        <v>300</v>
      </c>
      <c r="H636">
        <v>1</v>
      </c>
      <c r="I636">
        <v>300</v>
      </c>
      <c r="J636">
        <v>13.55</v>
      </c>
      <c r="K636" s="2">
        <v>45195</v>
      </c>
      <c r="L636" t="s">
        <v>318</v>
      </c>
    </row>
    <row r="637" spans="1:12" x14ac:dyDescent="0.25">
      <c r="A637" t="s">
        <v>262</v>
      </c>
      <c r="B637" t="s">
        <v>13</v>
      </c>
      <c r="C637" t="s">
        <v>321</v>
      </c>
      <c r="D637" t="s">
        <v>30</v>
      </c>
      <c r="E637" t="s">
        <v>18</v>
      </c>
      <c r="F637">
        <v>40</v>
      </c>
      <c r="G637">
        <v>30</v>
      </c>
      <c r="H637">
        <v>5</v>
      </c>
      <c r="I637">
        <v>150</v>
      </c>
      <c r="J637">
        <v>9.01</v>
      </c>
      <c r="K637" s="2">
        <v>45244</v>
      </c>
      <c r="L637" t="s">
        <v>316</v>
      </c>
    </row>
    <row r="638" spans="1:12" x14ac:dyDescent="0.25">
      <c r="A638" t="s">
        <v>222</v>
      </c>
      <c r="B638" t="s">
        <v>13</v>
      </c>
      <c r="C638" t="s">
        <v>320</v>
      </c>
      <c r="D638" t="s">
        <v>23</v>
      </c>
      <c r="E638" t="s">
        <v>15</v>
      </c>
      <c r="F638">
        <v>67</v>
      </c>
      <c r="G638">
        <v>1500</v>
      </c>
      <c r="H638">
        <v>4</v>
      </c>
      <c r="I638">
        <v>6000</v>
      </c>
      <c r="J638">
        <v>13.3</v>
      </c>
      <c r="K638" s="2">
        <v>45231</v>
      </c>
      <c r="L638" t="s">
        <v>318</v>
      </c>
    </row>
    <row r="639" spans="1:12" x14ac:dyDescent="0.25">
      <c r="A639" t="s">
        <v>132</v>
      </c>
      <c r="B639" t="s">
        <v>20</v>
      </c>
      <c r="C639" t="s">
        <v>322</v>
      </c>
      <c r="D639" t="s">
        <v>17</v>
      </c>
      <c r="E639" t="s">
        <v>18</v>
      </c>
      <c r="F639">
        <v>33</v>
      </c>
      <c r="G639">
        <v>100</v>
      </c>
      <c r="H639">
        <v>5</v>
      </c>
      <c r="I639">
        <v>500</v>
      </c>
      <c r="J639">
        <v>8.27</v>
      </c>
      <c r="K639" s="2">
        <v>45107</v>
      </c>
      <c r="L639" t="s">
        <v>317</v>
      </c>
    </row>
    <row r="640" spans="1:12" x14ac:dyDescent="0.25">
      <c r="A640" t="s">
        <v>288</v>
      </c>
      <c r="B640" t="s">
        <v>20</v>
      </c>
      <c r="C640" t="s">
        <v>321</v>
      </c>
      <c r="D640" t="s">
        <v>23</v>
      </c>
      <c r="E640" t="s">
        <v>15</v>
      </c>
      <c r="F640">
        <v>66</v>
      </c>
      <c r="G640">
        <v>1500</v>
      </c>
      <c r="H640">
        <v>2</v>
      </c>
      <c r="I640">
        <v>3000</v>
      </c>
      <c r="J640">
        <v>9.26</v>
      </c>
      <c r="K640" s="2">
        <v>45209</v>
      </c>
      <c r="L640" t="s">
        <v>317</v>
      </c>
    </row>
    <row r="641" spans="1:12" x14ac:dyDescent="0.25">
      <c r="A641" t="s">
        <v>198</v>
      </c>
      <c r="B641" t="s">
        <v>13</v>
      </c>
      <c r="C641" t="s">
        <v>321</v>
      </c>
      <c r="D641" t="s">
        <v>14</v>
      </c>
      <c r="E641" t="s">
        <v>15</v>
      </c>
      <c r="F641">
        <v>46</v>
      </c>
      <c r="G641">
        <v>300</v>
      </c>
      <c r="H641">
        <v>3</v>
      </c>
      <c r="I641">
        <v>900</v>
      </c>
      <c r="J641">
        <v>18.829999999999998</v>
      </c>
      <c r="K641" s="2">
        <v>45188</v>
      </c>
      <c r="L641" t="s">
        <v>316</v>
      </c>
    </row>
    <row r="642" spans="1:12" x14ac:dyDescent="0.25">
      <c r="A642" t="s">
        <v>243</v>
      </c>
      <c r="B642" t="s">
        <v>20</v>
      </c>
      <c r="C642" t="s">
        <v>323</v>
      </c>
      <c r="D642" t="s">
        <v>14</v>
      </c>
      <c r="E642" t="s">
        <v>15</v>
      </c>
      <c r="F642">
        <v>49</v>
      </c>
      <c r="G642">
        <v>300</v>
      </c>
      <c r="H642">
        <v>1</v>
      </c>
      <c r="I642">
        <v>300</v>
      </c>
      <c r="J642">
        <v>6.55</v>
      </c>
      <c r="K642" s="2">
        <v>45294</v>
      </c>
      <c r="L642" t="s">
        <v>318</v>
      </c>
    </row>
    <row r="643" spans="1:12" x14ac:dyDescent="0.25">
      <c r="A643" t="s">
        <v>106</v>
      </c>
      <c r="B643" t="s">
        <v>13</v>
      </c>
      <c r="C643" t="s">
        <v>323</v>
      </c>
      <c r="D643" t="s">
        <v>23</v>
      </c>
      <c r="E643" t="s">
        <v>15</v>
      </c>
      <c r="F643">
        <v>42</v>
      </c>
      <c r="G643">
        <v>1500</v>
      </c>
      <c r="H643">
        <v>2</v>
      </c>
      <c r="I643">
        <v>3000</v>
      </c>
      <c r="J643">
        <v>12.17</v>
      </c>
      <c r="K643" s="2">
        <v>44935</v>
      </c>
      <c r="L643" t="s">
        <v>319</v>
      </c>
    </row>
    <row r="644" spans="1:12" x14ac:dyDescent="0.25">
      <c r="A644" t="s">
        <v>158</v>
      </c>
      <c r="B644" t="s">
        <v>13</v>
      </c>
      <c r="C644" t="s">
        <v>320</v>
      </c>
      <c r="D644" t="s">
        <v>23</v>
      </c>
      <c r="E644" t="s">
        <v>15</v>
      </c>
      <c r="F644">
        <v>32</v>
      </c>
      <c r="G644">
        <v>1500</v>
      </c>
      <c r="H644">
        <v>1</v>
      </c>
      <c r="I644">
        <v>1500</v>
      </c>
      <c r="J644">
        <v>8.5299999999999994</v>
      </c>
      <c r="K644" s="2">
        <v>45149</v>
      </c>
      <c r="L644" t="s">
        <v>317</v>
      </c>
    </row>
    <row r="645" spans="1:12" x14ac:dyDescent="0.25">
      <c r="A645" t="s">
        <v>253</v>
      </c>
      <c r="B645" t="s">
        <v>13</v>
      </c>
      <c r="C645" t="s">
        <v>321</v>
      </c>
      <c r="D645" t="s">
        <v>14</v>
      </c>
      <c r="E645" t="s">
        <v>15</v>
      </c>
      <c r="F645">
        <v>56</v>
      </c>
      <c r="G645">
        <v>300</v>
      </c>
      <c r="H645">
        <v>1</v>
      </c>
      <c r="I645">
        <v>300</v>
      </c>
      <c r="J645">
        <v>8.8699999999999992</v>
      </c>
      <c r="K645" s="2">
        <v>45132</v>
      </c>
      <c r="L645" t="s">
        <v>316</v>
      </c>
    </row>
    <row r="646" spans="1:12" x14ac:dyDescent="0.25">
      <c r="A646" t="s">
        <v>222</v>
      </c>
      <c r="B646" t="s">
        <v>20</v>
      </c>
      <c r="C646" t="s">
        <v>322</v>
      </c>
      <c r="D646" t="s">
        <v>25</v>
      </c>
      <c r="E646" t="s">
        <v>26</v>
      </c>
      <c r="F646">
        <v>67</v>
      </c>
      <c r="G646">
        <v>200</v>
      </c>
      <c r="H646">
        <v>1</v>
      </c>
      <c r="I646">
        <v>200</v>
      </c>
      <c r="J646">
        <v>5.45</v>
      </c>
      <c r="K646" s="2">
        <v>45199</v>
      </c>
      <c r="L646" t="s">
        <v>316</v>
      </c>
    </row>
    <row r="647" spans="1:12" x14ac:dyDescent="0.25">
      <c r="A647" t="s">
        <v>28</v>
      </c>
      <c r="B647" t="s">
        <v>13</v>
      </c>
      <c r="C647" t="s">
        <v>320</v>
      </c>
      <c r="D647" t="s">
        <v>17</v>
      </c>
      <c r="E647" t="s">
        <v>18</v>
      </c>
      <c r="F647">
        <v>49</v>
      </c>
      <c r="G647">
        <v>100</v>
      </c>
      <c r="H647">
        <v>2</v>
      </c>
      <c r="I647">
        <v>200</v>
      </c>
      <c r="J647">
        <v>10.39</v>
      </c>
      <c r="K647" s="2">
        <v>45225</v>
      </c>
      <c r="L647" t="s">
        <v>316</v>
      </c>
    </row>
    <row r="648" spans="1:12" x14ac:dyDescent="0.25">
      <c r="A648" t="s">
        <v>178</v>
      </c>
      <c r="B648" t="s">
        <v>13</v>
      </c>
      <c r="C648" t="s">
        <v>322</v>
      </c>
      <c r="D648" t="s">
        <v>17</v>
      </c>
      <c r="E648" t="s">
        <v>18</v>
      </c>
      <c r="F648">
        <v>30</v>
      </c>
      <c r="G648">
        <v>100</v>
      </c>
      <c r="H648">
        <v>4</v>
      </c>
      <c r="I648">
        <v>400</v>
      </c>
      <c r="J648">
        <v>13.94</v>
      </c>
      <c r="K648" s="2">
        <v>45282</v>
      </c>
      <c r="L648" t="s">
        <v>318</v>
      </c>
    </row>
    <row r="649" spans="1:12" x14ac:dyDescent="0.25">
      <c r="A649" t="s">
        <v>163</v>
      </c>
      <c r="B649" t="s">
        <v>13</v>
      </c>
      <c r="C649" t="s">
        <v>323</v>
      </c>
      <c r="D649" t="s">
        <v>17</v>
      </c>
      <c r="E649" t="s">
        <v>18</v>
      </c>
      <c r="F649">
        <v>21</v>
      </c>
      <c r="G649">
        <v>100</v>
      </c>
      <c r="H649">
        <v>4</v>
      </c>
      <c r="I649">
        <v>400</v>
      </c>
      <c r="J649">
        <v>12.96</v>
      </c>
      <c r="K649" s="2">
        <v>45182</v>
      </c>
      <c r="L649" t="s">
        <v>317</v>
      </c>
    </row>
    <row r="650" spans="1:12" x14ac:dyDescent="0.25">
      <c r="A650" t="s">
        <v>127</v>
      </c>
      <c r="B650" t="s">
        <v>20</v>
      </c>
      <c r="C650" t="s">
        <v>322</v>
      </c>
      <c r="D650" t="s">
        <v>29</v>
      </c>
      <c r="E650" t="s">
        <v>18</v>
      </c>
      <c r="F650">
        <v>38</v>
      </c>
      <c r="G650">
        <v>50</v>
      </c>
      <c r="H650">
        <v>4</v>
      </c>
      <c r="I650">
        <v>200</v>
      </c>
      <c r="J650">
        <v>11</v>
      </c>
      <c r="K650" s="2">
        <v>45286</v>
      </c>
      <c r="L650" t="s">
        <v>316</v>
      </c>
    </row>
    <row r="651" spans="1:12" x14ac:dyDescent="0.25">
      <c r="A651" t="s">
        <v>160</v>
      </c>
      <c r="B651" t="s">
        <v>13</v>
      </c>
      <c r="C651" t="s">
        <v>321</v>
      </c>
      <c r="D651" t="s">
        <v>23</v>
      </c>
      <c r="E651" t="s">
        <v>15</v>
      </c>
      <c r="F651">
        <v>27</v>
      </c>
      <c r="G651">
        <v>1500</v>
      </c>
      <c r="H651">
        <v>2</v>
      </c>
      <c r="I651">
        <v>3000</v>
      </c>
      <c r="J651">
        <v>13.22</v>
      </c>
      <c r="K651" s="2">
        <v>45175</v>
      </c>
      <c r="L651" t="s">
        <v>317</v>
      </c>
    </row>
    <row r="652" spans="1:12" x14ac:dyDescent="0.25">
      <c r="A652" t="s">
        <v>204</v>
      </c>
      <c r="B652" t="s">
        <v>13</v>
      </c>
      <c r="C652" t="s">
        <v>320</v>
      </c>
      <c r="D652" t="s">
        <v>14</v>
      </c>
      <c r="E652" t="s">
        <v>15</v>
      </c>
      <c r="F652">
        <v>69</v>
      </c>
      <c r="G652">
        <v>300</v>
      </c>
      <c r="H652">
        <v>5</v>
      </c>
      <c r="I652">
        <v>1500</v>
      </c>
      <c r="J652">
        <v>17.75</v>
      </c>
      <c r="K652" s="2">
        <v>45244</v>
      </c>
      <c r="L652" t="s">
        <v>317</v>
      </c>
    </row>
    <row r="653" spans="1:12" x14ac:dyDescent="0.25">
      <c r="A653" t="s">
        <v>254</v>
      </c>
      <c r="B653" t="s">
        <v>20</v>
      </c>
      <c r="C653" t="s">
        <v>321</v>
      </c>
      <c r="D653" t="s">
        <v>40</v>
      </c>
      <c r="E653" t="s">
        <v>15</v>
      </c>
      <c r="F653">
        <v>69</v>
      </c>
      <c r="G653">
        <v>800</v>
      </c>
      <c r="H653">
        <v>3</v>
      </c>
      <c r="I653">
        <v>2400</v>
      </c>
      <c r="J653">
        <v>15.53</v>
      </c>
      <c r="K653" s="2">
        <v>45041</v>
      </c>
      <c r="L653" t="s">
        <v>317</v>
      </c>
    </row>
    <row r="654" spans="1:12" x14ac:dyDescent="0.25">
      <c r="A654" t="s">
        <v>265</v>
      </c>
      <c r="B654" t="s">
        <v>20</v>
      </c>
      <c r="C654" t="s">
        <v>322</v>
      </c>
      <c r="D654" t="s">
        <v>23</v>
      </c>
      <c r="E654" t="s">
        <v>15</v>
      </c>
      <c r="F654">
        <v>67</v>
      </c>
      <c r="G654">
        <v>1500</v>
      </c>
      <c r="H654">
        <v>1</v>
      </c>
      <c r="I654">
        <v>1500</v>
      </c>
      <c r="J654">
        <v>13.92</v>
      </c>
      <c r="K654" s="2">
        <v>45133</v>
      </c>
      <c r="L654" t="s">
        <v>318</v>
      </c>
    </row>
    <row r="655" spans="1:12" x14ac:dyDescent="0.25">
      <c r="A655" t="s">
        <v>93</v>
      </c>
      <c r="B655" t="s">
        <v>13</v>
      </c>
      <c r="C655" t="s">
        <v>321</v>
      </c>
      <c r="D655" t="s">
        <v>25</v>
      </c>
      <c r="E655" t="s">
        <v>26</v>
      </c>
      <c r="F655">
        <v>47</v>
      </c>
      <c r="G655">
        <v>200</v>
      </c>
      <c r="H655">
        <v>3</v>
      </c>
      <c r="I655">
        <v>600</v>
      </c>
      <c r="J655">
        <v>13.73</v>
      </c>
      <c r="K655" s="2">
        <v>45092</v>
      </c>
      <c r="L655" t="s">
        <v>318</v>
      </c>
    </row>
    <row r="656" spans="1:12" x14ac:dyDescent="0.25">
      <c r="A656" t="s">
        <v>276</v>
      </c>
      <c r="B656" t="s">
        <v>13</v>
      </c>
      <c r="C656" t="s">
        <v>321</v>
      </c>
      <c r="D656" t="s">
        <v>14</v>
      </c>
      <c r="E656" t="s">
        <v>15</v>
      </c>
      <c r="F656">
        <v>32</v>
      </c>
      <c r="G656">
        <v>300</v>
      </c>
      <c r="H656">
        <v>3</v>
      </c>
      <c r="I656">
        <v>900</v>
      </c>
      <c r="J656">
        <v>8.48</v>
      </c>
      <c r="K656" s="2">
        <v>45068</v>
      </c>
      <c r="L656" t="s">
        <v>318</v>
      </c>
    </row>
    <row r="657" spans="1:12" x14ac:dyDescent="0.25">
      <c r="A657" t="s">
        <v>209</v>
      </c>
      <c r="B657" t="s">
        <v>20</v>
      </c>
      <c r="C657" t="s">
        <v>321</v>
      </c>
      <c r="D657" t="s">
        <v>23</v>
      </c>
      <c r="E657" t="s">
        <v>15</v>
      </c>
      <c r="F657">
        <v>41</v>
      </c>
      <c r="G657">
        <v>1500</v>
      </c>
      <c r="H657">
        <v>3</v>
      </c>
      <c r="I657">
        <v>4500</v>
      </c>
      <c r="J657">
        <v>13.82</v>
      </c>
      <c r="K657" s="2">
        <v>45267</v>
      </c>
      <c r="L657" t="s">
        <v>318</v>
      </c>
    </row>
    <row r="658" spans="1:12" x14ac:dyDescent="0.25">
      <c r="A658" t="s">
        <v>142</v>
      </c>
      <c r="B658" t="s">
        <v>20</v>
      </c>
      <c r="C658" t="s">
        <v>323</v>
      </c>
      <c r="D658" t="s">
        <v>30</v>
      </c>
      <c r="E658" t="s">
        <v>18</v>
      </c>
      <c r="F658">
        <v>29</v>
      </c>
      <c r="G658">
        <v>30</v>
      </c>
      <c r="H658">
        <v>1</v>
      </c>
      <c r="I658">
        <v>30</v>
      </c>
      <c r="J658">
        <v>11.33</v>
      </c>
      <c r="K658" s="2">
        <v>44985</v>
      </c>
      <c r="L658" t="s">
        <v>317</v>
      </c>
    </row>
    <row r="659" spans="1:12" x14ac:dyDescent="0.25">
      <c r="A659" t="s">
        <v>161</v>
      </c>
      <c r="B659" t="s">
        <v>13</v>
      </c>
      <c r="C659" t="s">
        <v>320</v>
      </c>
      <c r="D659" t="s">
        <v>14</v>
      </c>
      <c r="E659" t="s">
        <v>15</v>
      </c>
      <c r="F659">
        <v>65</v>
      </c>
      <c r="G659">
        <v>300</v>
      </c>
      <c r="H659">
        <v>4</v>
      </c>
      <c r="I659">
        <v>1200</v>
      </c>
      <c r="J659">
        <v>11.14</v>
      </c>
      <c r="K659" s="2">
        <v>45294</v>
      </c>
      <c r="L659" t="s">
        <v>319</v>
      </c>
    </row>
    <row r="660" spans="1:12" x14ac:dyDescent="0.25">
      <c r="A660" t="s">
        <v>187</v>
      </c>
      <c r="B660" t="s">
        <v>20</v>
      </c>
      <c r="C660" t="s">
        <v>323</v>
      </c>
      <c r="D660" t="s">
        <v>25</v>
      </c>
      <c r="E660" t="s">
        <v>26</v>
      </c>
      <c r="F660">
        <v>48</v>
      </c>
      <c r="G660">
        <v>200</v>
      </c>
      <c r="H660">
        <v>5</v>
      </c>
      <c r="I660">
        <v>1000</v>
      </c>
      <c r="J660">
        <v>10.9</v>
      </c>
      <c r="K660" s="2">
        <v>45050</v>
      </c>
      <c r="L660" t="s">
        <v>317</v>
      </c>
    </row>
    <row r="661" spans="1:12" x14ac:dyDescent="0.25">
      <c r="A661" t="s">
        <v>71</v>
      </c>
      <c r="B661" t="s">
        <v>13</v>
      </c>
      <c r="C661" t="s">
        <v>323</v>
      </c>
      <c r="D661" t="s">
        <v>23</v>
      </c>
      <c r="E661" t="s">
        <v>15</v>
      </c>
      <c r="F661">
        <v>68</v>
      </c>
      <c r="G661">
        <v>1500</v>
      </c>
      <c r="H661">
        <v>1</v>
      </c>
      <c r="I661">
        <v>1500</v>
      </c>
      <c r="J661">
        <v>19.37</v>
      </c>
      <c r="K661" s="2">
        <v>45165</v>
      </c>
      <c r="L661" t="s">
        <v>319</v>
      </c>
    </row>
    <row r="662" spans="1:12" x14ac:dyDescent="0.25">
      <c r="A662" t="s">
        <v>230</v>
      </c>
      <c r="B662" t="s">
        <v>20</v>
      </c>
      <c r="C662" t="s">
        <v>320</v>
      </c>
      <c r="D662" t="s">
        <v>30</v>
      </c>
      <c r="E662" t="s">
        <v>18</v>
      </c>
      <c r="F662">
        <v>42</v>
      </c>
      <c r="G662">
        <v>30</v>
      </c>
      <c r="H662">
        <v>5</v>
      </c>
      <c r="I662">
        <v>150</v>
      </c>
      <c r="J662">
        <v>8.2799999999999994</v>
      </c>
      <c r="K662" s="2">
        <v>45244</v>
      </c>
      <c r="L662" t="s">
        <v>316</v>
      </c>
    </row>
    <row r="663" spans="1:12" x14ac:dyDescent="0.25">
      <c r="A663" t="s">
        <v>35</v>
      </c>
      <c r="B663" t="s">
        <v>13</v>
      </c>
      <c r="C663" t="s">
        <v>319</v>
      </c>
      <c r="D663" t="s">
        <v>23</v>
      </c>
      <c r="E663" t="s">
        <v>15</v>
      </c>
      <c r="F663">
        <v>60</v>
      </c>
      <c r="G663">
        <v>1500</v>
      </c>
      <c r="H663">
        <v>1</v>
      </c>
      <c r="I663">
        <v>1500</v>
      </c>
      <c r="J663">
        <v>10.84</v>
      </c>
      <c r="K663" s="2">
        <v>45175</v>
      </c>
      <c r="L663" t="s">
        <v>317</v>
      </c>
    </row>
    <row r="664" spans="1:12" x14ac:dyDescent="0.25">
      <c r="A664" t="s">
        <v>136</v>
      </c>
      <c r="B664" t="s">
        <v>20</v>
      </c>
      <c r="C664" t="s">
        <v>320</v>
      </c>
      <c r="D664" t="s">
        <v>40</v>
      </c>
      <c r="E664" t="s">
        <v>15</v>
      </c>
      <c r="F664">
        <v>37</v>
      </c>
      <c r="G664">
        <v>800</v>
      </c>
      <c r="H664">
        <v>1</v>
      </c>
      <c r="I664">
        <v>800</v>
      </c>
      <c r="J664">
        <v>12.78</v>
      </c>
      <c r="K664" s="2">
        <v>44929</v>
      </c>
      <c r="L664" t="s">
        <v>316</v>
      </c>
    </row>
    <row r="665" spans="1:12" x14ac:dyDescent="0.25">
      <c r="A665" t="s">
        <v>174</v>
      </c>
      <c r="B665" t="s">
        <v>20</v>
      </c>
      <c r="C665" t="s">
        <v>322</v>
      </c>
      <c r="D665" t="s">
        <v>23</v>
      </c>
      <c r="E665" t="s">
        <v>15</v>
      </c>
      <c r="F665">
        <v>54</v>
      </c>
      <c r="G665">
        <v>1500</v>
      </c>
      <c r="H665">
        <v>4</v>
      </c>
      <c r="I665">
        <v>6000</v>
      </c>
      <c r="J665">
        <v>12.84</v>
      </c>
      <c r="K665" s="2">
        <v>44977</v>
      </c>
      <c r="L665" t="s">
        <v>318</v>
      </c>
    </row>
    <row r="666" spans="1:12" x14ac:dyDescent="0.25">
      <c r="A666" t="s">
        <v>170</v>
      </c>
      <c r="B666" t="s">
        <v>20</v>
      </c>
      <c r="C666" t="s">
        <v>322</v>
      </c>
      <c r="D666" t="s">
        <v>14</v>
      </c>
      <c r="E666" t="s">
        <v>15</v>
      </c>
      <c r="F666">
        <v>57</v>
      </c>
      <c r="G666">
        <v>300</v>
      </c>
      <c r="H666">
        <v>1</v>
      </c>
      <c r="I666">
        <v>300</v>
      </c>
      <c r="J666">
        <v>6.55</v>
      </c>
      <c r="K666" s="2">
        <v>45029</v>
      </c>
      <c r="L666" t="s">
        <v>318</v>
      </c>
    </row>
    <row r="667" spans="1:12" x14ac:dyDescent="0.25">
      <c r="A667" t="s">
        <v>43</v>
      </c>
      <c r="B667" t="s">
        <v>20</v>
      </c>
      <c r="C667" t="s">
        <v>323</v>
      </c>
      <c r="D667" t="s">
        <v>29</v>
      </c>
      <c r="E667" t="s">
        <v>18</v>
      </c>
      <c r="F667">
        <v>37</v>
      </c>
      <c r="G667">
        <v>50</v>
      </c>
      <c r="H667">
        <v>4</v>
      </c>
      <c r="I667">
        <v>200</v>
      </c>
      <c r="J667">
        <v>12.81</v>
      </c>
      <c r="K667" s="2">
        <v>44931</v>
      </c>
      <c r="L667" t="s">
        <v>318</v>
      </c>
    </row>
    <row r="668" spans="1:12" x14ac:dyDescent="0.25">
      <c r="A668" t="s">
        <v>191</v>
      </c>
      <c r="B668" t="s">
        <v>20</v>
      </c>
      <c r="C668" t="s">
        <v>320</v>
      </c>
      <c r="D668" t="s">
        <v>23</v>
      </c>
      <c r="E668" t="s">
        <v>15</v>
      </c>
      <c r="F668">
        <v>64</v>
      </c>
      <c r="G668">
        <v>1500</v>
      </c>
      <c r="H668">
        <v>1</v>
      </c>
      <c r="I668">
        <v>1500</v>
      </c>
      <c r="J668">
        <v>18.190000000000001</v>
      </c>
      <c r="K668" s="2">
        <v>45068</v>
      </c>
      <c r="L668" t="s">
        <v>317</v>
      </c>
    </row>
    <row r="669" spans="1:12" x14ac:dyDescent="0.25">
      <c r="A669" t="s">
        <v>91</v>
      </c>
      <c r="B669" t="s">
        <v>13</v>
      </c>
      <c r="C669" t="s">
        <v>322</v>
      </c>
      <c r="D669" t="s">
        <v>25</v>
      </c>
      <c r="E669" t="s">
        <v>26</v>
      </c>
      <c r="F669">
        <v>54</v>
      </c>
      <c r="G669">
        <v>200</v>
      </c>
      <c r="H669">
        <v>3</v>
      </c>
      <c r="I669">
        <v>600</v>
      </c>
      <c r="J669">
        <v>16.36</v>
      </c>
      <c r="K669" s="2">
        <v>45148</v>
      </c>
      <c r="L669" t="s">
        <v>317</v>
      </c>
    </row>
    <row r="670" spans="1:12" x14ac:dyDescent="0.25">
      <c r="A670" t="s">
        <v>289</v>
      </c>
      <c r="B670" t="s">
        <v>13</v>
      </c>
      <c r="C670" t="s">
        <v>321</v>
      </c>
      <c r="D670" t="s">
        <v>23</v>
      </c>
      <c r="E670" t="s">
        <v>15</v>
      </c>
      <c r="F670">
        <v>67</v>
      </c>
      <c r="G670">
        <v>1500</v>
      </c>
      <c r="H670">
        <v>4</v>
      </c>
      <c r="I670">
        <v>6000</v>
      </c>
      <c r="J670">
        <v>14.85</v>
      </c>
      <c r="K670" s="2">
        <v>45088</v>
      </c>
      <c r="L670" t="s">
        <v>318</v>
      </c>
    </row>
    <row r="671" spans="1:12" x14ac:dyDescent="0.25">
      <c r="A671" t="s">
        <v>142</v>
      </c>
      <c r="B671" t="s">
        <v>20</v>
      </c>
      <c r="C671" t="s">
        <v>323</v>
      </c>
      <c r="D671" t="s">
        <v>25</v>
      </c>
      <c r="E671" t="s">
        <v>26</v>
      </c>
      <c r="F671">
        <v>29</v>
      </c>
      <c r="G671">
        <v>200</v>
      </c>
      <c r="H671">
        <v>4</v>
      </c>
      <c r="I671">
        <v>800</v>
      </c>
      <c r="J671">
        <v>17.93</v>
      </c>
      <c r="K671" s="2">
        <v>44982</v>
      </c>
      <c r="L671" t="s">
        <v>318</v>
      </c>
    </row>
    <row r="672" spans="1:12" x14ac:dyDescent="0.25">
      <c r="A672" t="s">
        <v>146</v>
      </c>
      <c r="B672" t="s">
        <v>20</v>
      </c>
      <c r="C672" t="s">
        <v>322</v>
      </c>
      <c r="D672" t="s">
        <v>17</v>
      </c>
      <c r="E672" t="s">
        <v>18</v>
      </c>
      <c r="F672">
        <v>68</v>
      </c>
      <c r="G672">
        <v>100</v>
      </c>
      <c r="H672">
        <v>2</v>
      </c>
      <c r="I672">
        <v>200</v>
      </c>
      <c r="J672">
        <v>11.73</v>
      </c>
      <c r="K672" s="2">
        <v>45082</v>
      </c>
      <c r="L672" t="s">
        <v>319</v>
      </c>
    </row>
    <row r="673" spans="1:12" x14ac:dyDescent="0.25">
      <c r="A673" t="s">
        <v>136</v>
      </c>
      <c r="B673" t="s">
        <v>13</v>
      </c>
      <c r="C673" t="s">
        <v>321</v>
      </c>
      <c r="D673" t="s">
        <v>30</v>
      </c>
      <c r="E673" t="s">
        <v>18</v>
      </c>
      <c r="F673">
        <v>37</v>
      </c>
      <c r="G673">
        <v>30</v>
      </c>
      <c r="H673">
        <v>3</v>
      </c>
      <c r="I673">
        <v>90</v>
      </c>
      <c r="J673">
        <v>13.86</v>
      </c>
      <c r="K673" s="2">
        <v>45216</v>
      </c>
      <c r="L673" t="s">
        <v>318</v>
      </c>
    </row>
    <row r="674" spans="1:12" x14ac:dyDescent="0.25">
      <c r="A674" t="s">
        <v>290</v>
      </c>
      <c r="B674" t="s">
        <v>13</v>
      </c>
      <c r="C674" t="s">
        <v>320</v>
      </c>
      <c r="D674" t="s">
        <v>30</v>
      </c>
      <c r="E674" t="s">
        <v>18</v>
      </c>
      <c r="F674">
        <v>22</v>
      </c>
      <c r="G674">
        <v>30</v>
      </c>
      <c r="H674">
        <v>5</v>
      </c>
      <c r="I674">
        <v>150</v>
      </c>
      <c r="J674">
        <v>18.22</v>
      </c>
      <c r="K674" s="2">
        <v>44951</v>
      </c>
      <c r="L674" t="s">
        <v>316</v>
      </c>
    </row>
    <row r="675" spans="1:12" x14ac:dyDescent="0.25">
      <c r="A675" t="s">
        <v>119</v>
      </c>
      <c r="B675" t="s">
        <v>13</v>
      </c>
      <c r="C675" t="s">
        <v>319</v>
      </c>
      <c r="D675" t="s">
        <v>14</v>
      </c>
      <c r="E675" t="s">
        <v>15</v>
      </c>
      <c r="F675">
        <v>18</v>
      </c>
      <c r="G675">
        <v>300</v>
      </c>
      <c r="H675">
        <v>2</v>
      </c>
      <c r="I675">
        <v>600</v>
      </c>
      <c r="J675">
        <v>8.33</v>
      </c>
      <c r="K675" s="2">
        <v>44936</v>
      </c>
      <c r="L675" t="s">
        <v>317</v>
      </c>
    </row>
    <row r="676" spans="1:12" x14ac:dyDescent="0.25">
      <c r="A676" t="s">
        <v>221</v>
      </c>
      <c r="B676" t="s">
        <v>20</v>
      </c>
      <c r="C676" t="s">
        <v>321</v>
      </c>
      <c r="D676" t="s">
        <v>23</v>
      </c>
      <c r="E676" t="s">
        <v>15</v>
      </c>
      <c r="F676">
        <v>49</v>
      </c>
      <c r="G676">
        <v>1500</v>
      </c>
      <c r="H676">
        <v>3</v>
      </c>
      <c r="I676">
        <v>4500</v>
      </c>
      <c r="J676">
        <v>6.86</v>
      </c>
      <c r="K676" s="2">
        <v>45287</v>
      </c>
      <c r="L676" t="s">
        <v>317</v>
      </c>
    </row>
    <row r="677" spans="1:12" x14ac:dyDescent="0.25">
      <c r="A677" t="s">
        <v>289</v>
      </c>
      <c r="B677" t="s">
        <v>13</v>
      </c>
      <c r="C677" t="s">
        <v>322</v>
      </c>
      <c r="D677" t="s">
        <v>29</v>
      </c>
      <c r="E677" t="s">
        <v>18</v>
      </c>
      <c r="F677">
        <v>49</v>
      </c>
      <c r="G677">
        <v>50</v>
      </c>
      <c r="H677">
        <v>5</v>
      </c>
      <c r="I677">
        <v>250</v>
      </c>
      <c r="J677">
        <v>9.8699999999999992</v>
      </c>
      <c r="K677" s="2">
        <v>45233</v>
      </c>
      <c r="L677" t="s">
        <v>316</v>
      </c>
    </row>
    <row r="678" spans="1:12" x14ac:dyDescent="0.25">
      <c r="A678" t="s">
        <v>282</v>
      </c>
      <c r="B678" t="s">
        <v>13</v>
      </c>
      <c r="C678" t="s">
        <v>321</v>
      </c>
      <c r="D678" t="s">
        <v>25</v>
      </c>
      <c r="E678" t="s">
        <v>26</v>
      </c>
      <c r="F678">
        <v>49</v>
      </c>
      <c r="G678">
        <v>200</v>
      </c>
      <c r="H678">
        <v>2</v>
      </c>
      <c r="I678">
        <v>400</v>
      </c>
      <c r="J678">
        <v>8.0500000000000007</v>
      </c>
      <c r="K678" s="2">
        <v>45026</v>
      </c>
      <c r="L678" t="s">
        <v>317</v>
      </c>
    </row>
    <row r="679" spans="1:12" x14ac:dyDescent="0.25">
      <c r="A679" t="s">
        <v>262</v>
      </c>
      <c r="B679" t="s">
        <v>13</v>
      </c>
      <c r="C679" t="s">
        <v>320</v>
      </c>
      <c r="D679" t="s">
        <v>25</v>
      </c>
      <c r="E679" t="s">
        <v>26</v>
      </c>
      <c r="F679">
        <v>40</v>
      </c>
      <c r="G679">
        <v>200</v>
      </c>
      <c r="H679">
        <v>4</v>
      </c>
      <c r="I679">
        <v>800</v>
      </c>
      <c r="J679">
        <v>11.68</v>
      </c>
      <c r="K679" s="2">
        <v>45287</v>
      </c>
      <c r="L679" t="s">
        <v>318</v>
      </c>
    </row>
    <row r="680" spans="1:12" x14ac:dyDescent="0.25">
      <c r="A680" t="s">
        <v>22</v>
      </c>
      <c r="B680" t="s">
        <v>13</v>
      </c>
      <c r="C680" t="s">
        <v>322</v>
      </c>
      <c r="D680" t="s">
        <v>23</v>
      </c>
      <c r="E680" t="s">
        <v>15</v>
      </c>
      <c r="F680">
        <v>65</v>
      </c>
      <c r="G680">
        <v>1500</v>
      </c>
      <c r="H680">
        <v>3</v>
      </c>
      <c r="I680">
        <v>4500</v>
      </c>
      <c r="J680">
        <v>13.18</v>
      </c>
      <c r="K680" s="2">
        <v>45282</v>
      </c>
      <c r="L680" t="s">
        <v>317</v>
      </c>
    </row>
    <row r="681" spans="1:12" x14ac:dyDescent="0.25">
      <c r="A681" t="s">
        <v>47</v>
      </c>
      <c r="B681" t="s">
        <v>20</v>
      </c>
      <c r="C681" t="s">
        <v>323</v>
      </c>
      <c r="D681" t="s">
        <v>40</v>
      </c>
      <c r="E681" t="s">
        <v>15</v>
      </c>
      <c r="F681">
        <v>57</v>
      </c>
      <c r="G681">
        <v>800</v>
      </c>
      <c r="H681">
        <v>2</v>
      </c>
      <c r="I681">
        <v>1600</v>
      </c>
      <c r="J681">
        <v>9.01</v>
      </c>
      <c r="K681" s="2">
        <v>45238</v>
      </c>
      <c r="L681" t="s">
        <v>317</v>
      </c>
    </row>
    <row r="682" spans="1:12" x14ac:dyDescent="0.25">
      <c r="A682" t="s">
        <v>199</v>
      </c>
      <c r="B682" t="s">
        <v>20</v>
      </c>
      <c r="C682" t="s">
        <v>322</v>
      </c>
      <c r="D682" t="s">
        <v>17</v>
      </c>
      <c r="E682" t="s">
        <v>18</v>
      </c>
      <c r="F682">
        <v>50</v>
      </c>
      <c r="G682">
        <v>100</v>
      </c>
      <c r="H682">
        <v>3</v>
      </c>
      <c r="I682">
        <v>300</v>
      </c>
      <c r="J682">
        <v>17.63</v>
      </c>
      <c r="K682" s="2">
        <v>45267</v>
      </c>
      <c r="L682" t="s">
        <v>318</v>
      </c>
    </row>
    <row r="683" spans="1:12" x14ac:dyDescent="0.25">
      <c r="A683" t="s">
        <v>267</v>
      </c>
      <c r="B683" t="s">
        <v>13</v>
      </c>
      <c r="C683" t="s">
        <v>321</v>
      </c>
      <c r="D683" t="s">
        <v>14</v>
      </c>
      <c r="E683" t="s">
        <v>15</v>
      </c>
      <c r="F683">
        <v>19</v>
      </c>
      <c r="G683">
        <v>300</v>
      </c>
      <c r="H683">
        <v>1</v>
      </c>
      <c r="I683">
        <v>300</v>
      </c>
      <c r="J683">
        <v>7.48</v>
      </c>
      <c r="K683" s="2">
        <v>44991</v>
      </c>
      <c r="L683" t="s">
        <v>317</v>
      </c>
    </row>
    <row r="684" spans="1:12" x14ac:dyDescent="0.25">
      <c r="A684" t="s">
        <v>214</v>
      </c>
      <c r="B684" t="s">
        <v>13</v>
      </c>
      <c r="C684" t="s">
        <v>322</v>
      </c>
      <c r="D684" t="s">
        <v>30</v>
      </c>
      <c r="E684" t="s">
        <v>18</v>
      </c>
      <c r="F684">
        <v>49</v>
      </c>
      <c r="G684">
        <v>30</v>
      </c>
      <c r="H684">
        <v>1</v>
      </c>
      <c r="I684">
        <v>30</v>
      </c>
      <c r="J684">
        <v>6.7</v>
      </c>
      <c r="K684" s="2">
        <v>45053</v>
      </c>
      <c r="L684" t="s">
        <v>317</v>
      </c>
    </row>
    <row r="685" spans="1:12" x14ac:dyDescent="0.25">
      <c r="A685" t="s">
        <v>48</v>
      </c>
      <c r="B685" t="s">
        <v>20</v>
      </c>
      <c r="C685" t="s">
        <v>322</v>
      </c>
      <c r="D685" t="s">
        <v>30</v>
      </c>
      <c r="E685" t="s">
        <v>18</v>
      </c>
      <c r="F685">
        <v>49</v>
      </c>
      <c r="G685">
        <v>30</v>
      </c>
      <c r="H685">
        <v>5</v>
      </c>
      <c r="I685">
        <v>150</v>
      </c>
      <c r="J685">
        <v>14.88</v>
      </c>
      <c r="K685" s="2">
        <v>45267</v>
      </c>
      <c r="L685" t="s">
        <v>318</v>
      </c>
    </row>
    <row r="686" spans="1:12" x14ac:dyDescent="0.25">
      <c r="A686" t="s">
        <v>266</v>
      </c>
      <c r="B686" t="s">
        <v>20</v>
      </c>
      <c r="C686" t="s">
        <v>322</v>
      </c>
      <c r="D686" t="s">
        <v>40</v>
      </c>
      <c r="E686" t="s">
        <v>15</v>
      </c>
      <c r="F686">
        <v>55</v>
      </c>
      <c r="G686">
        <v>800</v>
      </c>
      <c r="H686">
        <v>4</v>
      </c>
      <c r="I686">
        <v>3200</v>
      </c>
      <c r="J686">
        <v>8.31</v>
      </c>
      <c r="K686" s="2">
        <v>45182</v>
      </c>
      <c r="L686" t="s">
        <v>316</v>
      </c>
    </row>
    <row r="687" spans="1:12" x14ac:dyDescent="0.25">
      <c r="A687" t="s">
        <v>38</v>
      </c>
      <c r="B687" t="s">
        <v>20</v>
      </c>
      <c r="C687" t="s">
        <v>319</v>
      </c>
      <c r="D687" t="s">
        <v>40</v>
      </c>
      <c r="E687" t="s">
        <v>15</v>
      </c>
      <c r="F687">
        <v>57</v>
      </c>
      <c r="G687">
        <v>800</v>
      </c>
      <c r="H687">
        <v>3</v>
      </c>
      <c r="I687">
        <v>2400</v>
      </c>
      <c r="J687">
        <v>19.61</v>
      </c>
      <c r="K687" s="2">
        <v>45291</v>
      </c>
      <c r="L687" t="s">
        <v>316</v>
      </c>
    </row>
    <row r="688" spans="1:12" x14ac:dyDescent="0.25">
      <c r="A688" t="s">
        <v>95</v>
      </c>
      <c r="B688" t="s">
        <v>20</v>
      </c>
      <c r="C688" t="s">
        <v>322</v>
      </c>
      <c r="D688" t="s">
        <v>29</v>
      </c>
      <c r="E688" t="s">
        <v>18</v>
      </c>
      <c r="F688">
        <v>33</v>
      </c>
      <c r="G688">
        <v>50</v>
      </c>
      <c r="H688">
        <v>2</v>
      </c>
      <c r="I688">
        <v>100</v>
      </c>
      <c r="J688">
        <v>16.28</v>
      </c>
      <c r="K688" s="2">
        <v>45036</v>
      </c>
      <c r="L688" t="s">
        <v>316</v>
      </c>
    </row>
    <row r="689" spans="1:12" x14ac:dyDescent="0.25">
      <c r="A689" t="s">
        <v>291</v>
      </c>
      <c r="B689" t="s">
        <v>20</v>
      </c>
      <c r="C689" t="s">
        <v>320</v>
      </c>
      <c r="D689" t="s">
        <v>14</v>
      </c>
      <c r="E689" t="s">
        <v>15</v>
      </c>
      <c r="F689">
        <v>53</v>
      </c>
      <c r="G689">
        <v>300</v>
      </c>
      <c r="H689">
        <v>4</v>
      </c>
      <c r="I689">
        <v>1200</v>
      </c>
      <c r="J689">
        <v>10.58</v>
      </c>
      <c r="K689" s="2">
        <v>45016</v>
      </c>
      <c r="L689" t="s">
        <v>319</v>
      </c>
    </row>
    <row r="690" spans="1:12" x14ac:dyDescent="0.25">
      <c r="A690" t="s">
        <v>282</v>
      </c>
      <c r="B690" t="s">
        <v>13</v>
      </c>
      <c r="C690" t="s">
        <v>323</v>
      </c>
      <c r="D690" t="s">
        <v>14</v>
      </c>
      <c r="E690" t="s">
        <v>15</v>
      </c>
      <c r="F690">
        <v>46</v>
      </c>
      <c r="G690">
        <v>300</v>
      </c>
      <c r="H690">
        <v>4</v>
      </c>
      <c r="I690">
        <v>1200</v>
      </c>
      <c r="J690">
        <v>19.38</v>
      </c>
      <c r="K690" s="2">
        <v>45250</v>
      </c>
      <c r="L690" t="s">
        <v>317</v>
      </c>
    </row>
    <row r="691" spans="1:12" x14ac:dyDescent="0.25">
      <c r="A691" t="s">
        <v>135</v>
      </c>
      <c r="B691" t="s">
        <v>20</v>
      </c>
      <c r="C691" t="s">
        <v>321</v>
      </c>
      <c r="D691" t="s">
        <v>30</v>
      </c>
      <c r="E691" t="s">
        <v>18</v>
      </c>
      <c r="F691">
        <v>54</v>
      </c>
      <c r="G691">
        <v>30</v>
      </c>
      <c r="H691">
        <v>3</v>
      </c>
      <c r="I691">
        <v>90</v>
      </c>
      <c r="J691">
        <v>14.77</v>
      </c>
      <c r="K691" s="2">
        <v>45269</v>
      </c>
      <c r="L691" t="s">
        <v>317</v>
      </c>
    </row>
    <row r="692" spans="1:12" x14ac:dyDescent="0.25">
      <c r="A692" t="s">
        <v>292</v>
      </c>
      <c r="B692" t="s">
        <v>13</v>
      </c>
      <c r="C692" t="s">
        <v>321</v>
      </c>
      <c r="D692" t="s">
        <v>25</v>
      </c>
      <c r="E692" t="s">
        <v>26</v>
      </c>
      <c r="F692">
        <v>41</v>
      </c>
      <c r="G692">
        <v>200</v>
      </c>
      <c r="H692">
        <v>1</v>
      </c>
      <c r="I692">
        <v>200</v>
      </c>
      <c r="J692">
        <v>13.72</v>
      </c>
      <c r="K692" s="2">
        <v>45083</v>
      </c>
      <c r="L692" t="s">
        <v>317</v>
      </c>
    </row>
    <row r="693" spans="1:12" x14ac:dyDescent="0.25">
      <c r="A693" t="s">
        <v>146</v>
      </c>
      <c r="B693" t="s">
        <v>13</v>
      </c>
      <c r="C693" t="s">
        <v>321</v>
      </c>
      <c r="D693" t="s">
        <v>30</v>
      </c>
      <c r="E693" t="s">
        <v>18</v>
      </c>
      <c r="F693">
        <v>68</v>
      </c>
      <c r="G693">
        <v>30</v>
      </c>
      <c r="H693">
        <v>5</v>
      </c>
      <c r="I693">
        <v>150</v>
      </c>
      <c r="J693">
        <v>16.66</v>
      </c>
      <c r="K693" s="2">
        <v>45272</v>
      </c>
      <c r="L693" t="s">
        <v>317</v>
      </c>
    </row>
    <row r="694" spans="1:12" x14ac:dyDescent="0.25">
      <c r="A694" t="s">
        <v>38</v>
      </c>
      <c r="B694" t="s">
        <v>13</v>
      </c>
      <c r="C694" t="s">
        <v>321</v>
      </c>
      <c r="D694" t="s">
        <v>23</v>
      </c>
      <c r="E694" t="s">
        <v>15</v>
      </c>
      <c r="F694">
        <v>57</v>
      </c>
      <c r="G694">
        <v>1500</v>
      </c>
      <c r="H694">
        <v>5</v>
      </c>
      <c r="I694">
        <v>7500</v>
      </c>
      <c r="J694">
        <v>8.19</v>
      </c>
      <c r="K694" s="2">
        <v>45137</v>
      </c>
      <c r="L694" t="s">
        <v>317</v>
      </c>
    </row>
    <row r="695" spans="1:12" x14ac:dyDescent="0.25">
      <c r="A695" t="s">
        <v>230</v>
      </c>
      <c r="B695" t="s">
        <v>13</v>
      </c>
      <c r="C695" t="s">
        <v>321</v>
      </c>
      <c r="D695" t="s">
        <v>17</v>
      </c>
      <c r="E695" t="s">
        <v>18</v>
      </c>
      <c r="F695">
        <v>42</v>
      </c>
      <c r="G695">
        <v>100</v>
      </c>
      <c r="H695">
        <v>5</v>
      </c>
      <c r="I695">
        <v>500</v>
      </c>
      <c r="J695">
        <v>5.43</v>
      </c>
      <c r="K695" s="2">
        <v>45223</v>
      </c>
      <c r="L695" t="s">
        <v>318</v>
      </c>
    </row>
    <row r="696" spans="1:12" x14ac:dyDescent="0.25">
      <c r="A696" t="s">
        <v>204</v>
      </c>
      <c r="B696" t="s">
        <v>13</v>
      </c>
      <c r="C696" t="s">
        <v>323</v>
      </c>
      <c r="D696" t="s">
        <v>25</v>
      </c>
      <c r="E696" t="s">
        <v>26</v>
      </c>
      <c r="F696">
        <v>69</v>
      </c>
      <c r="G696">
        <v>200</v>
      </c>
      <c r="H696">
        <v>5</v>
      </c>
      <c r="I696">
        <v>1000</v>
      </c>
      <c r="J696">
        <v>7.71</v>
      </c>
      <c r="K696" s="2">
        <v>45224</v>
      </c>
      <c r="L696" t="s">
        <v>317</v>
      </c>
    </row>
    <row r="697" spans="1:12" x14ac:dyDescent="0.25">
      <c r="A697" t="s">
        <v>293</v>
      </c>
      <c r="B697" t="s">
        <v>13</v>
      </c>
      <c r="C697" t="s">
        <v>322</v>
      </c>
      <c r="D697" t="s">
        <v>29</v>
      </c>
      <c r="E697" t="s">
        <v>18</v>
      </c>
      <c r="F697">
        <v>49</v>
      </c>
      <c r="G697">
        <v>50</v>
      </c>
      <c r="H697">
        <v>2</v>
      </c>
      <c r="I697">
        <v>100</v>
      </c>
      <c r="J697">
        <v>13.53</v>
      </c>
      <c r="K697" s="2">
        <v>45120</v>
      </c>
      <c r="L697" t="s">
        <v>317</v>
      </c>
    </row>
    <row r="698" spans="1:12" x14ac:dyDescent="0.25">
      <c r="A698" t="s">
        <v>53</v>
      </c>
      <c r="B698" t="s">
        <v>13</v>
      </c>
      <c r="C698" t="s">
        <v>320</v>
      </c>
      <c r="D698" t="s">
        <v>29</v>
      </c>
      <c r="E698" t="s">
        <v>18</v>
      </c>
      <c r="F698">
        <v>49</v>
      </c>
      <c r="G698">
        <v>50</v>
      </c>
      <c r="H698">
        <v>3</v>
      </c>
      <c r="I698">
        <v>150</v>
      </c>
      <c r="J698">
        <v>6.88</v>
      </c>
      <c r="K698" s="2">
        <v>45074</v>
      </c>
      <c r="L698" t="s">
        <v>316</v>
      </c>
    </row>
    <row r="699" spans="1:12" x14ac:dyDescent="0.25">
      <c r="A699" t="s">
        <v>88</v>
      </c>
      <c r="B699" t="s">
        <v>13</v>
      </c>
      <c r="C699" t="s">
        <v>322</v>
      </c>
      <c r="D699" t="s">
        <v>14</v>
      </c>
      <c r="E699" t="s">
        <v>15</v>
      </c>
      <c r="F699">
        <v>50</v>
      </c>
      <c r="G699">
        <v>300</v>
      </c>
      <c r="H699">
        <v>5</v>
      </c>
      <c r="I699">
        <v>1500</v>
      </c>
      <c r="J699">
        <v>8.08</v>
      </c>
      <c r="K699" s="2">
        <v>45294</v>
      </c>
      <c r="L699" t="s">
        <v>316</v>
      </c>
    </row>
    <row r="700" spans="1:12" x14ac:dyDescent="0.25">
      <c r="A700" t="s">
        <v>133</v>
      </c>
      <c r="B700" t="s">
        <v>20</v>
      </c>
      <c r="C700" t="s">
        <v>323</v>
      </c>
      <c r="D700" t="s">
        <v>14</v>
      </c>
      <c r="E700" t="s">
        <v>15</v>
      </c>
      <c r="F700">
        <v>41</v>
      </c>
      <c r="G700">
        <v>300</v>
      </c>
      <c r="H700">
        <v>1</v>
      </c>
      <c r="I700">
        <v>300</v>
      </c>
      <c r="J700">
        <v>16.71</v>
      </c>
      <c r="K700" s="2">
        <v>45210</v>
      </c>
      <c r="L700" t="s">
        <v>318</v>
      </c>
    </row>
    <row r="701" spans="1:12" x14ac:dyDescent="0.25">
      <c r="A701" t="s">
        <v>193</v>
      </c>
      <c r="B701" t="s">
        <v>20</v>
      </c>
      <c r="C701" t="s">
        <v>322</v>
      </c>
      <c r="D701" t="s">
        <v>14</v>
      </c>
      <c r="E701" t="s">
        <v>15</v>
      </c>
      <c r="F701">
        <v>49</v>
      </c>
      <c r="G701">
        <v>300</v>
      </c>
      <c r="H701">
        <v>3</v>
      </c>
      <c r="I701">
        <v>900</v>
      </c>
      <c r="J701">
        <v>14.38</v>
      </c>
      <c r="K701" s="2">
        <v>44985</v>
      </c>
      <c r="L701" t="s">
        <v>316</v>
      </c>
    </row>
    <row r="702" spans="1:12" x14ac:dyDescent="0.25">
      <c r="A702" t="s">
        <v>68</v>
      </c>
      <c r="B702" t="s">
        <v>13</v>
      </c>
      <c r="C702" t="s">
        <v>320</v>
      </c>
      <c r="D702" t="s">
        <v>25</v>
      </c>
      <c r="E702" t="s">
        <v>26</v>
      </c>
      <c r="F702">
        <v>44</v>
      </c>
      <c r="G702">
        <v>200</v>
      </c>
      <c r="H702">
        <v>3</v>
      </c>
      <c r="I702">
        <v>600</v>
      </c>
      <c r="J702">
        <v>11.82</v>
      </c>
      <c r="K702" s="2">
        <v>45034</v>
      </c>
      <c r="L702" t="s">
        <v>318</v>
      </c>
    </row>
    <row r="703" spans="1:12" x14ac:dyDescent="0.25">
      <c r="A703" t="s">
        <v>55</v>
      </c>
      <c r="B703" t="s">
        <v>13</v>
      </c>
      <c r="C703" t="s">
        <v>322</v>
      </c>
      <c r="D703" t="s">
        <v>40</v>
      </c>
      <c r="E703" t="s">
        <v>15</v>
      </c>
      <c r="F703">
        <v>58</v>
      </c>
      <c r="G703">
        <v>800</v>
      </c>
      <c r="H703">
        <v>2</v>
      </c>
      <c r="I703">
        <v>1600</v>
      </c>
      <c r="J703">
        <v>12.94</v>
      </c>
      <c r="K703" s="2">
        <v>45241</v>
      </c>
      <c r="L703" t="s">
        <v>316</v>
      </c>
    </row>
    <row r="704" spans="1:12" x14ac:dyDescent="0.25">
      <c r="A704" t="s">
        <v>63</v>
      </c>
      <c r="B704" t="s">
        <v>13</v>
      </c>
      <c r="C704" t="s">
        <v>321</v>
      </c>
      <c r="D704" t="s">
        <v>23</v>
      </c>
      <c r="E704" t="s">
        <v>15</v>
      </c>
      <c r="F704">
        <v>61</v>
      </c>
      <c r="G704">
        <v>3109.5606124866499</v>
      </c>
      <c r="H704">
        <v>1</v>
      </c>
      <c r="I704">
        <v>1500</v>
      </c>
      <c r="J704">
        <v>18.37</v>
      </c>
      <c r="K704" s="2">
        <v>45170</v>
      </c>
      <c r="L704" t="s">
        <v>317</v>
      </c>
    </row>
    <row r="705" spans="1:12" x14ac:dyDescent="0.25">
      <c r="A705" t="s">
        <v>102</v>
      </c>
      <c r="B705" t="s">
        <v>20</v>
      </c>
      <c r="C705" t="s">
        <v>321</v>
      </c>
      <c r="D705" t="s">
        <v>30</v>
      </c>
      <c r="E705" t="s">
        <v>18</v>
      </c>
      <c r="F705">
        <v>30</v>
      </c>
      <c r="G705">
        <v>30</v>
      </c>
      <c r="H705">
        <v>3</v>
      </c>
      <c r="I705">
        <v>90</v>
      </c>
      <c r="J705">
        <v>11.78</v>
      </c>
      <c r="K705" s="2">
        <v>45152</v>
      </c>
      <c r="L705" t="s">
        <v>316</v>
      </c>
    </row>
    <row r="706" spans="1:12" x14ac:dyDescent="0.25">
      <c r="A706" t="s">
        <v>110</v>
      </c>
      <c r="B706" t="s">
        <v>20</v>
      </c>
      <c r="C706" t="s">
        <v>323</v>
      </c>
      <c r="D706" t="s">
        <v>23</v>
      </c>
      <c r="E706" t="s">
        <v>15</v>
      </c>
      <c r="F706">
        <v>38</v>
      </c>
      <c r="G706">
        <v>1500</v>
      </c>
      <c r="H706">
        <v>3</v>
      </c>
      <c r="I706">
        <v>4500</v>
      </c>
      <c r="J706">
        <v>7.52</v>
      </c>
      <c r="K706" s="2">
        <v>44960</v>
      </c>
      <c r="L706" t="s">
        <v>318</v>
      </c>
    </row>
    <row r="707" spans="1:12" x14ac:dyDescent="0.25">
      <c r="A707" t="s">
        <v>294</v>
      </c>
      <c r="B707" t="s">
        <v>20</v>
      </c>
      <c r="C707" t="s">
        <v>319</v>
      </c>
      <c r="D707" t="s">
        <v>30</v>
      </c>
      <c r="E707" t="s">
        <v>18</v>
      </c>
      <c r="F707">
        <v>49</v>
      </c>
      <c r="G707">
        <v>30</v>
      </c>
      <c r="H707">
        <v>2</v>
      </c>
      <c r="I707">
        <v>60</v>
      </c>
      <c r="J707">
        <v>17.46</v>
      </c>
      <c r="K707" s="2">
        <v>44962</v>
      </c>
      <c r="L707" t="s">
        <v>318</v>
      </c>
    </row>
    <row r="708" spans="1:12" x14ac:dyDescent="0.25">
      <c r="A708" t="s">
        <v>294</v>
      </c>
      <c r="B708" t="s">
        <v>13</v>
      </c>
      <c r="C708" t="s">
        <v>322</v>
      </c>
      <c r="D708" t="s">
        <v>14</v>
      </c>
      <c r="E708" t="s">
        <v>15</v>
      </c>
      <c r="F708">
        <v>49</v>
      </c>
      <c r="G708">
        <v>300</v>
      </c>
      <c r="H708">
        <v>3</v>
      </c>
      <c r="I708">
        <v>900</v>
      </c>
      <c r="J708">
        <v>17.940000000000001</v>
      </c>
      <c r="K708" s="2">
        <v>44946</v>
      </c>
      <c r="L708" t="s">
        <v>319</v>
      </c>
    </row>
    <row r="709" spans="1:12" x14ac:dyDescent="0.25">
      <c r="A709" t="s">
        <v>295</v>
      </c>
      <c r="B709" t="s">
        <v>13</v>
      </c>
      <c r="C709" t="s">
        <v>321</v>
      </c>
      <c r="D709" t="s">
        <v>40</v>
      </c>
      <c r="E709" t="s">
        <v>15</v>
      </c>
      <c r="F709">
        <v>49</v>
      </c>
      <c r="G709">
        <v>800</v>
      </c>
      <c r="H709">
        <v>3</v>
      </c>
      <c r="I709">
        <v>2400</v>
      </c>
      <c r="J709">
        <v>10.5</v>
      </c>
      <c r="K709" s="2">
        <v>44975</v>
      </c>
      <c r="L709" t="s">
        <v>318</v>
      </c>
    </row>
    <row r="710" spans="1:12" x14ac:dyDescent="0.25">
      <c r="A710" t="s">
        <v>145</v>
      </c>
      <c r="B710" t="s">
        <v>20</v>
      </c>
      <c r="C710" t="s">
        <v>322</v>
      </c>
      <c r="D710" t="s">
        <v>14</v>
      </c>
      <c r="E710" t="s">
        <v>15</v>
      </c>
      <c r="F710">
        <v>30</v>
      </c>
      <c r="G710">
        <v>300</v>
      </c>
      <c r="H710">
        <v>1</v>
      </c>
      <c r="I710">
        <v>300</v>
      </c>
      <c r="J710">
        <v>14.91</v>
      </c>
      <c r="K710" s="2">
        <v>45136</v>
      </c>
      <c r="L710" t="s">
        <v>317</v>
      </c>
    </row>
    <row r="711" spans="1:12" x14ac:dyDescent="0.25">
      <c r="A711" t="s">
        <v>93</v>
      </c>
      <c r="B711" t="s">
        <v>20</v>
      </c>
      <c r="C711" t="s">
        <v>323</v>
      </c>
      <c r="D711" t="s">
        <v>23</v>
      </c>
      <c r="E711" t="s">
        <v>15</v>
      </c>
      <c r="F711">
        <v>47</v>
      </c>
      <c r="G711">
        <v>1500</v>
      </c>
      <c r="H711">
        <v>3</v>
      </c>
      <c r="I711">
        <v>4500</v>
      </c>
      <c r="J711">
        <v>15.5</v>
      </c>
      <c r="K711" s="2">
        <v>45132</v>
      </c>
      <c r="L711" t="s">
        <v>318</v>
      </c>
    </row>
    <row r="712" spans="1:12" x14ac:dyDescent="0.25">
      <c r="A712" t="s">
        <v>71</v>
      </c>
      <c r="B712" t="s">
        <v>13</v>
      </c>
      <c r="C712" t="s">
        <v>323</v>
      </c>
      <c r="D712" t="s">
        <v>14</v>
      </c>
      <c r="E712" t="s">
        <v>15</v>
      </c>
      <c r="F712">
        <v>68</v>
      </c>
      <c r="G712">
        <v>300</v>
      </c>
      <c r="H712">
        <v>3</v>
      </c>
      <c r="I712">
        <v>900</v>
      </c>
      <c r="J712">
        <v>16.440000000000001</v>
      </c>
      <c r="K712" s="2">
        <v>45276</v>
      </c>
      <c r="L712" t="s">
        <v>318</v>
      </c>
    </row>
    <row r="713" spans="1:12" x14ac:dyDescent="0.25">
      <c r="A713" t="s">
        <v>214</v>
      </c>
      <c r="B713" t="s">
        <v>13</v>
      </c>
      <c r="C713" t="s">
        <v>321</v>
      </c>
      <c r="D713" t="s">
        <v>23</v>
      </c>
      <c r="E713" t="s">
        <v>15</v>
      </c>
      <c r="F713">
        <v>67</v>
      </c>
      <c r="G713">
        <v>1500</v>
      </c>
      <c r="H713">
        <v>2</v>
      </c>
      <c r="I713">
        <v>3000</v>
      </c>
      <c r="J713">
        <v>13.04</v>
      </c>
      <c r="K713" s="2">
        <v>45015</v>
      </c>
      <c r="L713" t="s">
        <v>316</v>
      </c>
    </row>
    <row r="714" spans="1:12" x14ac:dyDescent="0.25">
      <c r="A714" t="s">
        <v>99</v>
      </c>
      <c r="B714" t="s">
        <v>13</v>
      </c>
      <c r="C714" t="s">
        <v>323</v>
      </c>
      <c r="D714" t="s">
        <v>17</v>
      </c>
      <c r="E714" t="s">
        <v>18</v>
      </c>
      <c r="F714">
        <v>19</v>
      </c>
      <c r="G714">
        <v>100</v>
      </c>
      <c r="H714">
        <v>2</v>
      </c>
      <c r="I714">
        <v>200</v>
      </c>
      <c r="J714">
        <v>14.11</v>
      </c>
      <c r="K714" s="2">
        <v>44948</v>
      </c>
      <c r="L714" t="s">
        <v>316</v>
      </c>
    </row>
    <row r="715" spans="1:12" x14ac:dyDescent="0.25">
      <c r="A715" t="s">
        <v>65</v>
      </c>
      <c r="B715" t="s">
        <v>13</v>
      </c>
      <c r="C715" t="s">
        <v>320</v>
      </c>
      <c r="D715" t="s">
        <v>14</v>
      </c>
      <c r="E715" t="s">
        <v>15</v>
      </c>
      <c r="F715">
        <v>38</v>
      </c>
      <c r="G715">
        <v>300</v>
      </c>
      <c r="H715">
        <v>2</v>
      </c>
      <c r="I715">
        <v>600</v>
      </c>
      <c r="J715">
        <v>5.79</v>
      </c>
      <c r="K715" s="2">
        <v>44945</v>
      </c>
      <c r="L715" t="s">
        <v>316</v>
      </c>
    </row>
    <row r="716" spans="1:12" x14ac:dyDescent="0.25">
      <c r="A716" t="s">
        <v>236</v>
      </c>
      <c r="B716" t="s">
        <v>13</v>
      </c>
      <c r="C716" t="s">
        <v>322</v>
      </c>
      <c r="D716" t="s">
        <v>25</v>
      </c>
      <c r="E716" t="s">
        <v>26</v>
      </c>
      <c r="F716">
        <v>57</v>
      </c>
      <c r="G716">
        <v>200</v>
      </c>
      <c r="H716">
        <v>4</v>
      </c>
      <c r="I716">
        <v>800</v>
      </c>
      <c r="J716">
        <v>13.93</v>
      </c>
      <c r="K716" s="2">
        <v>45273</v>
      </c>
      <c r="L716" t="s">
        <v>318</v>
      </c>
    </row>
    <row r="717" spans="1:12" x14ac:dyDescent="0.25">
      <c r="A717" t="s">
        <v>70</v>
      </c>
      <c r="B717" t="s">
        <v>13</v>
      </c>
      <c r="C717" t="s">
        <v>322</v>
      </c>
      <c r="D717" t="s">
        <v>40</v>
      </c>
      <c r="E717" t="s">
        <v>15</v>
      </c>
      <c r="F717">
        <v>23</v>
      </c>
      <c r="G717">
        <v>800</v>
      </c>
      <c r="H717">
        <v>1</v>
      </c>
      <c r="I717">
        <v>800</v>
      </c>
      <c r="J717">
        <v>6.7</v>
      </c>
      <c r="K717" s="2">
        <v>45113</v>
      </c>
      <c r="L717" t="s">
        <v>319</v>
      </c>
    </row>
    <row r="718" spans="1:12" x14ac:dyDescent="0.25">
      <c r="A718" t="s">
        <v>186</v>
      </c>
      <c r="B718" t="s">
        <v>20</v>
      </c>
      <c r="C718" t="s">
        <v>321</v>
      </c>
      <c r="D718" t="s">
        <v>14</v>
      </c>
      <c r="E718" t="s">
        <v>15</v>
      </c>
      <c r="F718">
        <v>40</v>
      </c>
      <c r="G718">
        <v>300</v>
      </c>
      <c r="H718">
        <v>1</v>
      </c>
      <c r="I718">
        <v>300</v>
      </c>
      <c r="J718">
        <v>11.65</v>
      </c>
      <c r="K718" s="2">
        <v>45129</v>
      </c>
      <c r="L718" t="s">
        <v>318</v>
      </c>
    </row>
    <row r="719" spans="1:12" x14ac:dyDescent="0.25">
      <c r="A719" t="s">
        <v>165</v>
      </c>
      <c r="B719" t="s">
        <v>20</v>
      </c>
      <c r="C719" t="s">
        <v>320</v>
      </c>
      <c r="D719" t="s">
        <v>29</v>
      </c>
      <c r="E719" t="s">
        <v>18</v>
      </c>
      <c r="F719">
        <v>66</v>
      </c>
      <c r="G719">
        <v>50</v>
      </c>
      <c r="H719">
        <v>4</v>
      </c>
      <c r="I719">
        <v>200</v>
      </c>
      <c r="J719">
        <v>14.49</v>
      </c>
      <c r="K719" s="2">
        <v>45083</v>
      </c>
      <c r="L719" t="s">
        <v>318</v>
      </c>
    </row>
    <row r="720" spans="1:12" x14ac:dyDescent="0.25">
      <c r="A720" t="s">
        <v>184</v>
      </c>
      <c r="B720" t="s">
        <v>13</v>
      </c>
      <c r="C720" t="s">
        <v>320</v>
      </c>
      <c r="D720" t="s">
        <v>14</v>
      </c>
      <c r="E720" t="s">
        <v>15</v>
      </c>
      <c r="F720">
        <v>51</v>
      </c>
      <c r="G720">
        <v>300</v>
      </c>
      <c r="H720">
        <v>5</v>
      </c>
      <c r="I720">
        <v>1500</v>
      </c>
      <c r="J720">
        <v>14.23</v>
      </c>
      <c r="K720" s="2">
        <v>45141</v>
      </c>
      <c r="L720" t="s">
        <v>317</v>
      </c>
    </row>
    <row r="721" spans="1:12" x14ac:dyDescent="0.25">
      <c r="A721" t="s">
        <v>173</v>
      </c>
      <c r="B721" t="s">
        <v>13</v>
      </c>
      <c r="C721" t="s">
        <v>320</v>
      </c>
      <c r="D721" t="s">
        <v>14</v>
      </c>
      <c r="E721" t="s">
        <v>15</v>
      </c>
      <c r="F721">
        <v>60</v>
      </c>
      <c r="G721">
        <v>300</v>
      </c>
      <c r="H721">
        <v>2</v>
      </c>
      <c r="I721">
        <v>600</v>
      </c>
      <c r="J721">
        <v>15.88</v>
      </c>
      <c r="K721" s="2">
        <v>44938</v>
      </c>
      <c r="L721" t="s">
        <v>317</v>
      </c>
    </row>
    <row r="722" spans="1:12" x14ac:dyDescent="0.25">
      <c r="A722" t="s">
        <v>222</v>
      </c>
      <c r="B722" t="s">
        <v>13</v>
      </c>
      <c r="C722" t="s">
        <v>323</v>
      </c>
      <c r="D722" t="s">
        <v>29</v>
      </c>
      <c r="E722" t="s">
        <v>18</v>
      </c>
      <c r="F722">
        <v>67</v>
      </c>
      <c r="G722">
        <v>50</v>
      </c>
      <c r="H722">
        <v>1</v>
      </c>
      <c r="I722">
        <v>50</v>
      </c>
      <c r="J722">
        <v>19.41</v>
      </c>
      <c r="K722" s="2">
        <v>45136</v>
      </c>
      <c r="L722" t="s">
        <v>317</v>
      </c>
    </row>
    <row r="723" spans="1:12" x14ac:dyDescent="0.25">
      <c r="A723" t="s">
        <v>193</v>
      </c>
      <c r="B723" t="s">
        <v>13</v>
      </c>
      <c r="C723" t="s">
        <v>319</v>
      </c>
      <c r="D723" t="s">
        <v>40</v>
      </c>
      <c r="E723" t="s">
        <v>15</v>
      </c>
      <c r="F723">
        <v>52</v>
      </c>
      <c r="G723">
        <v>800</v>
      </c>
      <c r="H723">
        <v>4</v>
      </c>
      <c r="I723">
        <v>3200</v>
      </c>
      <c r="J723">
        <v>15.79</v>
      </c>
      <c r="K723" s="2">
        <v>45158</v>
      </c>
      <c r="L723" t="s">
        <v>317</v>
      </c>
    </row>
    <row r="724" spans="1:12" x14ac:dyDescent="0.25">
      <c r="A724" t="s">
        <v>90</v>
      </c>
      <c r="B724" t="s">
        <v>13</v>
      </c>
      <c r="C724" t="s">
        <v>321</v>
      </c>
      <c r="D724" t="s">
        <v>30</v>
      </c>
      <c r="E724" t="s">
        <v>18</v>
      </c>
      <c r="F724">
        <v>50</v>
      </c>
      <c r="G724">
        <v>30</v>
      </c>
      <c r="H724">
        <v>4</v>
      </c>
      <c r="I724">
        <v>120</v>
      </c>
      <c r="J724">
        <v>17.84</v>
      </c>
      <c r="K724" s="2">
        <v>44994</v>
      </c>
      <c r="L724" t="s">
        <v>316</v>
      </c>
    </row>
    <row r="725" spans="1:12" x14ac:dyDescent="0.25">
      <c r="A725" t="s">
        <v>64</v>
      </c>
      <c r="B725" t="s">
        <v>13</v>
      </c>
      <c r="C725" t="s">
        <v>322</v>
      </c>
      <c r="D725" t="s">
        <v>25</v>
      </c>
      <c r="E725" t="s">
        <v>26</v>
      </c>
      <c r="F725">
        <v>19</v>
      </c>
      <c r="G725">
        <v>200</v>
      </c>
      <c r="H725">
        <v>3</v>
      </c>
      <c r="I725">
        <v>600</v>
      </c>
      <c r="J725">
        <v>10.07</v>
      </c>
      <c r="K725" s="2">
        <v>45248</v>
      </c>
      <c r="L725" t="s">
        <v>317</v>
      </c>
    </row>
    <row r="726" spans="1:12" x14ac:dyDescent="0.25">
      <c r="A726" t="s">
        <v>22</v>
      </c>
      <c r="B726" t="s">
        <v>13</v>
      </c>
      <c r="C726" t="s">
        <v>321</v>
      </c>
      <c r="D726" t="s">
        <v>30</v>
      </c>
      <c r="E726" t="s">
        <v>18</v>
      </c>
      <c r="F726">
        <v>65</v>
      </c>
      <c r="G726">
        <v>30</v>
      </c>
      <c r="H726">
        <v>5</v>
      </c>
      <c r="I726">
        <v>150</v>
      </c>
      <c r="J726">
        <v>15.11</v>
      </c>
      <c r="K726" s="2">
        <v>45169</v>
      </c>
      <c r="L726" t="s">
        <v>318</v>
      </c>
    </row>
    <row r="727" spans="1:12" x14ac:dyDescent="0.25">
      <c r="A727" t="s">
        <v>83</v>
      </c>
      <c r="B727" t="s">
        <v>20</v>
      </c>
      <c r="C727" t="s">
        <v>323</v>
      </c>
      <c r="D727" t="s">
        <v>14</v>
      </c>
      <c r="E727" t="s">
        <v>15</v>
      </c>
      <c r="F727">
        <v>36</v>
      </c>
      <c r="G727">
        <v>300</v>
      </c>
      <c r="H727">
        <v>4</v>
      </c>
      <c r="I727">
        <v>1200</v>
      </c>
      <c r="J727">
        <v>11.23</v>
      </c>
      <c r="K727" s="2">
        <v>45155</v>
      </c>
      <c r="L727" t="s">
        <v>317</v>
      </c>
    </row>
    <row r="728" spans="1:12" x14ac:dyDescent="0.25">
      <c r="A728" t="s">
        <v>251</v>
      </c>
      <c r="B728" t="s">
        <v>13</v>
      </c>
      <c r="C728" t="s">
        <v>322</v>
      </c>
      <c r="D728" t="s">
        <v>29</v>
      </c>
      <c r="E728" t="s">
        <v>18</v>
      </c>
      <c r="F728">
        <v>51</v>
      </c>
      <c r="G728">
        <v>50</v>
      </c>
      <c r="H728">
        <v>5</v>
      </c>
      <c r="I728">
        <v>250</v>
      </c>
      <c r="J728">
        <v>15.38</v>
      </c>
      <c r="K728" s="2">
        <v>45145</v>
      </c>
      <c r="L728" t="s">
        <v>316</v>
      </c>
    </row>
    <row r="729" spans="1:12" x14ac:dyDescent="0.25">
      <c r="A729" t="s">
        <v>296</v>
      </c>
      <c r="B729" t="s">
        <v>20</v>
      </c>
      <c r="C729" t="s">
        <v>323</v>
      </c>
      <c r="D729" t="s">
        <v>29</v>
      </c>
      <c r="E729" t="s">
        <v>18</v>
      </c>
      <c r="F729">
        <v>65</v>
      </c>
      <c r="G729">
        <v>50</v>
      </c>
      <c r="H729">
        <v>3</v>
      </c>
      <c r="I729">
        <v>150</v>
      </c>
      <c r="J729">
        <v>10.84</v>
      </c>
      <c r="K729" s="2">
        <v>45247</v>
      </c>
      <c r="L729" t="s">
        <v>319</v>
      </c>
    </row>
    <row r="730" spans="1:12" x14ac:dyDescent="0.25">
      <c r="A730" t="s">
        <v>238</v>
      </c>
      <c r="B730" t="s">
        <v>20</v>
      </c>
      <c r="C730" t="s">
        <v>322</v>
      </c>
      <c r="D730" t="s">
        <v>14</v>
      </c>
      <c r="E730" t="s">
        <v>15</v>
      </c>
      <c r="F730">
        <v>58</v>
      </c>
      <c r="G730">
        <v>300</v>
      </c>
      <c r="H730">
        <v>4</v>
      </c>
      <c r="I730">
        <v>1200</v>
      </c>
      <c r="J730">
        <v>13.4</v>
      </c>
      <c r="K730" s="2">
        <v>45016</v>
      </c>
      <c r="L730" t="s">
        <v>318</v>
      </c>
    </row>
    <row r="731" spans="1:12" x14ac:dyDescent="0.25">
      <c r="A731" t="s">
        <v>290</v>
      </c>
      <c r="B731" t="s">
        <v>20</v>
      </c>
      <c r="C731" t="s">
        <v>322</v>
      </c>
      <c r="D731" t="s">
        <v>17</v>
      </c>
      <c r="E731" t="s">
        <v>18</v>
      </c>
      <c r="F731">
        <v>22</v>
      </c>
      <c r="G731">
        <v>100</v>
      </c>
      <c r="H731">
        <v>3</v>
      </c>
      <c r="I731">
        <v>300</v>
      </c>
      <c r="J731">
        <v>7.7</v>
      </c>
      <c r="K731" s="2">
        <v>45127</v>
      </c>
      <c r="L731" t="s">
        <v>318</v>
      </c>
    </row>
    <row r="732" spans="1:12" x14ac:dyDescent="0.25">
      <c r="A732" t="s">
        <v>170</v>
      </c>
      <c r="B732" t="s">
        <v>13</v>
      </c>
      <c r="C732" t="s">
        <v>320</v>
      </c>
      <c r="D732" t="s">
        <v>30</v>
      </c>
      <c r="E732" t="s">
        <v>18</v>
      </c>
      <c r="F732">
        <v>57</v>
      </c>
      <c r="G732">
        <v>30</v>
      </c>
      <c r="H732">
        <v>4</v>
      </c>
      <c r="I732">
        <v>120</v>
      </c>
      <c r="J732">
        <v>15.44</v>
      </c>
      <c r="K732" s="2">
        <v>45089</v>
      </c>
      <c r="L732" t="s">
        <v>318</v>
      </c>
    </row>
    <row r="733" spans="1:12" x14ac:dyDescent="0.25">
      <c r="A733" t="s">
        <v>289</v>
      </c>
      <c r="B733" t="s">
        <v>20</v>
      </c>
      <c r="C733" t="s">
        <v>322</v>
      </c>
      <c r="D733" t="s">
        <v>17</v>
      </c>
      <c r="E733" t="s">
        <v>18</v>
      </c>
      <c r="F733">
        <v>67</v>
      </c>
      <c r="G733">
        <v>100</v>
      </c>
      <c r="H733">
        <v>5</v>
      </c>
      <c r="I733">
        <v>500</v>
      </c>
      <c r="J733">
        <v>8.74</v>
      </c>
      <c r="K733" s="2">
        <v>45085</v>
      </c>
      <c r="L733" t="s">
        <v>316</v>
      </c>
    </row>
    <row r="734" spans="1:12" x14ac:dyDescent="0.25">
      <c r="A734" t="s">
        <v>272</v>
      </c>
      <c r="B734" t="s">
        <v>13</v>
      </c>
      <c r="C734" t="s">
        <v>320</v>
      </c>
      <c r="D734" t="s">
        <v>17</v>
      </c>
      <c r="E734" t="s">
        <v>18</v>
      </c>
      <c r="F734">
        <v>49</v>
      </c>
      <c r="G734">
        <v>100</v>
      </c>
      <c r="H734">
        <v>4</v>
      </c>
      <c r="I734">
        <v>400</v>
      </c>
      <c r="J734">
        <v>14.68</v>
      </c>
      <c r="K734" s="2">
        <v>45268</v>
      </c>
      <c r="L734" t="s">
        <v>317</v>
      </c>
    </row>
    <row r="735" spans="1:12" x14ac:dyDescent="0.25">
      <c r="A735" t="s">
        <v>297</v>
      </c>
      <c r="B735" t="s">
        <v>20</v>
      </c>
      <c r="C735" t="s">
        <v>319</v>
      </c>
      <c r="D735" t="s">
        <v>23</v>
      </c>
      <c r="E735" t="s">
        <v>15</v>
      </c>
      <c r="F735">
        <v>44</v>
      </c>
      <c r="G735">
        <v>1500</v>
      </c>
      <c r="H735">
        <v>5</v>
      </c>
      <c r="I735">
        <v>7500</v>
      </c>
      <c r="J735">
        <v>18.3</v>
      </c>
      <c r="K735" s="2">
        <v>45237</v>
      </c>
      <c r="L735" t="s">
        <v>316</v>
      </c>
    </row>
    <row r="736" spans="1:12" x14ac:dyDescent="0.25">
      <c r="A736" t="s">
        <v>35</v>
      </c>
      <c r="B736" t="s">
        <v>13</v>
      </c>
      <c r="C736" t="s">
        <v>323</v>
      </c>
      <c r="D736" t="s">
        <v>25</v>
      </c>
      <c r="E736" t="s">
        <v>26</v>
      </c>
      <c r="F736">
        <v>60</v>
      </c>
      <c r="G736">
        <v>200</v>
      </c>
      <c r="H736">
        <v>1</v>
      </c>
      <c r="I736">
        <v>200</v>
      </c>
      <c r="J736">
        <v>10.14</v>
      </c>
      <c r="K736" s="2">
        <v>45262</v>
      </c>
      <c r="L736" t="s">
        <v>319</v>
      </c>
    </row>
    <row r="737" spans="1:12" x14ac:dyDescent="0.25">
      <c r="A737" t="s">
        <v>187</v>
      </c>
      <c r="B737" t="s">
        <v>20</v>
      </c>
      <c r="C737" t="s">
        <v>321</v>
      </c>
      <c r="D737" t="s">
        <v>29</v>
      </c>
      <c r="E737" t="s">
        <v>18</v>
      </c>
      <c r="F737">
        <v>48</v>
      </c>
      <c r="G737">
        <v>50</v>
      </c>
      <c r="H737">
        <v>3</v>
      </c>
      <c r="I737">
        <v>150</v>
      </c>
      <c r="J737">
        <v>6.42</v>
      </c>
      <c r="K737" s="2">
        <v>45230</v>
      </c>
      <c r="L737" t="s">
        <v>317</v>
      </c>
    </row>
    <row r="738" spans="1:12" x14ac:dyDescent="0.25">
      <c r="A738" t="s">
        <v>277</v>
      </c>
      <c r="B738" t="s">
        <v>20</v>
      </c>
      <c r="C738" t="s">
        <v>322</v>
      </c>
      <c r="D738" t="s">
        <v>14</v>
      </c>
      <c r="E738" t="s">
        <v>15</v>
      </c>
      <c r="F738">
        <v>29</v>
      </c>
      <c r="G738">
        <v>300</v>
      </c>
      <c r="H738">
        <v>5</v>
      </c>
      <c r="I738">
        <v>1500</v>
      </c>
      <c r="J738">
        <v>18.18</v>
      </c>
      <c r="K738" s="2">
        <v>45175</v>
      </c>
      <c r="L738" t="s">
        <v>317</v>
      </c>
    </row>
    <row r="739" spans="1:12" x14ac:dyDescent="0.25">
      <c r="A739" t="s">
        <v>138</v>
      </c>
      <c r="B739" t="s">
        <v>20</v>
      </c>
      <c r="C739" t="s">
        <v>322</v>
      </c>
      <c r="D739" t="s">
        <v>29</v>
      </c>
      <c r="E739" t="s">
        <v>18</v>
      </c>
      <c r="F739">
        <v>49</v>
      </c>
      <c r="G739">
        <v>50</v>
      </c>
      <c r="H739">
        <v>3</v>
      </c>
      <c r="I739">
        <v>150</v>
      </c>
      <c r="J739">
        <v>5.62</v>
      </c>
      <c r="K739" s="2">
        <v>44990</v>
      </c>
      <c r="L739" t="s">
        <v>317</v>
      </c>
    </row>
    <row r="740" spans="1:12" x14ac:dyDescent="0.25">
      <c r="A740" t="s">
        <v>298</v>
      </c>
      <c r="B740" t="s">
        <v>20</v>
      </c>
      <c r="C740" t="s">
        <v>322</v>
      </c>
      <c r="D740" t="s">
        <v>40</v>
      </c>
      <c r="E740" t="s">
        <v>15</v>
      </c>
      <c r="F740">
        <v>35</v>
      </c>
      <c r="G740">
        <v>800</v>
      </c>
      <c r="H740">
        <v>1</v>
      </c>
      <c r="I740">
        <v>800</v>
      </c>
      <c r="J740">
        <v>17.3</v>
      </c>
      <c r="K740" s="2">
        <v>45053</v>
      </c>
      <c r="L740" t="s">
        <v>317</v>
      </c>
    </row>
    <row r="741" spans="1:12" x14ac:dyDescent="0.25">
      <c r="A741" t="s">
        <v>297</v>
      </c>
      <c r="B741" t="s">
        <v>13</v>
      </c>
      <c r="C741" t="s">
        <v>323</v>
      </c>
      <c r="D741" t="s">
        <v>30</v>
      </c>
      <c r="E741" t="s">
        <v>18</v>
      </c>
      <c r="F741">
        <v>44</v>
      </c>
      <c r="G741">
        <v>30</v>
      </c>
      <c r="H741">
        <v>3</v>
      </c>
      <c r="I741">
        <v>90</v>
      </c>
      <c r="J741">
        <v>14.91</v>
      </c>
      <c r="K741" s="2">
        <v>45219</v>
      </c>
      <c r="L741" t="s">
        <v>317</v>
      </c>
    </row>
    <row r="742" spans="1:12" x14ac:dyDescent="0.25">
      <c r="A742" t="s">
        <v>252</v>
      </c>
      <c r="B742" t="s">
        <v>20</v>
      </c>
      <c r="C742" t="s">
        <v>322</v>
      </c>
      <c r="D742" t="s">
        <v>25</v>
      </c>
      <c r="E742" t="s">
        <v>26</v>
      </c>
      <c r="F742">
        <v>55</v>
      </c>
      <c r="G742">
        <v>200</v>
      </c>
      <c r="H742">
        <v>4</v>
      </c>
      <c r="I742">
        <v>800</v>
      </c>
      <c r="J742">
        <v>7.31</v>
      </c>
      <c r="K742" s="2">
        <v>45001</v>
      </c>
      <c r="L742" t="s">
        <v>316</v>
      </c>
    </row>
    <row r="743" spans="1:12" x14ac:dyDescent="0.25">
      <c r="A743" t="s">
        <v>230</v>
      </c>
      <c r="B743" t="s">
        <v>20</v>
      </c>
      <c r="C743" t="s">
        <v>321</v>
      </c>
      <c r="D743" t="s">
        <v>29</v>
      </c>
      <c r="E743" t="s">
        <v>18</v>
      </c>
      <c r="F743">
        <v>42</v>
      </c>
      <c r="G743">
        <v>50</v>
      </c>
      <c r="H743">
        <v>1</v>
      </c>
      <c r="I743">
        <v>50</v>
      </c>
      <c r="J743">
        <v>8.0500000000000007</v>
      </c>
      <c r="K743" s="2">
        <v>45120</v>
      </c>
      <c r="L743" t="s">
        <v>318</v>
      </c>
    </row>
    <row r="744" spans="1:12" x14ac:dyDescent="0.25">
      <c r="A744" t="s">
        <v>28</v>
      </c>
      <c r="B744" t="s">
        <v>20</v>
      </c>
      <c r="C744" t="s">
        <v>320</v>
      </c>
      <c r="D744" t="s">
        <v>23</v>
      </c>
      <c r="E744" t="s">
        <v>15</v>
      </c>
      <c r="F744">
        <v>18</v>
      </c>
      <c r="G744">
        <v>1500</v>
      </c>
      <c r="H744">
        <v>1</v>
      </c>
      <c r="I744">
        <v>1500</v>
      </c>
      <c r="J744">
        <v>5.29</v>
      </c>
      <c r="K744" s="2">
        <v>44947</v>
      </c>
      <c r="L744" t="s">
        <v>316</v>
      </c>
    </row>
    <row r="745" spans="1:12" x14ac:dyDescent="0.25">
      <c r="A745" t="s">
        <v>105</v>
      </c>
      <c r="B745" t="s">
        <v>13</v>
      </c>
      <c r="C745" t="s">
        <v>321</v>
      </c>
      <c r="D745" t="s">
        <v>23</v>
      </c>
      <c r="E745" t="s">
        <v>15</v>
      </c>
      <c r="F745">
        <v>18</v>
      </c>
      <c r="G745">
        <v>1500</v>
      </c>
      <c r="H745">
        <v>3</v>
      </c>
      <c r="I745">
        <v>4500</v>
      </c>
      <c r="J745">
        <v>19.41</v>
      </c>
      <c r="K745" s="2">
        <v>45157</v>
      </c>
      <c r="L745" t="s">
        <v>318</v>
      </c>
    </row>
    <row r="746" spans="1:12" x14ac:dyDescent="0.25">
      <c r="A746" t="s">
        <v>138</v>
      </c>
      <c r="B746" t="s">
        <v>20</v>
      </c>
      <c r="C746" t="s">
        <v>320</v>
      </c>
      <c r="D746" t="s">
        <v>14</v>
      </c>
      <c r="E746" t="s">
        <v>15</v>
      </c>
      <c r="F746">
        <v>44</v>
      </c>
      <c r="G746">
        <v>300</v>
      </c>
      <c r="H746">
        <v>2</v>
      </c>
      <c r="I746">
        <v>600</v>
      </c>
      <c r="J746">
        <v>19.97</v>
      </c>
      <c r="K746" s="2">
        <v>45199</v>
      </c>
      <c r="L746" t="s">
        <v>317</v>
      </c>
    </row>
    <row r="747" spans="1:12" x14ac:dyDescent="0.25">
      <c r="A747" t="s">
        <v>284</v>
      </c>
      <c r="B747" t="s">
        <v>20</v>
      </c>
      <c r="C747" t="s">
        <v>322</v>
      </c>
      <c r="D747" t="s">
        <v>25</v>
      </c>
      <c r="E747" t="s">
        <v>26</v>
      </c>
      <c r="F747">
        <v>49</v>
      </c>
      <c r="G747">
        <v>200</v>
      </c>
      <c r="H747">
        <v>5</v>
      </c>
      <c r="I747">
        <v>1000</v>
      </c>
      <c r="J747">
        <v>9.18</v>
      </c>
      <c r="K747" s="2">
        <v>45230</v>
      </c>
      <c r="L747" t="s">
        <v>317</v>
      </c>
    </row>
    <row r="748" spans="1:12" x14ac:dyDescent="0.25">
      <c r="A748" t="s">
        <v>103</v>
      </c>
      <c r="B748" t="s">
        <v>13</v>
      </c>
      <c r="C748" t="s">
        <v>321</v>
      </c>
      <c r="D748" t="s">
        <v>29</v>
      </c>
      <c r="E748" t="s">
        <v>18</v>
      </c>
      <c r="F748">
        <v>63</v>
      </c>
      <c r="G748">
        <v>50</v>
      </c>
      <c r="H748">
        <v>2</v>
      </c>
      <c r="I748">
        <v>100</v>
      </c>
      <c r="J748">
        <v>6.28</v>
      </c>
      <c r="K748" s="2">
        <v>45006</v>
      </c>
      <c r="L748" t="s">
        <v>316</v>
      </c>
    </row>
    <row r="749" spans="1:12" x14ac:dyDescent="0.25">
      <c r="A749" t="s">
        <v>256</v>
      </c>
      <c r="B749" t="s">
        <v>20</v>
      </c>
      <c r="C749" t="s">
        <v>323</v>
      </c>
      <c r="D749" t="s">
        <v>29</v>
      </c>
      <c r="E749" t="s">
        <v>18</v>
      </c>
      <c r="F749">
        <v>36</v>
      </c>
      <c r="G749">
        <v>50</v>
      </c>
      <c r="H749">
        <v>4</v>
      </c>
      <c r="I749">
        <v>200</v>
      </c>
      <c r="J749">
        <v>9.3000000000000007</v>
      </c>
      <c r="K749" s="2">
        <v>45116</v>
      </c>
      <c r="L749" t="s">
        <v>316</v>
      </c>
    </row>
    <row r="750" spans="1:12" x14ac:dyDescent="0.25">
      <c r="A750" t="s">
        <v>108</v>
      </c>
      <c r="B750" t="s">
        <v>13</v>
      </c>
      <c r="C750" t="s">
        <v>321</v>
      </c>
      <c r="D750" t="s">
        <v>29</v>
      </c>
      <c r="E750" t="s">
        <v>18</v>
      </c>
      <c r="F750">
        <v>25</v>
      </c>
      <c r="G750">
        <v>50</v>
      </c>
      <c r="H750">
        <v>1</v>
      </c>
      <c r="I750">
        <v>50</v>
      </c>
      <c r="J750">
        <v>18.71</v>
      </c>
      <c r="K750" s="2">
        <v>45267</v>
      </c>
      <c r="L750" t="s">
        <v>317</v>
      </c>
    </row>
    <row r="751" spans="1:12" x14ac:dyDescent="0.25">
      <c r="A751" t="s">
        <v>54</v>
      </c>
      <c r="B751" t="s">
        <v>20</v>
      </c>
      <c r="C751" t="s">
        <v>320</v>
      </c>
      <c r="D751" t="s">
        <v>17</v>
      </c>
      <c r="E751" t="s">
        <v>18</v>
      </c>
      <c r="F751">
        <v>49</v>
      </c>
      <c r="G751">
        <v>100</v>
      </c>
      <c r="H751">
        <v>5</v>
      </c>
      <c r="I751">
        <v>500</v>
      </c>
      <c r="J751">
        <v>14.28</v>
      </c>
      <c r="K751" s="2">
        <v>45079</v>
      </c>
      <c r="L751" t="s">
        <v>316</v>
      </c>
    </row>
    <row r="752" spans="1:12" x14ac:dyDescent="0.25">
      <c r="A752" t="s">
        <v>32</v>
      </c>
      <c r="B752" t="s">
        <v>13</v>
      </c>
      <c r="C752" t="s">
        <v>321</v>
      </c>
      <c r="D752" t="s">
        <v>40</v>
      </c>
      <c r="E752" t="s">
        <v>15</v>
      </c>
      <c r="F752">
        <v>49</v>
      </c>
      <c r="G752">
        <v>800</v>
      </c>
      <c r="H752">
        <v>1</v>
      </c>
      <c r="I752">
        <v>800</v>
      </c>
      <c r="J752">
        <v>12.3</v>
      </c>
      <c r="K752" s="2">
        <v>45076</v>
      </c>
      <c r="L752" t="s">
        <v>318</v>
      </c>
    </row>
    <row r="753" spans="1:12" x14ac:dyDescent="0.25">
      <c r="A753" t="s">
        <v>52</v>
      </c>
      <c r="B753" t="s">
        <v>13</v>
      </c>
      <c r="C753" t="s">
        <v>319</v>
      </c>
      <c r="D753" t="s">
        <v>40</v>
      </c>
      <c r="E753" t="s">
        <v>15</v>
      </c>
      <c r="F753">
        <v>57</v>
      </c>
      <c r="G753">
        <v>800</v>
      </c>
      <c r="H753">
        <v>2</v>
      </c>
      <c r="I753">
        <v>1600</v>
      </c>
      <c r="J753">
        <v>19.87</v>
      </c>
      <c r="K753" s="2">
        <v>45078</v>
      </c>
      <c r="L753" t="s">
        <v>316</v>
      </c>
    </row>
    <row r="754" spans="1:12" x14ac:dyDescent="0.25">
      <c r="A754" t="s">
        <v>36</v>
      </c>
      <c r="B754" t="s">
        <v>20</v>
      </c>
      <c r="C754" t="s">
        <v>322</v>
      </c>
      <c r="D754" t="s">
        <v>23</v>
      </c>
      <c r="E754" t="s">
        <v>15</v>
      </c>
      <c r="F754">
        <v>66</v>
      </c>
      <c r="G754">
        <v>1500</v>
      </c>
      <c r="H754">
        <v>3</v>
      </c>
      <c r="I754">
        <v>4500</v>
      </c>
      <c r="J754">
        <v>14.73</v>
      </c>
      <c r="K754" s="2">
        <v>45261</v>
      </c>
      <c r="L754" t="s">
        <v>318</v>
      </c>
    </row>
    <row r="755" spans="1:12" x14ac:dyDescent="0.25">
      <c r="A755" t="s">
        <v>32</v>
      </c>
      <c r="B755" t="s">
        <v>20</v>
      </c>
      <c r="C755" t="s">
        <v>320</v>
      </c>
      <c r="D755" t="s">
        <v>25</v>
      </c>
      <c r="E755" t="s">
        <v>26</v>
      </c>
      <c r="F755">
        <v>49</v>
      </c>
      <c r="G755">
        <v>200</v>
      </c>
      <c r="H755">
        <v>3</v>
      </c>
      <c r="I755">
        <v>600</v>
      </c>
      <c r="J755">
        <v>9.26</v>
      </c>
      <c r="K755" s="2">
        <v>45222</v>
      </c>
      <c r="L755" t="s">
        <v>318</v>
      </c>
    </row>
    <row r="756" spans="1:12" x14ac:dyDescent="0.25">
      <c r="A756" t="s">
        <v>299</v>
      </c>
      <c r="B756" t="s">
        <v>20</v>
      </c>
      <c r="C756" t="s">
        <v>323</v>
      </c>
      <c r="D756" t="s">
        <v>29</v>
      </c>
      <c r="E756" t="s">
        <v>18</v>
      </c>
      <c r="F756">
        <v>40</v>
      </c>
      <c r="G756">
        <v>50</v>
      </c>
      <c r="H756">
        <v>4</v>
      </c>
      <c r="I756">
        <v>200</v>
      </c>
      <c r="J756">
        <v>15.14</v>
      </c>
      <c r="K756" s="2">
        <v>45094</v>
      </c>
      <c r="L756" t="s">
        <v>318</v>
      </c>
    </row>
    <row r="757" spans="1:12" x14ac:dyDescent="0.25">
      <c r="A757" t="s">
        <v>291</v>
      </c>
      <c r="B757" t="s">
        <v>20</v>
      </c>
      <c r="C757" t="s">
        <v>323</v>
      </c>
      <c r="D757" t="s">
        <v>25</v>
      </c>
      <c r="E757" t="s">
        <v>26</v>
      </c>
      <c r="F757">
        <v>53</v>
      </c>
      <c r="G757">
        <v>200</v>
      </c>
      <c r="H757">
        <v>4</v>
      </c>
      <c r="I757">
        <v>800</v>
      </c>
      <c r="J757">
        <v>14.28</v>
      </c>
      <c r="K757" s="2">
        <v>45235</v>
      </c>
      <c r="L757" t="s">
        <v>319</v>
      </c>
    </row>
    <row r="758" spans="1:12" x14ac:dyDescent="0.25">
      <c r="A758" t="s">
        <v>134</v>
      </c>
      <c r="B758" t="s">
        <v>20</v>
      </c>
      <c r="C758" t="s">
        <v>321</v>
      </c>
      <c r="D758" t="s">
        <v>23</v>
      </c>
      <c r="E758" t="s">
        <v>15</v>
      </c>
      <c r="F758">
        <v>46</v>
      </c>
      <c r="G758">
        <v>3109.5606124866499</v>
      </c>
      <c r="H758">
        <v>2</v>
      </c>
      <c r="I758">
        <v>3000</v>
      </c>
      <c r="J758">
        <v>6.44</v>
      </c>
      <c r="K758" s="2">
        <v>45268</v>
      </c>
      <c r="L758" t="s">
        <v>318</v>
      </c>
    </row>
    <row r="759" spans="1:12" x14ac:dyDescent="0.25">
      <c r="A759" t="s">
        <v>287</v>
      </c>
      <c r="B759" t="s">
        <v>20</v>
      </c>
      <c r="C759" t="s">
        <v>322</v>
      </c>
      <c r="D759" t="s">
        <v>29</v>
      </c>
      <c r="E759" t="s">
        <v>18</v>
      </c>
      <c r="F759">
        <v>20</v>
      </c>
      <c r="G759">
        <v>50</v>
      </c>
      <c r="H759">
        <v>3</v>
      </c>
      <c r="I759">
        <v>150</v>
      </c>
      <c r="J759">
        <v>11.05</v>
      </c>
      <c r="K759" s="2">
        <v>45185</v>
      </c>
      <c r="L759" t="s">
        <v>316</v>
      </c>
    </row>
    <row r="760" spans="1:12" x14ac:dyDescent="0.25">
      <c r="A760" t="s">
        <v>180</v>
      </c>
      <c r="B760" t="s">
        <v>20</v>
      </c>
      <c r="C760" t="s">
        <v>322</v>
      </c>
      <c r="D760" t="s">
        <v>30</v>
      </c>
      <c r="E760" t="s">
        <v>18</v>
      </c>
      <c r="F760">
        <v>55</v>
      </c>
      <c r="G760">
        <v>30</v>
      </c>
      <c r="H760">
        <v>3</v>
      </c>
      <c r="I760">
        <v>90</v>
      </c>
      <c r="J760">
        <v>11.24</v>
      </c>
      <c r="K760" s="2">
        <v>45178</v>
      </c>
      <c r="L760" t="s">
        <v>316</v>
      </c>
    </row>
    <row r="761" spans="1:12" x14ac:dyDescent="0.25">
      <c r="A761" t="s">
        <v>108</v>
      </c>
      <c r="B761" t="s">
        <v>20</v>
      </c>
      <c r="C761" t="s">
        <v>321</v>
      </c>
      <c r="D761" t="s">
        <v>40</v>
      </c>
      <c r="E761" t="s">
        <v>15</v>
      </c>
      <c r="F761">
        <v>25</v>
      </c>
      <c r="G761">
        <v>800</v>
      </c>
      <c r="H761">
        <v>1</v>
      </c>
      <c r="I761">
        <v>800</v>
      </c>
      <c r="J761">
        <v>7.25</v>
      </c>
      <c r="K761" s="2">
        <v>44994</v>
      </c>
      <c r="L761" t="s">
        <v>317</v>
      </c>
    </row>
    <row r="762" spans="1:12" x14ac:dyDescent="0.25">
      <c r="A762" t="s">
        <v>300</v>
      </c>
      <c r="B762" t="s">
        <v>20</v>
      </c>
      <c r="C762" t="s">
        <v>319</v>
      </c>
      <c r="D762" t="s">
        <v>23</v>
      </c>
      <c r="E762" t="s">
        <v>15</v>
      </c>
      <c r="F762">
        <v>41</v>
      </c>
      <c r="G762">
        <v>1500</v>
      </c>
      <c r="H762">
        <v>4</v>
      </c>
      <c r="I762">
        <v>6000</v>
      </c>
      <c r="J762">
        <v>6.76</v>
      </c>
      <c r="K762" s="2">
        <v>45139</v>
      </c>
      <c r="L762" t="s">
        <v>319</v>
      </c>
    </row>
    <row r="763" spans="1:12" x14ac:dyDescent="0.25">
      <c r="A763" t="s">
        <v>294</v>
      </c>
      <c r="B763" t="s">
        <v>20</v>
      </c>
      <c r="C763" t="s">
        <v>320</v>
      </c>
      <c r="D763" t="s">
        <v>17</v>
      </c>
      <c r="E763" t="s">
        <v>18</v>
      </c>
      <c r="F763">
        <v>49</v>
      </c>
      <c r="G763">
        <v>100</v>
      </c>
      <c r="H763">
        <v>2</v>
      </c>
      <c r="I763">
        <v>200</v>
      </c>
      <c r="J763">
        <v>19.07</v>
      </c>
      <c r="K763" s="2">
        <v>45054</v>
      </c>
      <c r="L763" t="s">
        <v>319</v>
      </c>
    </row>
    <row r="764" spans="1:12" x14ac:dyDescent="0.25">
      <c r="A764" t="s">
        <v>70</v>
      </c>
      <c r="B764" t="s">
        <v>20</v>
      </c>
      <c r="C764" t="s">
        <v>321</v>
      </c>
      <c r="D764" t="s">
        <v>23</v>
      </c>
      <c r="E764" t="s">
        <v>15</v>
      </c>
      <c r="F764">
        <v>23</v>
      </c>
      <c r="G764">
        <v>1500</v>
      </c>
      <c r="H764">
        <v>5</v>
      </c>
      <c r="I764">
        <v>7500</v>
      </c>
      <c r="J764">
        <v>19.41</v>
      </c>
      <c r="K764" s="2">
        <v>45281</v>
      </c>
      <c r="L764" t="s">
        <v>318</v>
      </c>
    </row>
    <row r="765" spans="1:12" x14ac:dyDescent="0.25">
      <c r="A765" t="s">
        <v>196</v>
      </c>
      <c r="B765" t="s">
        <v>13</v>
      </c>
      <c r="C765" t="s">
        <v>321</v>
      </c>
      <c r="D765" t="s">
        <v>14</v>
      </c>
      <c r="E765" t="s">
        <v>15</v>
      </c>
      <c r="F765">
        <v>66</v>
      </c>
      <c r="G765">
        <v>300</v>
      </c>
      <c r="H765">
        <v>1</v>
      </c>
      <c r="I765">
        <v>300</v>
      </c>
      <c r="J765">
        <v>7.84</v>
      </c>
      <c r="K765" s="2">
        <v>45268</v>
      </c>
      <c r="L765" t="s">
        <v>317</v>
      </c>
    </row>
    <row r="766" spans="1:12" x14ac:dyDescent="0.25">
      <c r="A766" t="s">
        <v>301</v>
      </c>
      <c r="B766" t="s">
        <v>20</v>
      </c>
      <c r="C766" t="s">
        <v>322</v>
      </c>
      <c r="D766" t="s">
        <v>40</v>
      </c>
      <c r="E766" t="s">
        <v>15</v>
      </c>
      <c r="F766">
        <v>60</v>
      </c>
      <c r="G766">
        <v>800</v>
      </c>
      <c r="H766">
        <v>4</v>
      </c>
      <c r="I766">
        <v>3200</v>
      </c>
      <c r="J766">
        <v>9.99</v>
      </c>
      <c r="K766" s="2">
        <v>45106</v>
      </c>
      <c r="L766" t="s">
        <v>316</v>
      </c>
    </row>
    <row r="767" spans="1:12" x14ac:dyDescent="0.25">
      <c r="A767" t="s">
        <v>176</v>
      </c>
      <c r="B767" t="s">
        <v>13</v>
      </c>
      <c r="C767" t="s">
        <v>322</v>
      </c>
      <c r="D767" t="s">
        <v>14</v>
      </c>
      <c r="E767" t="s">
        <v>15</v>
      </c>
      <c r="F767">
        <v>20</v>
      </c>
      <c r="G767">
        <v>300</v>
      </c>
      <c r="H767">
        <v>2</v>
      </c>
      <c r="I767">
        <v>600</v>
      </c>
      <c r="J767">
        <v>9.77</v>
      </c>
      <c r="K767" s="2">
        <v>45193</v>
      </c>
      <c r="L767" t="s">
        <v>316</v>
      </c>
    </row>
    <row r="768" spans="1:12" x14ac:dyDescent="0.25">
      <c r="A768" t="s">
        <v>101</v>
      </c>
      <c r="B768" t="s">
        <v>20</v>
      </c>
      <c r="C768" t="s">
        <v>321</v>
      </c>
      <c r="D768" t="s">
        <v>40</v>
      </c>
      <c r="E768" t="s">
        <v>15</v>
      </c>
      <c r="F768">
        <v>51</v>
      </c>
      <c r="G768">
        <v>800</v>
      </c>
      <c r="H768">
        <v>3</v>
      </c>
      <c r="I768">
        <v>2400</v>
      </c>
      <c r="J768">
        <v>15.28</v>
      </c>
      <c r="K768" s="2">
        <v>45068</v>
      </c>
      <c r="L768" t="s">
        <v>317</v>
      </c>
    </row>
    <row r="769" spans="1:12" x14ac:dyDescent="0.25">
      <c r="A769" t="s">
        <v>260</v>
      </c>
      <c r="B769" t="s">
        <v>20</v>
      </c>
      <c r="C769" t="s">
        <v>323</v>
      </c>
      <c r="D769" t="s">
        <v>30</v>
      </c>
      <c r="E769" t="s">
        <v>18</v>
      </c>
      <c r="F769">
        <v>35</v>
      </c>
      <c r="G769">
        <v>30</v>
      </c>
      <c r="H769">
        <v>3</v>
      </c>
      <c r="I769">
        <v>90</v>
      </c>
      <c r="J769">
        <v>8.7899999999999991</v>
      </c>
      <c r="K769" s="2">
        <v>45136</v>
      </c>
      <c r="L769" t="s">
        <v>316</v>
      </c>
    </row>
    <row r="770" spans="1:12" x14ac:dyDescent="0.25">
      <c r="A770" t="s">
        <v>299</v>
      </c>
      <c r="B770" t="s">
        <v>13</v>
      </c>
      <c r="C770" t="s">
        <v>321</v>
      </c>
      <c r="D770" t="s">
        <v>29</v>
      </c>
      <c r="E770" t="s">
        <v>18</v>
      </c>
      <c r="F770">
        <v>40</v>
      </c>
      <c r="G770">
        <v>50</v>
      </c>
      <c r="H770">
        <v>4</v>
      </c>
      <c r="I770">
        <v>200</v>
      </c>
      <c r="J770">
        <v>12.79</v>
      </c>
      <c r="K770" s="2">
        <v>45218</v>
      </c>
      <c r="L770" t="s">
        <v>318</v>
      </c>
    </row>
    <row r="771" spans="1:12" x14ac:dyDescent="0.25">
      <c r="A771" t="s">
        <v>135</v>
      </c>
      <c r="B771" t="s">
        <v>13</v>
      </c>
      <c r="C771" t="s">
        <v>320</v>
      </c>
      <c r="D771" t="s">
        <v>40</v>
      </c>
      <c r="E771" t="s">
        <v>15</v>
      </c>
      <c r="F771">
        <v>54</v>
      </c>
      <c r="G771">
        <v>800</v>
      </c>
      <c r="H771">
        <v>5</v>
      </c>
      <c r="I771">
        <v>4000</v>
      </c>
      <c r="J771">
        <v>9.5500000000000007</v>
      </c>
      <c r="K771" s="2">
        <v>45171</v>
      </c>
      <c r="L771" t="s">
        <v>318</v>
      </c>
    </row>
    <row r="772" spans="1:12" x14ac:dyDescent="0.25">
      <c r="A772" t="s">
        <v>55</v>
      </c>
      <c r="B772" t="s">
        <v>20</v>
      </c>
      <c r="C772" t="s">
        <v>323</v>
      </c>
      <c r="D772" t="s">
        <v>30</v>
      </c>
      <c r="E772" t="s">
        <v>18</v>
      </c>
      <c r="F772">
        <v>58</v>
      </c>
      <c r="G772">
        <v>30</v>
      </c>
      <c r="H772">
        <v>4</v>
      </c>
      <c r="I772">
        <v>120</v>
      </c>
      <c r="J772">
        <v>8.85</v>
      </c>
      <c r="K772" s="2">
        <v>45098</v>
      </c>
      <c r="L772" t="s">
        <v>316</v>
      </c>
    </row>
    <row r="773" spans="1:12" x14ac:dyDescent="0.25">
      <c r="A773" t="s">
        <v>302</v>
      </c>
      <c r="B773" t="s">
        <v>13</v>
      </c>
      <c r="C773" t="s">
        <v>322</v>
      </c>
      <c r="D773" t="s">
        <v>29</v>
      </c>
      <c r="E773" t="s">
        <v>18</v>
      </c>
      <c r="F773">
        <v>26</v>
      </c>
      <c r="G773">
        <v>50</v>
      </c>
      <c r="H773">
        <v>2</v>
      </c>
      <c r="I773">
        <v>100</v>
      </c>
      <c r="J773">
        <v>9.76</v>
      </c>
      <c r="K773" s="2">
        <v>45090</v>
      </c>
      <c r="L773" t="s">
        <v>317</v>
      </c>
    </row>
    <row r="774" spans="1:12" x14ac:dyDescent="0.25">
      <c r="A774" t="s">
        <v>281</v>
      </c>
      <c r="B774" t="s">
        <v>20</v>
      </c>
      <c r="C774" t="s">
        <v>323</v>
      </c>
      <c r="D774" t="s">
        <v>25</v>
      </c>
      <c r="E774" t="s">
        <v>26</v>
      </c>
      <c r="F774">
        <v>43</v>
      </c>
      <c r="G774">
        <v>200</v>
      </c>
      <c r="H774">
        <v>1</v>
      </c>
      <c r="I774">
        <v>200</v>
      </c>
      <c r="J774">
        <v>6.18</v>
      </c>
      <c r="K774" s="2">
        <v>45288</v>
      </c>
      <c r="L774" t="s">
        <v>317</v>
      </c>
    </row>
    <row r="775" spans="1:12" x14ac:dyDescent="0.25">
      <c r="A775" t="s">
        <v>217</v>
      </c>
      <c r="B775" t="s">
        <v>13</v>
      </c>
      <c r="C775" t="s">
        <v>323</v>
      </c>
      <c r="D775" t="s">
        <v>23</v>
      </c>
      <c r="E775" t="s">
        <v>15</v>
      </c>
      <c r="F775">
        <v>69</v>
      </c>
      <c r="G775">
        <v>1500</v>
      </c>
      <c r="H775">
        <v>3</v>
      </c>
      <c r="I775">
        <v>4500</v>
      </c>
      <c r="J775">
        <v>6.08</v>
      </c>
      <c r="K775" s="2">
        <v>45113</v>
      </c>
      <c r="L775" t="s">
        <v>316</v>
      </c>
    </row>
    <row r="776" spans="1:12" x14ac:dyDescent="0.25">
      <c r="A776" t="s">
        <v>303</v>
      </c>
      <c r="B776" t="s">
        <v>13</v>
      </c>
      <c r="C776" t="s">
        <v>321</v>
      </c>
      <c r="D776" t="s">
        <v>23</v>
      </c>
      <c r="E776" t="s">
        <v>15</v>
      </c>
      <c r="F776">
        <v>61</v>
      </c>
      <c r="G776">
        <v>1500</v>
      </c>
      <c r="H776">
        <v>4</v>
      </c>
      <c r="I776">
        <v>6000</v>
      </c>
      <c r="J776">
        <v>9.4600000000000009</v>
      </c>
      <c r="K776" s="2">
        <v>45090</v>
      </c>
      <c r="L776" t="s">
        <v>318</v>
      </c>
    </row>
    <row r="777" spans="1:12" x14ac:dyDescent="0.25">
      <c r="A777" t="s">
        <v>63</v>
      </c>
      <c r="B777" t="s">
        <v>20</v>
      </c>
      <c r="C777" t="s">
        <v>321</v>
      </c>
      <c r="D777" t="s">
        <v>17</v>
      </c>
      <c r="E777" t="s">
        <v>18</v>
      </c>
      <c r="F777">
        <v>61</v>
      </c>
      <c r="G777">
        <v>100</v>
      </c>
      <c r="H777">
        <v>1</v>
      </c>
      <c r="I777">
        <v>100</v>
      </c>
      <c r="J777">
        <v>6.6</v>
      </c>
      <c r="K777" s="2">
        <v>45005</v>
      </c>
      <c r="L777" t="s">
        <v>316</v>
      </c>
    </row>
    <row r="778" spans="1:12" x14ac:dyDescent="0.25">
      <c r="A778" t="s">
        <v>212</v>
      </c>
      <c r="B778" t="s">
        <v>20</v>
      </c>
      <c r="C778" t="s">
        <v>320</v>
      </c>
      <c r="D778" t="s">
        <v>30</v>
      </c>
      <c r="E778" t="s">
        <v>18</v>
      </c>
      <c r="F778">
        <v>67</v>
      </c>
      <c r="G778">
        <v>30</v>
      </c>
      <c r="H778">
        <v>4</v>
      </c>
      <c r="I778">
        <v>120</v>
      </c>
      <c r="J778">
        <v>19.59</v>
      </c>
      <c r="K778" s="2">
        <v>44977</v>
      </c>
      <c r="L778" t="s">
        <v>317</v>
      </c>
    </row>
    <row r="779" spans="1:12" x14ac:dyDescent="0.25">
      <c r="A779" t="s">
        <v>65</v>
      </c>
      <c r="B779" t="s">
        <v>20</v>
      </c>
      <c r="C779" t="s">
        <v>321</v>
      </c>
      <c r="D779" t="s">
        <v>14</v>
      </c>
      <c r="E779" t="s">
        <v>15</v>
      </c>
      <c r="F779">
        <v>38</v>
      </c>
      <c r="G779">
        <v>300</v>
      </c>
      <c r="H779">
        <v>4</v>
      </c>
      <c r="I779">
        <v>1200</v>
      </c>
      <c r="J779">
        <v>12.55</v>
      </c>
      <c r="K779" s="2">
        <v>45165</v>
      </c>
      <c r="L779" t="s">
        <v>318</v>
      </c>
    </row>
    <row r="780" spans="1:12" x14ac:dyDescent="0.25">
      <c r="A780" t="s">
        <v>254</v>
      </c>
      <c r="B780" t="s">
        <v>13</v>
      </c>
      <c r="C780" t="s">
        <v>320</v>
      </c>
      <c r="D780" t="s">
        <v>29</v>
      </c>
      <c r="E780" t="s">
        <v>18</v>
      </c>
      <c r="F780">
        <v>69</v>
      </c>
      <c r="G780">
        <v>50</v>
      </c>
      <c r="H780">
        <v>5</v>
      </c>
      <c r="I780">
        <v>250</v>
      </c>
      <c r="J780">
        <v>14.32</v>
      </c>
      <c r="K780" s="2">
        <v>44960</v>
      </c>
      <c r="L780" t="s">
        <v>319</v>
      </c>
    </row>
    <row r="781" spans="1:12" x14ac:dyDescent="0.25">
      <c r="A781" t="s">
        <v>169</v>
      </c>
      <c r="B781" t="s">
        <v>13</v>
      </c>
      <c r="C781" t="s">
        <v>321</v>
      </c>
      <c r="D781" t="s">
        <v>40</v>
      </c>
      <c r="E781" t="s">
        <v>15</v>
      </c>
      <c r="F781">
        <v>51</v>
      </c>
      <c r="G781">
        <v>800</v>
      </c>
      <c r="H781">
        <v>5</v>
      </c>
      <c r="I781">
        <v>4000</v>
      </c>
      <c r="J781">
        <v>6.74</v>
      </c>
      <c r="K781" s="2">
        <v>45196</v>
      </c>
      <c r="L781" t="s">
        <v>318</v>
      </c>
    </row>
    <row r="782" spans="1:12" x14ac:dyDescent="0.25">
      <c r="A782" t="s">
        <v>102</v>
      </c>
      <c r="B782" t="s">
        <v>13</v>
      </c>
      <c r="C782" t="s">
        <v>322</v>
      </c>
      <c r="D782" t="s">
        <v>17</v>
      </c>
      <c r="E782" t="s">
        <v>18</v>
      </c>
      <c r="F782">
        <v>30</v>
      </c>
      <c r="G782">
        <v>100</v>
      </c>
      <c r="H782">
        <v>2</v>
      </c>
      <c r="I782">
        <v>200</v>
      </c>
      <c r="J782">
        <v>7.01</v>
      </c>
      <c r="K782" s="2">
        <v>45003</v>
      </c>
      <c r="L782" t="s">
        <v>317</v>
      </c>
    </row>
    <row r="783" spans="1:12" x14ac:dyDescent="0.25">
      <c r="A783" t="s">
        <v>81</v>
      </c>
      <c r="B783" t="s">
        <v>13</v>
      </c>
      <c r="C783" t="s">
        <v>323</v>
      </c>
      <c r="D783" t="s">
        <v>23</v>
      </c>
      <c r="E783" t="s">
        <v>15</v>
      </c>
      <c r="F783">
        <v>33</v>
      </c>
      <c r="G783">
        <v>1500</v>
      </c>
      <c r="H783">
        <v>2</v>
      </c>
      <c r="I783">
        <v>3000</v>
      </c>
      <c r="J783">
        <v>14.97</v>
      </c>
      <c r="K783" s="2">
        <v>44943</v>
      </c>
      <c r="L783" t="s">
        <v>318</v>
      </c>
    </row>
    <row r="784" spans="1:12" x14ac:dyDescent="0.25">
      <c r="A784" t="s">
        <v>285</v>
      </c>
      <c r="B784" t="s">
        <v>20</v>
      </c>
      <c r="C784" t="s">
        <v>321</v>
      </c>
      <c r="D784" t="s">
        <v>17</v>
      </c>
      <c r="E784" t="s">
        <v>18</v>
      </c>
      <c r="F784">
        <v>44</v>
      </c>
      <c r="G784">
        <v>100</v>
      </c>
      <c r="H784">
        <v>4</v>
      </c>
      <c r="I784">
        <v>400</v>
      </c>
      <c r="J784">
        <v>10.029999999999999</v>
      </c>
      <c r="K784" s="2">
        <v>45057</v>
      </c>
      <c r="L784" t="s">
        <v>317</v>
      </c>
    </row>
    <row r="785" spans="1:12" x14ac:dyDescent="0.25">
      <c r="A785" t="s">
        <v>36</v>
      </c>
      <c r="B785" t="s">
        <v>13</v>
      </c>
      <c r="C785" t="s">
        <v>322</v>
      </c>
      <c r="D785" t="s">
        <v>29</v>
      </c>
      <c r="E785" t="s">
        <v>18</v>
      </c>
      <c r="F785">
        <v>66</v>
      </c>
      <c r="G785">
        <v>50</v>
      </c>
      <c r="H785">
        <v>2</v>
      </c>
      <c r="I785">
        <v>100</v>
      </c>
      <c r="J785">
        <v>8.51</v>
      </c>
      <c r="K785" s="2">
        <v>44995</v>
      </c>
      <c r="L785" t="s">
        <v>317</v>
      </c>
    </row>
    <row r="786" spans="1:12" x14ac:dyDescent="0.25">
      <c r="A786" t="s">
        <v>296</v>
      </c>
      <c r="B786" t="s">
        <v>20</v>
      </c>
      <c r="C786" t="s">
        <v>321</v>
      </c>
      <c r="D786" t="s">
        <v>29</v>
      </c>
      <c r="E786" t="s">
        <v>18</v>
      </c>
      <c r="F786">
        <v>65</v>
      </c>
      <c r="G786">
        <v>50</v>
      </c>
      <c r="H786">
        <v>1</v>
      </c>
      <c r="I786">
        <v>50</v>
      </c>
      <c r="J786">
        <v>7.55</v>
      </c>
      <c r="K786" s="2">
        <v>45104</v>
      </c>
      <c r="L786" t="s">
        <v>318</v>
      </c>
    </row>
    <row r="787" spans="1:12" x14ac:dyDescent="0.25">
      <c r="A787" t="s">
        <v>282</v>
      </c>
      <c r="B787" t="s">
        <v>20</v>
      </c>
      <c r="C787" t="s">
        <v>320</v>
      </c>
      <c r="D787" t="s">
        <v>30</v>
      </c>
      <c r="E787" t="s">
        <v>18</v>
      </c>
      <c r="F787">
        <v>46</v>
      </c>
      <c r="G787">
        <v>30</v>
      </c>
      <c r="H787">
        <v>4</v>
      </c>
      <c r="I787">
        <v>120</v>
      </c>
      <c r="J787">
        <v>18.309999999999999</v>
      </c>
      <c r="K787" s="2">
        <v>45237</v>
      </c>
      <c r="L787" t="s">
        <v>317</v>
      </c>
    </row>
    <row r="788" spans="1:12" x14ac:dyDescent="0.25">
      <c r="A788" t="s">
        <v>296</v>
      </c>
      <c r="B788" t="s">
        <v>13</v>
      </c>
      <c r="C788" t="s">
        <v>320</v>
      </c>
      <c r="D788" t="s">
        <v>23</v>
      </c>
      <c r="E788" t="s">
        <v>15</v>
      </c>
      <c r="F788">
        <v>65</v>
      </c>
      <c r="G788">
        <v>1500</v>
      </c>
      <c r="H788">
        <v>5</v>
      </c>
      <c r="I788">
        <v>7500</v>
      </c>
      <c r="J788">
        <v>16.39</v>
      </c>
      <c r="K788" s="2">
        <v>45024</v>
      </c>
      <c r="L788" t="s">
        <v>316</v>
      </c>
    </row>
    <row r="789" spans="1:12" x14ac:dyDescent="0.25">
      <c r="A789" t="s">
        <v>71</v>
      </c>
      <c r="B789" t="s">
        <v>13</v>
      </c>
      <c r="C789" t="s">
        <v>320</v>
      </c>
      <c r="D789" t="s">
        <v>23</v>
      </c>
      <c r="E789" t="s">
        <v>15</v>
      </c>
      <c r="F789">
        <v>68</v>
      </c>
      <c r="G789">
        <v>1500</v>
      </c>
      <c r="H789">
        <v>2</v>
      </c>
      <c r="I789">
        <v>3000</v>
      </c>
      <c r="J789">
        <v>18.77</v>
      </c>
      <c r="K789" s="2">
        <v>45226</v>
      </c>
      <c r="L789" t="s">
        <v>316</v>
      </c>
    </row>
    <row r="790" spans="1:12" x14ac:dyDescent="0.25">
      <c r="A790" t="s">
        <v>116</v>
      </c>
      <c r="B790" t="s">
        <v>20</v>
      </c>
      <c r="C790" t="s">
        <v>323</v>
      </c>
      <c r="D790" t="s">
        <v>23</v>
      </c>
      <c r="E790" t="s">
        <v>15</v>
      </c>
      <c r="F790">
        <v>20</v>
      </c>
      <c r="G790">
        <v>1500</v>
      </c>
      <c r="H790">
        <v>5</v>
      </c>
      <c r="I790">
        <v>7500</v>
      </c>
      <c r="J790">
        <v>9.26</v>
      </c>
      <c r="K790" s="2">
        <v>44958</v>
      </c>
      <c r="L790" t="s">
        <v>316</v>
      </c>
    </row>
    <row r="791" spans="1:12" x14ac:dyDescent="0.25">
      <c r="A791" t="s">
        <v>165</v>
      </c>
      <c r="B791" t="s">
        <v>13</v>
      </c>
      <c r="C791" t="s">
        <v>320</v>
      </c>
      <c r="D791" t="s">
        <v>40</v>
      </c>
      <c r="E791" t="s">
        <v>15</v>
      </c>
      <c r="F791">
        <v>66</v>
      </c>
      <c r="G791">
        <v>800</v>
      </c>
      <c r="H791">
        <v>4</v>
      </c>
      <c r="I791">
        <v>3200</v>
      </c>
      <c r="J791">
        <v>15.69</v>
      </c>
      <c r="K791" s="2">
        <v>45073</v>
      </c>
      <c r="L791" t="s">
        <v>317</v>
      </c>
    </row>
    <row r="792" spans="1:12" x14ac:dyDescent="0.25">
      <c r="A792" t="s">
        <v>73</v>
      </c>
      <c r="B792" t="s">
        <v>13</v>
      </c>
      <c r="C792" t="s">
        <v>322</v>
      </c>
      <c r="D792" t="s">
        <v>29</v>
      </c>
      <c r="E792" t="s">
        <v>18</v>
      </c>
      <c r="F792">
        <v>49</v>
      </c>
      <c r="G792">
        <v>50</v>
      </c>
      <c r="H792">
        <v>4</v>
      </c>
      <c r="I792">
        <v>200</v>
      </c>
      <c r="J792">
        <v>11.55</v>
      </c>
      <c r="K792" s="2">
        <v>45200</v>
      </c>
      <c r="L792" t="s">
        <v>318</v>
      </c>
    </row>
    <row r="793" spans="1:12" x14ac:dyDescent="0.25">
      <c r="A793" t="s">
        <v>36</v>
      </c>
      <c r="B793" t="s">
        <v>13</v>
      </c>
      <c r="C793" t="s">
        <v>321</v>
      </c>
      <c r="D793" t="s">
        <v>40</v>
      </c>
      <c r="E793" t="s">
        <v>15</v>
      </c>
      <c r="F793">
        <v>66</v>
      </c>
      <c r="G793">
        <v>800</v>
      </c>
      <c r="H793">
        <v>3</v>
      </c>
      <c r="I793">
        <v>2400</v>
      </c>
      <c r="J793">
        <v>15.27</v>
      </c>
      <c r="K793" s="2">
        <v>45051</v>
      </c>
      <c r="L793" t="s">
        <v>317</v>
      </c>
    </row>
    <row r="794" spans="1:12" x14ac:dyDescent="0.25">
      <c r="A794" t="s">
        <v>277</v>
      </c>
      <c r="B794" t="s">
        <v>20</v>
      </c>
      <c r="C794" t="s">
        <v>321</v>
      </c>
      <c r="D794" t="s">
        <v>29</v>
      </c>
      <c r="E794" t="s">
        <v>18</v>
      </c>
      <c r="F794">
        <v>29</v>
      </c>
      <c r="G794">
        <v>50</v>
      </c>
      <c r="H794">
        <v>4</v>
      </c>
      <c r="I794">
        <v>200</v>
      </c>
      <c r="J794">
        <v>6.75</v>
      </c>
      <c r="K794" s="2">
        <v>45282</v>
      </c>
      <c r="L794" t="s">
        <v>318</v>
      </c>
    </row>
    <row r="795" spans="1:12" x14ac:dyDescent="0.25">
      <c r="A795" t="s">
        <v>184</v>
      </c>
      <c r="B795" t="s">
        <v>20</v>
      </c>
      <c r="C795" t="s">
        <v>323</v>
      </c>
      <c r="D795" t="s">
        <v>17</v>
      </c>
      <c r="E795" t="s">
        <v>18</v>
      </c>
      <c r="F795">
        <v>51</v>
      </c>
      <c r="G795">
        <v>100</v>
      </c>
      <c r="H795">
        <v>2</v>
      </c>
      <c r="I795">
        <v>200</v>
      </c>
      <c r="J795">
        <v>5.79</v>
      </c>
      <c r="K795" s="2">
        <v>45090</v>
      </c>
      <c r="L795" t="s">
        <v>318</v>
      </c>
    </row>
    <row r="796" spans="1:12" x14ac:dyDescent="0.25">
      <c r="A796" t="s">
        <v>197</v>
      </c>
      <c r="B796" t="s">
        <v>13</v>
      </c>
      <c r="C796" t="s">
        <v>323</v>
      </c>
      <c r="D796" t="s">
        <v>25</v>
      </c>
      <c r="E796" t="s">
        <v>26</v>
      </c>
      <c r="F796">
        <v>45</v>
      </c>
      <c r="G796">
        <v>200</v>
      </c>
      <c r="H796">
        <v>4</v>
      </c>
      <c r="I796">
        <v>800</v>
      </c>
      <c r="J796">
        <v>10.62</v>
      </c>
      <c r="K796" s="2">
        <v>44937</v>
      </c>
      <c r="L796" t="s">
        <v>316</v>
      </c>
    </row>
    <row r="797" spans="1:12" x14ac:dyDescent="0.25">
      <c r="A797" t="s">
        <v>206</v>
      </c>
      <c r="B797" t="s">
        <v>20</v>
      </c>
      <c r="C797" t="s">
        <v>320</v>
      </c>
      <c r="D797" t="s">
        <v>14</v>
      </c>
      <c r="E797" t="s">
        <v>15</v>
      </c>
      <c r="F797">
        <v>49</v>
      </c>
      <c r="G797">
        <v>300</v>
      </c>
      <c r="H797">
        <v>1</v>
      </c>
      <c r="I797">
        <v>300</v>
      </c>
      <c r="J797">
        <v>5.83</v>
      </c>
      <c r="K797" s="2">
        <v>44964</v>
      </c>
      <c r="L797" t="s">
        <v>318</v>
      </c>
    </row>
    <row r="798" spans="1:12" x14ac:dyDescent="0.25">
      <c r="A798" t="s">
        <v>262</v>
      </c>
      <c r="B798" t="s">
        <v>20</v>
      </c>
      <c r="C798" t="s">
        <v>319</v>
      </c>
      <c r="D798" t="s">
        <v>17</v>
      </c>
      <c r="E798" t="s">
        <v>18</v>
      </c>
      <c r="F798">
        <v>40</v>
      </c>
      <c r="G798">
        <v>100</v>
      </c>
      <c r="H798">
        <v>2</v>
      </c>
      <c r="I798">
        <v>200</v>
      </c>
      <c r="J798">
        <v>9.42</v>
      </c>
      <c r="K798" s="2">
        <v>45121</v>
      </c>
      <c r="L798" t="s">
        <v>316</v>
      </c>
    </row>
    <row r="799" spans="1:12" x14ac:dyDescent="0.25">
      <c r="A799" t="s">
        <v>126</v>
      </c>
      <c r="B799" t="s">
        <v>13</v>
      </c>
      <c r="C799" t="s">
        <v>323</v>
      </c>
      <c r="D799" t="s">
        <v>30</v>
      </c>
      <c r="E799" t="s">
        <v>18</v>
      </c>
      <c r="F799">
        <v>50</v>
      </c>
      <c r="G799">
        <v>30</v>
      </c>
      <c r="H799">
        <v>5</v>
      </c>
      <c r="I799">
        <v>150</v>
      </c>
      <c r="J799">
        <v>6.26</v>
      </c>
      <c r="K799" s="2">
        <v>45023</v>
      </c>
      <c r="L799" t="s">
        <v>318</v>
      </c>
    </row>
    <row r="800" spans="1:12" x14ac:dyDescent="0.25">
      <c r="A800" t="s">
        <v>246</v>
      </c>
      <c r="B800" t="s">
        <v>13</v>
      </c>
      <c r="C800" t="s">
        <v>322</v>
      </c>
      <c r="D800" t="s">
        <v>17</v>
      </c>
      <c r="E800" t="s">
        <v>18</v>
      </c>
      <c r="F800">
        <v>54</v>
      </c>
      <c r="G800">
        <v>100</v>
      </c>
      <c r="H800">
        <v>1</v>
      </c>
      <c r="I800">
        <v>100</v>
      </c>
      <c r="J800">
        <v>19.25</v>
      </c>
      <c r="K800" s="2">
        <v>45278</v>
      </c>
      <c r="L800" t="s">
        <v>318</v>
      </c>
    </row>
    <row r="801" spans="1:12" x14ac:dyDescent="0.25">
      <c r="A801" t="s">
        <v>149</v>
      </c>
      <c r="B801" t="s">
        <v>13</v>
      </c>
      <c r="C801" t="s">
        <v>321</v>
      </c>
      <c r="D801" t="s">
        <v>30</v>
      </c>
      <c r="E801" t="s">
        <v>18</v>
      </c>
      <c r="F801">
        <v>59</v>
      </c>
      <c r="G801">
        <v>30</v>
      </c>
      <c r="H801">
        <v>2</v>
      </c>
      <c r="I801">
        <v>60</v>
      </c>
      <c r="J801">
        <v>18.170000000000002</v>
      </c>
      <c r="K801" s="2">
        <v>45247</v>
      </c>
      <c r="L801" t="s">
        <v>317</v>
      </c>
    </row>
    <row r="802" spans="1:12" x14ac:dyDescent="0.25">
      <c r="A802" t="s">
        <v>88</v>
      </c>
      <c r="B802" t="s">
        <v>20</v>
      </c>
      <c r="C802" t="s">
        <v>321</v>
      </c>
      <c r="D802" t="s">
        <v>14</v>
      </c>
      <c r="E802" t="s">
        <v>15</v>
      </c>
      <c r="F802">
        <v>50</v>
      </c>
      <c r="G802">
        <v>300</v>
      </c>
      <c r="H802">
        <v>1</v>
      </c>
      <c r="I802">
        <v>300</v>
      </c>
      <c r="J802">
        <v>5.94</v>
      </c>
      <c r="K802" s="2">
        <v>45286</v>
      </c>
      <c r="L802" t="s">
        <v>316</v>
      </c>
    </row>
    <row r="803" spans="1:12" x14ac:dyDescent="0.25">
      <c r="A803" t="s">
        <v>291</v>
      </c>
      <c r="B803" t="s">
        <v>13</v>
      </c>
      <c r="C803" t="s">
        <v>323</v>
      </c>
      <c r="D803" t="s">
        <v>17</v>
      </c>
      <c r="E803" t="s">
        <v>18</v>
      </c>
      <c r="F803">
        <v>53</v>
      </c>
      <c r="G803">
        <v>100</v>
      </c>
      <c r="H803">
        <v>3</v>
      </c>
      <c r="I803">
        <v>300</v>
      </c>
      <c r="J803">
        <v>15.61</v>
      </c>
      <c r="K803" s="2">
        <v>45264</v>
      </c>
      <c r="L803" t="s">
        <v>317</v>
      </c>
    </row>
    <row r="804" spans="1:12" x14ac:dyDescent="0.25">
      <c r="A804" t="s">
        <v>53</v>
      </c>
      <c r="B804" t="s">
        <v>13</v>
      </c>
      <c r="C804" t="s">
        <v>321</v>
      </c>
      <c r="D804" t="s">
        <v>23</v>
      </c>
      <c r="E804" t="s">
        <v>15</v>
      </c>
      <c r="F804">
        <v>55</v>
      </c>
      <c r="G804">
        <v>1500</v>
      </c>
      <c r="H804">
        <v>2</v>
      </c>
      <c r="I804">
        <v>3000</v>
      </c>
      <c r="J804">
        <v>9.06</v>
      </c>
      <c r="K804" s="2">
        <v>45085</v>
      </c>
      <c r="L804" t="s">
        <v>318</v>
      </c>
    </row>
    <row r="805" spans="1:12" x14ac:dyDescent="0.25">
      <c r="A805" t="s">
        <v>268</v>
      </c>
      <c r="B805" t="s">
        <v>20</v>
      </c>
      <c r="C805" t="s">
        <v>319</v>
      </c>
      <c r="D805" t="s">
        <v>29</v>
      </c>
      <c r="E805" t="s">
        <v>18</v>
      </c>
      <c r="F805">
        <v>43</v>
      </c>
      <c r="G805">
        <v>50</v>
      </c>
      <c r="H805">
        <v>4</v>
      </c>
      <c r="I805">
        <v>200</v>
      </c>
      <c r="J805">
        <v>16.25</v>
      </c>
      <c r="K805" s="2">
        <v>45152</v>
      </c>
      <c r="L805" t="s">
        <v>317</v>
      </c>
    </row>
    <row r="806" spans="1:12" x14ac:dyDescent="0.25">
      <c r="A806" t="s">
        <v>94</v>
      </c>
      <c r="B806" t="s">
        <v>13</v>
      </c>
      <c r="C806" t="s">
        <v>320</v>
      </c>
      <c r="D806" t="s">
        <v>14</v>
      </c>
      <c r="E806" t="s">
        <v>15</v>
      </c>
      <c r="F806">
        <v>45</v>
      </c>
      <c r="G806">
        <v>300</v>
      </c>
      <c r="H806">
        <v>4</v>
      </c>
      <c r="I806">
        <v>1200</v>
      </c>
      <c r="J806">
        <v>7.16</v>
      </c>
      <c r="K806" s="2">
        <v>45243</v>
      </c>
      <c r="L806" t="s">
        <v>317</v>
      </c>
    </row>
    <row r="807" spans="1:12" x14ac:dyDescent="0.25">
      <c r="A807" t="s">
        <v>41</v>
      </c>
      <c r="B807" t="s">
        <v>13</v>
      </c>
      <c r="C807" t="s">
        <v>321</v>
      </c>
      <c r="D807" t="s">
        <v>14</v>
      </c>
      <c r="E807" t="s">
        <v>15</v>
      </c>
      <c r="F807">
        <v>32</v>
      </c>
      <c r="G807">
        <v>300</v>
      </c>
      <c r="H807">
        <v>2</v>
      </c>
      <c r="I807">
        <v>600</v>
      </c>
      <c r="J807">
        <v>9.52</v>
      </c>
      <c r="K807" s="2">
        <v>45216</v>
      </c>
      <c r="L807" t="s">
        <v>317</v>
      </c>
    </row>
    <row r="808" spans="1:12" x14ac:dyDescent="0.25">
      <c r="A808" t="s">
        <v>304</v>
      </c>
      <c r="B808" t="s">
        <v>20</v>
      </c>
      <c r="C808" t="s">
        <v>320</v>
      </c>
      <c r="D808" t="s">
        <v>17</v>
      </c>
      <c r="E808" t="s">
        <v>18</v>
      </c>
      <c r="F808">
        <v>35</v>
      </c>
      <c r="G808">
        <v>100</v>
      </c>
      <c r="H808">
        <v>4</v>
      </c>
      <c r="I808">
        <v>400</v>
      </c>
      <c r="J808">
        <v>12.85</v>
      </c>
      <c r="K808" s="2">
        <v>45130</v>
      </c>
      <c r="L808" t="s">
        <v>318</v>
      </c>
    </row>
    <row r="809" spans="1:12" x14ac:dyDescent="0.25">
      <c r="A809" t="s">
        <v>81</v>
      </c>
      <c r="B809" t="s">
        <v>13</v>
      </c>
      <c r="C809" t="s">
        <v>321</v>
      </c>
      <c r="D809" t="s">
        <v>40</v>
      </c>
      <c r="E809" t="s">
        <v>15</v>
      </c>
      <c r="F809">
        <v>33</v>
      </c>
      <c r="G809">
        <v>800</v>
      </c>
      <c r="H809">
        <v>5</v>
      </c>
      <c r="I809">
        <v>4000</v>
      </c>
      <c r="J809">
        <v>5.14</v>
      </c>
      <c r="K809" s="2">
        <v>45092</v>
      </c>
      <c r="L809" t="s">
        <v>316</v>
      </c>
    </row>
    <row r="810" spans="1:12" x14ac:dyDescent="0.25">
      <c r="A810" t="s">
        <v>83</v>
      </c>
      <c r="B810" t="s">
        <v>20</v>
      </c>
      <c r="C810" t="s">
        <v>323</v>
      </c>
      <c r="D810" t="s">
        <v>30</v>
      </c>
      <c r="E810" t="s">
        <v>18</v>
      </c>
      <c r="F810">
        <v>36</v>
      </c>
      <c r="G810">
        <v>30</v>
      </c>
      <c r="H810">
        <v>5</v>
      </c>
      <c r="I810">
        <v>150</v>
      </c>
      <c r="J810">
        <v>6.78</v>
      </c>
      <c r="K810" s="2">
        <v>45125</v>
      </c>
      <c r="L810" t="s">
        <v>317</v>
      </c>
    </row>
    <row r="811" spans="1:12" x14ac:dyDescent="0.25">
      <c r="A811" t="s">
        <v>233</v>
      </c>
      <c r="B811" t="s">
        <v>20</v>
      </c>
      <c r="C811" t="s">
        <v>322</v>
      </c>
      <c r="D811" t="s">
        <v>29</v>
      </c>
      <c r="E811" t="s">
        <v>18</v>
      </c>
      <c r="F811">
        <v>38</v>
      </c>
      <c r="G811">
        <v>50</v>
      </c>
      <c r="H811">
        <v>5</v>
      </c>
      <c r="I811">
        <v>250</v>
      </c>
      <c r="J811">
        <v>12.25</v>
      </c>
      <c r="K811" s="2">
        <v>45058</v>
      </c>
      <c r="L811" t="s">
        <v>317</v>
      </c>
    </row>
    <row r="812" spans="1:12" x14ac:dyDescent="0.25">
      <c r="A812" t="s">
        <v>249</v>
      </c>
      <c r="B812" t="s">
        <v>13</v>
      </c>
      <c r="C812" t="s">
        <v>320</v>
      </c>
      <c r="D812" t="s">
        <v>23</v>
      </c>
      <c r="E812" t="s">
        <v>15</v>
      </c>
      <c r="F812">
        <v>64</v>
      </c>
      <c r="G812">
        <v>1500</v>
      </c>
      <c r="H812">
        <v>4</v>
      </c>
      <c r="I812">
        <v>6000</v>
      </c>
      <c r="J812">
        <v>9.8699999999999992</v>
      </c>
      <c r="K812" s="2">
        <v>44976</v>
      </c>
      <c r="L812" t="s">
        <v>318</v>
      </c>
    </row>
    <row r="813" spans="1:12" x14ac:dyDescent="0.25">
      <c r="A813" t="s">
        <v>196</v>
      </c>
      <c r="B813" t="s">
        <v>13</v>
      </c>
      <c r="C813" t="s">
        <v>321</v>
      </c>
      <c r="D813" t="s">
        <v>23</v>
      </c>
      <c r="E813" t="s">
        <v>15</v>
      </c>
      <c r="F813">
        <v>66</v>
      </c>
      <c r="G813">
        <v>1500</v>
      </c>
      <c r="H813">
        <v>4</v>
      </c>
      <c r="I813">
        <v>6000</v>
      </c>
      <c r="J813">
        <v>11.5</v>
      </c>
      <c r="K813" s="2">
        <v>45216</v>
      </c>
      <c r="L813" t="s">
        <v>317</v>
      </c>
    </row>
    <row r="814" spans="1:12" x14ac:dyDescent="0.25">
      <c r="A814" t="s">
        <v>176</v>
      </c>
      <c r="B814" t="s">
        <v>13</v>
      </c>
      <c r="C814" t="s">
        <v>322</v>
      </c>
      <c r="D814" t="s">
        <v>30</v>
      </c>
      <c r="E814" t="s">
        <v>18</v>
      </c>
      <c r="F814">
        <v>20</v>
      </c>
      <c r="G814">
        <v>30</v>
      </c>
      <c r="H814">
        <v>3</v>
      </c>
      <c r="I814">
        <v>90</v>
      </c>
      <c r="J814">
        <v>16.07</v>
      </c>
      <c r="K814" s="2">
        <v>45199</v>
      </c>
      <c r="L814" t="s">
        <v>316</v>
      </c>
    </row>
    <row r="815" spans="1:12" x14ac:dyDescent="0.25">
      <c r="A815" t="s">
        <v>204</v>
      </c>
      <c r="B815" t="s">
        <v>20</v>
      </c>
      <c r="C815" t="s">
        <v>321</v>
      </c>
      <c r="D815" t="s">
        <v>29</v>
      </c>
      <c r="E815" t="s">
        <v>18</v>
      </c>
      <c r="F815">
        <v>69</v>
      </c>
      <c r="G815">
        <v>50</v>
      </c>
      <c r="H815">
        <v>4</v>
      </c>
      <c r="I815">
        <v>200</v>
      </c>
      <c r="J815">
        <v>18.96</v>
      </c>
      <c r="K815" s="2">
        <v>45066</v>
      </c>
      <c r="L815" t="s">
        <v>316</v>
      </c>
    </row>
    <row r="816" spans="1:12" x14ac:dyDescent="0.25">
      <c r="A816" t="s">
        <v>247</v>
      </c>
      <c r="B816" t="s">
        <v>20</v>
      </c>
      <c r="C816" t="s">
        <v>323</v>
      </c>
      <c r="D816" t="s">
        <v>25</v>
      </c>
      <c r="E816" t="s">
        <v>26</v>
      </c>
      <c r="F816">
        <v>37</v>
      </c>
      <c r="G816">
        <v>200</v>
      </c>
      <c r="H816">
        <v>4</v>
      </c>
      <c r="I816">
        <v>800</v>
      </c>
      <c r="J816">
        <v>5.98</v>
      </c>
      <c r="K816" s="2">
        <v>45043</v>
      </c>
      <c r="L816" t="s">
        <v>317</v>
      </c>
    </row>
    <row r="817" spans="1:12" x14ac:dyDescent="0.25">
      <c r="A817" t="s">
        <v>41</v>
      </c>
      <c r="B817" t="s">
        <v>13</v>
      </c>
      <c r="C817" t="s">
        <v>322</v>
      </c>
      <c r="D817" t="s">
        <v>14</v>
      </c>
      <c r="E817" t="s">
        <v>15</v>
      </c>
      <c r="F817">
        <v>32</v>
      </c>
      <c r="G817">
        <v>300</v>
      </c>
      <c r="H817">
        <v>2</v>
      </c>
      <c r="I817">
        <v>600</v>
      </c>
      <c r="J817">
        <v>14.24</v>
      </c>
      <c r="K817" s="2">
        <v>45012</v>
      </c>
      <c r="L817" t="s">
        <v>318</v>
      </c>
    </row>
    <row r="818" spans="1:12" x14ac:dyDescent="0.25">
      <c r="A818" t="s">
        <v>169</v>
      </c>
      <c r="B818" t="s">
        <v>13</v>
      </c>
      <c r="C818" t="s">
        <v>322</v>
      </c>
      <c r="D818" t="s">
        <v>14</v>
      </c>
      <c r="E818" t="s">
        <v>15</v>
      </c>
      <c r="F818">
        <v>51</v>
      </c>
      <c r="G818">
        <v>300</v>
      </c>
      <c r="H818">
        <v>5</v>
      </c>
      <c r="I818">
        <v>1500</v>
      </c>
      <c r="J818">
        <v>11.39</v>
      </c>
      <c r="K818" s="2">
        <v>45138</v>
      </c>
      <c r="L818" t="s">
        <v>316</v>
      </c>
    </row>
    <row r="819" spans="1:12" x14ac:dyDescent="0.25">
      <c r="A819" t="s">
        <v>175</v>
      </c>
      <c r="B819" t="s">
        <v>20</v>
      </c>
      <c r="C819" t="s">
        <v>320</v>
      </c>
      <c r="D819" t="s">
        <v>29</v>
      </c>
      <c r="E819" t="s">
        <v>18</v>
      </c>
      <c r="F819">
        <v>58</v>
      </c>
      <c r="G819">
        <v>50</v>
      </c>
      <c r="H819">
        <v>4</v>
      </c>
      <c r="I819">
        <v>200</v>
      </c>
      <c r="J819">
        <v>17.649999999999999</v>
      </c>
      <c r="K819" s="2">
        <v>44968</v>
      </c>
      <c r="L819" t="s">
        <v>317</v>
      </c>
    </row>
    <row r="820" spans="1:12" x14ac:dyDescent="0.25">
      <c r="A820" t="s">
        <v>221</v>
      </c>
      <c r="B820" t="s">
        <v>20</v>
      </c>
      <c r="C820" t="s">
        <v>323</v>
      </c>
      <c r="D820" t="s">
        <v>40</v>
      </c>
      <c r="E820" t="s">
        <v>15</v>
      </c>
      <c r="F820">
        <v>37</v>
      </c>
      <c r="G820">
        <v>800</v>
      </c>
      <c r="H820">
        <v>5</v>
      </c>
      <c r="I820">
        <v>4000</v>
      </c>
      <c r="J820">
        <v>6.67</v>
      </c>
      <c r="K820" s="2">
        <v>44930</v>
      </c>
      <c r="L820" t="s">
        <v>317</v>
      </c>
    </row>
    <row r="821" spans="1:12" x14ac:dyDescent="0.25">
      <c r="A821" t="s">
        <v>258</v>
      </c>
      <c r="B821" t="s">
        <v>13</v>
      </c>
      <c r="C821" t="s">
        <v>322</v>
      </c>
      <c r="D821" t="s">
        <v>25</v>
      </c>
      <c r="E821" t="s">
        <v>26</v>
      </c>
      <c r="F821">
        <v>55</v>
      </c>
      <c r="G821">
        <v>200</v>
      </c>
      <c r="H821">
        <v>3</v>
      </c>
      <c r="I821">
        <v>600</v>
      </c>
      <c r="J821">
        <v>8.26</v>
      </c>
      <c r="K821" s="2">
        <v>45168</v>
      </c>
      <c r="L821" t="s">
        <v>319</v>
      </c>
    </row>
    <row r="822" spans="1:12" x14ac:dyDescent="0.25">
      <c r="A822" t="s">
        <v>56</v>
      </c>
      <c r="B822" t="s">
        <v>20</v>
      </c>
      <c r="C822" t="s">
        <v>321</v>
      </c>
      <c r="D822" t="s">
        <v>14</v>
      </c>
      <c r="E822" t="s">
        <v>15</v>
      </c>
      <c r="F822">
        <v>35</v>
      </c>
      <c r="G822">
        <v>300</v>
      </c>
      <c r="H822">
        <v>5</v>
      </c>
      <c r="I822">
        <v>1500</v>
      </c>
      <c r="J822">
        <v>18.940000000000001</v>
      </c>
      <c r="K822" s="2">
        <v>44991</v>
      </c>
      <c r="L822" t="s">
        <v>316</v>
      </c>
    </row>
    <row r="823" spans="1:12" x14ac:dyDescent="0.25">
      <c r="A823" t="s">
        <v>173</v>
      </c>
      <c r="B823" t="s">
        <v>20</v>
      </c>
      <c r="C823" t="s">
        <v>322</v>
      </c>
      <c r="D823" t="s">
        <v>14</v>
      </c>
      <c r="E823" t="s">
        <v>15</v>
      </c>
      <c r="F823">
        <v>60</v>
      </c>
      <c r="G823">
        <v>300</v>
      </c>
      <c r="H823">
        <v>3</v>
      </c>
      <c r="I823">
        <v>900</v>
      </c>
      <c r="J823">
        <v>19.78</v>
      </c>
      <c r="K823" s="2">
        <v>44983</v>
      </c>
      <c r="L823" t="s">
        <v>317</v>
      </c>
    </row>
    <row r="824" spans="1:12" x14ac:dyDescent="0.25">
      <c r="A824" t="s">
        <v>166</v>
      </c>
      <c r="B824" t="s">
        <v>13</v>
      </c>
      <c r="C824" t="s">
        <v>320</v>
      </c>
      <c r="D824" t="s">
        <v>40</v>
      </c>
      <c r="E824" t="s">
        <v>15</v>
      </c>
      <c r="F824">
        <v>43</v>
      </c>
      <c r="G824">
        <v>800</v>
      </c>
      <c r="H824">
        <v>4</v>
      </c>
      <c r="I824">
        <v>3200</v>
      </c>
      <c r="J824">
        <v>10.65</v>
      </c>
      <c r="K824" s="2">
        <v>44982</v>
      </c>
      <c r="L824" t="s">
        <v>316</v>
      </c>
    </row>
    <row r="825" spans="1:12" x14ac:dyDescent="0.25">
      <c r="A825" t="s">
        <v>208</v>
      </c>
      <c r="B825" t="s">
        <v>20</v>
      </c>
      <c r="C825" t="s">
        <v>320</v>
      </c>
      <c r="D825" t="s">
        <v>25</v>
      </c>
      <c r="E825" t="s">
        <v>26</v>
      </c>
      <c r="F825">
        <v>26</v>
      </c>
      <c r="G825">
        <v>200</v>
      </c>
      <c r="H825">
        <v>4</v>
      </c>
      <c r="I825">
        <v>800</v>
      </c>
      <c r="J825">
        <v>14.25</v>
      </c>
      <c r="K825" s="2">
        <v>44929</v>
      </c>
      <c r="L825" t="s">
        <v>318</v>
      </c>
    </row>
    <row r="826" spans="1:12" x14ac:dyDescent="0.25">
      <c r="A826" t="s">
        <v>251</v>
      </c>
      <c r="B826" t="s">
        <v>13</v>
      </c>
      <c r="C826" t="s">
        <v>321</v>
      </c>
      <c r="D826" t="s">
        <v>14</v>
      </c>
      <c r="E826" t="s">
        <v>15</v>
      </c>
      <c r="F826">
        <v>51</v>
      </c>
      <c r="G826">
        <v>300</v>
      </c>
      <c r="H826">
        <v>4</v>
      </c>
      <c r="I826">
        <v>1200</v>
      </c>
      <c r="J826">
        <v>6.26</v>
      </c>
      <c r="K826" s="2">
        <v>45288</v>
      </c>
      <c r="L826" t="s">
        <v>316</v>
      </c>
    </row>
    <row r="827" spans="1:12" x14ac:dyDescent="0.25">
      <c r="A827" t="s">
        <v>271</v>
      </c>
      <c r="B827" t="s">
        <v>13</v>
      </c>
      <c r="C827" t="s">
        <v>322</v>
      </c>
      <c r="D827" t="s">
        <v>29</v>
      </c>
      <c r="E827" t="s">
        <v>18</v>
      </c>
      <c r="F827">
        <v>65</v>
      </c>
      <c r="G827">
        <v>50</v>
      </c>
      <c r="H827">
        <v>3</v>
      </c>
      <c r="I827">
        <v>150</v>
      </c>
      <c r="J827">
        <v>12.69</v>
      </c>
      <c r="K827" s="2">
        <v>45248</v>
      </c>
      <c r="L827" t="s">
        <v>318</v>
      </c>
    </row>
    <row r="828" spans="1:12" x14ac:dyDescent="0.25">
      <c r="A828" t="s">
        <v>305</v>
      </c>
      <c r="B828" t="s">
        <v>13</v>
      </c>
      <c r="C828" t="s">
        <v>321</v>
      </c>
      <c r="D828" t="s">
        <v>25</v>
      </c>
      <c r="E828" t="s">
        <v>26</v>
      </c>
      <c r="F828">
        <v>24</v>
      </c>
      <c r="G828">
        <v>200</v>
      </c>
      <c r="H828">
        <v>3</v>
      </c>
      <c r="I828">
        <v>600</v>
      </c>
      <c r="J828">
        <v>19.39</v>
      </c>
      <c r="K828" s="2">
        <v>44996</v>
      </c>
      <c r="L828" t="s">
        <v>317</v>
      </c>
    </row>
    <row r="829" spans="1:12" x14ac:dyDescent="0.25">
      <c r="A829" t="s">
        <v>170</v>
      </c>
      <c r="B829" t="s">
        <v>13</v>
      </c>
      <c r="C829" t="s">
        <v>320</v>
      </c>
      <c r="D829" t="s">
        <v>17</v>
      </c>
      <c r="E829" t="s">
        <v>18</v>
      </c>
      <c r="F829">
        <v>57</v>
      </c>
      <c r="G829">
        <v>100</v>
      </c>
      <c r="H829">
        <v>4</v>
      </c>
      <c r="I829">
        <v>400</v>
      </c>
      <c r="J829">
        <v>14.49</v>
      </c>
      <c r="K829" s="2">
        <v>45188</v>
      </c>
      <c r="L829" t="s">
        <v>317</v>
      </c>
    </row>
    <row r="830" spans="1:12" x14ac:dyDescent="0.25">
      <c r="A830" t="s">
        <v>79</v>
      </c>
      <c r="B830" t="s">
        <v>13</v>
      </c>
      <c r="C830" t="s">
        <v>322</v>
      </c>
      <c r="D830" t="s">
        <v>25</v>
      </c>
      <c r="E830" t="s">
        <v>26</v>
      </c>
      <c r="F830">
        <v>52</v>
      </c>
      <c r="G830">
        <v>200</v>
      </c>
      <c r="H830">
        <v>5</v>
      </c>
      <c r="I830">
        <v>1000</v>
      </c>
      <c r="J830">
        <v>13.13</v>
      </c>
      <c r="K830" s="2">
        <v>45061</v>
      </c>
      <c r="L830" t="s">
        <v>317</v>
      </c>
    </row>
    <row r="831" spans="1:12" x14ac:dyDescent="0.25">
      <c r="A831" t="s">
        <v>97</v>
      </c>
      <c r="B831" t="s">
        <v>13</v>
      </c>
      <c r="C831" t="s">
        <v>320</v>
      </c>
      <c r="D831" t="s">
        <v>14</v>
      </c>
      <c r="E831" t="s">
        <v>15</v>
      </c>
      <c r="F831">
        <v>59</v>
      </c>
      <c r="G831">
        <v>300</v>
      </c>
      <c r="H831">
        <v>4</v>
      </c>
      <c r="I831">
        <v>1200</v>
      </c>
      <c r="J831">
        <v>15.92</v>
      </c>
      <c r="K831" s="2">
        <v>45222</v>
      </c>
      <c r="L831" t="s">
        <v>317</v>
      </c>
    </row>
    <row r="832" spans="1:12" x14ac:dyDescent="0.25">
      <c r="A832" t="s">
        <v>227</v>
      </c>
      <c r="B832" t="s">
        <v>13</v>
      </c>
      <c r="C832" t="s">
        <v>321</v>
      </c>
      <c r="D832" t="s">
        <v>25</v>
      </c>
      <c r="E832" t="s">
        <v>26</v>
      </c>
      <c r="F832">
        <v>66</v>
      </c>
      <c r="G832">
        <v>200</v>
      </c>
      <c r="H832">
        <v>5</v>
      </c>
      <c r="I832">
        <v>1000</v>
      </c>
      <c r="J832">
        <v>12.06</v>
      </c>
      <c r="K832" s="2">
        <v>44992</v>
      </c>
      <c r="L832" t="s">
        <v>316</v>
      </c>
    </row>
    <row r="833" spans="1:12" x14ac:dyDescent="0.25">
      <c r="A833" t="s">
        <v>244</v>
      </c>
      <c r="B833" t="s">
        <v>13</v>
      </c>
      <c r="C833" t="s">
        <v>323</v>
      </c>
      <c r="D833" t="s">
        <v>29</v>
      </c>
      <c r="E833" t="s">
        <v>18</v>
      </c>
      <c r="F833">
        <v>23</v>
      </c>
      <c r="G833">
        <v>50</v>
      </c>
      <c r="H833">
        <v>1</v>
      </c>
      <c r="I833">
        <v>50</v>
      </c>
      <c r="J833">
        <v>16.34</v>
      </c>
      <c r="K833" s="2">
        <v>44942</v>
      </c>
      <c r="L833" t="s">
        <v>317</v>
      </c>
    </row>
    <row r="834" spans="1:12" x14ac:dyDescent="0.25">
      <c r="A834" t="s">
        <v>45</v>
      </c>
      <c r="B834" t="s">
        <v>20</v>
      </c>
      <c r="C834" t="s">
        <v>320</v>
      </c>
      <c r="D834" t="s">
        <v>25</v>
      </c>
      <c r="E834" t="s">
        <v>26</v>
      </c>
      <c r="F834">
        <v>52</v>
      </c>
      <c r="G834">
        <v>200</v>
      </c>
      <c r="H834">
        <v>3</v>
      </c>
      <c r="I834">
        <v>600</v>
      </c>
      <c r="J834">
        <v>15.85</v>
      </c>
      <c r="K834" s="2">
        <v>45026</v>
      </c>
      <c r="L834" t="s">
        <v>318</v>
      </c>
    </row>
    <row r="835" spans="1:12" x14ac:dyDescent="0.25">
      <c r="A835" t="s">
        <v>186</v>
      </c>
      <c r="B835" t="s">
        <v>20</v>
      </c>
      <c r="C835" t="s">
        <v>322</v>
      </c>
      <c r="D835" t="s">
        <v>17</v>
      </c>
      <c r="E835" t="s">
        <v>18</v>
      </c>
      <c r="F835">
        <v>49</v>
      </c>
      <c r="G835">
        <v>100</v>
      </c>
      <c r="H835">
        <v>3</v>
      </c>
      <c r="I835">
        <v>300</v>
      </c>
      <c r="J835">
        <v>19.010000000000002</v>
      </c>
      <c r="K835" s="2">
        <v>45182</v>
      </c>
      <c r="L835" t="s">
        <v>317</v>
      </c>
    </row>
    <row r="836" spans="1:12" x14ac:dyDescent="0.25">
      <c r="A836" t="s">
        <v>189</v>
      </c>
      <c r="B836" t="s">
        <v>13</v>
      </c>
      <c r="C836" t="s">
        <v>323</v>
      </c>
      <c r="D836" t="s">
        <v>23</v>
      </c>
      <c r="E836" t="s">
        <v>15</v>
      </c>
      <c r="F836">
        <v>49</v>
      </c>
      <c r="G836">
        <v>1500</v>
      </c>
      <c r="H836">
        <v>3</v>
      </c>
      <c r="I836">
        <v>4500</v>
      </c>
      <c r="J836">
        <v>9.83</v>
      </c>
      <c r="K836" s="2">
        <v>45195</v>
      </c>
      <c r="L836" t="s">
        <v>317</v>
      </c>
    </row>
    <row r="837" spans="1:12" x14ac:dyDescent="0.25">
      <c r="A837" t="s">
        <v>274</v>
      </c>
      <c r="B837" t="s">
        <v>20</v>
      </c>
      <c r="C837" t="s">
        <v>323</v>
      </c>
      <c r="D837" t="s">
        <v>30</v>
      </c>
      <c r="E837" t="s">
        <v>18</v>
      </c>
      <c r="F837">
        <v>56</v>
      </c>
      <c r="G837">
        <v>30</v>
      </c>
      <c r="H837">
        <v>4</v>
      </c>
      <c r="I837">
        <v>120</v>
      </c>
      <c r="J837">
        <v>5.17</v>
      </c>
      <c r="K837" s="2">
        <v>45253</v>
      </c>
      <c r="L837" t="s">
        <v>317</v>
      </c>
    </row>
    <row r="838" spans="1:12" x14ac:dyDescent="0.25">
      <c r="A838" t="s">
        <v>155</v>
      </c>
      <c r="B838" t="s">
        <v>13</v>
      </c>
      <c r="C838" t="s">
        <v>322</v>
      </c>
      <c r="D838" t="s">
        <v>40</v>
      </c>
      <c r="E838" t="s">
        <v>15</v>
      </c>
      <c r="F838">
        <v>49</v>
      </c>
      <c r="G838">
        <v>800</v>
      </c>
      <c r="H838">
        <v>3</v>
      </c>
      <c r="I838">
        <v>2400</v>
      </c>
      <c r="J838">
        <v>15.04</v>
      </c>
      <c r="K838" s="2">
        <v>45150</v>
      </c>
      <c r="L838" t="s">
        <v>317</v>
      </c>
    </row>
    <row r="839" spans="1:12" x14ac:dyDescent="0.25">
      <c r="A839" t="s">
        <v>239</v>
      </c>
      <c r="B839" t="s">
        <v>13</v>
      </c>
      <c r="C839" t="s">
        <v>321</v>
      </c>
      <c r="D839" t="s">
        <v>40</v>
      </c>
      <c r="E839" t="s">
        <v>15</v>
      </c>
      <c r="F839">
        <v>49</v>
      </c>
      <c r="G839">
        <v>800</v>
      </c>
      <c r="H839">
        <v>5</v>
      </c>
      <c r="I839">
        <v>4000</v>
      </c>
      <c r="J839">
        <v>18.489999999999998</v>
      </c>
      <c r="K839" s="2">
        <v>45273</v>
      </c>
      <c r="L839" t="s">
        <v>318</v>
      </c>
    </row>
    <row r="840" spans="1:12" x14ac:dyDescent="0.25">
      <c r="A840" t="s">
        <v>306</v>
      </c>
      <c r="B840" t="s">
        <v>20</v>
      </c>
      <c r="C840" t="s">
        <v>322</v>
      </c>
      <c r="D840" t="s">
        <v>25</v>
      </c>
      <c r="E840" t="s">
        <v>26</v>
      </c>
      <c r="F840">
        <v>44</v>
      </c>
      <c r="G840">
        <v>200</v>
      </c>
      <c r="H840">
        <v>1</v>
      </c>
      <c r="I840">
        <v>200</v>
      </c>
      <c r="J840">
        <v>7.67</v>
      </c>
      <c r="K840" s="2">
        <v>45115</v>
      </c>
      <c r="L840" t="s">
        <v>316</v>
      </c>
    </row>
    <row r="841" spans="1:12" x14ac:dyDescent="0.25">
      <c r="A841" t="s">
        <v>99</v>
      </c>
      <c r="B841" t="s">
        <v>20</v>
      </c>
      <c r="C841" t="s">
        <v>320</v>
      </c>
      <c r="D841" t="s">
        <v>29</v>
      </c>
      <c r="E841" t="s">
        <v>18</v>
      </c>
      <c r="F841">
        <v>19</v>
      </c>
      <c r="G841">
        <v>50</v>
      </c>
      <c r="H841">
        <v>3</v>
      </c>
      <c r="I841">
        <v>150</v>
      </c>
      <c r="J841">
        <v>5.76</v>
      </c>
      <c r="K841" s="2">
        <v>45132</v>
      </c>
      <c r="L841" t="s">
        <v>317</v>
      </c>
    </row>
    <row r="842" spans="1:12" x14ac:dyDescent="0.25">
      <c r="A842" t="s">
        <v>299</v>
      </c>
      <c r="B842" t="s">
        <v>13</v>
      </c>
      <c r="C842" t="s">
        <v>319</v>
      </c>
      <c r="D842" t="s">
        <v>25</v>
      </c>
      <c r="E842" t="s">
        <v>26</v>
      </c>
      <c r="F842">
        <v>40</v>
      </c>
      <c r="G842">
        <v>200</v>
      </c>
      <c r="H842">
        <v>1</v>
      </c>
      <c r="I842">
        <v>200</v>
      </c>
      <c r="J842">
        <v>16.29</v>
      </c>
      <c r="K842" s="2">
        <v>45115</v>
      </c>
      <c r="L842" t="s">
        <v>317</v>
      </c>
    </row>
    <row r="843" spans="1:12" x14ac:dyDescent="0.25">
      <c r="A843" t="s">
        <v>297</v>
      </c>
      <c r="B843" t="s">
        <v>13</v>
      </c>
      <c r="C843" t="s">
        <v>321</v>
      </c>
      <c r="D843" t="s">
        <v>17</v>
      </c>
      <c r="E843" t="s">
        <v>18</v>
      </c>
      <c r="F843">
        <v>44</v>
      </c>
      <c r="G843">
        <v>100</v>
      </c>
      <c r="H843">
        <v>1</v>
      </c>
      <c r="I843">
        <v>100</v>
      </c>
      <c r="J843">
        <v>6.43</v>
      </c>
      <c r="K843" s="2">
        <v>45135</v>
      </c>
      <c r="L843" t="s">
        <v>316</v>
      </c>
    </row>
    <row r="844" spans="1:12" x14ac:dyDescent="0.25">
      <c r="A844" t="s">
        <v>254</v>
      </c>
      <c r="B844" t="s">
        <v>13</v>
      </c>
      <c r="C844" t="s">
        <v>321</v>
      </c>
      <c r="D844" t="s">
        <v>23</v>
      </c>
      <c r="E844" t="s">
        <v>15</v>
      </c>
      <c r="F844">
        <v>69</v>
      </c>
      <c r="G844">
        <v>1500</v>
      </c>
      <c r="H844">
        <v>1</v>
      </c>
      <c r="I844">
        <v>1500</v>
      </c>
      <c r="J844">
        <v>7.32</v>
      </c>
      <c r="K844" s="2">
        <v>45188</v>
      </c>
      <c r="L844" t="s">
        <v>316</v>
      </c>
    </row>
    <row r="845" spans="1:12" x14ac:dyDescent="0.25">
      <c r="A845" t="s">
        <v>160</v>
      </c>
      <c r="B845" t="s">
        <v>20</v>
      </c>
      <c r="C845" t="s">
        <v>322</v>
      </c>
      <c r="D845" t="s">
        <v>25</v>
      </c>
      <c r="E845" t="s">
        <v>26</v>
      </c>
      <c r="F845">
        <v>27</v>
      </c>
      <c r="G845">
        <v>200</v>
      </c>
      <c r="H845">
        <v>2</v>
      </c>
      <c r="I845">
        <v>400</v>
      </c>
      <c r="J845">
        <v>9.9700000000000006</v>
      </c>
      <c r="K845" s="2">
        <v>44944</v>
      </c>
      <c r="L845" t="s">
        <v>316</v>
      </c>
    </row>
    <row r="846" spans="1:12" x14ac:dyDescent="0.25">
      <c r="A846" t="s">
        <v>85</v>
      </c>
      <c r="B846" t="s">
        <v>20</v>
      </c>
      <c r="C846" t="s">
        <v>321</v>
      </c>
      <c r="D846" t="s">
        <v>25</v>
      </c>
      <c r="E846" t="s">
        <v>26</v>
      </c>
      <c r="F846">
        <v>41</v>
      </c>
      <c r="G846">
        <v>200</v>
      </c>
      <c r="H846">
        <v>5</v>
      </c>
      <c r="I846">
        <v>1000</v>
      </c>
      <c r="J846">
        <v>12.79</v>
      </c>
      <c r="K846" s="2">
        <v>44932</v>
      </c>
      <c r="L846" t="s">
        <v>317</v>
      </c>
    </row>
    <row r="847" spans="1:12" x14ac:dyDescent="0.25">
      <c r="A847" t="s">
        <v>214</v>
      </c>
      <c r="B847" t="s">
        <v>20</v>
      </c>
      <c r="C847" t="s">
        <v>320</v>
      </c>
      <c r="D847" t="s">
        <v>30</v>
      </c>
      <c r="E847" t="s">
        <v>18</v>
      </c>
      <c r="F847">
        <v>49</v>
      </c>
      <c r="G847">
        <v>30</v>
      </c>
      <c r="H847">
        <v>4</v>
      </c>
      <c r="I847">
        <v>120</v>
      </c>
      <c r="J847">
        <v>17.23</v>
      </c>
      <c r="K847" s="2">
        <v>45116</v>
      </c>
      <c r="L847" t="s">
        <v>316</v>
      </c>
    </row>
    <row r="848" spans="1:12" x14ac:dyDescent="0.25">
      <c r="A848" t="s">
        <v>113</v>
      </c>
      <c r="B848" t="s">
        <v>13</v>
      </c>
      <c r="C848" t="s">
        <v>321</v>
      </c>
      <c r="D848" t="s">
        <v>30</v>
      </c>
      <c r="E848" t="s">
        <v>18</v>
      </c>
      <c r="F848">
        <v>63</v>
      </c>
      <c r="G848">
        <v>62.191212249732999</v>
      </c>
      <c r="H848">
        <v>5</v>
      </c>
      <c r="I848">
        <v>150</v>
      </c>
      <c r="J848">
        <v>10.81</v>
      </c>
      <c r="K848" s="2">
        <v>45108</v>
      </c>
      <c r="L848" t="s">
        <v>318</v>
      </c>
    </row>
    <row r="849" spans="1:12" x14ac:dyDescent="0.25">
      <c r="A849" t="s">
        <v>202</v>
      </c>
      <c r="B849" t="s">
        <v>13</v>
      </c>
      <c r="C849" t="s">
        <v>323</v>
      </c>
      <c r="D849" t="s">
        <v>25</v>
      </c>
      <c r="E849" t="s">
        <v>26</v>
      </c>
      <c r="F849">
        <v>66</v>
      </c>
      <c r="G849">
        <v>200</v>
      </c>
      <c r="H849">
        <v>4</v>
      </c>
      <c r="I849">
        <v>800</v>
      </c>
      <c r="J849">
        <v>16.989999999999998</v>
      </c>
      <c r="K849" s="2">
        <v>45214</v>
      </c>
      <c r="L849" t="s">
        <v>316</v>
      </c>
    </row>
    <row r="850" spans="1:12" x14ac:dyDescent="0.25">
      <c r="A850" t="s">
        <v>136</v>
      </c>
      <c r="B850" t="s">
        <v>20</v>
      </c>
      <c r="C850" t="s">
        <v>320</v>
      </c>
      <c r="D850" t="s">
        <v>14</v>
      </c>
      <c r="E850" t="s">
        <v>15</v>
      </c>
      <c r="F850">
        <v>37</v>
      </c>
      <c r="G850">
        <v>300</v>
      </c>
      <c r="H850">
        <v>3</v>
      </c>
      <c r="I850">
        <v>900</v>
      </c>
      <c r="J850">
        <v>17.149999999999999</v>
      </c>
      <c r="K850" s="2">
        <v>45294</v>
      </c>
      <c r="L850" t="s">
        <v>317</v>
      </c>
    </row>
    <row r="851" spans="1:12" x14ac:dyDescent="0.25">
      <c r="A851" t="s">
        <v>295</v>
      </c>
      <c r="B851" t="s">
        <v>13</v>
      </c>
      <c r="C851" t="s">
        <v>322</v>
      </c>
      <c r="D851" t="s">
        <v>23</v>
      </c>
      <c r="E851" t="s">
        <v>15</v>
      </c>
      <c r="F851">
        <v>39</v>
      </c>
      <c r="G851">
        <v>1500</v>
      </c>
      <c r="H851">
        <v>2</v>
      </c>
      <c r="I851">
        <v>3000</v>
      </c>
      <c r="J851">
        <v>11.24</v>
      </c>
      <c r="K851" s="2">
        <v>45246</v>
      </c>
      <c r="L851" t="s">
        <v>316</v>
      </c>
    </row>
    <row r="852" spans="1:12" x14ac:dyDescent="0.25">
      <c r="A852" t="s">
        <v>50</v>
      </c>
      <c r="B852" t="s">
        <v>20</v>
      </c>
      <c r="C852" t="s">
        <v>320</v>
      </c>
      <c r="D852" t="s">
        <v>14</v>
      </c>
      <c r="E852" t="s">
        <v>15</v>
      </c>
      <c r="F852">
        <v>31</v>
      </c>
      <c r="G852">
        <v>300</v>
      </c>
      <c r="H852">
        <v>2</v>
      </c>
      <c r="I852">
        <v>600</v>
      </c>
      <c r="J852">
        <v>5.84</v>
      </c>
      <c r="K852" s="2">
        <v>45157</v>
      </c>
      <c r="L852" t="s">
        <v>317</v>
      </c>
    </row>
    <row r="853" spans="1:12" x14ac:dyDescent="0.25">
      <c r="A853" t="s">
        <v>81</v>
      </c>
      <c r="B853" t="s">
        <v>20</v>
      </c>
      <c r="C853" t="s">
        <v>321</v>
      </c>
      <c r="D853" t="s">
        <v>40</v>
      </c>
      <c r="E853" t="s">
        <v>15</v>
      </c>
      <c r="F853">
        <v>33</v>
      </c>
      <c r="G853">
        <v>800</v>
      </c>
      <c r="H853">
        <v>2</v>
      </c>
      <c r="I853">
        <v>1600</v>
      </c>
      <c r="J853">
        <v>7.61</v>
      </c>
      <c r="K853" s="2">
        <v>45268</v>
      </c>
      <c r="L853" t="s">
        <v>316</v>
      </c>
    </row>
    <row r="854" spans="1:12" x14ac:dyDescent="0.25">
      <c r="A854" t="s">
        <v>67</v>
      </c>
      <c r="B854" t="s">
        <v>13</v>
      </c>
      <c r="C854" t="s">
        <v>323</v>
      </c>
      <c r="D854" t="s">
        <v>17</v>
      </c>
      <c r="E854" t="s">
        <v>18</v>
      </c>
      <c r="F854">
        <v>68</v>
      </c>
      <c r="G854">
        <v>100</v>
      </c>
      <c r="H854">
        <v>4</v>
      </c>
      <c r="I854">
        <v>400</v>
      </c>
      <c r="J854">
        <v>14.97</v>
      </c>
      <c r="K854" s="2">
        <v>45269</v>
      </c>
      <c r="L854" t="s">
        <v>316</v>
      </c>
    </row>
    <row r="855" spans="1:12" x14ac:dyDescent="0.25">
      <c r="A855" t="s">
        <v>298</v>
      </c>
      <c r="B855" t="s">
        <v>20</v>
      </c>
      <c r="C855" t="s">
        <v>322</v>
      </c>
      <c r="D855" t="s">
        <v>14</v>
      </c>
      <c r="E855" t="s">
        <v>15</v>
      </c>
      <c r="F855">
        <v>35</v>
      </c>
      <c r="G855">
        <v>300</v>
      </c>
      <c r="H855">
        <v>1</v>
      </c>
      <c r="I855">
        <v>300</v>
      </c>
      <c r="J855">
        <v>15.16</v>
      </c>
      <c r="K855" s="2">
        <v>45224</v>
      </c>
      <c r="L855" t="s">
        <v>316</v>
      </c>
    </row>
    <row r="856" spans="1:12" x14ac:dyDescent="0.25">
      <c r="A856" t="s">
        <v>16</v>
      </c>
      <c r="B856" t="s">
        <v>13</v>
      </c>
      <c r="C856" t="s">
        <v>323</v>
      </c>
      <c r="D856" t="s">
        <v>23</v>
      </c>
      <c r="E856" t="s">
        <v>15</v>
      </c>
      <c r="F856">
        <v>22</v>
      </c>
      <c r="G856">
        <v>1500</v>
      </c>
      <c r="H856">
        <v>2</v>
      </c>
      <c r="I856">
        <v>3000</v>
      </c>
      <c r="J856">
        <v>15.58</v>
      </c>
      <c r="K856" s="2">
        <v>45276</v>
      </c>
      <c r="L856" t="s">
        <v>318</v>
      </c>
    </row>
    <row r="857" spans="1:12" x14ac:dyDescent="0.25">
      <c r="A857" t="s">
        <v>242</v>
      </c>
      <c r="B857" t="s">
        <v>20</v>
      </c>
      <c r="C857" t="s">
        <v>320</v>
      </c>
      <c r="D857" t="s">
        <v>23</v>
      </c>
      <c r="E857" t="s">
        <v>15</v>
      </c>
      <c r="F857">
        <v>68</v>
      </c>
      <c r="G857">
        <v>1500</v>
      </c>
      <c r="H857">
        <v>1</v>
      </c>
      <c r="I857">
        <v>1500</v>
      </c>
      <c r="J857">
        <v>5.57</v>
      </c>
      <c r="K857" s="2">
        <v>45144</v>
      </c>
      <c r="L857" t="s">
        <v>318</v>
      </c>
    </row>
    <row r="858" spans="1:12" x14ac:dyDescent="0.25">
      <c r="A858" t="s">
        <v>279</v>
      </c>
      <c r="B858" t="s">
        <v>13</v>
      </c>
      <c r="C858" t="s">
        <v>323</v>
      </c>
      <c r="D858" t="s">
        <v>23</v>
      </c>
      <c r="E858" t="s">
        <v>15</v>
      </c>
      <c r="F858">
        <v>38</v>
      </c>
      <c r="G858">
        <v>1500</v>
      </c>
      <c r="H858">
        <v>4</v>
      </c>
      <c r="I858">
        <v>6000</v>
      </c>
      <c r="J858">
        <v>11.28</v>
      </c>
      <c r="K858" s="2">
        <v>45042</v>
      </c>
      <c r="L858" t="s">
        <v>316</v>
      </c>
    </row>
    <row r="859" spans="1:12" x14ac:dyDescent="0.25">
      <c r="A859" t="s">
        <v>291</v>
      </c>
      <c r="B859" t="s">
        <v>20</v>
      </c>
      <c r="C859" t="s">
        <v>321</v>
      </c>
      <c r="D859" t="s">
        <v>40</v>
      </c>
      <c r="E859" t="s">
        <v>15</v>
      </c>
      <c r="F859">
        <v>53</v>
      </c>
      <c r="G859">
        <v>800</v>
      </c>
      <c r="H859">
        <v>4</v>
      </c>
      <c r="I859">
        <v>3200</v>
      </c>
      <c r="J859">
        <v>14.35</v>
      </c>
      <c r="K859" s="2">
        <v>45104</v>
      </c>
      <c r="L859" t="s">
        <v>318</v>
      </c>
    </row>
    <row r="860" spans="1:12" x14ac:dyDescent="0.25">
      <c r="A860" t="s">
        <v>110</v>
      </c>
      <c r="B860" t="s">
        <v>20</v>
      </c>
      <c r="C860" t="s">
        <v>321</v>
      </c>
      <c r="D860" t="s">
        <v>29</v>
      </c>
      <c r="E860" t="s">
        <v>18</v>
      </c>
      <c r="F860">
        <v>38</v>
      </c>
      <c r="G860">
        <v>50</v>
      </c>
      <c r="H860">
        <v>4</v>
      </c>
      <c r="I860">
        <v>200</v>
      </c>
      <c r="J860">
        <v>19.170000000000002</v>
      </c>
      <c r="K860" s="2">
        <v>44952</v>
      </c>
      <c r="L860" t="s">
        <v>316</v>
      </c>
    </row>
    <row r="861" spans="1:12" x14ac:dyDescent="0.25">
      <c r="A861" t="s">
        <v>159</v>
      </c>
      <c r="B861" t="s">
        <v>13</v>
      </c>
      <c r="C861" t="s">
        <v>322</v>
      </c>
      <c r="D861" t="s">
        <v>30</v>
      </c>
      <c r="E861" t="s">
        <v>18</v>
      </c>
      <c r="F861">
        <v>26</v>
      </c>
      <c r="G861">
        <v>30</v>
      </c>
      <c r="H861">
        <v>1</v>
      </c>
      <c r="I861">
        <v>30</v>
      </c>
      <c r="J861">
        <v>10.220000000000001</v>
      </c>
      <c r="K861" s="2">
        <v>45225</v>
      </c>
      <c r="L861" t="s">
        <v>318</v>
      </c>
    </row>
    <row r="862" spans="1:12" x14ac:dyDescent="0.25">
      <c r="A862" t="s">
        <v>304</v>
      </c>
      <c r="B862" t="s">
        <v>13</v>
      </c>
      <c r="C862" t="s">
        <v>320</v>
      </c>
      <c r="D862" t="s">
        <v>29</v>
      </c>
      <c r="E862" t="s">
        <v>18</v>
      </c>
      <c r="F862">
        <v>35</v>
      </c>
      <c r="G862">
        <v>50</v>
      </c>
      <c r="H862">
        <v>3</v>
      </c>
      <c r="I862">
        <v>150</v>
      </c>
      <c r="J862">
        <v>12.89</v>
      </c>
      <c r="K862" s="2">
        <v>44956</v>
      </c>
      <c r="L862" t="s">
        <v>317</v>
      </c>
    </row>
    <row r="863" spans="1:12" x14ac:dyDescent="0.25">
      <c r="A863" t="s">
        <v>307</v>
      </c>
      <c r="B863" t="s">
        <v>20</v>
      </c>
      <c r="C863" t="s">
        <v>320</v>
      </c>
      <c r="D863" t="s">
        <v>29</v>
      </c>
      <c r="E863" t="s">
        <v>18</v>
      </c>
      <c r="F863">
        <v>38</v>
      </c>
      <c r="G863">
        <v>50</v>
      </c>
      <c r="H863">
        <v>4</v>
      </c>
      <c r="I863">
        <v>200</v>
      </c>
      <c r="J863">
        <v>7.52</v>
      </c>
      <c r="K863" s="2">
        <v>45075</v>
      </c>
      <c r="L863" t="s">
        <v>317</v>
      </c>
    </row>
    <row r="864" spans="1:12" x14ac:dyDescent="0.25">
      <c r="A864" t="s">
        <v>308</v>
      </c>
      <c r="B864" t="s">
        <v>20</v>
      </c>
      <c r="C864" t="s">
        <v>322</v>
      </c>
      <c r="D864" t="s">
        <v>14</v>
      </c>
      <c r="E864" t="s">
        <v>15</v>
      </c>
      <c r="F864">
        <v>45</v>
      </c>
      <c r="G864">
        <v>300</v>
      </c>
      <c r="H864">
        <v>2</v>
      </c>
      <c r="I864">
        <v>600</v>
      </c>
      <c r="J864">
        <v>9.09</v>
      </c>
      <c r="K864" s="2">
        <v>45201</v>
      </c>
      <c r="L864" t="s">
        <v>317</v>
      </c>
    </row>
    <row r="865" spans="1:12" x14ac:dyDescent="0.25">
      <c r="A865" t="s">
        <v>230</v>
      </c>
      <c r="B865" t="s">
        <v>13</v>
      </c>
      <c r="C865" t="s">
        <v>320</v>
      </c>
      <c r="D865" t="s">
        <v>14</v>
      </c>
      <c r="E865" t="s">
        <v>15</v>
      </c>
      <c r="F865">
        <v>42</v>
      </c>
      <c r="G865">
        <v>300</v>
      </c>
      <c r="H865">
        <v>4</v>
      </c>
      <c r="I865">
        <v>1200</v>
      </c>
      <c r="J865">
        <v>5.56</v>
      </c>
      <c r="K865" s="2">
        <v>45083</v>
      </c>
      <c r="L865" t="s">
        <v>317</v>
      </c>
    </row>
    <row r="866" spans="1:12" x14ac:dyDescent="0.25">
      <c r="A866" t="s">
        <v>53</v>
      </c>
      <c r="B866" t="s">
        <v>13</v>
      </c>
      <c r="C866" t="s">
        <v>320</v>
      </c>
      <c r="D866" t="s">
        <v>25</v>
      </c>
      <c r="E866" t="s">
        <v>26</v>
      </c>
      <c r="F866">
        <v>49</v>
      </c>
      <c r="G866">
        <v>200</v>
      </c>
      <c r="H866">
        <v>2</v>
      </c>
      <c r="I866">
        <v>400</v>
      </c>
      <c r="J866">
        <v>19.66</v>
      </c>
      <c r="K866" s="2">
        <v>44957</v>
      </c>
      <c r="L866" t="s">
        <v>316</v>
      </c>
    </row>
    <row r="867" spans="1:12" x14ac:dyDescent="0.25">
      <c r="A867" t="s">
        <v>39</v>
      </c>
      <c r="B867" t="s">
        <v>13</v>
      </c>
      <c r="C867" t="s">
        <v>322</v>
      </c>
      <c r="D867" t="s">
        <v>14</v>
      </c>
      <c r="E867" t="s">
        <v>15</v>
      </c>
      <c r="F867">
        <v>30</v>
      </c>
      <c r="G867">
        <v>300</v>
      </c>
      <c r="H867">
        <v>1</v>
      </c>
      <c r="I867">
        <v>300</v>
      </c>
      <c r="J867">
        <v>11.26</v>
      </c>
      <c r="K867" s="2">
        <v>45291</v>
      </c>
      <c r="L867" t="s">
        <v>316</v>
      </c>
    </row>
    <row r="868" spans="1:12" x14ac:dyDescent="0.25">
      <c r="A868" t="s">
        <v>176</v>
      </c>
      <c r="B868" t="s">
        <v>13</v>
      </c>
      <c r="C868" t="s">
        <v>322</v>
      </c>
      <c r="D868" t="s">
        <v>30</v>
      </c>
      <c r="E868" t="s">
        <v>18</v>
      </c>
      <c r="F868">
        <v>20</v>
      </c>
      <c r="G868">
        <v>30</v>
      </c>
      <c r="H868">
        <v>1</v>
      </c>
      <c r="I868">
        <v>30</v>
      </c>
      <c r="J868">
        <v>5.41</v>
      </c>
      <c r="K868" s="2">
        <v>44931</v>
      </c>
      <c r="L868" t="s">
        <v>317</v>
      </c>
    </row>
    <row r="869" spans="1:12" x14ac:dyDescent="0.25">
      <c r="A869" t="s">
        <v>234</v>
      </c>
      <c r="B869" t="s">
        <v>20</v>
      </c>
      <c r="C869" t="s">
        <v>322</v>
      </c>
      <c r="D869" t="s">
        <v>23</v>
      </c>
      <c r="E869" t="s">
        <v>15</v>
      </c>
      <c r="F869">
        <v>18</v>
      </c>
      <c r="G869">
        <v>1500</v>
      </c>
      <c r="H869">
        <v>2</v>
      </c>
      <c r="I869">
        <v>3000</v>
      </c>
      <c r="J869">
        <v>10.130000000000001</v>
      </c>
      <c r="K869" s="2">
        <v>45087</v>
      </c>
      <c r="L869" t="s">
        <v>318</v>
      </c>
    </row>
    <row r="870" spans="1:12" x14ac:dyDescent="0.25">
      <c r="A870" t="s">
        <v>139</v>
      </c>
      <c r="B870" t="s">
        <v>20</v>
      </c>
      <c r="C870" t="s">
        <v>322</v>
      </c>
      <c r="D870" t="s">
        <v>40</v>
      </c>
      <c r="E870" t="s">
        <v>15</v>
      </c>
      <c r="F870">
        <v>35</v>
      </c>
      <c r="G870">
        <v>800</v>
      </c>
      <c r="H870">
        <v>4</v>
      </c>
      <c r="I870">
        <v>3200</v>
      </c>
      <c r="J870">
        <v>7.74</v>
      </c>
      <c r="K870" s="2">
        <v>45072</v>
      </c>
      <c r="L870" t="s">
        <v>318</v>
      </c>
    </row>
    <row r="871" spans="1:12" x14ac:dyDescent="0.25">
      <c r="A871" t="s">
        <v>107</v>
      </c>
      <c r="B871" t="s">
        <v>13</v>
      </c>
      <c r="C871" t="s">
        <v>321</v>
      </c>
      <c r="D871" t="s">
        <v>25</v>
      </c>
      <c r="E871" t="s">
        <v>26</v>
      </c>
      <c r="F871">
        <v>49</v>
      </c>
      <c r="G871">
        <v>200</v>
      </c>
      <c r="H871">
        <v>1</v>
      </c>
      <c r="I871">
        <v>200</v>
      </c>
      <c r="J871">
        <v>8.2799999999999994</v>
      </c>
      <c r="K871" s="2">
        <v>45205</v>
      </c>
      <c r="L871" t="s">
        <v>317</v>
      </c>
    </row>
    <row r="872" spans="1:12" x14ac:dyDescent="0.25">
      <c r="A872" t="s">
        <v>233</v>
      </c>
      <c r="B872" t="s">
        <v>20</v>
      </c>
      <c r="C872" t="s">
        <v>322</v>
      </c>
      <c r="D872" t="s">
        <v>14</v>
      </c>
      <c r="E872" t="s">
        <v>15</v>
      </c>
      <c r="F872">
        <v>38</v>
      </c>
      <c r="G872">
        <v>300</v>
      </c>
      <c r="H872">
        <v>2</v>
      </c>
      <c r="I872">
        <v>600</v>
      </c>
      <c r="J872">
        <v>17.38</v>
      </c>
      <c r="K872" s="2">
        <v>45032</v>
      </c>
      <c r="L872" t="s">
        <v>318</v>
      </c>
    </row>
    <row r="873" spans="1:12" x14ac:dyDescent="0.25">
      <c r="A873" t="s">
        <v>126</v>
      </c>
      <c r="B873" t="s">
        <v>13</v>
      </c>
      <c r="C873" t="s">
        <v>321</v>
      </c>
      <c r="D873" t="s">
        <v>29</v>
      </c>
      <c r="E873" t="s">
        <v>18</v>
      </c>
      <c r="F873">
        <v>50</v>
      </c>
      <c r="G873">
        <v>50</v>
      </c>
      <c r="H873">
        <v>4</v>
      </c>
      <c r="I873">
        <v>200</v>
      </c>
      <c r="J873">
        <v>11.39</v>
      </c>
      <c r="K873" s="2">
        <v>44943</v>
      </c>
      <c r="L873" t="s">
        <v>318</v>
      </c>
    </row>
    <row r="874" spans="1:12" x14ac:dyDescent="0.25">
      <c r="A874" t="s">
        <v>28</v>
      </c>
      <c r="B874" t="s">
        <v>13</v>
      </c>
      <c r="C874" t="s">
        <v>322</v>
      </c>
      <c r="D874" t="s">
        <v>23</v>
      </c>
      <c r="E874" t="s">
        <v>15</v>
      </c>
      <c r="F874">
        <v>18</v>
      </c>
      <c r="G874">
        <v>1500</v>
      </c>
      <c r="H874">
        <v>3</v>
      </c>
      <c r="I874">
        <v>4500</v>
      </c>
      <c r="J874">
        <v>18.829999999999998</v>
      </c>
      <c r="K874" s="2">
        <v>45007</v>
      </c>
      <c r="L874" t="s">
        <v>317</v>
      </c>
    </row>
    <row r="875" spans="1:12" x14ac:dyDescent="0.25">
      <c r="A875" t="s">
        <v>49</v>
      </c>
      <c r="B875" t="s">
        <v>20</v>
      </c>
      <c r="C875" t="s">
        <v>322</v>
      </c>
      <c r="D875" t="s">
        <v>25</v>
      </c>
      <c r="E875" t="s">
        <v>26</v>
      </c>
      <c r="F875">
        <v>25</v>
      </c>
      <c r="G875">
        <v>200</v>
      </c>
      <c r="H875">
        <v>1</v>
      </c>
      <c r="I875">
        <v>200</v>
      </c>
      <c r="J875">
        <v>6.96</v>
      </c>
      <c r="K875" s="2">
        <v>45250</v>
      </c>
      <c r="L875" t="s">
        <v>316</v>
      </c>
    </row>
    <row r="876" spans="1:12" x14ac:dyDescent="0.25">
      <c r="A876" t="s">
        <v>120</v>
      </c>
      <c r="B876" t="s">
        <v>13</v>
      </c>
      <c r="C876" t="s">
        <v>320</v>
      </c>
      <c r="D876" t="s">
        <v>23</v>
      </c>
      <c r="E876" t="s">
        <v>15</v>
      </c>
      <c r="F876">
        <v>58</v>
      </c>
      <c r="G876">
        <v>1500</v>
      </c>
      <c r="H876">
        <v>5</v>
      </c>
      <c r="I876">
        <v>7500</v>
      </c>
      <c r="J876">
        <v>6.21</v>
      </c>
      <c r="K876" s="2">
        <v>45128</v>
      </c>
      <c r="L876" t="s">
        <v>319</v>
      </c>
    </row>
    <row r="877" spans="1:12" x14ac:dyDescent="0.25">
      <c r="A877" t="s">
        <v>87</v>
      </c>
      <c r="B877" t="s">
        <v>13</v>
      </c>
      <c r="C877" t="s">
        <v>323</v>
      </c>
      <c r="D877" t="s">
        <v>17</v>
      </c>
      <c r="E877" t="s">
        <v>18</v>
      </c>
      <c r="F877">
        <v>21</v>
      </c>
      <c r="G877">
        <v>100</v>
      </c>
      <c r="H877">
        <v>4</v>
      </c>
      <c r="I877">
        <v>400</v>
      </c>
      <c r="J877">
        <v>18.3</v>
      </c>
      <c r="K877" s="2">
        <v>45133</v>
      </c>
      <c r="L877" t="s">
        <v>318</v>
      </c>
    </row>
    <row r="878" spans="1:12" x14ac:dyDescent="0.25">
      <c r="A878" t="s">
        <v>164</v>
      </c>
      <c r="B878" t="s">
        <v>13</v>
      </c>
      <c r="C878" t="s">
        <v>321</v>
      </c>
      <c r="D878" t="s">
        <v>23</v>
      </c>
      <c r="E878" t="s">
        <v>15</v>
      </c>
      <c r="F878">
        <v>57</v>
      </c>
      <c r="G878">
        <v>1500</v>
      </c>
      <c r="H878">
        <v>5</v>
      </c>
      <c r="I878">
        <v>7500</v>
      </c>
      <c r="J878">
        <v>7.57</v>
      </c>
      <c r="K878" s="2">
        <v>45064</v>
      </c>
      <c r="L878" t="s">
        <v>316</v>
      </c>
    </row>
    <row r="879" spans="1:12" x14ac:dyDescent="0.25">
      <c r="A879" t="s">
        <v>208</v>
      </c>
      <c r="B879" t="s">
        <v>13</v>
      </c>
      <c r="C879" t="s">
        <v>323</v>
      </c>
      <c r="D879" t="s">
        <v>14</v>
      </c>
      <c r="E879" t="s">
        <v>15</v>
      </c>
      <c r="F879">
        <v>26</v>
      </c>
      <c r="G879">
        <v>621.91212249732996</v>
      </c>
      <c r="H879">
        <v>2</v>
      </c>
      <c r="I879">
        <v>600</v>
      </c>
      <c r="J879">
        <v>7.02</v>
      </c>
      <c r="K879" s="2">
        <v>45294</v>
      </c>
      <c r="L879" t="s">
        <v>317</v>
      </c>
    </row>
    <row r="880" spans="1:12" x14ac:dyDescent="0.25">
      <c r="A880" t="s">
        <v>176</v>
      </c>
      <c r="B880" t="s">
        <v>13</v>
      </c>
      <c r="C880" t="s">
        <v>321</v>
      </c>
      <c r="D880" t="s">
        <v>14</v>
      </c>
      <c r="E880" t="s">
        <v>15</v>
      </c>
      <c r="F880">
        <v>20</v>
      </c>
      <c r="G880">
        <v>300</v>
      </c>
      <c r="H880">
        <v>2</v>
      </c>
      <c r="I880">
        <v>600</v>
      </c>
      <c r="J880">
        <v>11.06</v>
      </c>
      <c r="K880" s="2">
        <v>45150</v>
      </c>
      <c r="L880" t="s">
        <v>319</v>
      </c>
    </row>
    <row r="881" spans="1:12" x14ac:dyDescent="0.25">
      <c r="A881" t="s">
        <v>139</v>
      </c>
      <c r="B881" t="s">
        <v>20</v>
      </c>
      <c r="C881" t="s">
        <v>323</v>
      </c>
      <c r="D881" t="s">
        <v>30</v>
      </c>
      <c r="E881" t="s">
        <v>18</v>
      </c>
      <c r="F881">
        <v>35</v>
      </c>
      <c r="G881">
        <v>30</v>
      </c>
      <c r="H881">
        <v>5</v>
      </c>
      <c r="I881">
        <v>150</v>
      </c>
      <c r="J881">
        <v>13.08</v>
      </c>
      <c r="K881" s="2">
        <v>45154</v>
      </c>
      <c r="L881" t="s">
        <v>318</v>
      </c>
    </row>
    <row r="882" spans="1:12" x14ac:dyDescent="0.25">
      <c r="A882" t="s">
        <v>12</v>
      </c>
      <c r="B882" t="s">
        <v>20</v>
      </c>
      <c r="C882" t="s">
        <v>322</v>
      </c>
      <c r="D882" t="s">
        <v>30</v>
      </c>
      <c r="E882" t="s">
        <v>18</v>
      </c>
      <c r="F882">
        <v>21</v>
      </c>
      <c r="G882">
        <v>30</v>
      </c>
      <c r="H882">
        <v>3</v>
      </c>
      <c r="I882">
        <v>90</v>
      </c>
      <c r="J882">
        <v>10.49</v>
      </c>
      <c r="K882" s="2">
        <v>45149</v>
      </c>
      <c r="L882" t="s">
        <v>318</v>
      </c>
    </row>
    <row r="883" spans="1:12" x14ac:dyDescent="0.25">
      <c r="A883" t="s">
        <v>280</v>
      </c>
      <c r="B883" t="s">
        <v>13</v>
      </c>
      <c r="C883" t="s">
        <v>321</v>
      </c>
      <c r="D883" t="s">
        <v>14</v>
      </c>
      <c r="E883" t="s">
        <v>15</v>
      </c>
      <c r="F883">
        <v>26</v>
      </c>
      <c r="G883">
        <v>300</v>
      </c>
      <c r="H883">
        <v>2</v>
      </c>
      <c r="I883">
        <v>600</v>
      </c>
      <c r="J883">
        <v>12.94</v>
      </c>
      <c r="K883" s="2">
        <v>44928</v>
      </c>
      <c r="L883" t="s">
        <v>319</v>
      </c>
    </row>
    <row r="884" spans="1:12" x14ac:dyDescent="0.25">
      <c r="A884" t="s">
        <v>294</v>
      </c>
      <c r="B884" t="s">
        <v>20</v>
      </c>
      <c r="C884" t="s">
        <v>320</v>
      </c>
      <c r="D884" t="s">
        <v>23</v>
      </c>
      <c r="E884" t="s">
        <v>15</v>
      </c>
      <c r="F884">
        <v>49</v>
      </c>
      <c r="G884">
        <v>1500</v>
      </c>
      <c r="H884">
        <v>2</v>
      </c>
      <c r="I884">
        <v>3000</v>
      </c>
      <c r="J884">
        <v>11.24</v>
      </c>
      <c r="K884" s="2">
        <v>45135</v>
      </c>
      <c r="L884" t="s">
        <v>317</v>
      </c>
    </row>
    <row r="885" spans="1:12" x14ac:dyDescent="0.25">
      <c r="A885" t="s">
        <v>90</v>
      </c>
      <c r="B885" t="s">
        <v>20</v>
      </c>
      <c r="C885" t="s">
        <v>320</v>
      </c>
      <c r="D885" t="s">
        <v>14</v>
      </c>
      <c r="E885" t="s">
        <v>15</v>
      </c>
      <c r="F885">
        <v>49</v>
      </c>
      <c r="G885">
        <v>621.91212249732996</v>
      </c>
      <c r="H885">
        <v>3</v>
      </c>
      <c r="I885">
        <v>900</v>
      </c>
      <c r="J885">
        <v>14.86</v>
      </c>
      <c r="K885" s="2">
        <v>45043</v>
      </c>
      <c r="L885" t="s">
        <v>317</v>
      </c>
    </row>
    <row r="886" spans="1:12" x14ac:dyDescent="0.25">
      <c r="A886" t="s">
        <v>71</v>
      </c>
      <c r="B886" t="s">
        <v>13</v>
      </c>
      <c r="C886" t="s">
        <v>323</v>
      </c>
      <c r="D886" t="s">
        <v>29</v>
      </c>
      <c r="E886" t="s">
        <v>18</v>
      </c>
      <c r="F886">
        <v>68</v>
      </c>
      <c r="G886">
        <v>50</v>
      </c>
      <c r="H886">
        <v>2</v>
      </c>
      <c r="I886">
        <v>100</v>
      </c>
      <c r="J886">
        <v>11.09</v>
      </c>
      <c r="K886" s="2">
        <v>45154</v>
      </c>
      <c r="L886" t="s">
        <v>319</v>
      </c>
    </row>
    <row r="887" spans="1:12" x14ac:dyDescent="0.25">
      <c r="A887" t="s">
        <v>46</v>
      </c>
      <c r="B887" t="s">
        <v>13</v>
      </c>
      <c r="C887" t="s">
        <v>322</v>
      </c>
      <c r="D887" t="s">
        <v>25</v>
      </c>
      <c r="E887" t="s">
        <v>26</v>
      </c>
      <c r="F887">
        <v>58</v>
      </c>
      <c r="G887">
        <v>200</v>
      </c>
      <c r="H887">
        <v>5</v>
      </c>
      <c r="I887">
        <v>1000</v>
      </c>
      <c r="J887">
        <v>10.84</v>
      </c>
      <c r="K887" s="2">
        <v>45221</v>
      </c>
      <c r="L887" t="s">
        <v>317</v>
      </c>
    </row>
    <row r="888" spans="1:12" x14ac:dyDescent="0.25">
      <c r="A888" t="s">
        <v>302</v>
      </c>
      <c r="B888" t="s">
        <v>20</v>
      </c>
      <c r="C888" t="s">
        <v>320</v>
      </c>
      <c r="D888" t="s">
        <v>23</v>
      </c>
      <c r="E888" t="s">
        <v>15</v>
      </c>
      <c r="F888">
        <v>26</v>
      </c>
      <c r="G888">
        <v>1500</v>
      </c>
      <c r="H888">
        <v>4</v>
      </c>
      <c r="I888">
        <v>6000</v>
      </c>
      <c r="J888">
        <v>5.57</v>
      </c>
      <c r="K888" s="2">
        <v>45162</v>
      </c>
      <c r="L888" t="s">
        <v>317</v>
      </c>
    </row>
    <row r="889" spans="1:12" x14ac:dyDescent="0.25">
      <c r="A889" t="s">
        <v>152</v>
      </c>
      <c r="B889" t="s">
        <v>13</v>
      </c>
      <c r="C889" t="s">
        <v>323</v>
      </c>
      <c r="D889" t="s">
        <v>30</v>
      </c>
      <c r="E889" t="s">
        <v>18</v>
      </c>
      <c r="F889">
        <v>53</v>
      </c>
      <c r="G889">
        <v>30</v>
      </c>
      <c r="H889">
        <v>2</v>
      </c>
      <c r="I889">
        <v>60</v>
      </c>
      <c r="J889">
        <v>8.58</v>
      </c>
      <c r="K889" s="2">
        <v>45226</v>
      </c>
      <c r="L889" t="s">
        <v>316</v>
      </c>
    </row>
    <row r="890" spans="1:12" x14ac:dyDescent="0.25">
      <c r="A890" t="s">
        <v>203</v>
      </c>
      <c r="B890" t="s">
        <v>20</v>
      </c>
      <c r="C890" t="s">
        <v>321</v>
      </c>
      <c r="D890" t="s">
        <v>29</v>
      </c>
      <c r="E890" t="s">
        <v>18</v>
      </c>
      <c r="F890">
        <v>49</v>
      </c>
      <c r="G890">
        <v>50</v>
      </c>
      <c r="H890">
        <v>3</v>
      </c>
      <c r="I890">
        <v>150</v>
      </c>
      <c r="J890">
        <v>10.050000000000001</v>
      </c>
      <c r="K890" s="2">
        <v>45256</v>
      </c>
      <c r="L890" t="s">
        <v>317</v>
      </c>
    </row>
    <row r="891" spans="1:12" x14ac:dyDescent="0.25">
      <c r="A891" t="s">
        <v>43</v>
      </c>
      <c r="B891" t="s">
        <v>13</v>
      </c>
      <c r="C891" t="s">
        <v>322</v>
      </c>
      <c r="D891" t="s">
        <v>25</v>
      </c>
      <c r="E891" t="s">
        <v>26</v>
      </c>
      <c r="F891">
        <v>37</v>
      </c>
      <c r="G891">
        <v>200</v>
      </c>
      <c r="H891">
        <v>2</v>
      </c>
      <c r="I891">
        <v>400</v>
      </c>
      <c r="J891">
        <v>18.38</v>
      </c>
      <c r="K891" s="2">
        <v>44974</v>
      </c>
      <c r="L891" t="s">
        <v>318</v>
      </c>
    </row>
    <row r="892" spans="1:12" x14ac:dyDescent="0.25">
      <c r="A892" t="s">
        <v>212</v>
      </c>
      <c r="B892" t="s">
        <v>13</v>
      </c>
      <c r="C892" t="s">
        <v>322</v>
      </c>
      <c r="D892" t="s">
        <v>14</v>
      </c>
      <c r="E892" t="s">
        <v>15</v>
      </c>
      <c r="F892">
        <v>67</v>
      </c>
      <c r="G892">
        <v>300</v>
      </c>
      <c r="H892">
        <v>3</v>
      </c>
      <c r="I892">
        <v>900</v>
      </c>
      <c r="J892">
        <v>19.760000000000002</v>
      </c>
      <c r="K892" s="2">
        <v>45239</v>
      </c>
      <c r="L892" t="s">
        <v>318</v>
      </c>
    </row>
    <row r="893" spans="1:12" x14ac:dyDescent="0.25">
      <c r="A893" t="s">
        <v>261</v>
      </c>
      <c r="B893" t="s">
        <v>20</v>
      </c>
      <c r="C893" t="s">
        <v>321</v>
      </c>
      <c r="D893" t="s">
        <v>30</v>
      </c>
      <c r="E893" t="s">
        <v>18</v>
      </c>
      <c r="F893">
        <v>26</v>
      </c>
      <c r="G893">
        <v>30</v>
      </c>
      <c r="H893">
        <v>1</v>
      </c>
      <c r="I893">
        <v>30</v>
      </c>
      <c r="J893">
        <v>13.87</v>
      </c>
      <c r="K893" s="2">
        <v>45087</v>
      </c>
      <c r="L893" t="s">
        <v>317</v>
      </c>
    </row>
    <row r="894" spans="1:12" x14ac:dyDescent="0.25">
      <c r="A894" t="s">
        <v>275</v>
      </c>
      <c r="B894" t="s">
        <v>13</v>
      </c>
      <c r="C894" t="s">
        <v>323</v>
      </c>
      <c r="D894" t="s">
        <v>25</v>
      </c>
      <c r="E894" t="s">
        <v>26</v>
      </c>
      <c r="F894">
        <v>34</v>
      </c>
      <c r="G894">
        <v>200</v>
      </c>
      <c r="H894">
        <v>3</v>
      </c>
      <c r="I894">
        <v>600</v>
      </c>
      <c r="J894">
        <v>16.93</v>
      </c>
      <c r="K894" s="2">
        <v>45029</v>
      </c>
      <c r="L894" t="s">
        <v>317</v>
      </c>
    </row>
    <row r="895" spans="1:12" x14ac:dyDescent="0.25">
      <c r="A895" t="s">
        <v>194</v>
      </c>
      <c r="B895" t="s">
        <v>20</v>
      </c>
      <c r="C895" t="s">
        <v>322</v>
      </c>
      <c r="D895" t="s">
        <v>30</v>
      </c>
      <c r="E895" t="s">
        <v>18</v>
      </c>
      <c r="F895">
        <v>53</v>
      </c>
      <c r="G895">
        <v>30</v>
      </c>
      <c r="H895">
        <v>3</v>
      </c>
      <c r="I895">
        <v>90</v>
      </c>
      <c r="J895">
        <v>6.18</v>
      </c>
      <c r="K895" s="2">
        <v>45041</v>
      </c>
      <c r="L895" t="s">
        <v>318</v>
      </c>
    </row>
    <row r="896" spans="1:12" x14ac:dyDescent="0.25">
      <c r="A896" t="s">
        <v>48</v>
      </c>
      <c r="B896" t="s">
        <v>20</v>
      </c>
      <c r="C896" t="s">
        <v>323</v>
      </c>
      <c r="D896" t="s">
        <v>40</v>
      </c>
      <c r="E896" t="s">
        <v>15</v>
      </c>
      <c r="F896">
        <v>49</v>
      </c>
      <c r="G896">
        <v>800</v>
      </c>
      <c r="H896">
        <v>4</v>
      </c>
      <c r="I896">
        <v>3200</v>
      </c>
      <c r="J896">
        <v>17.440000000000001</v>
      </c>
      <c r="K896" s="2">
        <v>44988</v>
      </c>
      <c r="L896" t="s">
        <v>318</v>
      </c>
    </row>
    <row r="897" spans="1:12" x14ac:dyDescent="0.25">
      <c r="A897" t="s">
        <v>152</v>
      </c>
      <c r="B897" t="s">
        <v>13</v>
      </c>
      <c r="C897" t="s">
        <v>322</v>
      </c>
      <c r="D897" t="s">
        <v>14</v>
      </c>
      <c r="E897" t="s">
        <v>15</v>
      </c>
      <c r="F897">
        <v>53</v>
      </c>
      <c r="G897">
        <v>300</v>
      </c>
      <c r="H897">
        <v>3</v>
      </c>
      <c r="I897">
        <v>900</v>
      </c>
      <c r="J897">
        <v>12.14</v>
      </c>
      <c r="K897" s="2">
        <v>44999</v>
      </c>
      <c r="L897" t="s">
        <v>316</v>
      </c>
    </row>
    <row r="898" spans="1:12" x14ac:dyDescent="0.25">
      <c r="A898" t="s">
        <v>288</v>
      </c>
      <c r="B898" t="s">
        <v>13</v>
      </c>
      <c r="C898" t="s">
        <v>322</v>
      </c>
      <c r="D898" t="s">
        <v>14</v>
      </c>
      <c r="E898" t="s">
        <v>15</v>
      </c>
      <c r="F898">
        <v>66</v>
      </c>
      <c r="G898">
        <v>300</v>
      </c>
      <c r="H898">
        <v>1</v>
      </c>
      <c r="I898">
        <v>300</v>
      </c>
      <c r="J898">
        <v>17.09</v>
      </c>
      <c r="K898" s="2">
        <v>45019</v>
      </c>
      <c r="L898" t="s">
        <v>317</v>
      </c>
    </row>
    <row r="899" spans="1:12" x14ac:dyDescent="0.25">
      <c r="A899" t="s">
        <v>185</v>
      </c>
      <c r="B899" t="s">
        <v>13</v>
      </c>
      <c r="C899" t="s">
        <v>322</v>
      </c>
      <c r="D899" t="s">
        <v>29</v>
      </c>
      <c r="E899" t="s">
        <v>18</v>
      </c>
      <c r="F899">
        <v>68</v>
      </c>
      <c r="G899">
        <v>50</v>
      </c>
      <c r="H899">
        <v>1</v>
      </c>
      <c r="I899">
        <v>50</v>
      </c>
      <c r="J899">
        <v>11.23</v>
      </c>
      <c r="K899" s="2">
        <v>45018</v>
      </c>
      <c r="L899" t="s">
        <v>318</v>
      </c>
    </row>
    <row r="900" spans="1:12" x14ac:dyDescent="0.25">
      <c r="A900" t="s">
        <v>156</v>
      </c>
      <c r="B900" t="s">
        <v>20</v>
      </c>
      <c r="C900" t="s">
        <v>323</v>
      </c>
      <c r="D900" t="s">
        <v>40</v>
      </c>
      <c r="E900" t="s">
        <v>15</v>
      </c>
      <c r="F900">
        <v>54</v>
      </c>
      <c r="G900">
        <v>800</v>
      </c>
      <c r="H900">
        <v>5</v>
      </c>
      <c r="I900">
        <v>4000</v>
      </c>
      <c r="J900">
        <v>5.41</v>
      </c>
      <c r="K900" s="2">
        <v>45115</v>
      </c>
      <c r="L900" t="s">
        <v>316</v>
      </c>
    </row>
    <row r="901" spans="1:12" x14ac:dyDescent="0.25">
      <c r="A901" t="s">
        <v>247</v>
      </c>
      <c r="B901" t="s">
        <v>13</v>
      </c>
      <c r="C901" t="s">
        <v>319</v>
      </c>
      <c r="D901" t="s">
        <v>17</v>
      </c>
      <c r="E901" t="s">
        <v>18</v>
      </c>
      <c r="F901">
        <v>37</v>
      </c>
      <c r="G901">
        <v>100</v>
      </c>
      <c r="H901">
        <v>5</v>
      </c>
      <c r="I901">
        <v>500</v>
      </c>
      <c r="J901">
        <v>6.55</v>
      </c>
      <c r="K901" s="2">
        <v>45036</v>
      </c>
      <c r="L901" t="s">
        <v>316</v>
      </c>
    </row>
    <row r="902" spans="1:12" x14ac:dyDescent="0.25">
      <c r="A902" t="s">
        <v>108</v>
      </c>
      <c r="B902" t="s">
        <v>20</v>
      </c>
      <c r="C902" t="s">
        <v>323</v>
      </c>
      <c r="D902" t="s">
        <v>25</v>
      </c>
      <c r="E902" t="s">
        <v>26</v>
      </c>
      <c r="F902">
        <v>25</v>
      </c>
      <c r="G902">
        <v>200</v>
      </c>
      <c r="H902">
        <v>2</v>
      </c>
      <c r="I902">
        <v>400</v>
      </c>
      <c r="J902">
        <v>6.46</v>
      </c>
      <c r="K902" s="2">
        <v>45218</v>
      </c>
      <c r="L902" t="s">
        <v>317</v>
      </c>
    </row>
    <row r="903" spans="1:12" x14ac:dyDescent="0.25">
      <c r="A903" t="s">
        <v>257</v>
      </c>
      <c r="B903" t="s">
        <v>13</v>
      </c>
      <c r="C903" t="s">
        <v>321</v>
      </c>
      <c r="D903" t="s">
        <v>14</v>
      </c>
      <c r="E903" t="s">
        <v>15</v>
      </c>
      <c r="F903">
        <v>58</v>
      </c>
      <c r="G903">
        <v>300</v>
      </c>
      <c r="H903">
        <v>4</v>
      </c>
      <c r="I903">
        <v>1200</v>
      </c>
      <c r="J903">
        <v>14.16</v>
      </c>
      <c r="K903" s="2">
        <v>45060</v>
      </c>
      <c r="L903" t="s">
        <v>319</v>
      </c>
    </row>
    <row r="904" spans="1:12" x14ac:dyDescent="0.25">
      <c r="A904" t="s">
        <v>46</v>
      </c>
      <c r="B904" t="s">
        <v>20</v>
      </c>
      <c r="C904" t="s">
        <v>320</v>
      </c>
      <c r="D904" t="s">
        <v>25</v>
      </c>
      <c r="E904" t="s">
        <v>26</v>
      </c>
      <c r="F904">
        <v>58</v>
      </c>
      <c r="G904">
        <v>200</v>
      </c>
      <c r="H904">
        <v>3</v>
      </c>
      <c r="I904">
        <v>600</v>
      </c>
      <c r="J904">
        <v>14.74</v>
      </c>
      <c r="K904" s="2">
        <v>45198</v>
      </c>
      <c r="L904" t="s">
        <v>316</v>
      </c>
    </row>
    <row r="905" spans="1:12" x14ac:dyDescent="0.25">
      <c r="A905" t="s">
        <v>158</v>
      </c>
      <c r="B905" t="s">
        <v>13</v>
      </c>
      <c r="C905" t="s">
        <v>322</v>
      </c>
      <c r="D905" t="s">
        <v>23</v>
      </c>
      <c r="E905" t="s">
        <v>15</v>
      </c>
      <c r="F905">
        <v>32</v>
      </c>
      <c r="G905">
        <v>1500</v>
      </c>
      <c r="H905">
        <v>1</v>
      </c>
      <c r="I905">
        <v>1500</v>
      </c>
      <c r="J905">
        <v>6.92</v>
      </c>
      <c r="K905" s="2">
        <v>45286</v>
      </c>
      <c r="L905" t="s">
        <v>317</v>
      </c>
    </row>
    <row r="906" spans="1:12" x14ac:dyDescent="0.25">
      <c r="A906" t="s">
        <v>69</v>
      </c>
      <c r="B906" t="s">
        <v>13</v>
      </c>
      <c r="C906" t="s">
        <v>323</v>
      </c>
      <c r="D906" t="s">
        <v>30</v>
      </c>
      <c r="E906" t="s">
        <v>18</v>
      </c>
      <c r="F906">
        <v>67</v>
      </c>
      <c r="G906">
        <v>30</v>
      </c>
      <c r="H906">
        <v>1</v>
      </c>
      <c r="I906">
        <v>30</v>
      </c>
      <c r="J906">
        <v>13.84</v>
      </c>
      <c r="K906" s="2">
        <v>45085</v>
      </c>
      <c r="L906" t="s">
        <v>318</v>
      </c>
    </row>
    <row r="907" spans="1:12" x14ac:dyDescent="0.25">
      <c r="A907" t="s">
        <v>227</v>
      </c>
      <c r="B907" t="s">
        <v>13</v>
      </c>
      <c r="C907" t="s">
        <v>320</v>
      </c>
      <c r="D907" t="s">
        <v>29</v>
      </c>
      <c r="E907" t="s">
        <v>18</v>
      </c>
      <c r="F907">
        <v>66</v>
      </c>
      <c r="G907">
        <v>50</v>
      </c>
      <c r="H907">
        <v>4</v>
      </c>
      <c r="I907">
        <v>200</v>
      </c>
      <c r="J907">
        <v>10.69</v>
      </c>
      <c r="K907" s="2">
        <v>45080</v>
      </c>
      <c r="L907" t="s">
        <v>318</v>
      </c>
    </row>
    <row r="908" spans="1:12" x14ac:dyDescent="0.25">
      <c r="A908" t="s">
        <v>307</v>
      </c>
      <c r="B908" t="s">
        <v>13</v>
      </c>
      <c r="C908" t="s">
        <v>321</v>
      </c>
      <c r="D908" t="s">
        <v>17</v>
      </c>
      <c r="E908" t="s">
        <v>18</v>
      </c>
      <c r="F908">
        <v>38</v>
      </c>
      <c r="G908">
        <v>100</v>
      </c>
      <c r="H908">
        <v>3</v>
      </c>
      <c r="I908">
        <v>300</v>
      </c>
      <c r="J908">
        <v>8.1999999999999993</v>
      </c>
      <c r="K908" s="2">
        <v>45260</v>
      </c>
      <c r="L908" t="s">
        <v>316</v>
      </c>
    </row>
    <row r="909" spans="1:12" x14ac:dyDescent="0.25">
      <c r="A909" t="s">
        <v>128</v>
      </c>
      <c r="B909" t="s">
        <v>13</v>
      </c>
      <c r="C909" t="s">
        <v>320</v>
      </c>
      <c r="D909" t="s">
        <v>30</v>
      </c>
      <c r="E909" t="s">
        <v>18</v>
      </c>
      <c r="F909">
        <v>63</v>
      </c>
      <c r="G909">
        <v>30</v>
      </c>
      <c r="H909">
        <v>3</v>
      </c>
      <c r="I909">
        <v>90</v>
      </c>
      <c r="J909">
        <v>9.0399999999999991</v>
      </c>
      <c r="K909" s="2">
        <v>44971</v>
      </c>
      <c r="L909" t="s">
        <v>318</v>
      </c>
    </row>
    <row r="910" spans="1:12" x14ac:dyDescent="0.25">
      <c r="A910" t="s">
        <v>129</v>
      </c>
      <c r="B910" t="s">
        <v>13</v>
      </c>
      <c r="C910" t="s">
        <v>321</v>
      </c>
      <c r="D910" t="s">
        <v>29</v>
      </c>
      <c r="E910" t="s">
        <v>18</v>
      </c>
      <c r="F910">
        <v>62</v>
      </c>
      <c r="G910">
        <v>50</v>
      </c>
      <c r="H910">
        <v>2</v>
      </c>
      <c r="I910">
        <v>100</v>
      </c>
      <c r="J910">
        <v>8.68</v>
      </c>
      <c r="K910" s="2">
        <v>45109</v>
      </c>
      <c r="L910" t="s">
        <v>317</v>
      </c>
    </row>
    <row r="911" spans="1:12" x14ac:dyDescent="0.25">
      <c r="A911" t="s">
        <v>199</v>
      </c>
      <c r="B911" t="s">
        <v>20</v>
      </c>
      <c r="C911" t="s">
        <v>321</v>
      </c>
      <c r="D911" t="s">
        <v>40</v>
      </c>
      <c r="E911" t="s">
        <v>15</v>
      </c>
      <c r="F911">
        <v>50</v>
      </c>
      <c r="G911">
        <v>800</v>
      </c>
      <c r="H911">
        <v>1</v>
      </c>
      <c r="I911">
        <v>800</v>
      </c>
      <c r="J911">
        <v>7.34</v>
      </c>
      <c r="K911" s="2">
        <v>45090</v>
      </c>
      <c r="L911" t="s">
        <v>317</v>
      </c>
    </row>
    <row r="912" spans="1:12" x14ac:dyDescent="0.25">
      <c r="A912" t="s">
        <v>244</v>
      </c>
      <c r="B912" t="s">
        <v>13</v>
      </c>
      <c r="C912" t="s">
        <v>321</v>
      </c>
      <c r="D912" t="s">
        <v>14</v>
      </c>
      <c r="E912" t="s">
        <v>15</v>
      </c>
      <c r="F912">
        <v>23</v>
      </c>
      <c r="G912">
        <v>300</v>
      </c>
      <c r="H912">
        <v>4</v>
      </c>
      <c r="I912">
        <v>1200</v>
      </c>
      <c r="J912">
        <v>11.76</v>
      </c>
      <c r="K912" s="2">
        <v>45013</v>
      </c>
      <c r="L912" t="s">
        <v>316</v>
      </c>
    </row>
    <row r="913" spans="1:12" x14ac:dyDescent="0.25">
      <c r="A913" t="s">
        <v>227</v>
      </c>
      <c r="B913" t="s">
        <v>13</v>
      </c>
      <c r="C913" t="s">
        <v>323</v>
      </c>
      <c r="D913" t="s">
        <v>17</v>
      </c>
      <c r="E913" t="s">
        <v>18</v>
      </c>
      <c r="F913">
        <v>66</v>
      </c>
      <c r="G913">
        <v>100</v>
      </c>
      <c r="H913">
        <v>5</v>
      </c>
      <c r="I913">
        <v>500</v>
      </c>
      <c r="J913">
        <v>5.4</v>
      </c>
      <c r="K913" s="2">
        <v>45284</v>
      </c>
      <c r="L913" t="s">
        <v>316</v>
      </c>
    </row>
    <row r="914" spans="1:12" x14ac:dyDescent="0.25">
      <c r="A914" t="s">
        <v>309</v>
      </c>
      <c r="B914" t="s">
        <v>13</v>
      </c>
      <c r="C914" t="s">
        <v>322</v>
      </c>
      <c r="D914" t="s">
        <v>30</v>
      </c>
      <c r="E914" t="s">
        <v>18</v>
      </c>
      <c r="F914">
        <v>21</v>
      </c>
      <c r="G914">
        <v>30</v>
      </c>
      <c r="H914">
        <v>4</v>
      </c>
      <c r="I914">
        <v>120</v>
      </c>
      <c r="J914">
        <v>13.68</v>
      </c>
      <c r="K914" s="2">
        <v>45070</v>
      </c>
      <c r="L914" t="s">
        <v>318</v>
      </c>
    </row>
    <row r="915" spans="1:12" x14ac:dyDescent="0.25">
      <c r="A915" t="s">
        <v>213</v>
      </c>
      <c r="B915" t="s">
        <v>20</v>
      </c>
      <c r="C915" t="s">
        <v>322</v>
      </c>
      <c r="D915" t="s">
        <v>14</v>
      </c>
      <c r="E915" t="s">
        <v>15</v>
      </c>
      <c r="F915">
        <v>49</v>
      </c>
      <c r="G915">
        <v>300</v>
      </c>
      <c r="H915">
        <v>3</v>
      </c>
      <c r="I915">
        <v>900</v>
      </c>
      <c r="J915">
        <v>15.81</v>
      </c>
      <c r="K915" s="2">
        <v>45067</v>
      </c>
      <c r="L915" t="s">
        <v>317</v>
      </c>
    </row>
    <row r="916" spans="1:12" x14ac:dyDescent="0.25">
      <c r="A916" t="s">
        <v>220</v>
      </c>
      <c r="B916" t="s">
        <v>20</v>
      </c>
      <c r="C916" t="s">
        <v>320</v>
      </c>
      <c r="D916" t="s">
        <v>29</v>
      </c>
      <c r="E916" t="s">
        <v>18</v>
      </c>
      <c r="F916">
        <v>18</v>
      </c>
      <c r="G916">
        <v>50</v>
      </c>
      <c r="H916">
        <v>5</v>
      </c>
      <c r="I916">
        <v>250</v>
      </c>
      <c r="J916">
        <v>16</v>
      </c>
      <c r="K916" s="2">
        <v>44931</v>
      </c>
      <c r="L916" t="s">
        <v>318</v>
      </c>
    </row>
    <row r="917" spans="1:12" x14ac:dyDescent="0.25">
      <c r="A917" t="s">
        <v>310</v>
      </c>
      <c r="B917" t="s">
        <v>20</v>
      </c>
      <c r="C917" t="s">
        <v>321</v>
      </c>
      <c r="D917" t="s">
        <v>30</v>
      </c>
      <c r="E917" t="s">
        <v>18</v>
      </c>
      <c r="F917">
        <v>29</v>
      </c>
      <c r="G917">
        <v>30</v>
      </c>
      <c r="H917">
        <v>4</v>
      </c>
      <c r="I917">
        <v>120</v>
      </c>
      <c r="J917">
        <v>11.36</v>
      </c>
      <c r="K917" s="2">
        <v>45249</v>
      </c>
      <c r="L917" t="s">
        <v>316</v>
      </c>
    </row>
    <row r="918" spans="1:12" x14ac:dyDescent="0.25">
      <c r="A918" t="s">
        <v>311</v>
      </c>
      <c r="B918" t="s">
        <v>20</v>
      </c>
      <c r="C918" t="s">
        <v>323</v>
      </c>
      <c r="D918" t="s">
        <v>29</v>
      </c>
      <c r="E918" t="s">
        <v>18</v>
      </c>
      <c r="F918">
        <v>49</v>
      </c>
      <c r="G918">
        <v>50</v>
      </c>
      <c r="H918">
        <v>5</v>
      </c>
      <c r="I918">
        <v>250</v>
      </c>
      <c r="J918">
        <v>10.46</v>
      </c>
      <c r="K918" s="2">
        <v>45140</v>
      </c>
      <c r="L918" t="s">
        <v>316</v>
      </c>
    </row>
    <row r="919" spans="1:12" x14ac:dyDescent="0.25">
      <c r="A919" t="s">
        <v>261</v>
      </c>
      <c r="B919" t="s">
        <v>13</v>
      </c>
      <c r="C919" t="s">
        <v>320</v>
      </c>
      <c r="D919" t="s">
        <v>14</v>
      </c>
      <c r="E919" t="s">
        <v>15</v>
      </c>
      <c r="F919">
        <v>49</v>
      </c>
      <c r="G919">
        <v>300</v>
      </c>
      <c r="H919">
        <v>1</v>
      </c>
      <c r="I919">
        <v>300</v>
      </c>
      <c r="J919">
        <v>9.06</v>
      </c>
      <c r="K919" s="2">
        <v>45093</v>
      </c>
      <c r="L919" t="s">
        <v>316</v>
      </c>
    </row>
    <row r="920" spans="1:12" x14ac:dyDescent="0.25">
      <c r="A920" t="s">
        <v>234</v>
      </c>
      <c r="B920" t="s">
        <v>20</v>
      </c>
      <c r="C920" t="s">
        <v>322</v>
      </c>
      <c r="D920" t="s">
        <v>30</v>
      </c>
      <c r="E920" t="s">
        <v>18</v>
      </c>
      <c r="F920">
        <v>18</v>
      </c>
      <c r="G920">
        <v>30</v>
      </c>
      <c r="H920">
        <v>3</v>
      </c>
      <c r="I920">
        <v>90</v>
      </c>
      <c r="J920">
        <v>8.3000000000000007</v>
      </c>
      <c r="K920" s="2">
        <v>44963</v>
      </c>
      <c r="L920" t="s">
        <v>319</v>
      </c>
    </row>
    <row r="921" spans="1:12" x14ac:dyDescent="0.25">
      <c r="A921" t="s">
        <v>138</v>
      </c>
      <c r="B921" t="s">
        <v>20</v>
      </c>
      <c r="C921" t="s">
        <v>323</v>
      </c>
      <c r="D921" t="s">
        <v>17</v>
      </c>
      <c r="E921" t="s">
        <v>18</v>
      </c>
      <c r="F921">
        <v>44</v>
      </c>
      <c r="G921">
        <v>100</v>
      </c>
      <c r="H921">
        <v>3</v>
      </c>
      <c r="I921">
        <v>300</v>
      </c>
      <c r="J921">
        <v>13.94</v>
      </c>
      <c r="K921" s="2">
        <v>45197</v>
      </c>
      <c r="L921" t="s">
        <v>317</v>
      </c>
    </row>
    <row r="922" spans="1:12" x14ac:dyDescent="0.25">
      <c r="A922" t="s">
        <v>104</v>
      </c>
      <c r="B922" t="s">
        <v>13</v>
      </c>
      <c r="C922" t="s">
        <v>322</v>
      </c>
      <c r="D922" t="s">
        <v>40</v>
      </c>
      <c r="E922" t="s">
        <v>15</v>
      </c>
      <c r="F922">
        <v>69</v>
      </c>
      <c r="G922">
        <v>800</v>
      </c>
      <c r="H922">
        <v>4</v>
      </c>
      <c r="I922">
        <v>3200</v>
      </c>
      <c r="J922">
        <v>19.420000000000002</v>
      </c>
      <c r="K922" s="2">
        <v>45237</v>
      </c>
      <c r="L922" t="s">
        <v>318</v>
      </c>
    </row>
    <row r="923" spans="1:12" x14ac:dyDescent="0.25">
      <c r="A923" t="s">
        <v>161</v>
      </c>
      <c r="B923" t="s">
        <v>13</v>
      </c>
      <c r="C923" t="s">
        <v>320</v>
      </c>
      <c r="D923" t="s">
        <v>29</v>
      </c>
      <c r="E923" t="s">
        <v>18</v>
      </c>
      <c r="F923">
        <v>65</v>
      </c>
      <c r="G923">
        <v>50</v>
      </c>
      <c r="H923">
        <v>5</v>
      </c>
      <c r="I923">
        <v>250</v>
      </c>
      <c r="J923">
        <v>5.92</v>
      </c>
      <c r="K923" s="2">
        <v>45020</v>
      </c>
      <c r="L923" t="s">
        <v>316</v>
      </c>
    </row>
    <row r="924" spans="1:12" x14ac:dyDescent="0.25">
      <c r="A924" t="s">
        <v>190</v>
      </c>
      <c r="B924" t="s">
        <v>20</v>
      </c>
      <c r="C924" t="s">
        <v>321</v>
      </c>
      <c r="D924" t="s">
        <v>40</v>
      </c>
      <c r="E924" t="s">
        <v>15</v>
      </c>
      <c r="F924">
        <v>59</v>
      </c>
      <c r="G924">
        <v>800</v>
      </c>
      <c r="H924">
        <v>5</v>
      </c>
      <c r="I924">
        <v>4000</v>
      </c>
      <c r="J924">
        <v>15.22</v>
      </c>
      <c r="K924" s="2">
        <v>45254</v>
      </c>
      <c r="L924" t="s">
        <v>318</v>
      </c>
    </row>
    <row r="925" spans="1:12" x14ac:dyDescent="0.25">
      <c r="A925" t="s">
        <v>140</v>
      </c>
      <c r="B925" t="s">
        <v>20</v>
      </c>
      <c r="C925" t="s">
        <v>323</v>
      </c>
      <c r="D925" t="s">
        <v>17</v>
      </c>
      <c r="E925" t="s">
        <v>18</v>
      </c>
      <c r="F925">
        <v>66</v>
      </c>
      <c r="G925">
        <v>100</v>
      </c>
      <c r="H925">
        <v>2</v>
      </c>
      <c r="I925">
        <v>200</v>
      </c>
      <c r="J925">
        <v>8.65</v>
      </c>
      <c r="K925" s="2">
        <v>45188</v>
      </c>
      <c r="L925" t="s">
        <v>317</v>
      </c>
    </row>
    <row r="926" spans="1:12" x14ac:dyDescent="0.25">
      <c r="A926" t="s">
        <v>161</v>
      </c>
      <c r="B926" t="s">
        <v>13</v>
      </c>
      <c r="C926" t="s">
        <v>320</v>
      </c>
      <c r="D926" t="s">
        <v>14</v>
      </c>
      <c r="E926" t="s">
        <v>15</v>
      </c>
      <c r="F926">
        <v>65</v>
      </c>
      <c r="G926">
        <v>300</v>
      </c>
      <c r="H926">
        <v>3</v>
      </c>
      <c r="I926">
        <v>900</v>
      </c>
      <c r="J926">
        <v>9.31</v>
      </c>
      <c r="K926" s="2">
        <v>44971</v>
      </c>
      <c r="L926" t="s">
        <v>317</v>
      </c>
    </row>
    <row r="927" spans="1:12" x14ac:dyDescent="0.25">
      <c r="A927" t="s">
        <v>57</v>
      </c>
      <c r="B927" t="s">
        <v>13</v>
      </c>
      <c r="C927" t="s">
        <v>322</v>
      </c>
      <c r="D927" t="s">
        <v>29</v>
      </c>
      <c r="E927" t="s">
        <v>18</v>
      </c>
      <c r="F927">
        <v>41</v>
      </c>
      <c r="G927">
        <v>50</v>
      </c>
      <c r="H927">
        <v>3</v>
      </c>
      <c r="I927">
        <v>150</v>
      </c>
      <c r="J927">
        <v>5.55</v>
      </c>
      <c r="K927" s="2">
        <v>44998</v>
      </c>
      <c r="L927" t="s">
        <v>318</v>
      </c>
    </row>
    <row r="928" spans="1:12" x14ac:dyDescent="0.25">
      <c r="A928" t="s">
        <v>50</v>
      </c>
      <c r="B928" t="s">
        <v>13</v>
      </c>
      <c r="C928" t="s">
        <v>320</v>
      </c>
      <c r="D928" t="s">
        <v>30</v>
      </c>
      <c r="E928" t="s">
        <v>18</v>
      </c>
      <c r="F928">
        <v>31</v>
      </c>
      <c r="G928">
        <v>30</v>
      </c>
      <c r="H928">
        <v>1</v>
      </c>
      <c r="I928">
        <v>30</v>
      </c>
      <c r="J928">
        <v>9.26</v>
      </c>
      <c r="K928" s="2">
        <v>45162</v>
      </c>
      <c r="L928" t="s">
        <v>316</v>
      </c>
    </row>
    <row r="929" spans="1:12" x14ac:dyDescent="0.25">
      <c r="A929" t="s">
        <v>149</v>
      </c>
      <c r="B929" t="s">
        <v>13</v>
      </c>
      <c r="C929" t="s">
        <v>323</v>
      </c>
      <c r="D929" t="s">
        <v>14</v>
      </c>
      <c r="E929" t="s">
        <v>15</v>
      </c>
      <c r="F929">
        <v>59</v>
      </c>
      <c r="G929">
        <v>300</v>
      </c>
      <c r="H929">
        <v>3</v>
      </c>
      <c r="I929">
        <v>900</v>
      </c>
      <c r="J929">
        <v>19.36</v>
      </c>
      <c r="K929" s="2">
        <v>45047</v>
      </c>
      <c r="L929" t="s">
        <v>318</v>
      </c>
    </row>
    <row r="930" spans="1:12" x14ac:dyDescent="0.25">
      <c r="A930" t="s">
        <v>114</v>
      </c>
      <c r="B930" t="s">
        <v>20</v>
      </c>
      <c r="C930" t="s">
        <v>323</v>
      </c>
      <c r="D930" t="s">
        <v>23</v>
      </c>
      <c r="E930" t="s">
        <v>15</v>
      </c>
      <c r="F930">
        <v>49</v>
      </c>
      <c r="G930">
        <v>1500</v>
      </c>
      <c r="H930">
        <v>5</v>
      </c>
      <c r="I930">
        <v>7500</v>
      </c>
      <c r="J930">
        <v>16.440000000000001</v>
      </c>
      <c r="K930" s="2">
        <v>45192</v>
      </c>
      <c r="L930" t="s">
        <v>317</v>
      </c>
    </row>
    <row r="931" spans="1:12" x14ac:dyDescent="0.25">
      <c r="A931" t="s">
        <v>240</v>
      </c>
      <c r="B931" t="s">
        <v>20</v>
      </c>
      <c r="C931" t="s">
        <v>321</v>
      </c>
      <c r="D931" t="s">
        <v>40</v>
      </c>
      <c r="E931" t="s">
        <v>15</v>
      </c>
      <c r="F931">
        <v>27</v>
      </c>
      <c r="G931">
        <v>800</v>
      </c>
      <c r="H931">
        <v>4</v>
      </c>
      <c r="I931">
        <v>3200</v>
      </c>
      <c r="J931">
        <v>13.94</v>
      </c>
      <c r="K931" s="2">
        <v>44960</v>
      </c>
      <c r="L931" t="s">
        <v>317</v>
      </c>
    </row>
    <row r="932" spans="1:12" x14ac:dyDescent="0.25">
      <c r="A932" t="s">
        <v>161</v>
      </c>
      <c r="B932" t="s">
        <v>20</v>
      </c>
      <c r="C932" t="s">
        <v>321</v>
      </c>
      <c r="D932" t="s">
        <v>40</v>
      </c>
      <c r="E932" t="s">
        <v>15</v>
      </c>
      <c r="F932">
        <v>65</v>
      </c>
      <c r="G932">
        <v>800</v>
      </c>
      <c r="H932">
        <v>5</v>
      </c>
      <c r="I932">
        <v>4000</v>
      </c>
      <c r="J932">
        <v>15.8</v>
      </c>
      <c r="K932" s="2">
        <v>45289</v>
      </c>
      <c r="L932" t="s">
        <v>316</v>
      </c>
    </row>
    <row r="933" spans="1:12" x14ac:dyDescent="0.25">
      <c r="A933" t="s">
        <v>222</v>
      </c>
      <c r="B933" t="s">
        <v>13</v>
      </c>
      <c r="C933" t="s">
        <v>321</v>
      </c>
      <c r="D933" t="s">
        <v>40</v>
      </c>
      <c r="E933" t="s">
        <v>15</v>
      </c>
      <c r="F933">
        <v>67</v>
      </c>
      <c r="G933">
        <v>800</v>
      </c>
      <c r="H933">
        <v>3</v>
      </c>
      <c r="I933">
        <v>2400</v>
      </c>
      <c r="J933">
        <v>7.05</v>
      </c>
      <c r="K933" s="2">
        <v>45274</v>
      </c>
      <c r="L933" t="s">
        <v>317</v>
      </c>
    </row>
    <row r="934" spans="1:12" x14ac:dyDescent="0.25">
      <c r="A934" t="s">
        <v>210</v>
      </c>
      <c r="B934" t="s">
        <v>13</v>
      </c>
      <c r="C934" t="s">
        <v>321</v>
      </c>
      <c r="D934" t="s">
        <v>30</v>
      </c>
      <c r="E934" t="s">
        <v>18</v>
      </c>
      <c r="F934">
        <v>54</v>
      </c>
      <c r="G934">
        <v>30</v>
      </c>
      <c r="H934">
        <v>4</v>
      </c>
      <c r="I934">
        <v>120</v>
      </c>
      <c r="J934">
        <v>14.5</v>
      </c>
      <c r="K934" s="2">
        <v>44970</v>
      </c>
      <c r="L934" t="s">
        <v>318</v>
      </c>
    </row>
    <row r="935" spans="1:12" x14ac:dyDescent="0.25">
      <c r="A935" t="s">
        <v>222</v>
      </c>
      <c r="B935" t="s">
        <v>20</v>
      </c>
      <c r="C935" t="s">
        <v>323</v>
      </c>
      <c r="D935" t="s">
        <v>30</v>
      </c>
      <c r="E935" t="s">
        <v>18</v>
      </c>
      <c r="F935">
        <v>67</v>
      </c>
      <c r="G935">
        <v>30</v>
      </c>
      <c r="H935">
        <v>2</v>
      </c>
      <c r="I935">
        <v>60</v>
      </c>
      <c r="J935">
        <v>12.54</v>
      </c>
      <c r="K935" s="2">
        <v>45011</v>
      </c>
      <c r="L935" t="s">
        <v>319</v>
      </c>
    </row>
    <row r="936" spans="1:12" x14ac:dyDescent="0.25">
      <c r="A936" t="s">
        <v>83</v>
      </c>
      <c r="B936" t="s">
        <v>13</v>
      </c>
      <c r="C936" t="s">
        <v>323</v>
      </c>
      <c r="D936" t="s">
        <v>40</v>
      </c>
      <c r="E936" t="s">
        <v>15</v>
      </c>
      <c r="F936">
        <v>36</v>
      </c>
      <c r="G936">
        <v>800</v>
      </c>
      <c r="H936">
        <v>2</v>
      </c>
      <c r="I936">
        <v>1600</v>
      </c>
      <c r="J936">
        <v>16.62</v>
      </c>
      <c r="K936" s="2">
        <v>45141</v>
      </c>
      <c r="L936" t="s">
        <v>317</v>
      </c>
    </row>
    <row r="937" spans="1:12" x14ac:dyDescent="0.25">
      <c r="A937" t="s">
        <v>306</v>
      </c>
      <c r="B937" t="s">
        <v>13</v>
      </c>
      <c r="C937" t="s">
        <v>322</v>
      </c>
      <c r="D937" t="s">
        <v>23</v>
      </c>
      <c r="E937" t="s">
        <v>15</v>
      </c>
      <c r="F937">
        <v>44</v>
      </c>
      <c r="G937">
        <v>1500</v>
      </c>
      <c r="H937">
        <v>5</v>
      </c>
      <c r="I937">
        <v>7500</v>
      </c>
      <c r="J937">
        <v>18.670000000000002</v>
      </c>
      <c r="K937" s="2">
        <v>45181</v>
      </c>
      <c r="L937" t="s">
        <v>316</v>
      </c>
    </row>
    <row r="938" spans="1:12" x14ac:dyDescent="0.25">
      <c r="A938" t="s">
        <v>44</v>
      </c>
      <c r="B938" t="s">
        <v>20</v>
      </c>
      <c r="C938" t="s">
        <v>321</v>
      </c>
      <c r="D938" t="s">
        <v>23</v>
      </c>
      <c r="E938" t="s">
        <v>15</v>
      </c>
      <c r="F938">
        <v>40</v>
      </c>
      <c r="G938">
        <v>1500</v>
      </c>
      <c r="H938">
        <v>1</v>
      </c>
      <c r="I938">
        <v>1500</v>
      </c>
      <c r="J938">
        <v>13.51</v>
      </c>
      <c r="K938" s="2">
        <v>45128</v>
      </c>
      <c r="L938" t="s">
        <v>318</v>
      </c>
    </row>
    <row r="939" spans="1:12" x14ac:dyDescent="0.25">
      <c r="A939" t="s">
        <v>143</v>
      </c>
      <c r="B939" t="s">
        <v>13</v>
      </c>
      <c r="C939" t="s">
        <v>322</v>
      </c>
      <c r="D939" t="s">
        <v>30</v>
      </c>
      <c r="E939" t="s">
        <v>18</v>
      </c>
      <c r="F939">
        <v>50</v>
      </c>
      <c r="G939">
        <v>30</v>
      </c>
      <c r="H939">
        <v>3</v>
      </c>
      <c r="I939">
        <v>90</v>
      </c>
      <c r="J939">
        <v>12.43</v>
      </c>
      <c r="K939" s="2">
        <v>44931</v>
      </c>
      <c r="L939" t="s">
        <v>318</v>
      </c>
    </row>
    <row r="940" spans="1:12" x14ac:dyDescent="0.25">
      <c r="A940" t="s">
        <v>145</v>
      </c>
      <c r="B940" t="s">
        <v>13</v>
      </c>
      <c r="C940" t="s">
        <v>322</v>
      </c>
      <c r="D940" t="s">
        <v>25</v>
      </c>
      <c r="E940" t="s">
        <v>26</v>
      </c>
      <c r="F940">
        <v>30</v>
      </c>
      <c r="G940">
        <v>200</v>
      </c>
      <c r="H940">
        <v>4</v>
      </c>
      <c r="I940">
        <v>800</v>
      </c>
      <c r="J940">
        <v>13.9</v>
      </c>
      <c r="K940" s="2">
        <v>45105</v>
      </c>
      <c r="L940" t="s">
        <v>316</v>
      </c>
    </row>
    <row r="941" spans="1:12" x14ac:dyDescent="0.25">
      <c r="A941" t="s">
        <v>148</v>
      </c>
      <c r="B941" t="s">
        <v>13</v>
      </c>
      <c r="C941" t="s">
        <v>322</v>
      </c>
      <c r="D941" t="s">
        <v>25</v>
      </c>
      <c r="E941" t="s">
        <v>26</v>
      </c>
      <c r="F941">
        <v>56</v>
      </c>
      <c r="G941">
        <v>200</v>
      </c>
      <c r="H941">
        <v>3</v>
      </c>
      <c r="I941">
        <v>600</v>
      </c>
      <c r="J941">
        <v>19.03</v>
      </c>
      <c r="K941" s="2">
        <v>45294</v>
      </c>
      <c r="L941" t="s">
        <v>317</v>
      </c>
    </row>
    <row r="942" spans="1:12" x14ac:dyDescent="0.25">
      <c r="A942" t="s">
        <v>151</v>
      </c>
      <c r="B942" t="s">
        <v>20</v>
      </c>
      <c r="C942" t="s">
        <v>320</v>
      </c>
      <c r="D942" t="s">
        <v>14</v>
      </c>
      <c r="E942" t="s">
        <v>15</v>
      </c>
      <c r="F942">
        <v>66</v>
      </c>
      <c r="G942">
        <v>300</v>
      </c>
      <c r="H942">
        <v>5</v>
      </c>
      <c r="I942">
        <v>1500</v>
      </c>
      <c r="J942">
        <v>18.920000000000002</v>
      </c>
      <c r="K942" s="2">
        <v>45049</v>
      </c>
      <c r="L942" t="s">
        <v>318</v>
      </c>
    </row>
    <row r="943" spans="1:12" x14ac:dyDescent="0.25">
      <c r="A943" t="s">
        <v>141</v>
      </c>
      <c r="B943" t="s">
        <v>20</v>
      </c>
      <c r="C943" t="s">
        <v>321</v>
      </c>
      <c r="D943" t="s">
        <v>14</v>
      </c>
      <c r="E943" t="s">
        <v>15</v>
      </c>
      <c r="F943">
        <v>39</v>
      </c>
      <c r="G943">
        <v>300</v>
      </c>
      <c r="H943">
        <v>1</v>
      </c>
      <c r="I943">
        <v>300</v>
      </c>
      <c r="J943">
        <v>9.0399999999999991</v>
      </c>
      <c r="K943" s="2">
        <v>45130</v>
      </c>
      <c r="L943" t="s">
        <v>318</v>
      </c>
    </row>
    <row r="944" spans="1:12" x14ac:dyDescent="0.25">
      <c r="A944" t="s">
        <v>93</v>
      </c>
      <c r="B944" t="s">
        <v>20</v>
      </c>
      <c r="C944" t="s">
        <v>323</v>
      </c>
      <c r="D944" t="s">
        <v>25</v>
      </c>
      <c r="E944" t="s">
        <v>26</v>
      </c>
      <c r="F944">
        <v>47</v>
      </c>
      <c r="G944">
        <v>200</v>
      </c>
      <c r="H944">
        <v>1</v>
      </c>
      <c r="I944">
        <v>200</v>
      </c>
      <c r="J944">
        <v>12.27</v>
      </c>
      <c r="K944" s="2">
        <v>45273</v>
      </c>
      <c r="L944" t="s">
        <v>317</v>
      </c>
    </row>
    <row r="945" spans="1:12" x14ac:dyDescent="0.25">
      <c r="A945" t="s">
        <v>282</v>
      </c>
      <c r="B945" t="s">
        <v>13</v>
      </c>
      <c r="C945" t="s">
        <v>322</v>
      </c>
      <c r="D945" t="s">
        <v>29</v>
      </c>
      <c r="E945" t="s">
        <v>18</v>
      </c>
      <c r="F945">
        <v>46</v>
      </c>
      <c r="G945">
        <v>50</v>
      </c>
      <c r="H945">
        <v>5</v>
      </c>
      <c r="I945">
        <v>250</v>
      </c>
      <c r="J945">
        <v>19.63</v>
      </c>
      <c r="K945" s="2">
        <v>45068</v>
      </c>
      <c r="L945" t="s">
        <v>317</v>
      </c>
    </row>
    <row r="946" spans="1:12" x14ac:dyDescent="0.25">
      <c r="A946" t="s">
        <v>218</v>
      </c>
      <c r="B946" t="s">
        <v>20</v>
      </c>
      <c r="C946" t="s">
        <v>320</v>
      </c>
      <c r="D946" t="s">
        <v>29</v>
      </c>
      <c r="E946" t="s">
        <v>18</v>
      </c>
      <c r="F946">
        <v>66</v>
      </c>
      <c r="G946">
        <v>50</v>
      </c>
      <c r="H946">
        <v>3</v>
      </c>
      <c r="I946">
        <v>150</v>
      </c>
      <c r="J946">
        <v>10.210000000000001</v>
      </c>
      <c r="K946" s="2">
        <v>45272</v>
      </c>
      <c r="L946" t="s">
        <v>316</v>
      </c>
    </row>
    <row r="947" spans="1:12" x14ac:dyDescent="0.25">
      <c r="A947" t="s">
        <v>126</v>
      </c>
      <c r="B947" t="s">
        <v>13</v>
      </c>
      <c r="C947" t="s">
        <v>323</v>
      </c>
      <c r="D947" t="s">
        <v>14</v>
      </c>
      <c r="E947" t="s">
        <v>15</v>
      </c>
      <c r="F947">
        <v>50</v>
      </c>
      <c r="G947">
        <v>300</v>
      </c>
      <c r="H947">
        <v>4</v>
      </c>
      <c r="I947">
        <v>1200</v>
      </c>
      <c r="J947">
        <v>14.64</v>
      </c>
      <c r="K947" s="2">
        <v>44954</v>
      </c>
      <c r="L947" t="s">
        <v>317</v>
      </c>
    </row>
    <row r="948" spans="1:12" x14ac:dyDescent="0.25">
      <c r="A948" t="s">
        <v>74</v>
      </c>
      <c r="B948" t="s">
        <v>13</v>
      </c>
      <c r="C948" t="s">
        <v>323</v>
      </c>
      <c r="D948" t="s">
        <v>25</v>
      </c>
      <c r="E948" t="s">
        <v>26</v>
      </c>
      <c r="F948">
        <v>49</v>
      </c>
      <c r="G948">
        <v>200</v>
      </c>
      <c r="H948">
        <v>3</v>
      </c>
      <c r="I948">
        <v>600</v>
      </c>
      <c r="J948">
        <v>6.36</v>
      </c>
      <c r="K948" s="2">
        <v>45258</v>
      </c>
      <c r="L948" t="s">
        <v>316</v>
      </c>
    </row>
    <row r="949" spans="1:12" x14ac:dyDescent="0.25">
      <c r="A949" t="s">
        <v>122</v>
      </c>
      <c r="B949" t="s">
        <v>20</v>
      </c>
      <c r="C949" t="s">
        <v>323</v>
      </c>
      <c r="D949" t="s">
        <v>14</v>
      </c>
      <c r="E949" t="s">
        <v>15</v>
      </c>
      <c r="F949">
        <v>19</v>
      </c>
      <c r="G949">
        <v>300</v>
      </c>
      <c r="H949">
        <v>3</v>
      </c>
      <c r="I949">
        <v>900</v>
      </c>
      <c r="J949">
        <v>9.7899999999999991</v>
      </c>
      <c r="K949" s="2">
        <v>45262</v>
      </c>
      <c r="L949" t="s">
        <v>318</v>
      </c>
    </row>
    <row r="950" spans="1:12" x14ac:dyDescent="0.25">
      <c r="A950" t="s">
        <v>255</v>
      </c>
      <c r="B950" t="s">
        <v>13</v>
      </c>
      <c r="C950" t="s">
        <v>321</v>
      </c>
      <c r="D950" t="s">
        <v>29</v>
      </c>
      <c r="E950" t="s">
        <v>18</v>
      </c>
      <c r="F950">
        <v>39</v>
      </c>
      <c r="G950">
        <v>50</v>
      </c>
      <c r="H950">
        <v>1</v>
      </c>
      <c r="I950">
        <v>50</v>
      </c>
      <c r="J950">
        <v>6.14</v>
      </c>
      <c r="K950" s="2">
        <v>45075</v>
      </c>
      <c r="L950" t="s">
        <v>318</v>
      </c>
    </row>
    <row r="951" spans="1:12" x14ac:dyDescent="0.25">
      <c r="A951" t="s">
        <v>12</v>
      </c>
      <c r="B951" t="s">
        <v>13</v>
      </c>
      <c r="C951" t="s">
        <v>323</v>
      </c>
      <c r="D951" t="s">
        <v>14</v>
      </c>
      <c r="E951" t="s">
        <v>15</v>
      </c>
      <c r="F951">
        <v>21</v>
      </c>
      <c r="G951">
        <v>300</v>
      </c>
      <c r="H951">
        <v>4</v>
      </c>
      <c r="I951">
        <v>1200</v>
      </c>
      <c r="J951">
        <v>10.029999999999999</v>
      </c>
      <c r="K951" s="2">
        <v>45062</v>
      </c>
      <c r="L951" t="s">
        <v>317</v>
      </c>
    </row>
    <row r="952" spans="1:12" x14ac:dyDescent="0.25">
      <c r="A952" t="s">
        <v>136</v>
      </c>
      <c r="B952" t="s">
        <v>20</v>
      </c>
      <c r="C952" t="s">
        <v>322</v>
      </c>
      <c r="D952" t="s">
        <v>17</v>
      </c>
      <c r="E952" t="s">
        <v>18</v>
      </c>
      <c r="F952">
        <v>37</v>
      </c>
      <c r="G952">
        <v>100</v>
      </c>
      <c r="H952">
        <v>3</v>
      </c>
      <c r="I952">
        <v>300</v>
      </c>
      <c r="J952">
        <v>9.91</v>
      </c>
      <c r="K952" s="2">
        <v>45139</v>
      </c>
      <c r="L952" t="s">
        <v>317</v>
      </c>
    </row>
    <row r="953" spans="1:12" x14ac:dyDescent="0.25">
      <c r="A953" t="s">
        <v>263</v>
      </c>
      <c r="B953" t="s">
        <v>13</v>
      </c>
      <c r="C953" t="s">
        <v>322</v>
      </c>
      <c r="D953" t="s">
        <v>30</v>
      </c>
      <c r="E953" t="s">
        <v>18</v>
      </c>
      <c r="F953">
        <v>64</v>
      </c>
      <c r="G953">
        <v>30</v>
      </c>
      <c r="H953">
        <v>1</v>
      </c>
      <c r="I953">
        <v>30</v>
      </c>
      <c r="J953">
        <v>19.22</v>
      </c>
      <c r="K953" s="2">
        <v>45138</v>
      </c>
      <c r="L953" t="s">
        <v>317</v>
      </c>
    </row>
    <row r="954" spans="1:12" x14ac:dyDescent="0.25">
      <c r="A954" t="s">
        <v>226</v>
      </c>
      <c r="B954" t="s">
        <v>13</v>
      </c>
      <c r="C954" t="s">
        <v>320</v>
      </c>
      <c r="D954" t="s">
        <v>29</v>
      </c>
      <c r="E954" t="s">
        <v>18</v>
      </c>
      <c r="F954">
        <v>49</v>
      </c>
      <c r="G954">
        <v>50</v>
      </c>
      <c r="H954">
        <v>3</v>
      </c>
      <c r="I954">
        <v>150</v>
      </c>
      <c r="J954">
        <v>10.81</v>
      </c>
      <c r="K954" s="2">
        <v>45118</v>
      </c>
      <c r="L954" t="s">
        <v>317</v>
      </c>
    </row>
    <row r="955" spans="1:12" x14ac:dyDescent="0.25">
      <c r="A955" t="s">
        <v>117</v>
      </c>
      <c r="B955" t="s">
        <v>13</v>
      </c>
      <c r="C955" t="s">
        <v>320</v>
      </c>
      <c r="D955" t="s">
        <v>23</v>
      </c>
      <c r="E955" t="s">
        <v>15</v>
      </c>
      <c r="F955">
        <v>29</v>
      </c>
      <c r="G955">
        <v>1500</v>
      </c>
      <c r="H955">
        <v>2</v>
      </c>
      <c r="I955">
        <v>3000</v>
      </c>
      <c r="J955">
        <v>16.23</v>
      </c>
      <c r="K955" s="2">
        <v>44952</v>
      </c>
      <c r="L955" t="s">
        <v>318</v>
      </c>
    </row>
    <row r="956" spans="1:12" x14ac:dyDescent="0.25">
      <c r="A956" t="s">
        <v>211</v>
      </c>
      <c r="B956" t="s">
        <v>13</v>
      </c>
      <c r="C956" t="s">
        <v>322</v>
      </c>
      <c r="D956" t="s">
        <v>40</v>
      </c>
      <c r="E956" t="s">
        <v>15</v>
      </c>
      <c r="F956">
        <v>49</v>
      </c>
      <c r="G956">
        <v>800</v>
      </c>
      <c r="H956">
        <v>5</v>
      </c>
      <c r="I956">
        <v>4000</v>
      </c>
      <c r="J956">
        <v>15.97</v>
      </c>
      <c r="K956" s="2">
        <v>45244</v>
      </c>
      <c r="L956" t="s">
        <v>318</v>
      </c>
    </row>
    <row r="957" spans="1:12" x14ac:dyDescent="0.25">
      <c r="A957" t="s">
        <v>110</v>
      </c>
      <c r="B957" t="s">
        <v>13</v>
      </c>
      <c r="C957" t="s">
        <v>322</v>
      </c>
      <c r="D957" t="s">
        <v>14</v>
      </c>
      <c r="E957" t="s">
        <v>15</v>
      </c>
      <c r="F957">
        <v>38</v>
      </c>
      <c r="G957">
        <v>300</v>
      </c>
      <c r="H957">
        <v>5</v>
      </c>
      <c r="I957">
        <v>1500</v>
      </c>
      <c r="J957">
        <v>19.39</v>
      </c>
      <c r="K957" s="2">
        <v>44983</v>
      </c>
      <c r="L957" t="s">
        <v>316</v>
      </c>
    </row>
    <row r="958" spans="1:12" x14ac:dyDescent="0.25">
      <c r="A958" t="s">
        <v>255</v>
      </c>
      <c r="B958" t="s">
        <v>13</v>
      </c>
      <c r="C958" t="s">
        <v>321</v>
      </c>
      <c r="D958" t="s">
        <v>40</v>
      </c>
      <c r="E958" t="s">
        <v>15</v>
      </c>
      <c r="F958">
        <v>39</v>
      </c>
      <c r="G958">
        <v>800</v>
      </c>
      <c r="H958">
        <v>3</v>
      </c>
      <c r="I958">
        <v>2400</v>
      </c>
      <c r="J958">
        <v>9.92</v>
      </c>
      <c r="K958" s="2">
        <v>45133</v>
      </c>
      <c r="L958" t="s">
        <v>317</v>
      </c>
    </row>
    <row r="959" spans="1:12" x14ac:dyDescent="0.25">
      <c r="A959" t="s">
        <v>128</v>
      </c>
      <c r="B959" t="s">
        <v>13</v>
      </c>
      <c r="C959" t="s">
        <v>322</v>
      </c>
      <c r="D959" t="s">
        <v>25</v>
      </c>
      <c r="E959" t="s">
        <v>26</v>
      </c>
      <c r="F959">
        <v>63</v>
      </c>
      <c r="G959">
        <v>200</v>
      </c>
      <c r="H959">
        <v>4</v>
      </c>
      <c r="I959">
        <v>800</v>
      </c>
      <c r="J959">
        <v>10.23</v>
      </c>
      <c r="K959" s="2">
        <v>45084</v>
      </c>
      <c r="L959" t="s">
        <v>317</v>
      </c>
    </row>
    <row r="960" spans="1:12" x14ac:dyDescent="0.25">
      <c r="A960" t="s">
        <v>188</v>
      </c>
      <c r="B960" t="s">
        <v>20</v>
      </c>
      <c r="C960" t="s">
        <v>322</v>
      </c>
      <c r="D960" t="s">
        <v>40</v>
      </c>
      <c r="E960" t="s">
        <v>15</v>
      </c>
      <c r="F960">
        <v>52</v>
      </c>
      <c r="G960">
        <v>800</v>
      </c>
      <c r="H960">
        <v>1</v>
      </c>
      <c r="I960">
        <v>800</v>
      </c>
      <c r="J960">
        <v>10.65</v>
      </c>
      <c r="K960" s="2">
        <v>45075</v>
      </c>
      <c r="L960" t="s">
        <v>318</v>
      </c>
    </row>
    <row r="961" spans="1:12" x14ac:dyDescent="0.25">
      <c r="A961" t="s">
        <v>36</v>
      </c>
      <c r="B961" t="s">
        <v>13</v>
      </c>
      <c r="C961" t="s">
        <v>322</v>
      </c>
      <c r="D961" t="s">
        <v>14</v>
      </c>
      <c r="E961" t="s">
        <v>15</v>
      </c>
      <c r="F961">
        <v>66</v>
      </c>
      <c r="G961">
        <v>300</v>
      </c>
      <c r="H961">
        <v>5</v>
      </c>
      <c r="I961">
        <v>1500</v>
      </c>
      <c r="J961">
        <v>8.06</v>
      </c>
      <c r="K961" s="2">
        <v>45088</v>
      </c>
      <c r="L961" t="s">
        <v>318</v>
      </c>
    </row>
    <row r="962" spans="1:12" x14ac:dyDescent="0.25">
      <c r="A962" t="s">
        <v>312</v>
      </c>
      <c r="B962" t="s">
        <v>13</v>
      </c>
      <c r="C962" t="s">
        <v>320</v>
      </c>
      <c r="D962" t="s">
        <v>29</v>
      </c>
      <c r="E962" t="s">
        <v>18</v>
      </c>
      <c r="F962">
        <v>63</v>
      </c>
      <c r="G962">
        <v>50</v>
      </c>
      <c r="H962">
        <v>5</v>
      </c>
      <c r="I962">
        <v>250</v>
      </c>
      <c r="J962">
        <v>5.88</v>
      </c>
      <c r="K962" s="2">
        <v>44969</v>
      </c>
      <c r="L962" t="s">
        <v>318</v>
      </c>
    </row>
    <row r="963" spans="1:12" x14ac:dyDescent="0.25">
      <c r="A963" t="s">
        <v>313</v>
      </c>
      <c r="B963" t="s">
        <v>13</v>
      </c>
      <c r="C963" t="s">
        <v>322</v>
      </c>
      <c r="D963" t="s">
        <v>14</v>
      </c>
      <c r="E963" t="s">
        <v>15</v>
      </c>
      <c r="F963">
        <v>20</v>
      </c>
      <c r="G963">
        <v>300</v>
      </c>
      <c r="H963">
        <v>1</v>
      </c>
      <c r="I963">
        <v>300</v>
      </c>
      <c r="J963">
        <v>7.32</v>
      </c>
      <c r="K963" s="2">
        <v>45278</v>
      </c>
      <c r="L963" t="s">
        <v>316</v>
      </c>
    </row>
    <row r="964" spans="1:12" x14ac:dyDescent="0.25">
      <c r="A964" t="s">
        <v>171</v>
      </c>
      <c r="B964" t="s">
        <v>13</v>
      </c>
      <c r="C964" t="s">
        <v>322</v>
      </c>
      <c r="D964" t="s">
        <v>40</v>
      </c>
      <c r="E964" t="s">
        <v>15</v>
      </c>
      <c r="F964">
        <v>55</v>
      </c>
      <c r="G964">
        <v>800</v>
      </c>
      <c r="H964">
        <v>1</v>
      </c>
      <c r="I964">
        <v>800</v>
      </c>
      <c r="J964">
        <v>18.739999999999998</v>
      </c>
      <c r="K964" s="2">
        <v>45124</v>
      </c>
      <c r="L964" t="s">
        <v>316</v>
      </c>
    </row>
    <row r="965" spans="1:12" x14ac:dyDescent="0.25">
      <c r="A965" t="s">
        <v>239</v>
      </c>
      <c r="B965" t="s">
        <v>13</v>
      </c>
      <c r="C965" t="s">
        <v>323</v>
      </c>
      <c r="D965" t="s">
        <v>23</v>
      </c>
      <c r="E965" t="s">
        <v>15</v>
      </c>
      <c r="F965">
        <v>56</v>
      </c>
      <c r="G965">
        <v>1500</v>
      </c>
      <c r="H965">
        <v>2</v>
      </c>
      <c r="I965">
        <v>3000</v>
      </c>
      <c r="J965">
        <v>19.05</v>
      </c>
      <c r="K965" s="2">
        <v>45066</v>
      </c>
      <c r="L965" t="s">
        <v>316</v>
      </c>
    </row>
    <row r="966" spans="1:12" x14ac:dyDescent="0.25">
      <c r="A966" t="s">
        <v>228</v>
      </c>
      <c r="B966" t="s">
        <v>13</v>
      </c>
      <c r="C966" t="s">
        <v>320</v>
      </c>
      <c r="D966" t="s">
        <v>29</v>
      </c>
      <c r="E966" t="s">
        <v>18</v>
      </c>
      <c r="F966">
        <v>22</v>
      </c>
      <c r="G966">
        <v>50</v>
      </c>
      <c r="H966">
        <v>4</v>
      </c>
      <c r="I966">
        <v>200</v>
      </c>
      <c r="J966">
        <v>11.99</v>
      </c>
      <c r="K966" s="2">
        <v>44930</v>
      </c>
      <c r="L966" t="s">
        <v>318</v>
      </c>
    </row>
    <row r="967" spans="1:12" x14ac:dyDescent="0.25">
      <c r="A967" t="s">
        <v>198</v>
      </c>
      <c r="B967" t="s">
        <v>13</v>
      </c>
      <c r="C967" t="s">
        <v>323</v>
      </c>
      <c r="D967" t="s">
        <v>14</v>
      </c>
      <c r="E967" t="s">
        <v>15</v>
      </c>
      <c r="F967">
        <v>46</v>
      </c>
      <c r="G967">
        <v>300</v>
      </c>
      <c r="H967">
        <v>1</v>
      </c>
      <c r="I967">
        <v>300</v>
      </c>
      <c r="J967">
        <v>6.17</v>
      </c>
      <c r="K967" s="2">
        <v>45270</v>
      </c>
      <c r="L967" t="s">
        <v>317</v>
      </c>
    </row>
    <row r="968" spans="1:12" x14ac:dyDescent="0.25">
      <c r="A968" t="s">
        <v>69</v>
      </c>
      <c r="B968" t="s">
        <v>20</v>
      </c>
      <c r="C968" t="s">
        <v>323</v>
      </c>
      <c r="D968" t="s">
        <v>40</v>
      </c>
      <c r="E968" t="s">
        <v>15</v>
      </c>
      <c r="F968">
        <v>67</v>
      </c>
      <c r="G968">
        <v>800</v>
      </c>
      <c r="H968">
        <v>3</v>
      </c>
      <c r="I968">
        <v>2400</v>
      </c>
      <c r="J968">
        <v>7.3</v>
      </c>
      <c r="K968" s="2">
        <v>45247</v>
      </c>
      <c r="L968" t="s">
        <v>317</v>
      </c>
    </row>
    <row r="969" spans="1:12" x14ac:dyDescent="0.25">
      <c r="A969" t="s">
        <v>69</v>
      </c>
      <c r="B969" t="s">
        <v>20</v>
      </c>
      <c r="C969" t="s">
        <v>320</v>
      </c>
      <c r="D969" t="s">
        <v>23</v>
      </c>
      <c r="E969" t="s">
        <v>15</v>
      </c>
      <c r="F969">
        <v>67</v>
      </c>
      <c r="G969">
        <v>3109.5606124866499</v>
      </c>
      <c r="H969">
        <v>4</v>
      </c>
      <c r="I969">
        <v>6000</v>
      </c>
      <c r="J969">
        <v>18.27</v>
      </c>
      <c r="K969" s="2">
        <v>45164</v>
      </c>
      <c r="L969" t="s">
        <v>319</v>
      </c>
    </row>
    <row r="970" spans="1:12" x14ac:dyDescent="0.25">
      <c r="A970" t="s">
        <v>297</v>
      </c>
      <c r="B970" t="s">
        <v>20</v>
      </c>
      <c r="C970" t="s">
        <v>319</v>
      </c>
      <c r="D970" t="s">
        <v>23</v>
      </c>
      <c r="E970" t="s">
        <v>15</v>
      </c>
      <c r="F970">
        <v>44</v>
      </c>
      <c r="G970">
        <v>1500</v>
      </c>
      <c r="H970">
        <v>1</v>
      </c>
      <c r="I970">
        <v>1500</v>
      </c>
      <c r="J970">
        <v>12.37</v>
      </c>
      <c r="K970" s="2">
        <v>44967</v>
      </c>
      <c r="L970" t="s">
        <v>317</v>
      </c>
    </row>
    <row r="971" spans="1:12" x14ac:dyDescent="0.25">
      <c r="A971" t="s">
        <v>172</v>
      </c>
      <c r="B971" t="s">
        <v>13</v>
      </c>
      <c r="C971" t="s">
        <v>322</v>
      </c>
      <c r="D971" t="s">
        <v>25</v>
      </c>
      <c r="E971" t="s">
        <v>26</v>
      </c>
      <c r="F971">
        <v>57</v>
      </c>
      <c r="G971">
        <v>200</v>
      </c>
      <c r="H971">
        <v>3</v>
      </c>
      <c r="I971">
        <v>600</v>
      </c>
      <c r="J971">
        <v>5.88</v>
      </c>
      <c r="K971" s="2">
        <v>44936</v>
      </c>
      <c r="L971" t="s">
        <v>318</v>
      </c>
    </row>
    <row r="972" spans="1:12" x14ac:dyDescent="0.25">
      <c r="A972" t="s">
        <v>121</v>
      </c>
      <c r="B972" t="s">
        <v>13</v>
      </c>
      <c r="C972" t="s">
        <v>320</v>
      </c>
      <c r="D972" t="s">
        <v>29</v>
      </c>
      <c r="E972" t="s">
        <v>18</v>
      </c>
      <c r="F972">
        <v>38</v>
      </c>
      <c r="G972">
        <v>50</v>
      </c>
      <c r="H972">
        <v>5</v>
      </c>
      <c r="I972">
        <v>250</v>
      </c>
      <c r="J972">
        <v>12.92</v>
      </c>
      <c r="K972" s="2">
        <v>45126</v>
      </c>
      <c r="L972" t="s">
        <v>316</v>
      </c>
    </row>
    <row r="973" spans="1:12" x14ac:dyDescent="0.25">
      <c r="A973" t="s">
        <v>62</v>
      </c>
      <c r="B973" t="s">
        <v>20</v>
      </c>
      <c r="C973" t="s">
        <v>322</v>
      </c>
      <c r="D973" t="s">
        <v>30</v>
      </c>
      <c r="E973" t="s">
        <v>18</v>
      </c>
      <c r="F973">
        <v>58</v>
      </c>
      <c r="G973">
        <v>30</v>
      </c>
      <c r="H973">
        <v>2</v>
      </c>
      <c r="I973">
        <v>60</v>
      </c>
      <c r="J973">
        <v>9.7100000000000009</v>
      </c>
      <c r="K973" s="2">
        <v>45012</v>
      </c>
      <c r="L973" t="s">
        <v>316</v>
      </c>
    </row>
    <row r="974" spans="1:12" x14ac:dyDescent="0.25">
      <c r="A974" t="s">
        <v>167</v>
      </c>
      <c r="B974" t="s">
        <v>13</v>
      </c>
      <c r="C974" t="s">
        <v>319</v>
      </c>
      <c r="D974" t="s">
        <v>25</v>
      </c>
      <c r="E974" t="s">
        <v>26</v>
      </c>
      <c r="F974">
        <v>64</v>
      </c>
      <c r="G974">
        <v>200</v>
      </c>
      <c r="H974">
        <v>5</v>
      </c>
      <c r="I974">
        <v>1000</v>
      </c>
      <c r="J974">
        <v>19</v>
      </c>
      <c r="K974" s="2">
        <v>45158</v>
      </c>
      <c r="L974" t="s">
        <v>316</v>
      </c>
    </row>
    <row r="975" spans="1:12" x14ac:dyDescent="0.25">
      <c r="A975" t="s">
        <v>222</v>
      </c>
      <c r="B975" t="s">
        <v>13</v>
      </c>
      <c r="C975" t="s">
        <v>321</v>
      </c>
      <c r="D975" t="s">
        <v>30</v>
      </c>
      <c r="E975" t="s">
        <v>18</v>
      </c>
      <c r="F975">
        <v>67</v>
      </c>
      <c r="G975">
        <v>30</v>
      </c>
      <c r="H975">
        <v>3</v>
      </c>
      <c r="I975">
        <v>90</v>
      </c>
      <c r="J975">
        <v>7.63</v>
      </c>
      <c r="K975" s="2">
        <v>45129</v>
      </c>
      <c r="L975" t="s">
        <v>318</v>
      </c>
    </row>
    <row r="976" spans="1:12" x14ac:dyDescent="0.25">
      <c r="A976" t="s">
        <v>255</v>
      </c>
      <c r="B976" t="s">
        <v>13</v>
      </c>
      <c r="C976" t="s">
        <v>321</v>
      </c>
      <c r="D976" t="s">
        <v>30</v>
      </c>
      <c r="E976" t="s">
        <v>18</v>
      </c>
      <c r="F976">
        <v>39</v>
      </c>
      <c r="G976">
        <v>30</v>
      </c>
      <c r="H976">
        <v>5</v>
      </c>
      <c r="I976">
        <v>150</v>
      </c>
      <c r="J976">
        <v>5.6</v>
      </c>
      <c r="K976" s="2">
        <v>45209</v>
      </c>
      <c r="L976" t="s">
        <v>316</v>
      </c>
    </row>
    <row r="977" spans="1:12" x14ac:dyDescent="0.25">
      <c r="A977" t="s">
        <v>73</v>
      </c>
      <c r="B977" t="s">
        <v>13</v>
      </c>
      <c r="C977" t="s">
        <v>321</v>
      </c>
      <c r="D977" t="s">
        <v>29</v>
      </c>
      <c r="E977" t="s">
        <v>18</v>
      </c>
      <c r="F977">
        <v>51</v>
      </c>
      <c r="G977">
        <v>50</v>
      </c>
      <c r="H977">
        <v>4</v>
      </c>
      <c r="I977">
        <v>200</v>
      </c>
      <c r="J977">
        <v>19.420000000000002</v>
      </c>
      <c r="K977" s="2">
        <v>45076</v>
      </c>
      <c r="L977" t="s">
        <v>317</v>
      </c>
    </row>
    <row r="978" spans="1:12" x14ac:dyDescent="0.25">
      <c r="A978" t="s">
        <v>258</v>
      </c>
      <c r="B978" t="s">
        <v>20</v>
      </c>
      <c r="C978" t="s">
        <v>323</v>
      </c>
      <c r="D978" t="s">
        <v>25</v>
      </c>
      <c r="E978" t="s">
        <v>26</v>
      </c>
      <c r="F978">
        <v>55</v>
      </c>
      <c r="G978">
        <v>200</v>
      </c>
      <c r="H978">
        <v>5</v>
      </c>
      <c r="I978">
        <v>1000</v>
      </c>
      <c r="J978">
        <v>13.29</v>
      </c>
      <c r="K978" s="2">
        <v>45215</v>
      </c>
      <c r="L978" t="s">
        <v>318</v>
      </c>
    </row>
    <row r="979" spans="1:12" x14ac:dyDescent="0.25">
      <c r="A979" t="s">
        <v>271</v>
      </c>
      <c r="B979" t="s">
        <v>20</v>
      </c>
      <c r="C979" t="s">
        <v>323</v>
      </c>
      <c r="D979" t="s">
        <v>30</v>
      </c>
      <c r="E979" t="s">
        <v>18</v>
      </c>
      <c r="F979">
        <v>49</v>
      </c>
      <c r="G979">
        <v>30</v>
      </c>
      <c r="H979">
        <v>3</v>
      </c>
      <c r="I979">
        <v>90</v>
      </c>
      <c r="J979">
        <v>15.46</v>
      </c>
      <c r="K979" s="2">
        <v>45050</v>
      </c>
      <c r="L979" t="s">
        <v>317</v>
      </c>
    </row>
    <row r="980" spans="1:12" x14ac:dyDescent="0.25">
      <c r="A980" t="s">
        <v>208</v>
      </c>
      <c r="B980" t="s">
        <v>13</v>
      </c>
      <c r="C980" t="s">
        <v>321</v>
      </c>
      <c r="D980" t="s">
        <v>30</v>
      </c>
      <c r="E980" t="s">
        <v>18</v>
      </c>
      <c r="F980">
        <v>26</v>
      </c>
      <c r="G980">
        <v>30</v>
      </c>
      <c r="H980">
        <v>2</v>
      </c>
      <c r="I980">
        <v>60</v>
      </c>
      <c r="J980">
        <v>16.34</v>
      </c>
      <c r="K980" s="2">
        <v>45232</v>
      </c>
      <c r="L980" t="s">
        <v>316</v>
      </c>
    </row>
    <row r="981" spans="1:12" x14ac:dyDescent="0.25">
      <c r="A981" t="s">
        <v>36</v>
      </c>
      <c r="B981" t="s">
        <v>20</v>
      </c>
      <c r="C981" t="s">
        <v>320</v>
      </c>
      <c r="D981" t="s">
        <v>17</v>
      </c>
      <c r="E981" t="s">
        <v>18</v>
      </c>
      <c r="F981">
        <v>66</v>
      </c>
      <c r="G981">
        <v>100</v>
      </c>
      <c r="H981">
        <v>4</v>
      </c>
      <c r="I981">
        <v>400</v>
      </c>
      <c r="J981">
        <v>7.41</v>
      </c>
      <c r="K981" s="2">
        <v>44935</v>
      </c>
      <c r="L981" t="s">
        <v>318</v>
      </c>
    </row>
    <row r="982" spans="1:12" x14ac:dyDescent="0.25">
      <c r="A982" t="s">
        <v>295</v>
      </c>
      <c r="B982" t="s">
        <v>20</v>
      </c>
      <c r="C982" t="s">
        <v>321</v>
      </c>
      <c r="D982" t="s">
        <v>14</v>
      </c>
      <c r="E982" t="s">
        <v>15</v>
      </c>
      <c r="F982">
        <v>39</v>
      </c>
      <c r="G982">
        <v>300</v>
      </c>
      <c r="H982">
        <v>1</v>
      </c>
      <c r="I982">
        <v>300</v>
      </c>
      <c r="J982">
        <v>13.28</v>
      </c>
      <c r="K982" s="2">
        <v>44977</v>
      </c>
      <c r="L982" t="s">
        <v>318</v>
      </c>
    </row>
    <row r="983" spans="1:12" x14ac:dyDescent="0.25">
      <c r="A983" t="s">
        <v>93</v>
      </c>
      <c r="B983" t="s">
        <v>13</v>
      </c>
      <c r="C983" t="s">
        <v>323</v>
      </c>
      <c r="D983" t="s">
        <v>40</v>
      </c>
      <c r="E983" t="s">
        <v>15</v>
      </c>
      <c r="F983">
        <v>47</v>
      </c>
      <c r="G983">
        <v>800</v>
      </c>
      <c r="H983">
        <v>4</v>
      </c>
      <c r="I983">
        <v>3200</v>
      </c>
      <c r="J983">
        <v>8.8800000000000008</v>
      </c>
      <c r="K983" s="2">
        <v>45138</v>
      </c>
      <c r="L983" t="s">
        <v>317</v>
      </c>
    </row>
    <row r="984" spans="1:12" x14ac:dyDescent="0.25">
      <c r="A984" t="s">
        <v>224</v>
      </c>
      <c r="B984" t="s">
        <v>13</v>
      </c>
      <c r="C984" t="s">
        <v>323</v>
      </c>
      <c r="D984" t="s">
        <v>25</v>
      </c>
      <c r="E984" t="s">
        <v>26</v>
      </c>
      <c r="F984">
        <v>34</v>
      </c>
      <c r="G984">
        <v>200</v>
      </c>
      <c r="H984">
        <v>3</v>
      </c>
      <c r="I984">
        <v>600</v>
      </c>
      <c r="J984">
        <v>5.87</v>
      </c>
      <c r="K984" s="2">
        <v>45102</v>
      </c>
      <c r="L984" t="s">
        <v>316</v>
      </c>
    </row>
    <row r="985" spans="1:12" x14ac:dyDescent="0.25">
      <c r="A985" t="s">
        <v>139</v>
      </c>
      <c r="B985" t="s">
        <v>13</v>
      </c>
      <c r="C985" t="s">
        <v>319</v>
      </c>
      <c r="D985" t="s">
        <v>17</v>
      </c>
      <c r="E985" t="s">
        <v>18</v>
      </c>
      <c r="F985">
        <v>35</v>
      </c>
      <c r="G985">
        <v>100</v>
      </c>
      <c r="H985">
        <v>4</v>
      </c>
      <c r="I985">
        <v>400</v>
      </c>
      <c r="J985">
        <v>11.97</v>
      </c>
      <c r="K985" s="2">
        <v>45000</v>
      </c>
      <c r="L985" t="s">
        <v>317</v>
      </c>
    </row>
    <row r="986" spans="1:12" x14ac:dyDescent="0.25">
      <c r="A986" t="s">
        <v>166</v>
      </c>
      <c r="B986" t="s">
        <v>13</v>
      </c>
      <c r="C986" t="s">
        <v>321</v>
      </c>
      <c r="D986" t="s">
        <v>17</v>
      </c>
      <c r="E986" t="s">
        <v>18</v>
      </c>
      <c r="F986">
        <v>43</v>
      </c>
      <c r="G986">
        <v>100</v>
      </c>
      <c r="H986">
        <v>2</v>
      </c>
      <c r="I986">
        <v>200</v>
      </c>
      <c r="J986">
        <v>15.85</v>
      </c>
      <c r="K986" s="2">
        <v>45207</v>
      </c>
      <c r="L986" t="s">
        <v>316</v>
      </c>
    </row>
    <row r="987" spans="1:12" x14ac:dyDescent="0.25">
      <c r="A987" t="s">
        <v>263</v>
      </c>
      <c r="B987" t="s">
        <v>20</v>
      </c>
      <c r="C987" t="s">
        <v>320</v>
      </c>
      <c r="D987" t="s">
        <v>29</v>
      </c>
      <c r="E987" t="s">
        <v>18</v>
      </c>
      <c r="F987">
        <v>64</v>
      </c>
      <c r="G987">
        <v>50</v>
      </c>
      <c r="H987">
        <v>5</v>
      </c>
      <c r="I987">
        <v>250</v>
      </c>
      <c r="J987">
        <v>13.3</v>
      </c>
      <c r="K987" s="2">
        <v>45109</v>
      </c>
      <c r="L987" t="s">
        <v>316</v>
      </c>
    </row>
    <row r="988" spans="1:12" x14ac:dyDescent="0.25">
      <c r="A988" t="s">
        <v>262</v>
      </c>
      <c r="B988" t="s">
        <v>20</v>
      </c>
      <c r="C988" t="s">
        <v>323</v>
      </c>
      <c r="D988" t="s">
        <v>14</v>
      </c>
      <c r="E988" t="s">
        <v>15</v>
      </c>
      <c r="F988">
        <v>40</v>
      </c>
      <c r="G988">
        <v>300</v>
      </c>
      <c r="H988">
        <v>4</v>
      </c>
      <c r="I988">
        <v>1200</v>
      </c>
      <c r="J988">
        <v>17.21</v>
      </c>
      <c r="K988" s="2">
        <v>45137</v>
      </c>
      <c r="L988" t="s">
        <v>317</v>
      </c>
    </row>
    <row r="989" spans="1:12" x14ac:dyDescent="0.25">
      <c r="A989" t="s">
        <v>314</v>
      </c>
      <c r="B989" t="s">
        <v>20</v>
      </c>
      <c r="C989" t="s">
        <v>319</v>
      </c>
      <c r="D989" t="s">
        <v>30</v>
      </c>
      <c r="E989" t="s">
        <v>18</v>
      </c>
      <c r="F989">
        <v>54</v>
      </c>
      <c r="G989">
        <v>30</v>
      </c>
      <c r="H989">
        <v>2</v>
      </c>
      <c r="I989">
        <v>60</v>
      </c>
      <c r="J989">
        <v>19.03</v>
      </c>
      <c r="K989" s="2">
        <v>44937</v>
      </c>
      <c r="L989" t="s">
        <v>317</v>
      </c>
    </row>
    <row r="990" spans="1:12" x14ac:dyDescent="0.25">
      <c r="A990" t="s">
        <v>62</v>
      </c>
      <c r="B990" t="s">
        <v>20</v>
      </c>
      <c r="C990" t="s">
        <v>320</v>
      </c>
      <c r="D990" t="s">
        <v>25</v>
      </c>
      <c r="E990" t="s">
        <v>26</v>
      </c>
      <c r="F990">
        <v>58</v>
      </c>
      <c r="G990">
        <v>200</v>
      </c>
      <c r="H990">
        <v>4</v>
      </c>
      <c r="I990">
        <v>800</v>
      </c>
      <c r="J990">
        <v>9.43</v>
      </c>
      <c r="K990" s="2">
        <v>45141</v>
      </c>
      <c r="L990" t="s">
        <v>316</v>
      </c>
    </row>
    <row r="991" spans="1:12" x14ac:dyDescent="0.25">
      <c r="A991" t="s">
        <v>241</v>
      </c>
      <c r="B991" t="s">
        <v>13</v>
      </c>
      <c r="C991" t="s">
        <v>320</v>
      </c>
      <c r="D991" t="s">
        <v>25</v>
      </c>
      <c r="E991" t="s">
        <v>26</v>
      </c>
      <c r="F991">
        <v>52</v>
      </c>
      <c r="G991">
        <v>200</v>
      </c>
      <c r="H991">
        <v>2</v>
      </c>
      <c r="I991">
        <v>400</v>
      </c>
      <c r="J991">
        <v>5.97</v>
      </c>
      <c r="K991" s="2">
        <v>45194</v>
      </c>
      <c r="L991" t="s">
        <v>317</v>
      </c>
    </row>
    <row r="992" spans="1:12" x14ac:dyDescent="0.25">
      <c r="A992" t="s">
        <v>293</v>
      </c>
      <c r="B992" t="s">
        <v>20</v>
      </c>
      <c r="C992" t="s">
        <v>320</v>
      </c>
      <c r="D992" t="s">
        <v>23</v>
      </c>
      <c r="E992" t="s">
        <v>15</v>
      </c>
      <c r="F992">
        <v>49</v>
      </c>
      <c r="G992">
        <v>1500</v>
      </c>
      <c r="H992">
        <v>5</v>
      </c>
      <c r="I992">
        <v>7500</v>
      </c>
      <c r="J992">
        <v>5.1100000000000003</v>
      </c>
      <c r="K992" s="2">
        <v>45260</v>
      </c>
      <c r="L992" t="s">
        <v>316</v>
      </c>
    </row>
    <row r="993" spans="1:12" x14ac:dyDescent="0.25">
      <c r="A993" t="s">
        <v>315</v>
      </c>
      <c r="B993" t="s">
        <v>13</v>
      </c>
      <c r="C993" t="s">
        <v>322</v>
      </c>
      <c r="D993" t="s">
        <v>30</v>
      </c>
      <c r="E993" t="s">
        <v>18</v>
      </c>
      <c r="F993">
        <v>18</v>
      </c>
      <c r="G993">
        <v>30</v>
      </c>
      <c r="H993">
        <v>3</v>
      </c>
      <c r="I993">
        <v>90</v>
      </c>
      <c r="J993">
        <v>11.7</v>
      </c>
      <c r="K993" s="2">
        <v>45219</v>
      </c>
      <c r="L993" t="s">
        <v>319</v>
      </c>
    </row>
    <row r="994" spans="1:12" x14ac:dyDescent="0.25">
      <c r="A994" t="s">
        <v>158</v>
      </c>
      <c r="B994" t="s">
        <v>13</v>
      </c>
      <c r="C994" t="s">
        <v>323</v>
      </c>
      <c r="D994" t="s">
        <v>17</v>
      </c>
      <c r="E994" t="s">
        <v>18</v>
      </c>
      <c r="F994">
        <v>32</v>
      </c>
      <c r="G994">
        <v>100</v>
      </c>
      <c r="H994">
        <v>5</v>
      </c>
      <c r="I994">
        <v>500</v>
      </c>
      <c r="J994">
        <v>12.38</v>
      </c>
      <c r="K994" s="2">
        <v>44927</v>
      </c>
      <c r="L994" t="s">
        <v>316</v>
      </c>
    </row>
    <row r="995" spans="1:12" x14ac:dyDescent="0.25">
      <c r="A995" t="s">
        <v>242</v>
      </c>
      <c r="B995" t="s">
        <v>20</v>
      </c>
      <c r="C995" t="s">
        <v>320</v>
      </c>
      <c r="D995" t="s">
        <v>40</v>
      </c>
      <c r="E995" t="s">
        <v>15</v>
      </c>
      <c r="F995">
        <v>68</v>
      </c>
      <c r="G995">
        <v>800</v>
      </c>
      <c r="H995">
        <v>4</v>
      </c>
      <c r="I995">
        <v>3200</v>
      </c>
      <c r="J995">
        <v>17.32</v>
      </c>
      <c r="K995" s="2">
        <v>45143</v>
      </c>
      <c r="L995" t="s">
        <v>316</v>
      </c>
    </row>
    <row r="996" spans="1:12" x14ac:dyDescent="0.25">
      <c r="A996" t="s">
        <v>302</v>
      </c>
      <c r="B996" t="s">
        <v>13</v>
      </c>
      <c r="C996" t="s">
        <v>321</v>
      </c>
      <c r="D996" t="s">
        <v>25</v>
      </c>
      <c r="E996" t="s">
        <v>26</v>
      </c>
      <c r="F996">
        <v>26</v>
      </c>
      <c r="G996">
        <v>200</v>
      </c>
      <c r="H996">
        <v>2</v>
      </c>
      <c r="I996">
        <v>400</v>
      </c>
      <c r="J996">
        <v>7.14</v>
      </c>
      <c r="K996" s="2">
        <v>44930</v>
      </c>
      <c r="L996" t="s">
        <v>316</v>
      </c>
    </row>
    <row r="997" spans="1:12" x14ac:dyDescent="0.25">
      <c r="A997" t="s">
        <v>32</v>
      </c>
      <c r="B997" t="s">
        <v>20</v>
      </c>
      <c r="C997" t="s">
        <v>322</v>
      </c>
      <c r="D997" t="s">
        <v>17</v>
      </c>
      <c r="E997" t="s">
        <v>18</v>
      </c>
      <c r="F997">
        <v>49</v>
      </c>
      <c r="G997">
        <v>100</v>
      </c>
      <c r="H997">
        <v>1</v>
      </c>
      <c r="I997">
        <v>100</v>
      </c>
      <c r="J997">
        <v>17.21</v>
      </c>
      <c r="K997" s="2">
        <v>44931</v>
      </c>
      <c r="L997" t="s">
        <v>317</v>
      </c>
    </row>
    <row r="998" spans="1:12" x14ac:dyDescent="0.25">
      <c r="A998" t="s">
        <v>93</v>
      </c>
      <c r="B998" t="s">
        <v>13</v>
      </c>
      <c r="C998" t="s">
        <v>323</v>
      </c>
      <c r="D998" t="s">
        <v>23</v>
      </c>
      <c r="E998" t="s">
        <v>15</v>
      </c>
      <c r="F998">
        <v>47</v>
      </c>
      <c r="G998">
        <v>1500</v>
      </c>
      <c r="H998">
        <v>1</v>
      </c>
      <c r="I998">
        <v>1500</v>
      </c>
      <c r="J998">
        <v>19.190000000000001</v>
      </c>
      <c r="K998" s="2">
        <v>45017</v>
      </c>
      <c r="L998" t="s">
        <v>318</v>
      </c>
    </row>
    <row r="999" spans="1:12" x14ac:dyDescent="0.25">
      <c r="A999" t="s">
        <v>197</v>
      </c>
      <c r="B999" t="s">
        <v>20</v>
      </c>
      <c r="C999" t="s">
        <v>320</v>
      </c>
      <c r="D999" t="s">
        <v>30</v>
      </c>
      <c r="E999" t="s">
        <v>18</v>
      </c>
      <c r="F999">
        <v>49</v>
      </c>
      <c r="G999">
        <v>30</v>
      </c>
      <c r="H999">
        <v>5</v>
      </c>
      <c r="I999">
        <v>150</v>
      </c>
      <c r="J999">
        <v>19.350000000000001</v>
      </c>
      <c r="K999" s="2">
        <v>45219</v>
      </c>
      <c r="L999" t="s">
        <v>318</v>
      </c>
    </row>
    <row r="1000" spans="1:12" x14ac:dyDescent="0.25">
      <c r="A1000" t="s">
        <v>31</v>
      </c>
      <c r="B1000" t="s">
        <v>20</v>
      </c>
      <c r="C1000" t="s">
        <v>322</v>
      </c>
      <c r="D1000" t="s">
        <v>23</v>
      </c>
      <c r="E1000" t="s">
        <v>15</v>
      </c>
      <c r="F1000">
        <v>29</v>
      </c>
      <c r="G1000">
        <v>1500</v>
      </c>
      <c r="H1000">
        <v>5</v>
      </c>
      <c r="I1000">
        <v>7500</v>
      </c>
      <c r="J1000">
        <v>10.36</v>
      </c>
      <c r="K1000" s="2">
        <v>44933</v>
      </c>
      <c r="L1000" t="s">
        <v>316</v>
      </c>
    </row>
    <row r="1001" spans="1:12" x14ac:dyDescent="0.25">
      <c r="A1001" t="s">
        <v>311</v>
      </c>
      <c r="B1001" t="s">
        <v>13</v>
      </c>
      <c r="C1001" t="s">
        <v>319</v>
      </c>
      <c r="D1001" t="s">
        <v>25</v>
      </c>
      <c r="E1001" t="s">
        <v>26</v>
      </c>
      <c r="F1001">
        <v>29</v>
      </c>
      <c r="G1001">
        <v>200</v>
      </c>
      <c r="H1001">
        <v>1</v>
      </c>
      <c r="I1001">
        <v>200</v>
      </c>
      <c r="J1001">
        <v>7.53</v>
      </c>
      <c r="K1001" s="2">
        <v>44956</v>
      </c>
      <c r="L1001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8640-A969-4FDA-9571-7B122C38C904}">
  <dimension ref="A1:C17"/>
  <sheetViews>
    <sheetView topLeftCell="A8" workbookViewId="0">
      <selection activeCell="A19" sqref="A19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1" spans="1:3" x14ac:dyDescent="0.25">
      <c r="A1" s="16" t="s">
        <v>4</v>
      </c>
      <c r="B1" t="s">
        <v>345</v>
      </c>
      <c r="C1" t="s">
        <v>346</v>
      </c>
    </row>
    <row r="3" spans="1:3" x14ac:dyDescent="0.25">
      <c r="A3" s="16" t="s">
        <v>329</v>
      </c>
      <c r="B3" t="s">
        <v>344</v>
      </c>
    </row>
    <row r="4" spans="1:3" x14ac:dyDescent="0.25">
      <c r="A4" s="17" t="s">
        <v>330</v>
      </c>
      <c r="B4" s="7">
        <v>298</v>
      </c>
    </row>
    <row r="5" spans="1:3" x14ac:dyDescent="0.25">
      <c r="A5" s="17" t="s">
        <v>331</v>
      </c>
      <c r="B5" s="7">
        <v>201</v>
      </c>
    </row>
    <row r="6" spans="1:3" x14ac:dyDescent="0.25">
      <c r="A6" s="17" t="s">
        <v>332</v>
      </c>
      <c r="B6" s="7">
        <v>210</v>
      </c>
    </row>
    <row r="7" spans="1:3" x14ac:dyDescent="0.25">
      <c r="A7" s="17" t="s">
        <v>333</v>
      </c>
      <c r="B7" s="7">
        <v>189</v>
      </c>
    </row>
    <row r="8" spans="1:3" x14ac:dyDescent="0.25">
      <c r="A8" s="17" t="s">
        <v>334</v>
      </c>
      <c r="B8" s="7">
        <v>267</v>
      </c>
    </row>
    <row r="9" spans="1:3" x14ac:dyDescent="0.25">
      <c r="A9" s="17" t="s">
        <v>335</v>
      </c>
      <c r="B9" s="7">
        <v>274</v>
      </c>
    </row>
    <row r="10" spans="1:3" x14ac:dyDescent="0.25">
      <c r="A10" s="17" t="s">
        <v>336</v>
      </c>
      <c r="B10" s="7">
        <v>226</v>
      </c>
    </row>
    <row r="11" spans="1:3" x14ac:dyDescent="0.25">
      <c r="A11" s="17" t="s">
        <v>337</v>
      </c>
      <c r="B11" s="7">
        <v>239</v>
      </c>
    </row>
    <row r="12" spans="1:3" x14ac:dyDescent="0.25">
      <c r="A12" s="17" t="s">
        <v>338</v>
      </c>
      <c r="B12" s="7">
        <v>240</v>
      </c>
    </row>
    <row r="13" spans="1:3" x14ac:dyDescent="0.25">
      <c r="A13" s="17" t="s">
        <v>339</v>
      </c>
      <c r="B13" s="7">
        <v>276</v>
      </c>
    </row>
    <row r="14" spans="1:3" x14ac:dyDescent="0.25">
      <c r="A14" s="17" t="s">
        <v>340</v>
      </c>
      <c r="B14" s="7">
        <v>283</v>
      </c>
    </row>
    <row r="15" spans="1:3" x14ac:dyDescent="0.25">
      <c r="A15" s="17" t="s">
        <v>341</v>
      </c>
      <c r="B15" s="7">
        <v>245</v>
      </c>
    </row>
    <row r="16" spans="1:3" x14ac:dyDescent="0.25">
      <c r="A16" s="17" t="s">
        <v>342</v>
      </c>
      <c r="B16" s="7">
        <v>60</v>
      </c>
    </row>
    <row r="17" spans="1:2" x14ac:dyDescent="0.25">
      <c r="A17" s="17" t="s">
        <v>343</v>
      </c>
      <c r="B17" s="7">
        <v>3008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7D87-5FB5-45B5-BEFD-F7FCB1B786D1}">
  <dimension ref="A1:R475"/>
  <sheetViews>
    <sheetView topLeftCell="E9" workbookViewId="0">
      <selection activeCell="J25" sqref="J25"/>
    </sheetView>
  </sheetViews>
  <sheetFormatPr defaultRowHeight="15" x14ac:dyDescent="0.25"/>
  <cols>
    <col min="1" max="1" width="13" style="2" customWidth="1"/>
    <col min="2" max="2" width="10.85546875" customWidth="1"/>
    <col min="3" max="3" width="20" customWidth="1"/>
    <col min="4" max="5" width="34.85546875" customWidth="1"/>
    <col min="6" max="7" width="17.140625" customWidth="1"/>
    <col min="8" max="8" width="21" customWidth="1"/>
    <col min="17" max="17" width="10.5703125" customWidth="1"/>
    <col min="18" max="18" width="8.140625" customWidth="1"/>
  </cols>
  <sheetData>
    <row r="1" spans="1:18" x14ac:dyDescent="0.25">
      <c r="A1" s="2" t="s">
        <v>10</v>
      </c>
      <c r="B1" t="s">
        <v>7</v>
      </c>
      <c r="C1" t="s">
        <v>359</v>
      </c>
      <c r="D1" t="s">
        <v>360</v>
      </c>
      <c r="E1" t="s">
        <v>361</v>
      </c>
      <c r="F1" s="21" t="s">
        <v>364</v>
      </c>
      <c r="G1" s="21" t="s">
        <v>362</v>
      </c>
      <c r="H1" s="21" t="s">
        <v>363</v>
      </c>
      <c r="Q1" t="s">
        <v>350</v>
      </c>
      <c r="R1" t="s">
        <v>351</v>
      </c>
    </row>
    <row r="2" spans="1:18" x14ac:dyDescent="0.25">
      <c r="A2" s="2">
        <v>44927</v>
      </c>
      <c r="B2">
        <v>4.5</v>
      </c>
      <c r="F2" s="2">
        <f>MAX(SalesTbl[Order Date])+1</f>
        <v>45295</v>
      </c>
      <c r="G2" s="2">
        <f>MAX(SalesTbl[Order Date])+1</f>
        <v>45295</v>
      </c>
      <c r="H2" s="7">
        <f>_xlfn.FORECAST.ETS(G2, SalesTbl[Quantity], SalesTbl[Order Date], 0, 1, 1)</f>
        <v>3.0004644310978308</v>
      </c>
      <c r="Q2" t="s">
        <v>352</v>
      </c>
      <c r="R2" s="20">
        <f>_xlfn.FORECAST.ETS.STAT($B$2:$B$369,$A$2:$A$369,1,1,1)</f>
        <v>0.126</v>
      </c>
    </row>
    <row r="3" spans="1:18" x14ac:dyDescent="0.25">
      <c r="A3" s="2">
        <v>44928</v>
      </c>
      <c r="B3">
        <v>2.6666666666666665</v>
      </c>
      <c r="F3" s="2">
        <f>MAX(SalesTbl[Order Date])+1</f>
        <v>45295</v>
      </c>
      <c r="G3" s="2">
        <f>G2+1</f>
        <v>45296</v>
      </c>
      <c r="H3" s="7">
        <f>_xlfn.FORECAST.ETS(G3, SalesTbl[Quantity], SalesTbl[Order Date], 0, 1, 1)</f>
        <v>3.00092886219567</v>
      </c>
      <c r="Q3" t="s">
        <v>353</v>
      </c>
      <c r="R3" s="20">
        <f>_xlfn.FORECAST.ETS.STAT($B$2:$B$369,$A$2:$A$369,2,1,1)</f>
        <v>1E-3</v>
      </c>
    </row>
    <row r="4" spans="1:18" x14ac:dyDescent="0.25">
      <c r="A4" s="2">
        <v>44929</v>
      </c>
      <c r="B4">
        <v>2.8</v>
      </c>
      <c r="F4" s="2">
        <f>MAX(SalesTbl[Order Date])+1</f>
        <v>45295</v>
      </c>
      <c r="G4" s="2">
        <f t="shared" ref="G4:G67" si="0">G3+1</f>
        <v>45297</v>
      </c>
      <c r="H4" s="7">
        <f>_xlfn.FORECAST.ETS(G4, SalesTbl[Quantity], SalesTbl[Order Date], 0, 1, 1)</f>
        <v>3.0013932932935008</v>
      </c>
      <c r="Q4" t="s">
        <v>354</v>
      </c>
      <c r="R4" s="20">
        <f>_xlfn.FORECAST.ETS.STAT($B$2:$B$369,$A$2:$A$369,3,1,1)</f>
        <v>1E-3</v>
      </c>
    </row>
    <row r="5" spans="1:18" x14ac:dyDescent="0.25">
      <c r="A5" s="2">
        <v>44930</v>
      </c>
      <c r="B5">
        <v>4</v>
      </c>
      <c r="F5" s="2">
        <f>MAX(SalesTbl[Order Date])+1</f>
        <v>45295</v>
      </c>
      <c r="G5" s="2">
        <f t="shared" si="0"/>
        <v>45298</v>
      </c>
      <c r="H5" s="7">
        <f>_xlfn.FORECAST.ETS(G5, SalesTbl[Quantity], SalesTbl[Order Date], 0, 1, 1)</f>
        <v>3.00185772439134</v>
      </c>
      <c r="Q5" t="s">
        <v>355</v>
      </c>
      <c r="R5" s="20">
        <f>_xlfn.FORECAST.ETS.STAT($B$2:$B$369,$A$2:$A$369,4,1,1)</f>
        <v>0.90886000536469047</v>
      </c>
    </row>
    <row r="6" spans="1:18" x14ac:dyDescent="0.25">
      <c r="A6" s="2">
        <v>44931</v>
      </c>
      <c r="B6">
        <v>3.25</v>
      </c>
      <c r="F6" s="2">
        <f>MAX(SalesTbl[Order Date])+1</f>
        <v>45295</v>
      </c>
      <c r="G6" s="2">
        <f t="shared" si="0"/>
        <v>45299</v>
      </c>
      <c r="H6" s="7">
        <f>_xlfn.FORECAST.ETS(G6, SalesTbl[Quantity], SalesTbl[Order Date], 0, 1, 1)</f>
        <v>3.0023221554891708</v>
      </c>
      <c r="Q6" t="s">
        <v>356</v>
      </c>
      <c r="R6" s="20">
        <f>_xlfn.FORECAST.ETS.STAT($B$2:$B$369,$A$2:$A$369,5,1,1)</f>
        <v>0.29525782891183977</v>
      </c>
    </row>
    <row r="7" spans="1:18" x14ac:dyDescent="0.25">
      <c r="A7" s="2">
        <v>44932</v>
      </c>
      <c r="B7">
        <v>5</v>
      </c>
      <c r="F7" s="2">
        <f>MAX(SalesTbl[Order Date])+1</f>
        <v>45295</v>
      </c>
      <c r="G7" s="2">
        <f t="shared" si="0"/>
        <v>45300</v>
      </c>
      <c r="H7" s="7">
        <f>_xlfn.FORECAST.ETS(G7, SalesTbl[Quantity], SalesTbl[Order Date], 0, 1, 1)</f>
        <v>3.00278658658701</v>
      </c>
      <c r="Q7" t="s">
        <v>357</v>
      </c>
      <c r="R7" s="20">
        <f>_xlfn.FORECAST.ETS.STAT($B$2:$B$369,$A$2:$A$369,6,1,1)</f>
        <v>0.90366983602188544</v>
      </c>
    </row>
    <row r="8" spans="1:18" x14ac:dyDescent="0.25">
      <c r="A8" s="2">
        <v>44933</v>
      </c>
      <c r="B8">
        <v>4.25</v>
      </c>
      <c r="F8" s="2">
        <f>MAX(SalesTbl[Order Date])+1</f>
        <v>45295</v>
      </c>
      <c r="G8" s="2">
        <f t="shared" si="0"/>
        <v>45301</v>
      </c>
      <c r="H8" s="7">
        <f>_xlfn.FORECAST.ETS(G8, SalesTbl[Quantity], SalesTbl[Order Date], 0, 1, 1)</f>
        <v>3.0032510176848408</v>
      </c>
      <c r="Q8" t="s">
        <v>358</v>
      </c>
      <c r="R8" s="20">
        <f>_xlfn.FORECAST.ETS.STAT($B$2:$B$369,$A$2:$A$369,7,1,1)</f>
        <v>1.1499959768212809</v>
      </c>
    </row>
    <row r="9" spans="1:18" x14ac:dyDescent="0.25">
      <c r="A9" s="2">
        <v>44934</v>
      </c>
      <c r="B9">
        <v>3</v>
      </c>
      <c r="F9" s="2">
        <f>MAX(SalesTbl[Order Date])+1</f>
        <v>45295</v>
      </c>
      <c r="G9" s="2">
        <f t="shared" si="0"/>
        <v>45302</v>
      </c>
      <c r="H9" s="7">
        <f>_xlfn.FORECAST.ETS(G9, SalesTbl[Quantity], SalesTbl[Order Date], 0, 1, 1)</f>
        <v>3.0037154487826805</v>
      </c>
    </row>
    <row r="10" spans="1:18" x14ac:dyDescent="0.25">
      <c r="A10" s="2">
        <v>44935</v>
      </c>
      <c r="B10">
        <v>2.6666666666666665</v>
      </c>
      <c r="F10" s="2">
        <f>MAX(SalesTbl[Order Date])+1</f>
        <v>45295</v>
      </c>
      <c r="G10" s="2">
        <f t="shared" si="0"/>
        <v>45303</v>
      </c>
      <c r="H10" s="7">
        <f>_xlfn.FORECAST.ETS(G10, SalesTbl[Quantity], SalesTbl[Order Date], 0, 1, 1)</f>
        <v>3.0041798798805108</v>
      </c>
    </row>
    <row r="11" spans="1:18" x14ac:dyDescent="0.25">
      <c r="A11" s="2">
        <v>44936</v>
      </c>
      <c r="B11">
        <v>2.6</v>
      </c>
      <c r="F11" s="2">
        <f>MAX(SalesTbl[Order Date])+1</f>
        <v>45295</v>
      </c>
      <c r="G11" s="2">
        <f t="shared" si="0"/>
        <v>45304</v>
      </c>
      <c r="H11" s="7">
        <f>_xlfn.FORECAST.ETS(G11, SalesTbl[Quantity], SalesTbl[Order Date], 0, 1, 1)</f>
        <v>3.0046443109783505</v>
      </c>
    </row>
    <row r="12" spans="1:18" x14ac:dyDescent="0.25">
      <c r="A12" s="2">
        <v>44937</v>
      </c>
      <c r="B12">
        <v>3.25</v>
      </c>
      <c r="F12" s="2">
        <f>MAX(SalesTbl[Order Date])+1</f>
        <v>45295</v>
      </c>
      <c r="G12" s="2">
        <f t="shared" si="0"/>
        <v>45305</v>
      </c>
      <c r="H12" s="7">
        <f>_xlfn.FORECAST.ETS(G12, SalesTbl[Quantity], SalesTbl[Order Date], 0, 1, 1)</f>
        <v>3.0051087420761808</v>
      </c>
    </row>
    <row r="13" spans="1:18" x14ac:dyDescent="0.25">
      <c r="A13" s="2">
        <v>44938</v>
      </c>
      <c r="B13">
        <v>2</v>
      </c>
      <c r="F13" s="2">
        <f>MAX(SalesTbl[Order Date])+1</f>
        <v>45295</v>
      </c>
      <c r="G13" s="2">
        <f t="shared" si="0"/>
        <v>45306</v>
      </c>
      <c r="H13" s="7">
        <f>_xlfn.FORECAST.ETS(G13, SalesTbl[Quantity], SalesTbl[Order Date], 0, 1, 1)</f>
        <v>3.0055731731740205</v>
      </c>
    </row>
    <row r="14" spans="1:18" x14ac:dyDescent="0.25">
      <c r="A14" s="2">
        <v>44939</v>
      </c>
      <c r="B14">
        <v>1</v>
      </c>
      <c r="F14" s="2">
        <f>MAX(SalesTbl[Order Date])+1</f>
        <v>45295</v>
      </c>
      <c r="G14" s="2">
        <f t="shared" si="0"/>
        <v>45307</v>
      </c>
      <c r="H14" s="7">
        <f>_xlfn.FORECAST.ETS(G14, SalesTbl[Quantity], SalesTbl[Order Date], 0, 1, 1)</f>
        <v>3.0060376042718508</v>
      </c>
    </row>
    <row r="15" spans="1:18" x14ac:dyDescent="0.25">
      <c r="A15" s="2">
        <v>44940</v>
      </c>
      <c r="B15">
        <v>3</v>
      </c>
      <c r="F15" s="2">
        <f>MAX(SalesTbl[Order Date])+1</f>
        <v>45295</v>
      </c>
      <c r="G15" s="2">
        <f t="shared" si="0"/>
        <v>45308</v>
      </c>
      <c r="H15" s="7">
        <f>_xlfn.FORECAST.ETS(G15, SalesTbl[Quantity], SalesTbl[Order Date], 0, 1, 1)</f>
        <v>3.0065020353696905</v>
      </c>
    </row>
    <row r="16" spans="1:18" x14ac:dyDescent="0.25">
      <c r="A16" s="2">
        <v>44941</v>
      </c>
      <c r="B16">
        <v>3</v>
      </c>
      <c r="F16" s="2">
        <f>MAX(SalesTbl[Order Date])+1</f>
        <v>45295</v>
      </c>
      <c r="G16" s="2">
        <f t="shared" si="0"/>
        <v>45309</v>
      </c>
      <c r="H16" s="7">
        <f>_xlfn.FORECAST.ETS(G16, SalesTbl[Quantity], SalesTbl[Order Date], 0, 1, 1)</f>
        <v>3.0069664664675209</v>
      </c>
    </row>
    <row r="17" spans="1:8" x14ac:dyDescent="0.25">
      <c r="A17" s="2">
        <v>44942</v>
      </c>
      <c r="B17">
        <v>3.6666666666666665</v>
      </c>
      <c r="F17" s="2">
        <f>MAX(SalesTbl[Order Date])+1</f>
        <v>45295</v>
      </c>
      <c r="G17" s="2">
        <f t="shared" si="0"/>
        <v>45310</v>
      </c>
      <c r="H17" s="7">
        <f>_xlfn.FORECAST.ETS(G17, SalesTbl[Quantity], SalesTbl[Order Date], 0, 1, 1)</f>
        <v>3.0074308975653605</v>
      </c>
    </row>
    <row r="18" spans="1:8" x14ac:dyDescent="0.25">
      <c r="A18" s="2">
        <v>44943</v>
      </c>
      <c r="B18">
        <v>3</v>
      </c>
      <c r="F18" s="2">
        <f>MAX(SalesTbl[Order Date])+1</f>
        <v>45295</v>
      </c>
      <c r="G18" s="2">
        <f t="shared" si="0"/>
        <v>45311</v>
      </c>
      <c r="H18" s="7">
        <f>_xlfn.FORECAST.ETS(G18, SalesTbl[Quantity], SalesTbl[Order Date], 0, 1, 1)</f>
        <v>3.0078953286631913</v>
      </c>
    </row>
    <row r="19" spans="1:8" x14ac:dyDescent="0.25">
      <c r="A19" s="2">
        <v>44944</v>
      </c>
      <c r="B19">
        <v>3.25</v>
      </c>
      <c r="F19" s="2">
        <f>MAX(SalesTbl[Order Date])+1</f>
        <v>45295</v>
      </c>
      <c r="G19" s="2">
        <f t="shared" si="0"/>
        <v>45312</v>
      </c>
      <c r="H19" s="7">
        <f>_xlfn.FORECAST.ETS(G19, SalesTbl[Quantity], SalesTbl[Order Date], 0, 1, 1)</f>
        <v>3.0083597597610305</v>
      </c>
    </row>
    <row r="20" spans="1:8" x14ac:dyDescent="0.25">
      <c r="A20" s="2">
        <v>44945</v>
      </c>
      <c r="B20">
        <v>2.75</v>
      </c>
      <c r="F20" s="2">
        <f>MAX(SalesTbl[Order Date])+1</f>
        <v>45295</v>
      </c>
      <c r="G20" s="2">
        <f t="shared" si="0"/>
        <v>45313</v>
      </c>
      <c r="H20" s="7">
        <f>_xlfn.FORECAST.ETS(G20, SalesTbl[Quantity], SalesTbl[Order Date], 0, 1, 1)</f>
        <v>3.0088241908588613</v>
      </c>
    </row>
    <row r="21" spans="1:8" x14ac:dyDescent="0.25">
      <c r="A21" s="2">
        <v>44946</v>
      </c>
      <c r="B21">
        <v>4</v>
      </c>
      <c r="F21" s="2">
        <f>MAX(SalesTbl[Order Date])+1</f>
        <v>45295</v>
      </c>
      <c r="G21" s="2">
        <f t="shared" si="0"/>
        <v>45314</v>
      </c>
      <c r="H21" s="7">
        <f>_xlfn.FORECAST.ETS(G21, SalesTbl[Quantity], SalesTbl[Order Date], 0, 1, 1)</f>
        <v>3.0092886219567005</v>
      </c>
    </row>
    <row r="22" spans="1:8" x14ac:dyDescent="0.25">
      <c r="A22" s="2">
        <v>44947</v>
      </c>
      <c r="B22">
        <v>1</v>
      </c>
      <c r="F22" s="2">
        <f>MAX(SalesTbl[Order Date])+1</f>
        <v>45295</v>
      </c>
      <c r="G22" s="2">
        <f t="shared" si="0"/>
        <v>45315</v>
      </c>
      <c r="H22" s="7">
        <f>_xlfn.FORECAST.ETS(G22, SalesTbl[Quantity], SalesTbl[Order Date], 0, 1, 1)</f>
        <v>3.0097530530545313</v>
      </c>
    </row>
    <row r="23" spans="1:8" x14ac:dyDescent="0.25">
      <c r="A23" s="2">
        <v>44948</v>
      </c>
      <c r="B23">
        <v>3.5</v>
      </c>
      <c r="F23" s="2">
        <f>MAX(SalesTbl[Order Date])+1</f>
        <v>45295</v>
      </c>
      <c r="G23" s="2">
        <f t="shared" si="0"/>
        <v>45316</v>
      </c>
      <c r="H23" s="7">
        <f>_xlfn.FORECAST.ETS(G23, SalesTbl[Quantity], SalesTbl[Order Date], 0, 1, 1)</f>
        <v>3.0102174841523706</v>
      </c>
    </row>
    <row r="24" spans="1:8" x14ac:dyDescent="0.25">
      <c r="A24" s="2">
        <v>44949</v>
      </c>
      <c r="B24">
        <v>2.25</v>
      </c>
      <c r="F24" s="2">
        <f>MAX(SalesTbl[Order Date])+1</f>
        <v>45295</v>
      </c>
      <c r="G24" s="2">
        <f t="shared" si="0"/>
        <v>45317</v>
      </c>
      <c r="H24" s="7">
        <f>_xlfn.FORECAST.ETS(G24, SalesTbl[Quantity], SalesTbl[Order Date], 0, 1, 1)</f>
        <v>3.0106819152502013</v>
      </c>
    </row>
    <row r="25" spans="1:8" x14ac:dyDescent="0.25">
      <c r="A25" s="2">
        <v>44950</v>
      </c>
      <c r="B25">
        <v>3.3333333333333335</v>
      </c>
      <c r="F25" s="2">
        <f>MAX(SalesTbl[Order Date])+1</f>
        <v>45295</v>
      </c>
      <c r="G25" s="2">
        <f t="shared" si="0"/>
        <v>45318</v>
      </c>
      <c r="H25" s="7">
        <f>_xlfn.FORECAST.ETS(G25, SalesTbl[Quantity], SalesTbl[Order Date], 0, 1, 1)</f>
        <v>3.011146346348041</v>
      </c>
    </row>
    <row r="26" spans="1:8" x14ac:dyDescent="0.25">
      <c r="A26" s="2">
        <v>44951</v>
      </c>
      <c r="B26">
        <v>4</v>
      </c>
      <c r="F26" s="2">
        <f>MAX(SalesTbl[Order Date])+1</f>
        <v>45295</v>
      </c>
      <c r="G26" s="2">
        <f t="shared" si="0"/>
        <v>45319</v>
      </c>
      <c r="H26" s="7">
        <f>_xlfn.FORECAST.ETS(G26, SalesTbl[Quantity], SalesTbl[Order Date], 0, 1, 1)</f>
        <v>3.0116107774458714</v>
      </c>
    </row>
    <row r="27" spans="1:8" x14ac:dyDescent="0.25">
      <c r="A27" s="2">
        <v>44952</v>
      </c>
      <c r="B27">
        <v>3.6666666666666665</v>
      </c>
      <c r="F27" s="2">
        <f>MAX(SalesTbl[Order Date])+1</f>
        <v>45295</v>
      </c>
      <c r="G27" s="2">
        <f t="shared" si="0"/>
        <v>45320</v>
      </c>
      <c r="H27" s="7">
        <f>_xlfn.FORECAST.ETS(G27, SalesTbl[Quantity], SalesTbl[Order Date], 0, 1, 1)</f>
        <v>3.012075208543711</v>
      </c>
    </row>
    <row r="28" spans="1:8" x14ac:dyDescent="0.25">
      <c r="A28" s="2">
        <v>44953</v>
      </c>
      <c r="B28">
        <v>5</v>
      </c>
      <c r="F28" s="2">
        <f>MAX(SalesTbl[Order Date])+1</f>
        <v>45295</v>
      </c>
      <c r="G28" s="2">
        <f t="shared" si="0"/>
        <v>45321</v>
      </c>
      <c r="H28" s="7">
        <f>_xlfn.FORECAST.ETS(G28, SalesTbl[Quantity], SalesTbl[Order Date], 0, 1, 1)</f>
        <v>3.0125396396415414</v>
      </c>
    </row>
    <row r="29" spans="1:8" x14ac:dyDescent="0.25">
      <c r="A29" s="2">
        <v>44954</v>
      </c>
      <c r="B29">
        <v>2</v>
      </c>
      <c r="F29" s="2">
        <f>MAX(SalesTbl[Order Date])+1</f>
        <v>45295</v>
      </c>
      <c r="G29" s="2">
        <f t="shared" si="0"/>
        <v>45322</v>
      </c>
      <c r="H29" s="7">
        <f>_xlfn.FORECAST.ETS(G29, SalesTbl[Quantity], SalesTbl[Order Date], 0, 1, 1)</f>
        <v>3.013004070739381</v>
      </c>
    </row>
    <row r="30" spans="1:8" x14ac:dyDescent="0.25">
      <c r="A30" s="2">
        <v>44955</v>
      </c>
      <c r="B30">
        <v>3</v>
      </c>
      <c r="F30" s="2">
        <f>MAX(SalesTbl[Order Date])+1</f>
        <v>45295</v>
      </c>
      <c r="G30" s="2">
        <f t="shared" si="0"/>
        <v>45323</v>
      </c>
      <c r="H30" s="7">
        <f>_xlfn.FORECAST.ETS(G30, SalesTbl[Quantity], SalesTbl[Order Date], 0, 1, 1)</f>
        <v>3.0134685018372114</v>
      </c>
    </row>
    <row r="31" spans="1:8" x14ac:dyDescent="0.25">
      <c r="A31" s="2">
        <v>44956</v>
      </c>
      <c r="B31">
        <v>2</v>
      </c>
      <c r="F31" s="2">
        <f>MAX(SalesTbl[Order Date])+1</f>
        <v>45295</v>
      </c>
      <c r="G31" s="2">
        <f t="shared" si="0"/>
        <v>45324</v>
      </c>
      <c r="H31" s="7">
        <f>_xlfn.FORECAST.ETS(G31, SalesTbl[Quantity], SalesTbl[Order Date], 0, 1, 1)</f>
        <v>3.013932932935051</v>
      </c>
    </row>
    <row r="32" spans="1:8" x14ac:dyDescent="0.25">
      <c r="A32" s="2">
        <v>44957</v>
      </c>
      <c r="B32">
        <v>3</v>
      </c>
      <c r="F32" s="2">
        <f>MAX(SalesTbl[Order Date])+1</f>
        <v>45295</v>
      </c>
      <c r="G32" s="2">
        <f t="shared" si="0"/>
        <v>45325</v>
      </c>
      <c r="H32" s="7">
        <f>_xlfn.FORECAST.ETS(G32, SalesTbl[Quantity], SalesTbl[Order Date], 0, 1, 1)</f>
        <v>3.0143973640328818</v>
      </c>
    </row>
    <row r="33" spans="1:8" x14ac:dyDescent="0.25">
      <c r="A33" s="2">
        <v>44958</v>
      </c>
      <c r="B33">
        <v>2.6666666666666665</v>
      </c>
      <c r="F33" s="2">
        <f>MAX(SalesTbl[Order Date])+1</f>
        <v>45295</v>
      </c>
      <c r="G33" s="2">
        <f t="shared" si="0"/>
        <v>45326</v>
      </c>
      <c r="H33" s="7">
        <f>_xlfn.FORECAST.ETS(G33, SalesTbl[Quantity], SalesTbl[Order Date], 0, 1, 1)</f>
        <v>3.0148617951307211</v>
      </c>
    </row>
    <row r="34" spans="1:8" x14ac:dyDescent="0.25">
      <c r="A34" s="2">
        <v>44959</v>
      </c>
      <c r="B34">
        <v>3.4</v>
      </c>
      <c r="F34" s="2">
        <f>MAX(SalesTbl[Order Date])+1</f>
        <v>45295</v>
      </c>
      <c r="G34" s="2">
        <f t="shared" si="0"/>
        <v>45327</v>
      </c>
      <c r="H34" s="7">
        <f>_xlfn.FORECAST.ETS(G34, SalesTbl[Quantity], SalesTbl[Order Date], 0, 1, 1)</f>
        <v>3.0153262262285518</v>
      </c>
    </row>
    <row r="35" spans="1:8" x14ac:dyDescent="0.25">
      <c r="A35" s="2">
        <v>44960</v>
      </c>
      <c r="B35">
        <v>3.75</v>
      </c>
      <c r="F35" s="2">
        <f>MAX(SalesTbl[Order Date])+1</f>
        <v>45295</v>
      </c>
      <c r="G35" s="2">
        <f t="shared" si="0"/>
        <v>45328</v>
      </c>
      <c r="H35" s="7">
        <f>_xlfn.FORECAST.ETS(G35, SalesTbl[Quantity], SalesTbl[Order Date], 0, 1, 1)</f>
        <v>3.0157906573263911</v>
      </c>
    </row>
    <row r="36" spans="1:8" x14ac:dyDescent="0.25">
      <c r="A36" s="2">
        <v>44961</v>
      </c>
      <c r="B36">
        <v>3</v>
      </c>
      <c r="F36" s="2">
        <f>MAX(SalesTbl[Order Date])+1</f>
        <v>45295</v>
      </c>
      <c r="G36" s="2">
        <f t="shared" si="0"/>
        <v>45329</v>
      </c>
      <c r="H36" s="7">
        <f>_xlfn.FORECAST.ETS(G36, SalesTbl[Quantity], SalesTbl[Order Date], 0, 1, 1)</f>
        <v>3.0162550884242219</v>
      </c>
    </row>
    <row r="37" spans="1:8" x14ac:dyDescent="0.25">
      <c r="A37" s="2">
        <v>44962</v>
      </c>
      <c r="B37">
        <v>2.25</v>
      </c>
      <c r="F37" s="2">
        <f>MAX(SalesTbl[Order Date])+1</f>
        <v>45295</v>
      </c>
      <c r="G37" s="2">
        <f t="shared" si="0"/>
        <v>45330</v>
      </c>
      <c r="H37" s="7">
        <f>_xlfn.FORECAST.ETS(G37, SalesTbl[Quantity], SalesTbl[Order Date], 0, 1, 1)</f>
        <v>3.0167195195220611</v>
      </c>
    </row>
    <row r="38" spans="1:8" x14ac:dyDescent="0.25">
      <c r="A38" s="2">
        <v>44963</v>
      </c>
      <c r="B38">
        <v>1.5</v>
      </c>
      <c r="F38" s="2">
        <f>MAX(SalesTbl[Order Date])+1</f>
        <v>45295</v>
      </c>
      <c r="G38" s="2">
        <f t="shared" si="0"/>
        <v>45331</v>
      </c>
      <c r="H38" s="7">
        <f>_xlfn.FORECAST.ETS(G38, SalesTbl[Quantity], SalesTbl[Order Date], 0, 1, 1)</f>
        <v>3.0171839506198919</v>
      </c>
    </row>
    <row r="39" spans="1:8" x14ac:dyDescent="0.25">
      <c r="A39" s="2">
        <v>44964</v>
      </c>
      <c r="B39">
        <v>2</v>
      </c>
      <c r="F39" s="2">
        <f>MAX(SalesTbl[Order Date])+1</f>
        <v>45295</v>
      </c>
      <c r="G39" s="2">
        <f t="shared" si="0"/>
        <v>45332</v>
      </c>
      <c r="H39" s="7">
        <f>_xlfn.FORECAST.ETS(G39, SalesTbl[Quantity], SalesTbl[Order Date], 0, 1, 1)</f>
        <v>3.0176483817177311</v>
      </c>
    </row>
    <row r="40" spans="1:8" x14ac:dyDescent="0.25">
      <c r="A40" s="2">
        <v>44965</v>
      </c>
      <c r="B40">
        <v>3</v>
      </c>
      <c r="F40" s="2">
        <f>MAX(SalesTbl[Order Date])+1</f>
        <v>45295</v>
      </c>
      <c r="G40" s="2">
        <f t="shared" si="0"/>
        <v>45333</v>
      </c>
      <c r="H40" s="7">
        <f>_xlfn.FORECAST.ETS(G40, SalesTbl[Quantity], SalesTbl[Order Date], 0, 1, 1)</f>
        <v>3.0181128128155619</v>
      </c>
    </row>
    <row r="41" spans="1:8" x14ac:dyDescent="0.25">
      <c r="A41" s="2">
        <v>44966</v>
      </c>
      <c r="B41">
        <v>3</v>
      </c>
      <c r="F41" s="2">
        <f>MAX(SalesTbl[Order Date])+1</f>
        <v>45295</v>
      </c>
      <c r="G41" s="2">
        <f t="shared" si="0"/>
        <v>45334</v>
      </c>
      <c r="H41" s="7">
        <f>_xlfn.FORECAST.ETS(G41, SalesTbl[Quantity], SalesTbl[Order Date], 0, 1, 1)</f>
        <v>3.0185772439134015</v>
      </c>
    </row>
    <row r="42" spans="1:8" x14ac:dyDescent="0.25">
      <c r="A42" s="2">
        <v>44967</v>
      </c>
      <c r="B42">
        <v>2</v>
      </c>
      <c r="F42" s="2">
        <f>MAX(SalesTbl[Order Date])+1</f>
        <v>45295</v>
      </c>
      <c r="G42" s="2">
        <f t="shared" si="0"/>
        <v>45335</v>
      </c>
      <c r="H42" s="7">
        <f>_xlfn.FORECAST.ETS(G42, SalesTbl[Quantity], SalesTbl[Order Date], 0, 1, 1)</f>
        <v>3.0190416750112319</v>
      </c>
    </row>
    <row r="43" spans="1:8" x14ac:dyDescent="0.25">
      <c r="A43" s="2">
        <v>44968</v>
      </c>
      <c r="B43">
        <v>2.3333333333333335</v>
      </c>
      <c r="F43" s="2">
        <f>MAX(SalesTbl[Order Date])+1</f>
        <v>45295</v>
      </c>
      <c r="G43" s="2">
        <f t="shared" si="0"/>
        <v>45336</v>
      </c>
      <c r="H43" s="7">
        <f>_xlfn.FORECAST.ETS(G43, SalesTbl[Quantity], SalesTbl[Order Date], 0, 1, 1)</f>
        <v>3.0195061061090716</v>
      </c>
    </row>
    <row r="44" spans="1:8" x14ac:dyDescent="0.25">
      <c r="A44" s="2">
        <v>44969</v>
      </c>
      <c r="B44">
        <v>3.5</v>
      </c>
      <c r="F44" s="2">
        <f>MAX(SalesTbl[Order Date])+1</f>
        <v>45295</v>
      </c>
      <c r="G44" s="2">
        <f t="shared" si="0"/>
        <v>45337</v>
      </c>
      <c r="H44" s="7">
        <f>_xlfn.FORECAST.ETS(G44, SalesTbl[Quantity], SalesTbl[Order Date], 0, 1, 1)</f>
        <v>3.0199705372069019</v>
      </c>
    </row>
    <row r="45" spans="1:8" x14ac:dyDescent="0.25">
      <c r="A45" s="2">
        <v>44970</v>
      </c>
      <c r="B45">
        <v>2.5</v>
      </c>
      <c r="F45" s="2">
        <f>MAX(SalesTbl[Order Date])+1</f>
        <v>45295</v>
      </c>
      <c r="G45" s="2">
        <f t="shared" si="0"/>
        <v>45338</v>
      </c>
      <c r="H45" s="7">
        <f>_xlfn.FORECAST.ETS(G45, SalesTbl[Quantity], SalesTbl[Order Date], 0, 1, 1)</f>
        <v>3.0204349683047416</v>
      </c>
    </row>
    <row r="46" spans="1:8" x14ac:dyDescent="0.25">
      <c r="A46" s="2">
        <v>44971</v>
      </c>
      <c r="B46">
        <v>3.3333333333333335</v>
      </c>
      <c r="F46" s="2">
        <f>MAX(SalesTbl[Order Date])+1</f>
        <v>45295</v>
      </c>
      <c r="G46" s="2">
        <f t="shared" si="0"/>
        <v>45339</v>
      </c>
      <c r="H46" s="7">
        <f>_xlfn.FORECAST.ETS(G46, SalesTbl[Quantity], SalesTbl[Order Date], 0, 1, 1)</f>
        <v>3.0208993994025719</v>
      </c>
    </row>
    <row r="47" spans="1:8" x14ac:dyDescent="0.25">
      <c r="A47" s="2">
        <v>44972</v>
      </c>
      <c r="B47">
        <v>1.5</v>
      </c>
      <c r="F47" s="2">
        <f>MAX(SalesTbl[Order Date])+1</f>
        <v>45295</v>
      </c>
      <c r="G47" s="2">
        <f t="shared" si="0"/>
        <v>45340</v>
      </c>
      <c r="H47" s="7">
        <f>_xlfn.FORECAST.ETS(G47, SalesTbl[Quantity], SalesTbl[Order Date], 0, 1, 1)</f>
        <v>3.0213638305004116</v>
      </c>
    </row>
    <row r="48" spans="1:8" x14ac:dyDescent="0.25">
      <c r="A48" s="2">
        <v>44973</v>
      </c>
      <c r="B48">
        <v>3</v>
      </c>
      <c r="F48" s="2">
        <f>MAX(SalesTbl[Order Date])+1</f>
        <v>45295</v>
      </c>
      <c r="G48" s="2">
        <f t="shared" si="0"/>
        <v>45341</v>
      </c>
      <c r="H48" s="7">
        <f>_xlfn.FORECAST.ETS(G48, SalesTbl[Quantity], SalesTbl[Order Date], 0, 1, 1)</f>
        <v>3.0218282615982424</v>
      </c>
    </row>
    <row r="49" spans="1:8" x14ac:dyDescent="0.25">
      <c r="A49" s="2">
        <v>44974</v>
      </c>
      <c r="B49">
        <v>2.6666666666666665</v>
      </c>
      <c r="F49" s="2">
        <f>MAX(SalesTbl[Order Date])+1</f>
        <v>45295</v>
      </c>
      <c r="G49" s="2">
        <f t="shared" si="0"/>
        <v>45342</v>
      </c>
      <c r="H49" s="7">
        <f>_xlfn.FORECAST.ETS(G49, SalesTbl[Quantity], SalesTbl[Order Date], 0, 1, 1)</f>
        <v>3.0222926926960816</v>
      </c>
    </row>
    <row r="50" spans="1:8" x14ac:dyDescent="0.25">
      <c r="A50" s="2">
        <v>44975</v>
      </c>
      <c r="B50">
        <v>3</v>
      </c>
      <c r="F50" s="2">
        <f>MAX(SalesTbl[Order Date])+1</f>
        <v>45295</v>
      </c>
      <c r="G50" s="2">
        <f t="shared" si="0"/>
        <v>45343</v>
      </c>
      <c r="H50" s="7">
        <f>_xlfn.FORECAST.ETS(G50, SalesTbl[Quantity], SalesTbl[Order Date], 0, 1, 1)</f>
        <v>3.0227571237939124</v>
      </c>
    </row>
    <row r="51" spans="1:8" x14ac:dyDescent="0.25">
      <c r="A51" s="2">
        <v>44976</v>
      </c>
      <c r="B51">
        <v>3.3333333333333335</v>
      </c>
      <c r="F51" s="2">
        <f>MAX(SalesTbl[Order Date])+1</f>
        <v>45295</v>
      </c>
      <c r="G51" s="2">
        <f t="shared" si="0"/>
        <v>45344</v>
      </c>
      <c r="H51" s="7">
        <f>_xlfn.FORECAST.ETS(G51, SalesTbl[Quantity], SalesTbl[Order Date], 0, 1, 1)</f>
        <v>3.0232215548917516</v>
      </c>
    </row>
    <row r="52" spans="1:8" x14ac:dyDescent="0.25">
      <c r="A52" s="2">
        <v>44977</v>
      </c>
      <c r="B52">
        <v>3</v>
      </c>
      <c r="F52" s="2">
        <f>MAX(SalesTbl[Order Date])+1</f>
        <v>45295</v>
      </c>
      <c r="G52" s="2">
        <f t="shared" si="0"/>
        <v>45345</v>
      </c>
      <c r="H52" s="7">
        <f>_xlfn.FORECAST.ETS(G52, SalesTbl[Quantity], SalesTbl[Order Date], 0, 1, 1)</f>
        <v>3.0236859859895824</v>
      </c>
    </row>
    <row r="53" spans="1:8" x14ac:dyDescent="0.25">
      <c r="A53" s="2">
        <v>44978</v>
      </c>
      <c r="B53">
        <v>3.2</v>
      </c>
      <c r="F53" s="2">
        <f>MAX(SalesTbl[Order Date])+1</f>
        <v>45295</v>
      </c>
      <c r="G53" s="2">
        <f t="shared" si="0"/>
        <v>45346</v>
      </c>
      <c r="H53" s="7">
        <f>_xlfn.FORECAST.ETS(G53, SalesTbl[Quantity], SalesTbl[Order Date], 0, 1, 1)</f>
        <v>3.0241504170874216</v>
      </c>
    </row>
    <row r="54" spans="1:8" x14ac:dyDescent="0.25">
      <c r="A54" s="2">
        <v>44979</v>
      </c>
      <c r="B54">
        <v>2</v>
      </c>
      <c r="F54" s="2">
        <f>MAX(SalesTbl[Order Date])+1</f>
        <v>45295</v>
      </c>
      <c r="G54" s="2">
        <f t="shared" si="0"/>
        <v>45347</v>
      </c>
      <c r="H54" s="7">
        <f>_xlfn.FORECAST.ETS(G54, SalesTbl[Quantity], SalesTbl[Order Date], 0, 1, 1)</f>
        <v>3.0246148481852524</v>
      </c>
    </row>
    <row r="55" spans="1:8" x14ac:dyDescent="0.25">
      <c r="A55" s="2">
        <v>44980</v>
      </c>
      <c r="B55">
        <v>1</v>
      </c>
      <c r="F55" s="2">
        <f>MAX(SalesTbl[Order Date])+1</f>
        <v>45295</v>
      </c>
      <c r="G55" s="2">
        <f t="shared" si="0"/>
        <v>45348</v>
      </c>
      <c r="H55" s="7">
        <f>_xlfn.FORECAST.ETS(G55, SalesTbl[Quantity], SalesTbl[Order Date], 0, 1, 1)</f>
        <v>3.0250792792830921</v>
      </c>
    </row>
    <row r="56" spans="1:8" x14ac:dyDescent="0.25">
      <c r="A56" s="2">
        <v>44981</v>
      </c>
      <c r="B56">
        <v>5</v>
      </c>
      <c r="F56" s="2">
        <f>MAX(SalesTbl[Order Date])+1</f>
        <v>45295</v>
      </c>
      <c r="G56" s="2">
        <f t="shared" si="0"/>
        <v>45349</v>
      </c>
      <c r="H56" s="7">
        <f>_xlfn.FORECAST.ETS(G56, SalesTbl[Quantity], SalesTbl[Order Date], 0, 1, 1)</f>
        <v>3.0255437103809224</v>
      </c>
    </row>
    <row r="57" spans="1:8" x14ac:dyDescent="0.25">
      <c r="A57" s="2">
        <v>44982</v>
      </c>
      <c r="B57">
        <v>3</v>
      </c>
      <c r="F57" s="2">
        <f>MAX(SalesTbl[Order Date])+1</f>
        <v>45295</v>
      </c>
      <c r="G57" s="2">
        <f t="shared" si="0"/>
        <v>45350</v>
      </c>
      <c r="H57" s="7">
        <f>_xlfn.FORECAST.ETS(G57, SalesTbl[Quantity], SalesTbl[Order Date], 0, 1, 1)</f>
        <v>3.0260081414787621</v>
      </c>
    </row>
    <row r="58" spans="1:8" x14ac:dyDescent="0.25">
      <c r="A58" s="2">
        <v>44983</v>
      </c>
      <c r="B58">
        <v>4</v>
      </c>
      <c r="F58" s="2">
        <f>MAX(SalesTbl[Order Date])+1</f>
        <v>45295</v>
      </c>
      <c r="G58" s="2">
        <f t="shared" si="0"/>
        <v>45351</v>
      </c>
      <c r="H58" s="7">
        <f>_xlfn.FORECAST.ETS(G58, SalesTbl[Quantity], SalesTbl[Order Date], 0, 1, 1)</f>
        <v>3.0264725725765924</v>
      </c>
    </row>
    <row r="59" spans="1:8" x14ac:dyDescent="0.25">
      <c r="A59" s="2">
        <v>44984</v>
      </c>
      <c r="B59">
        <v>1.6666666666666667</v>
      </c>
      <c r="F59" s="2">
        <f>MAX(SalesTbl[Order Date])+1</f>
        <v>45295</v>
      </c>
      <c r="G59" s="2">
        <f t="shared" si="0"/>
        <v>45352</v>
      </c>
      <c r="H59" s="7">
        <f>_xlfn.FORECAST.ETS(G59, SalesTbl[Quantity], SalesTbl[Order Date], 0, 1, 1)</f>
        <v>3.0269370036744321</v>
      </c>
    </row>
    <row r="60" spans="1:8" x14ac:dyDescent="0.25">
      <c r="A60" s="2">
        <v>44985</v>
      </c>
      <c r="B60">
        <v>2.25</v>
      </c>
      <c r="F60" s="2">
        <f>MAX(SalesTbl[Order Date])+1</f>
        <v>45295</v>
      </c>
      <c r="G60" s="2">
        <f t="shared" si="0"/>
        <v>45353</v>
      </c>
      <c r="H60" s="7">
        <f>_xlfn.FORECAST.ETS(G60, SalesTbl[Quantity], SalesTbl[Order Date], 0, 1, 1)</f>
        <v>3.0274014347722624</v>
      </c>
    </row>
    <row r="61" spans="1:8" x14ac:dyDescent="0.25">
      <c r="A61" s="2">
        <v>44986</v>
      </c>
      <c r="B61">
        <v>3.625</v>
      </c>
      <c r="F61" s="2">
        <f>MAX(SalesTbl[Order Date])+1</f>
        <v>45295</v>
      </c>
      <c r="G61" s="2">
        <f t="shared" si="0"/>
        <v>45354</v>
      </c>
      <c r="H61" s="7">
        <f>_xlfn.FORECAST.ETS(G61, SalesTbl[Quantity], SalesTbl[Order Date], 0, 1, 1)</f>
        <v>3.0278658658701021</v>
      </c>
    </row>
    <row r="62" spans="1:8" x14ac:dyDescent="0.25">
      <c r="A62" s="2">
        <v>44987</v>
      </c>
      <c r="B62">
        <v>5</v>
      </c>
      <c r="F62" s="2">
        <f>MAX(SalesTbl[Order Date])+1</f>
        <v>45295</v>
      </c>
      <c r="G62" s="2">
        <f t="shared" si="0"/>
        <v>45355</v>
      </c>
      <c r="H62" s="7">
        <f>_xlfn.FORECAST.ETS(G62, SalesTbl[Quantity], SalesTbl[Order Date], 0, 1, 1)</f>
        <v>3.0283302969679324</v>
      </c>
    </row>
    <row r="63" spans="1:8" x14ac:dyDescent="0.25">
      <c r="A63" s="2">
        <v>44988</v>
      </c>
      <c r="B63">
        <v>3.6</v>
      </c>
      <c r="F63" s="2">
        <f>MAX(SalesTbl[Order Date])+1</f>
        <v>45295</v>
      </c>
      <c r="G63" s="2">
        <f t="shared" si="0"/>
        <v>45356</v>
      </c>
      <c r="H63" s="7">
        <f>_xlfn.FORECAST.ETS(G63, SalesTbl[Quantity], SalesTbl[Order Date], 0, 1, 1)</f>
        <v>3.0287947280657721</v>
      </c>
    </row>
    <row r="64" spans="1:8" x14ac:dyDescent="0.25">
      <c r="A64" s="2">
        <v>44989</v>
      </c>
      <c r="B64">
        <v>5</v>
      </c>
      <c r="F64" s="2">
        <f>MAX(SalesTbl[Order Date])+1</f>
        <v>45295</v>
      </c>
      <c r="G64" s="2">
        <f t="shared" si="0"/>
        <v>45357</v>
      </c>
      <c r="H64" s="7">
        <f>_xlfn.FORECAST.ETS(G64, SalesTbl[Quantity], SalesTbl[Order Date], 0, 1, 1)</f>
        <v>3.0292591591636029</v>
      </c>
    </row>
    <row r="65" spans="1:8" x14ac:dyDescent="0.25">
      <c r="A65" s="2">
        <v>44990</v>
      </c>
      <c r="B65">
        <v>3</v>
      </c>
      <c r="F65" s="2">
        <f>MAX(SalesTbl[Order Date])+1</f>
        <v>45295</v>
      </c>
      <c r="G65" s="2">
        <f t="shared" si="0"/>
        <v>45358</v>
      </c>
      <c r="H65" s="7">
        <f>_xlfn.FORECAST.ETS(G65, SalesTbl[Quantity], SalesTbl[Order Date], 0, 1, 1)</f>
        <v>3.0297235902614421</v>
      </c>
    </row>
    <row r="66" spans="1:8" x14ac:dyDescent="0.25">
      <c r="A66" s="2">
        <v>44991</v>
      </c>
      <c r="B66">
        <v>3</v>
      </c>
      <c r="F66" s="2">
        <f>MAX(SalesTbl[Order Date])+1</f>
        <v>45295</v>
      </c>
      <c r="G66" s="2">
        <f t="shared" si="0"/>
        <v>45359</v>
      </c>
      <c r="H66" s="7">
        <f>_xlfn.FORECAST.ETS(G66, SalesTbl[Quantity], SalesTbl[Order Date], 0, 1, 1)</f>
        <v>3.0301880213592729</v>
      </c>
    </row>
    <row r="67" spans="1:8" x14ac:dyDescent="0.25">
      <c r="A67" s="2">
        <v>44992</v>
      </c>
      <c r="B67">
        <v>4.333333333333333</v>
      </c>
      <c r="F67" s="2">
        <f>MAX(SalesTbl[Order Date])+1</f>
        <v>45295</v>
      </c>
      <c r="G67" s="2">
        <f t="shared" si="0"/>
        <v>45360</v>
      </c>
      <c r="H67" s="7">
        <f>_xlfn.FORECAST.ETS(G67, SalesTbl[Quantity], SalesTbl[Order Date], 0, 1, 1)</f>
        <v>3.0306524524571121</v>
      </c>
    </row>
    <row r="68" spans="1:8" x14ac:dyDescent="0.25">
      <c r="A68" s="2">
        <v>44993</v>
      </c>
      <c r="B68">
        <v>1.5</v>
      </c>
      <c r="F68" s="2">
        <f>MAX(SalesTbl[Order Date])+1</f>
        <v>45295</v>
      </c>
      <c r="G68" s="2">
        <f t="shared" ref="G68:G131" si="1">G67+1</f>
        <v>45361</v>
      </c>
      <c r="H68" s="7">
        <f>_xlfn.FORECAST.ETS(G68, SalesTbl[Quantity], SalesTbl[Order Date], 0, 1, 1)</f>
        <v>3.0311168835549429</v>
      </c>
    </row>
    <row r="69" spans="1:8" x14ac:dyDescent="0.25">
      <c r="A69" s="2">
        <v>44994</v>
      </c>
      <c r="B69">
        <v>3.3333333333333335</v>
      </c>
      <c r="F69" s="2">
        <f>MAX(SalesTbl[Order Date])+1</f>
        <v>45295</v>
      </c>
      <c r="G69" s="2">
        <f t="shared" si="1"/>
        <v>45362</v>
      </c>
      <c r="H69" s="7">
        <f>_xlfn.FORECAST.ETS(G69, SalesTbl[Quantity], SalesTbl[Order Date], 0, 1, 1)</f>
        <v>3.0315813146527821</v>
      </c>
    </row>
    <row r="70" spans="1:8" x14ac:dyDescent="0.25">
      <c r="A70" s="2">
        <v>44995</v>
      </c>
      <c r="B70">
        <v>2</v>
      </c>
      <c r="F70" s="2">
        <f>MAX(SalesTbl[Order Date])+1</f>
        <v>45295</v>
      </c>
      <c r="G70" s="2">
        <f t="shared" si="1"/>
        <v>45363</v>
      </c>
      <c r="H70" s="7">
        <f>_xlfn.FORECAST.ETS(G70, SalesTbl[Quantity], SalesTbl[Order Date], 0, 1, 1)</f>
        <v>3.0320457457506129</v>
      </c>
    </row>
    <row r="71" spans="1:8" x14ac:dyDescent="0.25">
      <c r="A71" s="2">
        <v>44996</v>
      </c>
      <c r="B71">
        <v>3.5</v>
      </c>
      <c r="F71" s="2">
        <f>MAX(SalesTbl[Order Date])+1</f>
        <v>45295</v>
      </c>
      <c r="G71" s="2">
        <f t="shared" si="1"/>
        <v>45364</v>
      </c>
      <c r="H71" s="7">
        <f>_xlfn.FORECAST.ETS(G71, SalesTbl[Quantity], SalesTbl[Order Date], 0, 1, 1)</f>
        <v>3.0325101768484526</v>
      </c>
    </row>
    <row r="72" spans="1:8" x14ac:dyDescent="0.25">
      <c r="A72" s="2">
        <v>44997</v>
      </c>
      <c r="B72">
        <v>2.3333333333333335</v>
      </c>
      <c r="F72" s="2">
        <f>MAX(SalesTbl[Order Date])+1</f>
        <v>45295</v>
      </c>
      <c r="G72" s="2">
        <f t="shared" si="1"/>
        <v>45365</v>
      </c>
      <c r="H72" s="7">
        <f>_xlfn.FORECAST.ETS(G72, SalesTbl[Quantity], SalesTbl[Order Date], 0, 1, 1)</f>
        <v>3.0329746079462829</v>
      </c>
    </row>
    <row r="73" spans="1:8" x14ac:dyDescent="0.25">
      <c r="A73" s="2">
        <v>44998</v>
      </c>
      <c r="B73">
        <v>3</v>
      </c>
      <c r="F73" s="2">
        <f>MAX(SalesTbl[Order Date])+1</f>
        <v>45295</v>
      </c>
      <c r="G73" s="2">
        <f t="shared" si="1"/>
        <v>45366</v>
      </c>
      <c r="H73" s="7">
        <f>_xlfn.FORECAST.ETS(G73, SalesTbl[Quantity], SalesTbl[Order Date], 0, 1, 1)</f>
        <v>3.0334390390441226</v>
      </c>
    </row>
    <row r="74" spans="1:8" x14ac:dyDescent="0.25">
      <c r="A74" s="2">
        <v>44999</v>
      </c>
      <c r="B74">
        <v>2</v>
      </c>
      <c r="F74" s="2">
        <f>MAX(SalesTbl[Order Date])+1</f>
        <v>45295</v>
      </c>
      <c r="G74" s="2">
        <f t="shared" si="1"/>
        <v>45367</v>
      </c>
      <c r="H74" s="7">
        <f>_xlfn.FORECAST.ETS(G74, SalesTbl[Quantity], SalesTbl[Order Date], 0, 1, 1)</f>
        <v>3.0339034701419529</v>
      </c>
    </row>
    <row r="75" spans="1:8" x14ac:dyDescent="0.25">
      <c r="A75" s="2">
        <v>45000</v>
      </c>
      <c r="B75">
        <v>4.666666666666667</v>
      </c>
      <c r="F75" s="2">
        <f>MAX(SalesTbl[Order Date])+1</f>
        <v>45295</v>
      </c>
      <c r="G75" s="2">
        <f t="shared" si="1"/>
        <v>45368</v>
      </c>
      <c r="H75" s="7">
        <f>_xlfn.FORECAST.ETS(G75, SalesTbl[Quantity], SalesTbl[Order Date], 0, 1, 1)</f>
        <v>3.0343679012397926</v>
      </c>
    </row>
    <row r="76" spans="1:8" x14ac:dyDescent="0.25">
      <c r="A76" s="2">
        <v>45001</v>
      </c>
      <c r="B76">
        <v>2.5</v>
      </c>
      <c r="F76" s="2">
        <f>MAX(SalesTbl[Order Date])+1</f>
        <v>45295</v>
      </c>
      <c r="G76" s="2">
        <f t="shared" si="1"/>
        <v>45369</v>
      </c>
      <c r="H76" s="7">
        <f>_xlfn.FORECAST.ETS(G76, SalesTbl[Quantity], SalesTbl[Order Date], 0, 1, 1)</f>
        <v>3.034832332337623</v>
      </c>
    </row>
    <row r="77" spans="1:8" x14ac:dyDescent="0.25">
      <c r="A77" s="2">
        <v>45002</v>
      </c>
      <c r="B77">
        <v>4</v>
      </c>
      <c r="F77" s="2">
        <f>MAX(SalesTbl[Order Date])+1</f>
        <v>45295</v>
      </c>
      <c r="G77" s="2">
        <f t="shared" si="1"/>
        <v>45370</v>
      </c>
      <c r="H77" s="7">
        <f>_xlfn.FORECAST.ETS(G77, SalesTbl[Quantity], SalesTbl[Order Date], 0, 1, 1)</f>
        <v>3.0352967634354626</v>
      </c>
    </row>
    <row r="78" spans="1:8" x14ac:dyDescent="0.25">
      <c r="A78" s="2">
        <v>45003</v>
      </c>
      <c r="B78">
        <v>3</v>
      </c>
      <c r="F78" s="2">
        <f>MAX(SalesTbl[Order Date])+1</f>
        <v>45295</v>
      </c>
      <c r="G78" s="2">
        <f t="shared" si="1"/>
        <v>45371</v>
      </c>
      <c r="H78" s="7">
        <f>_xlfn.FORECAST.ETS(G78, SalesTbl[Quantity], SalesTbl[Order Date], 0, 1, 1)</f>
        <v>3.035761194533293</v>
      </c>
    </row>
    <row r="79" spans="1:8" x14ac:dyDescent="0.25">
      <c r="A79" s="2">
        <v>45004</v>
      </c>
      <c r="B79">
        <v>3.5</v>
      </c>
      <c r="F79" s="2">
        <f>MAX(SalesTbl[Order Date])+1</f>
        <v>45295</v>
      </c>
      <c r="G79" s="2">
        <f t="shared" si="1"/>
        <v>45372</v>
      </c>
      <c r="H79" s="7">
        <f>_xlfn.FORECAST.ETS(G79, SalesTbl[Quantity], SalesTbl[Order Date], 0, 1, 1)</f>
        <v>3.0362256256311326</v>
      </c>
    </row>
    <row r="80" spans="1:8" x14ac:dyDescent="0.25">
      <c r="A80" s="2">
        <v>45005</v>
      </c>
      <c r="B80">
        <v>2.6666666666666665</v>
      </c>
      <c r="F80" s="2">
        <f>MAX(SalesTbl[Order Date])+1</f>
        <v>45295</v>
      </c>
      <c r="G80" s="2">
        <f t="shared" si="1"/>
        <v>45373</v>
      </c>
      <c r="H80" s="7">
        <f>_xlfn.FORECAST.ETS(G80, SalesTbl[Quantity], SalesTbl[Order Date], 0, 1, 1)</f>
        <v>3.0366900567289634</v>
      </c>
    </row>
    <row r="81" spans="1:8" x14ac:dyDescent="0.25">
      <c r="A81" s="2">
        <v>45006</v>
      </c>
      <c r="B81">
        <v>3.5</v>
      </c>
      <c r="F81" s="2">
        <f>MAX(SalesTbl[Order Date])+1</f>
        <v>45295</v>
      </c>
      <c r="G81" s="2">
        <f t="shared" si="1"/>
        <v>45374</v>
      </c>
      <c r="H81" s="7">
        <f>_xlfn.FORECAST.ETS(G81, SalesTbl[Quantity], SalesTbl[Order Date], 0, 1, 1)</f>
        <v>3.0371544878268026</v>
      </c>
    </row>
    <row r="82" spans="1:8" x14ac:dyDescent="0.25">
      <c r="A82" s="2">
        <v>45007</v>
      </c>
      <c r="B82">
        <v>3.3333333333333335</v>
      </c>
      <c r="F82" s="2">
        <f>MAX(SalesTbl[Order Date])+1</f>
        <v>45295</v>
      </c>
      <c r="G82" s="2">
        <f t="shared" si="1"/>
        <v>45375</v>
      </c>
      <c r="H82" s="7">
        <f>_xlfn.FORECAST.ETS(G82, SalesTbl[Quantity], SalesTbl[Order Date], 0, 1, 1)</f>
        <v>3.0376189189246334</v>
      </c>
    </row>
    <row r="83" spans="1:8" x14ac:dyDescent="0.25">
      <c r="A83" s="2">
        <v>45008</v>
      </c>
      <c r="B83">
        <v>2.666666666666667</v>
      </c>
      <c r="F83" s="2">
        <f>MAX(SalesTbl[Order Date])+1</f>
        <v>45295</v>
      </c>
      <c r="G83" s="2">
        <f t="shared" si="1"/>
        <v>45376</v>
      </c>
      <c r="H83" s="7">
        <f>_xlfn.FORECAST.ETS(G83, SalesTbl[Quantity], SalesTbl[Order Date], 0, 1, 1)</f>
        <v>3.0380833500224727</v>
      </c>
    </row>
    <row r="84" spans="1:8" x14ac:dyDescent="0.25">
      <c r="A84" s="2">
        <v>45009</v>
      </c>
      <c r="B84">
        <v>2</v>
      </c>
      <c r="F84" s="2">
        <f>MAX(SalesTbl[Order Date])+1</f>
        <v>45295</v>
      </c>
      <c r="G84" s="2">
        <f t="shared" si="1"/>
        <v>45377</v>
      </c>
      <c r="H84" s="7">
        <f>_xlfn.FORECAST.ETS(G84, SalesTbl[Quantity], SalesTbl[Order Date], 0, 1, 1)</f>
        <v>3.0385477811203034</v>
      </c>
    </row>
    <row r="85" spans="1:8" x14ac:dyDescent="0.25">
      <c r="A85" s="2">
        <v>45010</v>
      </c>
      <c r="B85">
        <v>3</v>
      </c>
      <c r="F85" s="2">
        <f>MAX(SalesTbl[Order Date])+1</f>
        <v>45295</v>
      </c>
      <c r="G85" s="2">
        <f t="shared" si="1"/>
        <v>45378</v>
      </c>
      <c r="H85" s="7">
        <f>_xlfn.FORECAST.ETS(G85, SalesTbl[Quantity], SalesTbl[Order Date], 0, 1, 1)</f>
        <v>3.0390122122181427</v>
      </c>
    </row>
    <row r="86" spans="1:8" x14ac:dyDescent="0.25">
      <c r="A86" s="2">
        <v>45011</v>
      </c>
      <c r="B86">
        <v>2</v>
      </c>
      <c r="F86" s="2">
        <f>MAX(SalesTbl[Order Date])+1</f>
        <v>45295</v>
      </c>
      <c r="G86" s="2">
        <f t="shared" si="1"/>
        <v>45379</v>
      </c>
      <c r="H86" s="7">
        <f>_xlfn.FORECAST.ETS(G86, SalesTbl[Quantity], SalesTbl[Order Date], 0, 1, 1)</f>
        <v>3.0394766433159734</v>
      </c>
    </row>
    <row r="87" spans="1:8" x14ac:dyDescent="0.25">
      <c r="A87" s="2">
        <v>45012</v>
      </c>
      <c r="B87">
        <v>2.8</v>
      </c>
      <c r="F87" s="2">
        <f>MAX(SalesTbl[Order Date])+1</f>
        <v>45295</v>
      </c>
      <c r="G87" s="2">
        <f t="shared" si="1"/>
        <v>45380</v>
      </c>
      <c r="H87" s="7">
        <f>_xlfn.FORECAST.ETS(G87, SalesTbl[Quantity], SalesTbl[Order Date], 0, 1, 1)</f>
        <v>3.0399410744138131</v>
      </c>
    </row>
    <row r="88" spans="1:8" x14ac:dyDescent="0.25">
      <c r="A88" s="2">
        <v>45013</v>
      </c>
      <c r="B88">
        <v>4</v>
      </c>
      <c r="F88" s="2">
        <f>MAX(SalesTbl[Order Date])+1</f>
        <v>45295</v>
      </c>
      <c r="G88" s="2">
        <f t="shared" si="1"/>
        <v>45381</v>
      </c>
      <c r="H88" s="7">
        <f>_xlfn.FORECAST.ETS(G88, SalesTbl[Quantity], SalesTbl[Order Date], 0, 1, 1)</f>
        <v>3.0404055055116435</v>
      </c>
    </row>
    <row r="89" spans="1:8" x14ac:dyDescent="0.25">
      <c r="A89" s="2">
        <v>45014</v>
      </c>
      <c r="B89">
        <v>3</v>
      </c>
      <c r="F89" s="2">
        <f>MAX(SalesTbl[Order Date])+1</f>
        <v>45295</v>
      </c>
      <c r="G89" s="2">
        <f t="shared" si="1"/>
        <v>45382</v>
      </c>
      <c r="H89" s="7">
        <f>_xlfn.FORECAST.ETS(G89, SalesTbl[Quantity], SalesTbl[Order Date], 0, 1, 1)</f>
        <v>3.0408699366094831</v>
      </c>
    </row>
    <row r="90" spans="1:8" x14ac:dyDescent="0.25">
      <c r="A90" s="2">
        <v>45015</v>
      </c>
      <c r="B90">
        <v>2</v>
      </c>
      <c r="F90" s="2">
        <f>MAX(SalesTbl[Order Date])+1</f>
        <v>45295</v>
      </c>
      <c r="G90" s="2">
        <f t="shared" si="1"/>
        <v>45383</v>
      </c>
      <c r="H90" s="7">
        <f>_xlfn.FORECAST.ETS(G90, SalesTbl[Quantity], SalesTbl[Order Date], 0, 1, 1)</f>
        <v>3.0413343677073135</v>
      </c>
    </row>
    <row r="91" spans="1:8" x14ac:dyDescent="0.25">
      <c r="A91" s="2">
        <v>45016</v>
      </c>
      <c r="B91">
        <v>4</v>
      </c>
      <c r="F91" s="2">
        <f>MAX(SalesTbl[Order Date])+1</f>
        <v>45295</v>
      </c>
      <c r="G91" s="2">
        <f t="shared" si="1"/>
        <v>45384</v>
      </c>
      <c r="H91" s="7">
        <f>_xlfn.FORECAST.ETS(G91, SalesTbl[Quantity], SalesTbl[Order Date], 0, 1, 1)</f>
        <v>3.0417987988051531</v>
      </c>
    </row>
    <row r="92" spans="1:8" x14ac:dyDescent="0.25">
      <c r="A92" s="2">
        <v>45017</v>
      </c>
      <c r="B92">
        <v>1</v>
      </c>
      <c r="F92" s="2">
        <f>MAX(SalesTbl[Order Date])+1</f>
        <v>45295</v>
      </c>
      <c r="G92" s="2">
        <f t="shared" si="1"/>
        <v>45385</v>
      </c>
      <c r="H92" s="7">
        <f>_xlfn.FORECAST.ETS(G92, SalesTbl[Quantity], SalesTbl[Order Date], 0, 1, 1)</f>
        <v>3.0422632299029835</v>
      </c>
    </row>
    <row r="93" spans="1:8" x14ac:dyDescent="0.25">
      <c r="A93" s="2">
        <v>45018</v>
      </c>
      <c r="B93">
        <v>2</v>
      </c>
      <c r="F93" s="2">
        <f>MAX(SalesTbl[Order Date])+1</f>
        <v>45295</v>
      </c>
      <c r="G93" s="2">
        <f t="shared" si="1"/>
        <v>45386</v>
      </c>
      <c r="H93" s="7">
        <f>_xlfn.FORECAST.ETS(G93, SalesTbl[Quantity], SalesTbl[Order Date], 0, 1, 1)</f>
        <v>3.0427276610008231</v>
      </c>
    </row>
    <row r="94" spans="1:8" x14ac:dyDescent="0.25">
      <c r="A94" s="2">
        <v>45019</v>
      </c>
      <c r="B94">
        <v>2.5</v>
      </c>
      <c r="F94" s="2">
        <f>MAX(SalesTbl[Order Date])+1</f>
        <v>45295</v>
      </c>
      <c r="G94" s="2">
        <f t="shared" si="1"/>
        <v>45387</v>
      </c>
      <c r="H94" s="7">
        <f>_xlfn.FORECAST.ETS(G94, SalesTbl[Quantity], SalesTbl[Order Date], 0, 1, 1)</f>
        <v>3.0431920920986539</v>
      </c>
    </row>
    <row r="95" spans="1:8" x14ac:dyDescent="0.25">
      <c r="A95" s="2">
        <v>45020</v>
      </c>
      <c r="B95">
        <v>4.5</v>
      </c>
      <c r="F95" s="2">
        <f>MAX(SalesTbl[Order Date])+1</f>
        <v>45295</v>
      </c>
      <c r="G95" s="2">
        <f t="shared" si="1"/>
        <v>45388</v>
      </c>
      <c r="H95" s="7">
        <f>_xlfn.FORECAST.ETS(G95, SalesTbl[Quantity], SalesTbl[Order Date], 0, 1, 1)</f>
        <v>3.0436565231964932</v>
      </c>
    </row>
    <row r="96" spans="1:8" x14ac:dyDescent="0.25">
      <c r="A96" s="2">
        <v>45021</v>
      </c>
      <c r="B96">
        <v>1</v>
      </c>
      <c r="F96" s="2">
        <f>MAX(SalesTbl[Order Date])+1</f>
        <v>45295</v>
      </c>
      <c r="G96" s="2">
        <f t="shared" si="1"/>
        <v>45389</v>
      </c>
      <c r="H96" s="7">
        <f>_xlfn.FORECAST.ETS(G96, SalesTbl[Quantity], SalesTbl[Order Date], 0, 1, 1)</f>
        <v>3.0441209542943239</v>
      </c>
    </row>
    <row r="97" spans="1:8" x14ac:dyDescent="0.25">
      <c r="A97" s="2">
        <v>45022</v>
      </c>
      <c r="B97">
        <v>3</v>
      </c>
      <c r="F97" s="2">
        <f>MAX(SalesTbl[Order Date])+1</f>
        <v>45295</v>
      </c>
      <c r="G97" s="2">
        <f t="shared" si="1"/>
        <v>45390</v>
      </c>
      <c r="H97" s="7">
        <f>_xlfn.FORECAST.ETS(G97, SalesTbl[Quantity], SalesTbl[Order Date], 0, 1, 1)</f>
        <v>3.0445853853921632</v>
      </c>
    </row>
    <row r="98" spans="1:8" x14ac:dyDescent="0.25">
      <c r="A98" s="2">
        <v>45023</v>
      </c>
      <c r="B98">
        <v>3.6666666666666665</v>
      </c>
      <c r="F98" s="2">
        <f>MAX(SalesTbl[Order Date])+1</f>
        <v>45295</v>
      </c>
      <c r="G98" s="2">
        <f t="shared" si="1"/>
        <v>45391</v>
      </c>
      <c r="H98" s="7">
        <f>_xlfn.FORECAST.ETS(G98, SalesTbl[Quantity], SalesTbl[Order Date], 0, 1, 1)</f>
        <v>3.045049816489994</v>
      </c>
    </row>
    <row r="99" spans="1:8" x14ac:dyDescent="0.25">
      <c r="A99" s="2">
        <v>45024</v>
      </c>
      <c r="B99">
        <v>3.6666666666666665</v>
      </c>
      <c r="F99" s="2">
        <f>MAX(SalesTbl[Order Date])+1</f>
        <v>45295</v>
      </c>
      <c r="G99" s="2">
        <f t="shared" si="1"/>
        <v>45392</v>
      </c>
      <c r="H99" s="7">
        <f>_xlfn.FORECAST.ETS(G99, SalesTbl[Quantity], SalesTbl[Order Date], 0, 1, 1)</f>
        <v>3.0455142475878332</v>
      </c>
    </row>
    <row r="100" spans="1:8" x14ac:dyDescent="0.25">
      <c r="A100" s="2">
        <v>45025</v>
      </c>
      <c r="B100">
        <v>2</v>
      </c>
      <c r="F100" s="2">
        <f>MAX(SalesTbl[Order Date])+1</f>
        <v>45295</v>
      </c>
      <c r="G100" s="2">
        <f t="shared" si="1"/>
        <v>45393</v>
      </c>
      <c r="H100" s="7">
        <f>_xlfn.FORECAST.ETS(G100, SalesTbl[Quantity], SalesTbl[Order Date], 0, 1, 1)</f>
        <v>3.045978678685664</v>
      </c>
    </row>
    <row r="101" spans="1:8" x14ac:dyDescent="0.25">
      <c r="A101" s="2">
        <v>45026</v>
      </c>
      <c r="B101">
        <v>3.25</v>
      </c>
      <c r="F101" s="2">
        <f>MAX(SalesTbl[Order Date])+1</f>
        <v>45295</v>
      </c>
      <c r="G101" s="2">
        <f t="shared" si="1"/>
        <v>45394</v>
      </c>
      <c r="H101" s="7">
        <f>_xlfn.FORECAST.ETS(G101, SalesTbl[Quantity], SalesTbl[Order Date], 0, 1, 1)</f>
        <v>3.0464431097835032</v>
      </c>
    </row>
    <row r="102" spans="1:8" x14ac:dyDescent="0.25">
      <c r="A102" s="2">
        <v>45027</v>
      </c>
      <c r="B102">
        <v>3.5</v>
      </c>
      <c r="F102" s="2">
        <f>MAX(SalesTbl[Order Date])+1</f>
        <v>45295</v>
      </c>
      <c r="G102" s="2">
        <f t="shared" si="1"/>
        <v>45395</v>
      </c>
      <c r="H102" s="7">
        <f>_xlfn.FORECAST.ETS(G102, SalesTbl[Quantity], SalesTbl[Order Date], 0, 1, 1)</f>
        <v>3.046907540881334</v>
      </c>
    </row>
    <row r="103" spans="1:8" x14ac:dyDescent="0.25">
      <c r="A103" s="2">
        <v>45028</v>
      </c>
      <c r="B103">
        <v>3</v>
      </c>
      <c r="F103" s="2">
        <f>MAX(SalesTbl[Order Date])+1</f>
        <v>45295</v>
      </c>
      <c r="G103" s="2">
        <f t="shared" si="1"/>
        <v>45396</v>
      </c>
      <c r="H103" s="7">
        <f>_xlfn.FORECAST.ETS(G103, SalesTbl[Quantity], SalesTbl[Order Date], 0, 1, 1)</f>
        <v>3.0473719719791736</v>
      </c>
    </row>
    <row r="104" spans="1:8" x14ac:dyDescent="0.25">
      <c r="A104" s="2">
        <v>45029</v>
      </c>
      <c r="B104">
        <v>2</v>
      </c>
      <c r="F104" s="2">
        <f>MAX(SalesTbl[Order Date])+1</f>
        <v>45295</v>
      </c>
      <c r="G104" s="2">
        <f t="shared" si="1"/>
        <v>45397</v>
      </c>
      <c r="H104" s="7">
        <f>_xlfn.FORECAST.ETS(G104, SalesTbl[Quantity], SalesTbl[Order Date], 0, 1, 1)</f>
        <v>3.047836403077004</v>
      </c>
    </row>
    <row r="105" spans="1:8" x14ac:dyDescent="0.25">
      <c r="A105" s="2">
        <v>45030</v>
      </c>
      <c r="B105">
        <v>2.3333333333333335</v>
      </c>
      <c r="F105" s="2">
        <f>MAX(SalesTbl[Order Date])+1</f>
        <v>45295</v>
      </c>
      <c r="G105" s="2">
        <f t="shared" si="1"/>
        <v>45398</v>
      </c>
      <c r="H105" s="7">
        <f>_xlfn.FORECAST.ETS(G105, SalesTbl[Quantity], SalesTbl[Order Date], 0, 1, 1)</f>
        <v>3.0483008341748437</v>
      </c>
    </row>
    <row r="106" spans="1:8" x14ac:dyDescent="0.25">
      <c r="A106" s="2">
        <v>45031</v>
      </c>
      <c r="B106">
        <v>2</v>
      </c>
      <c r="F106" s="2">
        <f>MAX(SalesTbl[Order Date])+1</f>
        <v>45295</v>
      </c>
      <c r="G106" s="2">
        <f t="shared" si="1"/>
        <v>45399</v>
      </c>
      <c r="H106" s="7">
        <f>_xlfn.FORECAST.ETS(G106, SalesTbl[Quantity], SalesTbl[Order Date], 0, 1, 1)</f>
        <v>3.048765265272674</v>
      </c>
    </row>
    <row r="107" spans="1:8" x14ac:dyDescent="0.25">
      <c r="A107" s="2">
        <v>45032</v>
      </c>
      <c r="B107">
        <v>2</v>
      </c>
      <c r="F107" s="2">
        <f>MAX(SalesTbl[Order Date])+1</f>
        <v>45295</v>
      </c>
      <c r="G107" s="2">
        <f t="shared" si="1"/>
        <v>45400</v>
      </c>
      <c r="H107" s="7">
        <f>_xlfn.FORECAST.ETS(G107, SalesTbl[Quantity], SalesTbl[Order Date], 0, 1, 1)</f>
        <v>3.0492296963705137</v>
      </c>
    </row>
    <row r="108" spans="1:8" x14ac:dyDescent="0.25">
      <c r="A108" s="2">
        <v>45033</v>
      </c>
      <c r="B108">
        <v>2.5</v>
      </c>
      <c r="F108" s="2">
        <f>MAX(SalesTbl[Order Date])+1</f>
        <v>45295</v>
      </c>
      <c r="G108" s="2">
        <f t="shared" si="1"/>
        <v>45401</v>
      </c>
      <c r="H108" s="7">
        <f>_xlfn.FORECAST.ETS(G108, SalesTbl[Quantity], SalesTbl[Order Date], 0, 1, 1)</f>
        <v>3.049694127468344</v>
      </c>
    </row>
    <row r="109" spans="1:8" x14ac:dyDescent="0.25">
      <c r="A109" s="2">
        <v>45034</v>
      </c>
      <c r="B109">
        <v>3</v>
      </c>
      <c r="F109" s="2">
        <f>MAX(SalesTbl[Order Date])+1</f>
        <v>45295</v>
      </c>
      <c r="G109" s="2">
        <f t="shared" si="1"/>
        <v>45402</v>
      </c>
      <c r="H109" s="7">
        <f>_xlfn.FORECAST.ETS(G109, SalesTbl[Quantity], SalesTbl[Order Date], 0, 1, 1)</f>
        <v>3.0501585585661837</v>
      </c>
    </row>
    <row r="110" spans="1:8" x14ac:dyDescent="0.25">
      <c r="A110" s="2">
        <v>45035</v>
      </c>
      <c r="B110">
        <v>1</v>
      </c>
      <c r="F110" s="2">
        <f>MAX(SalesTbl[Order Date])+1</f>
        <v>45295</v>
      </c>
      <c r="G110" s="2">
        <f t="shared" si="1"/>
        <v>45403</v>
      </c>
      <c r="H110" s="7">
        <f>_xlfn.FORECAST.ETS(G110, SalesTbl[Quantity], SalesTbl[Order Date], 0, 1, 1)</f>
        <v>3.0506229896640145</v>
      </c>
    </row>
    <row r="111" spans="1:8" x14ac:dyDescent="0.25">
      <c r="A111" s="2">
        <v>45036</v>
      </c>
      <c r="B111">
        <v>2.6666666666666665</v>
      </c>
      <c r="F111" s="2">
        <f>MAX(SalesTbl[Order Date])+1</f>
        <v>45295</v>
      </c>
      <c r="G111" s="2">
        <f t="shared" si="1"/>
        <v>45404</v>
      </c>
      <c r="H111" s="7">
        <f>_xlfn.FORECAST.ETS(G111, SalesTbl[Quantity], SalesTbl[Order Date], 0, 1, 1)</f>
        <v>3.0510874207618537</v>
      </c>
    </row>
    <row r="112" spans="1:8" x14ac:dyDescent="0.25">
      <c r="A112" s="2">
        <v>45037</v>
      </c>
      <c r="B112">
        <v>3</v>
      </c>
      <c r="F112" s="2">
        <f>MAX(SalesTbl[Order Date])+1</f>
        <v>45295</v>
      </c>
      <c r="G112" s="2">
        <f t="shared" si="1"/>
        <v>45405</v>
      </c>
      <c r="H112" s="7">
        <f>_xlfn.FORECAST.ETS(G112, SalesTbl[Quantity], SalesTbl[Order Date], 0, 1, 1)</f>
        <v>3.0515518518596845</v>
      </c>
    </row>
    <row r="113" spans="1:8" x14ac:dyDescent="0.25">
      <c r="A113" s="2">
        <v>45038</v>
      </c>
      <c r="B113">
        <v>3.1</v>
      </c>
      <c r="F113" s="2">
        <f>MAX(SalesTbl[Order Date])+1</f>
        <v>45295</v>
      </c>
      <c r="G113" s="2">
        <f t="shared" si="1"/>
        <v>45406</v>
      </c>
      <c r="H113" s="7">
        <f>_xlfn.FORECAST.ETS(G113, SalesTbl[Quantity], SalesTbl[Order Date], 0, 1, 1)</f>
        <v>3.0520162829575237</v>
      </c>
    </row>
    <row r="114" spans="1:8" x14ac:dyDescent="0.25">
      <c r="A114" s="2">
        <v>45039</v>
      </c>
      <c r="B114">
        <v>3.2</v>
      </c>
      <c r="F114" s="2">
        <f>MAX(SalesTbl[Order Date])+1</f>
        <v>45295</v>
      </c>
      <c r="G114" s="2">
        <f t="shared" si="1"/>
        <v>45407</v>
      </c>
      <c r="H114" s="7">
        <f>_xlfn.FORECAST.ETS(G114, SalesTbl[Quantity], SalesTbl[Order Date], 0, 1, 1)</f>
        <v>3.0524807140553545</v>
      </c>
    </row>
    <row r="115" spans="1:8" x14ac:dyDescent="0.25">
      <c r="A115" s="2">
        <v>45040</v>
      </c>
      <c r="B115">
        <v>2.5</v>
      </c>
      <c r="F115" s="2">
        <f>MAX(SalesTbl[Order Date])+1</f>
        <v>45295</v>
      </c>
      <c r="G115" s="2">
        <f t="shared" si="1"/>
        <v>45408</v>
      </c>
      <c r="H115" s="7">
        <f>_xlfn.FORECAST.ETS(G115, SalesTbl[Quantity], SalesTbl[Order Date], 0, 1, 1)</f>
        <v>3.0529451451531937</v>
      </c>
    </row>
    <row r="116" spans="1:8" x14ac:dyDescent="0.25">
      <c r="A116" s="2">
        <v>45041</v>
      </c>
      <c r="B116">
        <v>2.6666666666666665</v>
      </c>
      <c r="F116" s="2">
        <f>MAX(SalesTbl[Order Date])+1</f>
        <v>45295</v>
      </c>
      <c r="G116" s="2">
        <f t="shared" si="1"/>
        <v>45409</v>
      </c>
      <c r="H116" s="7">
        <f>_xlfn.FORECAST.ETS(G116, SalesTbl[Quantity], SalesTbl[Order Date], 0, 1, 1)</f>
        <v>3.0534095762510245</v>
      </c>
    </row>
    <row r="117" spans="1:8" x14ac:dyDescent="0.25">
      <c r="A117" s="2">
        <v>45042</v>
      </c>
      <c r="B117">
        <v>3.5</v>
      </c>
      <c r="F117" s="2">
        <f>MAX(SalesTbl[Order Date])+1</f>
        <v>45295</v>
      </c>
      <c r="G117" s="2">
        <f t="shared" si="1"/>
        <v>45410</v>
      </c>
      <c r="H117" s="7">
        <f>_xlfn.FORECAST.ETS(G117, SalesTbl[Quantity], SalesTbl[Order Date], 0, 1, 1)</f>
        <v>3.0538740073488642</v>
      </c>
    </row>
    <row r="118" spans="1:8" x14ac:dyDescent="0.25">
      <c r="A118" s="2">
        <v>45043</v>
      </c>
      <c r="B118">
        <v>3.5</v>
      </c>
      <c r="F118" s="2">
        <f>MAX(SalesTbl[Order Date])+1</f>
        <v>45295</v>
      </c>
      <c r="G118" s="2">
        <f t="shared" si="1"/>
        <v>45411</v>
      </c>
      <c r="H118" s="7">
        <f>_xlfn.FORECAST.ETS(G118, SalesTbl[Quantity], SalesTbl[Order Date], 0, 1, 1)</f>
        <v>3.0543384384466945</v>
      </c>
    </row>
    <row r="119" spans="1:8" x14ac:dyDescent="0.25">
      <c r="A119" s="2">
        <v>45044</v>
      </c>
      <c r="B119">
        <v>3.5</v>
      </c>
      <c r="F119" s="2">
        <f>MAX(SalesTbl[Order Date])+1</f>
        <v>45295</v>
      </c>
      <c r="G119" s="2">
        <f t="shared" si="1"/>
        <v>45412</v>
      </c>
      <c r="H119" s="7">
        <f>_xlfn.FORECAST.ETS(G119, SalesTbl[Quantity], SalesTbl[Order Date], 0, 1, 1)</f>
        <v>3.0548028695445342</v>
      </c>
    </row>
    <row r="120" spans="1:8" x14ac:dyDescent="0.25">
      <c r="A120" s="2">
        <v>45045</v>
      </c>
      <c r="B120">
        <v>4</v>
      </c>
      <c r="F120" s="2">
        <f>MAX(SalesTbl[Order Date])+1</f>
        <v>45295</v>
      </c>
      <c r="G120" s="2">
        <f t="shared" si="1"/>
        <v>45413</v>
      </c>
      <c r="H120" s="7">
        <f>_xlfn.FORECAST.ETS(G120, SalesTbl[Quantity], SalesTbl[Order Date], 0, 1, 1)</f>
        <v>3.0552673006423645</v>
      </c>
    </row>
    <row r="121" spans="1:8" x14ac:dyDescent="0.25">
      <c r="A121" s="2">
        <v>45046</v>
      </c>
      <c r="B121">
        <v>3.5</v>
      </c>
      <c r="F121" s="2">
        <f>MAX(SalesTbl[Order Date])+1</f>
        <v>45295</v>
      </c>
      <c r="G121" s="2">
        <f t="shared" si="1"/>
        <v>45414</v>
      </c>
      <c r="H121" s="7">
        <f>_xlfn.FORECAST.ETS(G121, SalesTbl[Quantity], SalesTbl[Order Date], 0, 1, 1)</f>
        <v>3.0557317317402042</v>
      </c>
    </row>
    <row r="122" spans="1:8" x14ac:dyDescent="0.25">
      <c r="A122" s="2">
        <v>45047</v>
      </c>
      <c r="B122">
        <v>3</v>
      </c>
      <c r="F122" s="2">
        <f>MAX(SalesTbl[Order Date])+1</f>
        <v>45295</v>
      </c>
      <c r="G122" s="2">
        <f t="shared" si="1"/>
        <v>45415</v>
      </c>
      <c r="H122" s="7">
        <f>_xlfn.FORECAST.ETS(G122, SalesTbl[Quantity], SalesTbl[Order Date], 0, 1, 1)</f>
        <v>3.0561961628380345</v>
      </c>
    </row>
    <row r="123" spans="1:8" x14ac:dyDescent="0.25">
      <c r="A123" s="2">
        <v>45048</v>
      </c>
      <c r="B123">
        <v>5</v>
      </c>
      <c r="F123" s="2">
        <f>MAX(SalesTbl[Order Date])+1</f>
        <v>45295</v>
      </c>
      <c r="G123" s="2">
        <f t="shared" si="1"/>
        <v>45416</v>
      </c>
      <c r="H123" s="7">
        <f>_xlfn.FORECAST.ETS(G123, SalesTbl[Quantity], SalesTbl[Order Date], 0, 1, 1)</f>
        <v>3.0566605939358742</v>
      </c>
    </row>
    <row r="124" spans="1:8" x14ac:dyDescent="0.25">
      <c r="A124" s="2">
        <v>45049</v>
      </c>
      <c r="B124">
        <v>4</v>
      </c>
      <c r="F124" s="2">
        <f>MAX(SalesTbl[Order Date])+1</f>
        <v>45295</v>
      </c>
      <c r="G124" s="2">
        <f t="shared" si="1"/>
        <v>45417</v>
      </c>
      <c r="H124" s="7">
        <f>_xlfn.FORECAST.ETS(G124, SalesTbl[Quantity], SalesTbl[Order Date], 0, 1, 1)</f>
        <v>3.0571250250337045</v>
      </c>
    </row>
    <row r="125" spans="1:8" x14ac:dyDescent="0.25">
      <c r="A125" s="2">
        <v>45050</v>
      </c>
      <c r="B125">
        <v>3.3333333333333335</v>
      </c>
      <c r="F125" s="2">
        <f>MAX(SalesTbl[Order Date])+1</f>
        <v>45295</v>
      </c>
      <c r="G125" s="2">
        <f t="shared" si="1"/>
        <v>45418</v>
      </c>
      <c r="H125" s="7">
        <f>_xlfn.FORECAST.ETS(G125, SalesTbl[Quantity], SalesTbl[Order Date], 0, 1, 1)</f>
        <v>3.0575894561315442</v>
      </c>
    </row>
    <row r="126" spans="1:8" x14ac:dyDescent="0.25">
      <c r="A126" s="2">
        <v>45051</v>
      </c>
      <c r="B126">
        <v>2.5</v>
      </c>
      <c r="F126" s="2">
        <f>MAX(SalesTbl[Order Date])+1</f>
        <v>45295</v>
      </c>
      <c r="G126" s="2">
        <f t="shared" si="1"/>
        <v>45419</v>
      </c>
      <c r="H126" s="7">
        <f>_xlfn.FORECAST.ETS(G126, SalesTbl[Quantity], SalesTbl[Order Date], 0, 1, 1)</f>
        <v>3.058053887229375</v>
      </c>
    </row>
    <row r="127" spans="1:8" x14ac:dyDescent="0.25">
      <c r="A127" s="2">
        <v>45052</v>
      </c>
      <c r="B127">
        <v>4.25</v>
      </c>
      <c r="F127" s="2">
        <f>MAX(SalesTbl[Order Date])+1</f>
        <v>45295</v>
      </c>
      <c r="G127" s="2">
        <f t="shared" si="1"/>
        <v>45420</v>
      </c>
      <c r="H127" s="7">
        <f>_xlfn.FORECAST.ETS(G127, SalesTbl[Quantity], SalesTbl[Order Date], 0, 1, 1)</f>
        <v>3.0585183183272142</v>
      </c>
    </row>
    <row r="128" spans="1:8" x14ac:dyDescent="0.25">
      <c r="A128" s="2">
        <v>45053</v>
      </c>
      <c r="B128">
        <v>2.4285714285714284</v>
      </c>
      <c r="F128" s="2">
        <f>MAX(SalesTbl[Order Date])+1</f>
        <v>45295</v>
      </c>
      <c r="G128" s="2">
        <f t="shared" si="1"/>
        <v>45421</v>
      </c>
      <c r="H128" s="7">
        <f>_xlfn.FORECAST.ETS(G128, SalesTbl[Quantity], SalesTbl[Order Date], 0, 1, 1)</f>
        <v>3.058982749425045</v>
      </c>
    </row>
    <row r="129" spans="1:8" x14ac:dyDescent="0.25">
      <c r="A129" s="2">
        <v>45054</v>
      </c>
      <c r="B129">
        <v>3</v>
      </c>
      <c r="F129" s="2">
        <f>MAX(SalesTbl[Order Date])+1</f>
        <v>45295</v>
      </c>
      <c r="G129" s="2">
        <f t="shared" si="1"/>
        <v>45422</v>
      </c>
      <c r="H129" s="7">
        <f>_xlfn.FORECAST.ETS(G129, SalesTbl[Quantity], SalesTbl[Order Date], 0, 1, 1)</f>
        <v>3.0594471805228842</v>
      </c>
    </row>
    <row r="130" spans="1:8" x14ac:dyDescent="0.25">
      <c r="A130" s="2">
        <v>45055</v>
      </c>
      <c r="B130">
        <v>3.5</v>
      </c>
      <c r="F130" s="2">
        <f>MAX(SalesTbl[Order Date])+1</f>
        <v>45295</v>
      </c>
      <c r="G130" s="2">
        <f t="shared" si="1"/>
        <v>45423</v>
      </c>
      <c r="H130" s="7">
        <f>_xlfn.FORECAST.ETS(G130, SalesTbl[Quantity], SalesTbl[Order Date], 0, 1, 1)</f>
        <v>3.059911611620715</v>
      </c>
    </row>
    <row r="131" spans="1:8" x14ac:dyDescent="0.25">
      <c r="A131" s="2">
        <v>45056</v>
      </c>
      <c r="B131">
        <v>3</v>
      </c>
      <c r="F131" s="2">
        <f>MAX(SalesTbl[Order Date])+1</f>
        <v>45295</v>
      </c>
      <c r="G131" s="2">
        <f t="shared" si="1"/>
        <v>45424</v>
      </c>
      <c r="H131" s="7">
        <f>_xlfn.FORECAST.ETS(G131, SalesTbl[Quantity], SalesTbl[Order Date], 0, 1, 1)</f>
        <v>3.0603760427185542</v>
      </c>
    </row>
    <row r="132" spans="1:8" x14ac:dyDescent="0.25">
      <c r="A132" s="2">
        <v>45057</v>
      </c>
      <c r="B132">
        <v>3</v>
      </c>
      <c r="F132" s="2">
        <f>MAX(SalesTbl[Order Date])+1</f>
        <v>45295</v>
      </c>
      <c r="G132" s="2">
        <f t="shared" ref="G132:G195" si="2">G131+1</f>
        <v>45425</v>
      </c>
      <c r="H132" s="7">
        <f>_xlfn.FORECAST.ETS(G132, SalesTbl[Quantity], SalesTbl[Order Date], 0, 1, 1)</f>
        <v>3.060840473816385</v>
      </c>
    </row>
    <row r="133" spans="1:8" x14ac:dyDescent="0.25">
      <c r="A133" s="2">
        <v>45058</v>
      </c>
      <c r="B133">
        <v>5</v>
      </c>
      <c r="F133" s="2">
        <f>MAX(SalesTbl[Order Date])+1</f>
        <v>45295</v>
      </c>
      <c r="G133" s="2">
        <f t="shared" si="2"/>
        <v>45426</v>
      </c>
      <c r="H133" s="7">
        <f>_xlfn.FORECAST.ETS(G133, SalesTbl[Quantity], SalesTbl[Order Date], 0, 1, 1)</f>
        <v>3.0613049049142247</v>
      </c>
    </row>
    <row r="134" spans="1:8" x14ac:dyDescent="0.25">
      <c r="A134" s="2">
        <v>45059</v>
      </c>
      <c r="B134">
        <v>4.5</v>
      </c>
      <c r="F134" s="2">
        <f>MAX(SalesTbl[Order Date])+1</f>
        <v>45295</v>
      </c>
      <c r="G134" s="2">
        <f t="shared" si="2"/>
        <v>45427</v>
      </c>
      <c r="H134" s="7">
        <f>_xlfn.FORECAST.ETS(G134, SalesTbl[Quantity], SalesTbl[Order Date], 0, 1, 1)</f>
        <v>3.061769336012055</v>
      </c>
    </row>
    <row r="135" spans="1:8" x14ac:dyDescent="0.25">
      <c r="A135" s="2">
        <v>45060</v>
      </c>
      <c r="B135">
        <v>4</v>
      </c>
      <c r="F135" s="2">
        <f>MAX(SalesTbl[Order Date])+1</f>
        <v>45295</v>
      </c>
      <c r="G135" s="2">
        <f t="shared" si="2"/>
        <v>45428</v>
      </c>
      <c r="H135" s="7">
        <f>_xlfn.FORECAST.ETS(G135, SalesTbl[Quantity], SalesTbl[Order Date], 0, 1, 1)</f>
        <v>3.0622337671098947</v>
      </c>
    </row>
    <row r="136" spans="1:8" x14ac:dyDescent="0.25">
      <c r="A136" s="2">
        <v>45061</v>
      </c>
      <c r="B136">
        <v>3</v>
      </c>
      <c r="F136" s="2">
        <f>MAX(SalesTbl[Order Date])+1</f>
        <v>45295</v>
      </c>
      <c r="G136" s="2">
        <f t="shared" si="2"/>
        <v>45429</v>
      </c>
      <c r="H136" s="7">
        <f>_xlfn.FORECAST.ETS(G136, SalesTbl[Quantity], SalesTbl[Order Date], 0, 1, 1)</f>
        <v>3.062698198207725</v>
      </c>
    </row>
    <row r="137" spans="1:8" x14ac:dyDescent="0.25">
      <c r="A137" s="2">
        <v>45062</v>
      </c>
      <c r="B137">
        <v>4.2</v>
      </c>
      <c r="F137" s="2">
        <f>MAX(SalesTbl[Order Date])+1</f>
        <v>45295</v>
      </c>
      <c r="G137" s="2">
        <f t="shared" si="2"/>
        <v>45430</v>
      </c>
      <c r="H137" s="7">
        <f>_xlfn.FORECAST.ETS(G137, SalesTbl[Quantity], SalesTbl[Order Date], 0, 1, 1)</f>
        <v>3.0631626293055647</v>
      </c>
    </row>
    <row r="138" spans="1:8" x14ac:dyDescent="0.25">
      <c r="A138" s="2">
        <v>45063</v>
      </c>
      <c r="B138">
        <v>2</v>
      </c>
      <c r="F138" s="2">
        <f>MAX(SalesTbl[Order Date])+1</f>
        <v>45295</v>
      </c>
      <c r="G138" s="2">
        <f t="shared" si="2"/>
        <v>45431</v>
      </c>
      <c r="H138" s="7">
        <f>_xlfn.FORECAST.ETS(G138, SalesTbl[Quantity], SalesTbl[Order Date], 0, 1, 1)</f>
        <v>3.0636270604033951</v>
      </c>
    </row>
    <row r="139" spans="1:8" x14ac:dyDescent="0.25">
      <c r="A139" s="2">
        <v>45064</v>
      </c>
      <c r="B139">
        <v>3.4</v>
      </c>
      <c r="F139" s="2">
        <f>MAX(SalesTbl[Order Date])+1</f>
        <v>45295</v>
      </c>
      <c r="G139" s="2">
        <f t="shared" si="2"/>
        <v>45432</v>
      </c>
      <c r="H139" s="7">
        <f>_xlfn.FORECAST.ETS(G139, SalesTbl[Quantity], SalesTbl[Order Date], 0, 1, 1)</f>
        <v>3.0640914915012347</v>
      </c>
    </row>
    <row r="140" spans="1:8" x14ac:dyDescent="0.25">
      <c r="A140" s="2">
        <v>45065</v>
      </c>
      <c r="B140">
        <v>3.1166666666666667</v>
      </c>
      <c r="F140" s="2">
        <f>MAX(SalesTbl[Order Date])+1</f>
        <v>45295</v>
      </c>
      <c r="G140" s="2">
        <f t="shared" si="2"/>
        <v>45433</v>
      </c>
      <c r="H140" s="7">
        <f>_xlfn.FORECAST.ETS(G140, SalesTbl[Quantity], SalesTbl[Order Date], 0, 1, 1)</f>
        <v>3.0645559225990655</v>
      </c>
    </row>
    <row r="141" spans="1:8" x14ac:dyDescent="0.25">
      <c r="A141" s="2">
        <v>45066</v>
      </c>
      <c r="B141">
        <v>2.8333333333333335</v>
      </c>
      <c r="F141" s="2">
        <f>MAX(SalesTbl[Order Date])+1</f>
        <v>45295</v>
      </c>
      <c r="G141" s="2">
        <f t="shared" si="2"/>
        <v>45434</v>
      </c>
      <c r="H141" s="7">
        <f>_xlfn.FORECAST.ETS(G141, SalesTbl[Quantity], SalesTbl[Order Date], 0, 1, 1)</f>
        <v>3.0650203536969047</v>
      </c>
    </row>
    <row r="142" spans="1:8" x14ac:dyDescent="0.25">
      <c r="A142" s="2">
        <v>45067</v>
      </c>
      <c r="B142">
        <v>2</v>
      </c>
      <c r="F142" s="2">
        <f>MAX(SalesTbl[Order Date])+1</f>
        <v>45295</v>
      </c>
      <c r="G142" s="2">
        <f t="shared" si="2"/>
        <v>45435</v>
      </c>
      <c r="H142" s="7">
        <f>_xlfn.FORECAST.ETS(G142, SalesTbl[Quantity], SalesTbl[Order Date], 0, 1, 1)</f>
        <v>3.0654847847947355</v>
      </c>
    </row>
    <row r="143" spans="1:8" x14ac:dyDescent="0.25">
      <c r="A143" s="2">
        <v>45068</v>
      </c>
      <c r="B143">
        <v>3.1666666666666665</v>
      </c>
      <c r="F143" s="2">
        <f>MAX(SalesTbl[Order Date])+1</f>
        <v>45295</v>
      </c>
      <c r="G143" s="2">
        <f t="shared" si="2"/>
        <v>45436</v>
      </c>
      <c r="H143" s="7">
        <f>_xlfn.FORECAST.ETS(G143, SalesTbl[Quantity], SalesTbl[Order Date], 0, 1, 1)</f>
        <v>3.0659492158925747</v>
      </c>
    </row>
    <row r="144" spans="1:8" x14ac:dyDescent="0.25">
      <c r="A144" s="2">
        <v>45069</v>
      </c>
      <c r="B144">
        <v>2.5</v>
      </c>
      <c r="F144" s="2">
        <f>MAX(SalesTbl[Order Date])+1</f>
        <v>45295</v>
      </c>
      <c r="G144" s="2">
        <f t="shared" si="2"/>
        <v>45437</v>
      </c>
      <c r="H144" s="7">
        <f>_xlfn.FORECAST.ETS(G144, SalesTbl[Quantity], SalesTbl[Order Date], 0, 1, 1)</f>
        <v>3.0664136469904055</v>
      </c>
    </row>
    <row r="145" spans="1:8" x14ac:dyDescent="0.25">
      <c r="A145" s="2">
        <v>45070</v>
      </c>
      <c r="B145">
        <v>2.5</v>
      </c>
      <c r="F145" s="2">
        <f>MAX(SalesTbl[Order Date])+1</f>
        <v>45295</v>
      </c>
      <c r="G145" s="2">
        <f t="shared" si="2"/>
        <v>45438</v>
      </c>
      <c r="H145" s="7">
        <f>_xlfn.FORECAST.ETS(G145, SalesTbl[Quantity], SalesTbl[Order Date], 0, 1, 1)</f>
        <v>3.0668780780882448</v>
      </c>
    </row>
    <row r="146" spans="1:8" x14ac:dyDescent="0.25">
      <c r="A146" s="2">
        <v>45071</v>
      </c>
      <c r="B146">
        <v>1</v>
      </c>
      <c r="F146" s="2">
        <f>MAX(SalesTbl[Order Date])+1</f>
        <v>45295</v>
      </c>
      <c r="G146" s="2">
        <f t="shared" si="2"/>
        <v>45439</v>
      </c>
      <c r="H146" s="7">
        <f>_xlfn.FORECAST.ETS(G146, SalesTbl[Quantity], SalesTbl[Order Date], 0, 1, 1)</f>
        <v>3.0673425091860755</v>
      </c>
    </row>
    <row r="147" spans="1:8" x14ac:dyDescent="0.25">
      <c r="A147" s="2">
        <v>45072</v>
      </c>
      <c r="B147">
        <v>2.3333333333333335</v>
      </c>
      <c r="F147" s="2">
        <f>MAX(SalesTbl[Order Date])+1</f>
        <v>45295</v>
      </c>
      <c r="G147" s="2">
        <f t="shared" si="2"/>
        <v>45440</v>
      </c>
      <c r="H147" s="7">
        <f>_xlfn.FORECAST.ETS(G147, SalesTbl[Quantity], SalesTbl[Order Date], 0, 1, 1)</f>
        <v>3.0678069402839148</v>
      </c>
    </row>
    <row r="148" spans="1:8" x14ac:dyDescent="0.25">
      <c r="A148" s="2">
        <v>45073</v>
      </c>
      <c r="B148">
        <v>2.6666666666666665</v>
      </c>
      <c r="F148" s="2">
        <f>MAX(SalesTbl[Order Date])+1</f>
        <v>45295</v>
      </c>
      <c r="G148" s="2">
        <f t="shared" si="2"/>
        <v>45441</v>
      </c>
      <c r="H148" s="7">
        <f>_xlfn.FORECAST.ETS(G148, SalesTbl[Quantity], SalesTbl[Order Date], 0, 1, 1)</f>
        <v>3.0682713713817455</v>
      </c>
    </row>
    <row r="149" spans="1:8" x14ac:dyDescent="0.25">
      <c r="A149" s="2">
        <v>45074</v>
      </c>
      <c r="B149">
        <v>3</v>
      </c>
      <c r="F149" s="2">
        <f>MAX(SalesTbl[Order Date])+1</f>
        <v>45295</v>
      </c>
      <c r="G149" s="2">
        <f t="shared" si="2"/>
        <v>45442</v>
      </c>
      <c r="H149" s="7">
        <f>_xlfn.FORECAST.ETS(G149, SalesTbl[Quantity], SalesTbl[Order Date], 0, 1, 1)</f>
        <v>3.0687358024795852</v>
      </c>
    </row>
    <row r="150" spans="1:8" x14ac:dyDescent="0.25">
      <c r="A150" s="2">
        <v>45075</v>
      </c>
      <c r="B150">
        <v>2.4</v>
      </c>
      <c r="F150" s="2">
        <f>MAX(SalesTbl[Order Date])+1</f>
        <v>45295</v>
      </c>
      <c r="G150" s="2">
        <f t="shared" si="2"/>
        <v>45443</v>
      </c>
      <c r="H150" s="7">
        <f>_xlfn.FORECAST.ETS(G150, SalesTbl[Quantity], SalesTbl[Order Date], 0, 1, 1)</f>
        <v>3.0692002335774156</v>
      </c>
    </row>
    <row r="151" spans="1:8" x14ac:dyDescent="0.25">
      <c r="A151" s="2">
        <v>45076</v>
      </c>
      <c r="B151">
        <v>2.5</v>
      </c>
      <c r="F151" s="2">
        <f>MAX(SalesTbl[Order Date])+1</f>
        <v>45295</v>
      </c>
      <c r="G151" s="2">
        <f t="shared" si="2"/>
        <v>45444</v>
      </c>
      <c r="H151" s="7">
        <f>_xlfn.FORECAST.ETS(G151, SalesTbl[Quantity], SalesTbl[Order Date], 0, 1, 1)</f>
        <v>3.0696646646752552</v>
      </c>
    </row>
    <row r="152" spans="1:8" x14ac:dyDescent="0.25">
      <c r="A152" s="2">
        <v>45077</v>
      </c>
      <c r="B152">
        <v>2.333333333333333</v>
      </c>
      <c r="F152" s="2">
        <f>MAX(SalesTbl[Order Date])+1</f>
        <v>45295</v>
      </c>
      <c r="G152" s="2">
        <f t="shared" si="2"/>
        <v>45445</v>
      </c>
      <c r="H152" s="7">
        <f>_xlfn.FORECAST.ETS(G152, SalesTbl[Quantity], SalesTbl[Order Date], 0, 1, 1)</f>
        <v>3.0701290957730856</v>
      </c>
    </row>
    <row r="153" spans="1:8" x14ac:dyDescent="0.25">
      <c r="A153" s="2">
        <v>45078</v>
      </c>
      <c r="B153">
        <v>2.1666666666666665</v>
      </c>
      <c r="F153" s="2">
        <f>MAX(SalesTbl[Order Date])+1</f>
        <v>45295</v>
      </c>
      <c r="G153" s="2">
        <f t="shared" si="2"/>
        <v>45446</v>
      </c>
      <c r="H153" s="7">
        <f>_xlfn.FORECAST.ETS(G153, SalesTbl[Quantity], SalesTbl[Order Date], 0, 1, 1)</f>
        <v>3.0705935268709252</v>
      </c>
    </row>
    <row r="154" spans="1:8" x14ac:dyDescent="0.25">
      <c r="A154" s="2">
        <v>45079</v>
      </c>
      <c r="B154">
        <v>3.5</v>
      </c>
      <c r="F154" s="2">
        <f>MAX(SalesTbl[Order Date])+1</f>
        <v>45295</v>
      </c>
      <c r="G154" s="2">
        <f t="shared" si="2"/>
        <v>45447</v>
      </c>
      <c r="H154" s="7">
        <f>_xlfn.FORECAST.ETS(G154, SalesTbl[Quantity], SalesTbl[Order Date], 0, 1, 1)</f>
        <v>3.0710579579687556</v>
      </c>
    </row>
    <row r="155" spans="1:8" x14ac:dyDescent="0.25">
      <c r="A155" s="2">
        <v>45080</v>
      </c>
      <c r="B155">
        <v>3</v>
      </c>
      <c r="F155" s="2">
        <f>MAX(SalesTbl[Order Date])+1</f>
        <v>45295</v>
      </c>
      <c r="G155" s="2">
        <f t="shared" si="2"/>
        <v>45448</v>
      </c>
      <c r="H155" s="7">
        <f>_xlfn.FORECAST.ETS(G155, SalesTbl[Quantity], SalesTbl[Order Date], 0, 1, 1)</f>
        <v>3.0715223890665952</v>
      </c>
    </row>
    <row r="156" spans="1:8" x14ac:dyDescent="0.25">
      <c r="A156" s="2">
        <v>45081</v>
      </c>
      <c r="B156">
        <v>2</v>
      </c>
      <c r="F156" s="2">
        <f>MAX(SalesTbl[Order Date])+1</f>
        <v>45295</v>
      </c>
      <c r="G156" s="2">
        <f t="shared" si="2"/>
        <v>45449</v>
      </c>
      <c r="H156" s="7">
        <f>_xlfn.FORECAST.ETS(G156, SalesTbl[Quantity], SalesTbl[Order Date], 0, 1, 1)</f>
        <v>3.071986820164426</v>
      </c>
    </row>
    <row r="157" spans="1:8" x14ac:dyDescent="0.25">
      <c r="A157" s="2">
        <v>45082</v>
      </c>
      <c r="B157">
        <v>2</v>
      </c>
      <c r="F157" s="2">
        <f>MAX(SalesTbl[Order Date])+1</f>
        <v>45295</v>
      </c>
      <c r="G157" s="2">
        <f t="shared" si="2"/>
        <v>45450</v>
      </c>
      <c r="H157" s="7">
        <f>_xlfn.FORECAST.ETS(G157, SalesTbl[Quantity], SalesTbl[Order Date], 0, 1, 1)</f>
        <v>3.0724512512622653</v>
      </c>
    </row>
    <row r="158" spans="1:8" x14ac:dyDescent="0.25">
      <c r="A158" s="2">
        <v>45083</v>
      </c>
      <c r="B158">
        <v>3.2857142857142856</v>
      </c>
      <c r="F158" s="2">
        <f>MAX(SalesTbl[Order Date])+1</f>
        <v>45295</v>
      </c>
      <c r="G158" s="2">
        <f t="shared" si="2"/>
        <v>45451</v>
      </c>
      <c r="H158" s="7">
        <f>_xlfn.FORECAST.ETS(G158, SalesTbl[Quantity], SalesTbl[Order Date], 0, 1, 1)</f>
        <v>3.072915682360096</v>
      </c>
    </row>
    <row r="159" spans="1:8" x14ac:dyDescent="0.25">
      <c r="A159" s="2">
        <v>45084</v>
      </c>
      <c r="B159">
        <v>3.3333333333333335</v>
      </c>
      <c r="F159" s="2">
        <f>MAX(SalesTbl[Order Date])+1</f>
        <v>45295</v>
      </c>
      <c r="G159" s="2">
        <f t="shared" si="2"/>
        <v>45452</v>
      </c>
      <c r="H159" s="7">
        <f>_xlfn.FORECAST.ETS(G159, SalesTbl[Quantity], SalesTbl[Order Date], 0, 1, 1)</f>
        <v>3.0733801134579353</v>
      </c>
    </row>
    <row r="160" spans="1:8" x14ac:dyDescent="0.25">
      <c r="A160" s="2">
        <v>45085</v>
      </c>
      <c r="B160">
        <v>3.6</v>
      </c>
      <c r="F160" s="2">
        <f>MAX(SalesTbl[Order Date])+1</f>
        <v>45295</v>
      </c>
      <c r="G160" s="2">
        <f t="shared" si="2"/>
        <v>45453</v>
      </c>
      <c r="H160" s="7">
        <f>_xlfn.FORECAST.ETS(G160, SalesTbl[Quantity], SalesTbl[Order Date], 0, 1, 1)</f>
        <v>3.0738445445557661</v>
      </c>
    </row>
    <row r="161" spans="1:8" x14ac:dyDescent="0.25">
      <c r="A161" s="2">
        <v>45086</v>
      </c>
      <c r="B161">
        <v>3</v>
      </c>
      <c r="F161" s="2">
        <f>MAX(SalesTbl[Order Date])+1</f>
        <v>45295</v>
      </c>
      <c r="G161" s="2">
        <f t="shared" si="2"/>
        <v>45454</v>
      </c>
      <c r="H161" s="7">
        <f>_xlfn.FORECAST.ETS(G161, SalesTbl[Quantity], SalesTbl[Order Date], 0, 1, 1)</f>
        <v>3.0743089756536053</v>
      </c>
    </row>
    <row r="162" spans="1:8" x14ac:dyDescent="0.25">
      <c r="A162" s="2">
        <v>45087</v>
      </c>
      <c r="B162">
        <v>2.3333333333333335</v>
      </c>
      <c r="F162" s="2">
        <f>MAX(SalesTbl[Order Date])+1</f>
        <v>45295</v>
      </c>
      <c r="G162" s="2">
        <f t="shared" si="2"/>
        <v>45455</v>
      </c>
      <c r="H162" s="7">
        <f>_xlfn.FORECAST.ETS(G162, SalesTbl[Quantity], SalesTbl[Order Date], 0, 1, 1)</f>
        <v>3.0747734067514361</v>
      </c>
    </row>
    <row r="163" spans="1:8" x14ac:dyDescent="0.25">
      <c r="A163" s="2">
        <v>45088</v>
      </c>
      <c r="B163">
        <v>3</v>
      </c>
      <c r="F163" s="2">
        <f>MAX(SalesTbl[Order Date])+1</f>
        <v>45295</v>
      </c>
      <c r="G163" s="2">
        <f t="shared" si="2"/>
        <v>45456</v>
      </c>
      <c r="H163" s="7">
        <f>_xlfn.FORECAST.ETS(G163, SalesTbl[Quantity], SalesTbl[Order Date], 0, 1, 1)</f>
        <v>3.0752378378492753</v>
      </c>
    </row>
    <row r="164" spans="1:8" x14ac:dyDescent="0.25">
      <c r="A164" s="2">
        <v>45089</v>
      </c>
      <c r="B164">
        <v>3.25</v>
      </c>
      <c r="F164" s="2">
        <f>MAX(SalesTbl[Order Date])+1</f>
        <v>45295</v>
      </c>
      <c r="G164" s="2">
        <f t="shared" si="2"/>
        <v>45457</v>
      </c>
      <c r="H164" s="7">
        <f>_xlfn.FORECAST.ETS(G164, SalesTbl[Quantity], SalesTbl[Order Date], 0, 1, 1)</f>
        <v>3.0757022689471061</v>
      </c>
    </row>
    <row r="165" spans="1:8" x14ac:dyDescent="0.25">
      <c r="A165" s="2">
        <v>45090</v>
      </c>
      <c r="B165">
        <v>2.25</v>
      </c>
      <c r="F165" s="2">
        <f>MAX(SalesTbl[Order Date])+1</f>
        <v>45295</v>
      </c>
      <c r="G165" s="2">
        <f t="shared" si="2"/>
        <v>45458</v>
      </c>
      <c r="H165" s="7">
        <f>_xlfn.FORECAST.ETS(G165, SalesTbl[Quantity], SalesTbl[Order Date], 0, 1, 1)</f>
        <v>3.0761667000449457</v>
      </c>
    </row>
    <row r="166" spans="1:8" x14ac:dyDescent="0.25">
      <c r="A166" s="2">
        <v>45091</v>
      </c>
      <c r="B166">
        <v>3.3333333333333335</v>
      </c>
      <c r="F166" s="2">
        <f>MAX(SalesTbl[Order Date])+1</f>
        <v>45295</v>
      </c>
      <c r="G166" s="2">
        <f t="shared" si="2"/>
        <v>45459</v>
      </c>
      <c r="H166" s="7">
        <f>_xlfn.FORECAST.ETS(G166, SalesTbl[Quantity], SalesTbl[Order Date], 0, 1, 1)</f>
        <v>3.0766311311427761</v>
      </c>
    </row>
    <row r="167" spans="1:8" x14ac:dyDescent="0.25">
      <c r="A167" s="2">
        <v>45092</v>
      </c>
      <c r="B167">
        <v>3.25</v>
      </c>
      <c r="F167" s="2">
        <f>MAX(SalesTbl[Order Date])+1</f>
        <v>45295</v>
      </c>
      <c r="G167" s="2">
        <f t="shared" si="2"/>
        <v>45460</v>
      </c>
      <c r="H167" s="7">
        <f>_xlfn.FORECAST.ETS(G167, SalesTbl[Quantity], SalesTbl[Order Date], 0, 1, 1)</f>
        <v>3.0770955622406158</v>
      </c>
    </row>
    <row r="168" spans="1:8" x14ac:dyDescent="0.25">
      <c r="A168" s="2">
        <v>45093</v>
      </c>
      <c r="B168">
        <v>1</v>
      </c>
      <c r="F168" s="2">
        <f>MAX(SalesTbl[Order Date])+1</f>
        <v>45295</v>
      </c>
      <c r="G168" s="2">
        <f t="shared" si="2"/>
        <v>45461</v>
      </c>
      <c r="H168" s="7">
        <f>_xlfn.FORECAST.ETS(G168, SalesTbl[Quantity], SalesTbl[Order Date], 0, 1, 1)</f>
        <v>3.0775599933384461</v>
      </c>
    </row>
    <row r="169" spans="1:8" x14ac:dyDescent="0.25">
      <c r="A169" s="2">
        <v>45094</v>
      </c>
      <c r="B169">
        <v>3.6666666666666665</v>
      </c>
      <c r="F169" s="2">
        <f>MAX(SalesTbl[Order Date])+1</f>
        <v>45295</v>
      </c>
      <c r="G169" s="2">
        <f t="shared" si="2"/>
        <v>45462</v>
      </c>
      <c r="H169" s="7">
        <f>_xlfn.FORECAST.ETS(G169, SalesTbl[Quantity], SalesTbl[Order Date], 0, 1, 1)</f>
        <v>3.0780244244362858</v>
      </c>
    </row>
    <row r="170" spans="1:8" x14ac:dyDescent="0.25">
      <c r="A170" s="2">
        <v>45095</v>
      </c>
      <c r="B170">
        <v>4</v>
      </c>
      <c r="F170" s="2">
        <f>MAX(SalesTbl[Order Date])+1</f>
        <v>45295</v>
      </c>
      <c r="G170" s="2">
        <f t="shared" si="2"/>
        <v>45463</v>
      </c>
      <c r="H170" s="7">
        <f>_xlfn.FORECAST.ETS(G170, SalesTbl[Quantity], SalesTbl[Order Date], 0, 1, 1)</f>
        <v>3.0784888555341161</v>
      </c>
    </row>
    <row r="171" spans="1:8" x14ac:dyDescent="0.25">
      <c r="A171" s="2">
        <v>45096</v>
      </c>
      <c r="B171">
        <v>3.25</v>
      </c>
      <c r="F171" s="2">
        <f>MAX(SalesTbl[Order Date])+1</f>
        <v>45295</v>
      </c>
      <c r="G171" s="2">
        <f t="shared" si="2"/>
        <v>45464</v>
      </c>
      <c r="H171" s="7">
        <f>_xlfn.FORECAST.ETS(G171, SalesTbl[Quantity], SalesTbl[Order Date], 0, 1, 1)</f>
        <v>3.0789532866319558</v>
      </c>
    </row>
    <row r="172" spans="1:8" x14ac:dyDescent="0.25">
      <c r="A172" s="2">
        <v>45097</v>
      </c>
      <c r="B172">
        <v>2.5</v>
      </c>
      <c r="F172" s="2">
        <f>MAX(SalesTbl[Order Date])+1</f>
        <v>45295</v>
      </c>
      <c r="G172" s="2">
        <f t="shared" si="2"/>
        <v>45465</v>
      </c>
      <c r="H172" s="7">
        <f>_xlfn.FORECAST.ETS(G172, SalesTbl[Quantity], SalesTbl[Order Date], 0, 1, 1)</f>
        <v>3.0794177177297866</v>
      </c>
    </row>
    <row r="173" spans="1:8" x14ac:dyDescent="0.25">
      <c r="A173" s="2">
        <v>45098</v>
      </c>
      <c r="B173">
        <v>3.3333333333333335</v>
      </c>
      <c r="F173" s="2">
        <f>MAX(SalesTbl[Order Date])+1</f>
        <v>45295</v>
      </c>
      <c r="G173" s="2">
        <f t="shared" si="2"/>
        <v>45466</v>
      </c>
      <c r="H173" s="7">
        <f>_xlfn.FORECAST.ETS(G173, SalesTbl[Quantity], SalesTbl[Order Date], 0, 1, 1)</f>
        <v>3.0798821488276258</v>
      </c>
    </row>
    <row r="174" spans="1:8" x14ac:dyDescent="0.25">
      <c r="A174" s="2">
        <v>45099</v>
      </c>
      <c r="B174">
        <v>2.5</v>
      </c>
      <c r="F174" s="2">
        <f>MAX(SalesTbl[Order Date])+1</f>
        <v>45295</v>
      </c>
      <c r="G174" s="2">
        <f t="shared" si="2"/>
        <v>45467</v>
      </c>
      <c r="H174" s="7">
        <f>_xlfn.FORECAST.ETS(G174, SalesTbl[Quantity], SalesTbl[Order Date], 0, 1, 1)</f>
        <v>3.0803465799254566</v>
      </c>
    </row>
    <row r="175" spans="1:8" x14ac:dyDescent="0.25">
      <c r="A175" s="2">
        <v>45100</v>
      </c>
      <c r="B175">
        <v>5</v>
      </c>
      <c r="F175" s="2">
        <f>MAX(SalesTbl[Order Date])+1</f>
        <v>45295</v>
      </c>
      <c r="G175" s="2">
        <f t="shared" si="2"/>
        <v>45468</v>
      </c>
      <c r="H175" s="7">
        <f>_xlfn.FORECAST.ETS(G175, SalesTbl[Quantity], SalesTbl[Order Date], 0, 1, 1)</f>
        <v>3.0808110110232958</v>
      </c>
    </row>
    <row r="176" spans="1:8" x14ac:dyDescent="0.25">
      <c r="A176" s="2">
        <v>45101</v>
      </c>
      <c r="B176">
        <v>1</v>
      </c>
      <c r="F176" s="2">
        <f>MAX(SalesTbl[Order Date])+1</f>
        <v>45295</v>
      </c>
      <c r="G176" s="2">
        <f t="shared" si="2"/>
        <v>45469</v>
      </c>
      <c r="H176" s="7">
        <f>_xlfn.FORECAST.ETS(G176, SalesTbl[Quantity], SalesTbl[Order Date], 0, 1, 1)</f>
        <v>3.0812754421211266</v>
      </c>
    </row>
    <row r="177" spans="1:8" x14ac:dyDescent="0.25">
      <c r="A177" s="2">
        <v>45102</v>
      </c>
      <c r="B177">
        <v>3</v>
      </c>
      <c r="F177" s="2">
        <f>MAX(SalesTbl[Order Date])+1</f>
        <v>45295</v>
      </c>
      <c r="G177" s="2">
        <f t="shared" si="2"/>
        <v>45470</v>
      </c>
      <c r="H177" s="7">
        <f>_xlfn.FORECAST.ETS(G177, SalesTbl[Quantity], SalesTbl[Order Date], 0, 1, 1)</f>
        <v>3.0817398732189658</v>
      </c>
    </row>
    <row r="178" spans="1:8" x14ac:dyDescent="0.25">
      <c r="A178" s="2">
        <v>45103</v>
      </c>
      <c r="B178">
        <v>2</v>
      </c>
      <c r="F178" s="2">
        <f>MAX(SalesTbl[Order Date])+1</f>
        <v>45295</v>
      </c>
      <c r="G178" s="2">
        <f t="shared" si="2"/>
        <v>45471</v>
      </c>
      <c r="H178" s="7">
        <f>_xlfn.FORECAST.ETS(G178, SalesTbl[Quantity], SalesTbl[Order Date], 0, 1, 1)</f>
        <v>3.0822043043167966</v>
      </c>
    </row>
    <row r="179" spans="1:8" x14ac:dyDescent="0.25">
      <c r="A179" s="2">
        <v>45104</v>
      </c>
      <c r="B179">
        <v>2.5</v>
      </c>
      <c r="F179" s="2">
        <f>MAX(SalesTbl[Order Date])+1</f>
        <v>45295</v>
      </c>
      <c r="G179" s="2">
        <f t="shared" si="2"/>
        <v>45472</v>
      </c>
      <c r="H179" s="7">
        <f>_xlfn.FORECAST.ETS(G179, SalesTbl[Quantity], SalesTbl[Order Date], 0, 1, 1)</f>
        <v>3.0826687354146363</v>
      </c>
    </row>
    <row r="180" spans="1:8" x14ac:dyDescent="0.25">
      <c r="A180" s="2">
        <v>45105</v>
      </c>
      <c r="B180">
        <v>4.333333333333333</v>
      </c>
      <c r="F180" s="2">
        <f>MAX(SalesTbl[Order Date])+1</f>
        <v>45295</v>
      </c>
      <c r="G180" s="2">
        <f t="shared" si="2"/>
        <v>45473</v>
      </c>
      <c r="H180" s="7">
        <f>_xlfn.FORECAST.ETS(G180, SalesTbl[Quantity], SalesTbl[Order Date], 0, 1, 1)</f>
        <v>3.0831331665124666</v>
      </c>
    </row>
    <row r="181" spans="1:8" x14ac:dyDescent="0.25">
      <c r="A181" s="2">
        <v>45106</v>
      </c>
      <c r="B181">
        <v>3.6</v>
      </c>
      <c r="F181" s="2">
        <f>MAX(SalesTbl[Order Date])+1</f>
        <v>45295</v>
      </c>
      <c r="G181" s="2">
        <f t="shared" si="2"/>
        <v>45474</v>
      </c>
      <c r="H181" s="7">
        <f>_xlfn.FORECAST.ETS(G181, SalesTbl[Quantity], SalesTbl[Order Date], 0, 1, 1)</f>
        <v>3.0835975976103063</v>
      </c>
    </row>
    <row r="182" spans="1:8" x14ac:dyDescent="0.25">
      <c r="A182" s="2">
        <v>45107</v>
      </c>
      <c r="B182">
        <v>4.666666666666667</v>
      </c>
      <c r="F182" s="2">
        <f>MAX(SalesTbl[Order Date])+1</f>
        <v>45295</v>
      </c>
      <c r="G182" s="2">
        <f t="shared" si="2"/>
        <v>45475</v>
      </c>
      <c r="H182" s="7">
        <f>_xlfn.FORECAST.ETS(G182, SalesTbl[Quantity], SalesTbl[Order Date], 0, 1, 1)</f>
        <v>3.0840620287081366</v>
      </c>
    </row>
    <row r="183" spans="1:8" x14ac:dyDescent="0.25">
      <c r="A183" s="2">
        <v>45108</v>
      </c>
      <c r="B183">
        <v>5</v>
      </c>
      <c r="F183" s="2">
        <f>MAX(SalesTbl[Order Date])+1</f>
        <v>45295</v>
      </c>
      <c r="G183" s="2">
        <f t="shared" si="2"/>
        <v>45476</v>
      </c>
      <c r="H183" s="7">
        <f>_xlfn.FORECAST.ETS(G183, SalesTbl[Quantity], SalesTbl[Order Date], 0, 1, 1)</f>
        <v>3.0845264598059763</v>
      </c>
    </row>
    <row r="184" spans="1:8" x14ac:dyDescent="0.25">
      <c r="A184" s="2">
        <v>45109</v>
      </c>
      <c r="B184">
        <v>3</v>
      </c>
      <c r="F184" s="2">
        <f>MAX(SalesTbl[Order Date])+1</f>
        <v>45295</v>
      </c>
      <c r="G184" s="2">
        <f t="shared" si="2"/>
        <v>45477</v>
      </c>
      <c r="H184" s="7">
        <f>_xlfn.FORECAST.ETS(G184, SalesTbl[Quantity], SalesTbl[Order Date], 0, 1, 1)</f>
        <v>3.0849908909038066</v>
      </c>
    </row>
    <row r="185" spans="1:8" x14ac:dyDescent="0.25">
      <c r="A185" s="2">
        <v>45110</v>
      </c>
      <c r="B185">
        <v>5</v>
      </c>
      <c r="F185" s="2">
        <f>MAX(SalesTbl[Order Date])+1</f>
        <v>45295</v>
      </c>
      <c r="G185" s="2">
        <f t="shared" si="2"/>
        <v>45478</v>
      </c>
      <c r="H185" s="7">
        <f>_xlfn.FORECAST.ETS(G185, SalesTbl[Quantity], SalesTbl[Order Date], 0, 1, 1)</f>
        <v>3.0854553220016463</v>
      </c>
    </row>
    <row r="186" spans="1:8" x14ac:dyDescent="0.25">
      <c r="A186" s="2">
        <v>45111</v>
      </c>
      <c r="B186">
        <v>2</v>
      </c>
      <c r="F186" s="2">
        <f>MAX(SalesTbl[Order Date])+1</f>
        <v>45295</v>
      </c>
      <c r="G186" s="2">
        <f t="shared" si="2"/>
        <v>45479</v>
      </c>
      <c r="H186" s="7">
        <f>_xlfn.FORECAST.ETS(G186, SalesTbl[Quantity], SalesTbl[Order Date], 0, 1, 1)</f>
        <v>3.0859197530994771</v>
      </c>
    </row>
    <row r="187" spans="1:8" x14ac:dyDescent="0.25">
      <c r="A187" s="2">
        <v>45112</v>
      </c>
      <c r="B187">
        <v>1</v>
      </c>
      <c r="F187" s="2">
        <f>MAX(SalesTbl[Order Date])+1</f>
        <v>45295</v>
      </c>
      <c r="G187" s="2">
        <f t="shared" si="2"/>
        <v>45480</v>
      </c>
      <c r="H187" s="7">
        <f>_xlfn.FORECAST.ETS(G187, SalesTbl[Quantity], SalesTbl[Order Date], 0, 1, 1)</f>
        <v>3.0863841841973163</v>
      </c>
    </row>
    <row r="188" spans="1:8" x14ac:dyDescent="0.25">
      <c r="A188" s="2">
        <v>45113</v>
      </c>
      <c r="B188">
        <v>3</v>
      </c>
      <c r="F188" s="2">
        <f>MAX(SalesTbl[Order Date])+1</f>
        <v>45295</v>
      </c>
      <c r="G188" s="2">
        <f t="shared" si="2"/>
        <v>45481</v>
      </c>
      <c r="H188" s="7">
        <f>_xlfn.FORECAST.ETS(G188, SalesTbl[Quantity], SalesTbl[Order Date], 0, 1, 1)</f>
        <v>3.0868486152951471</v>
      </c>
    </row>
    <row r="189" spans="1:8" x14ac:dyDescent="0.25">
      <c r="A189" s="2">
        <v>45114</v>
      </c>
      <c r="B189">
        <v>2.666666666666667</v>
      </c>
      <c r="F189" s="2">
        <f>MAX(SalesTbl[Order Date])+1</f>
        <v>45295</v>
      </c>
      <c r="G189" s="2">
        <f t="shared" si="2"/>
        <v>45482</v>
      </c>
      <c r="H189" s="7">
        <f>_xlfn.FORECAST.ETS(G189, SalesTbl[Quantity], SalesTbl[Order Date], 0, 1, 1)</f>
        <v>3.0873130463929863</v>
      </c>
    </row>
    <row r="190" spans="1:8" x14ac:dyDescent="0.25">
      <c r="A190" s="2">
        <v>45115</v>
      </c>
      <c r="B190">
        <v>2.3333333333333335</v>
      </c>
      <c r="F190" s="2">
        <f>MAX(SalesTbl[Order Date])+1</f>
        <v>45295</v>
      </c>
      <c r="G190" s="2">
        <f t="shared" si="2"/>
        <v>45483</v>
      </c>
      <c r="H190" s="7">
        <f>_xlfn.FORECAST.ETS(G190, SalesTbl[Quantity], SalesTbl[Order Date], 0, 1, 1)</f>
        <v>3.0877774774908171</v>
      </c>
    </row>
    <row r="191" spans="1:8" x14ac:dyDescent="0.25">
      <c r="A191" s="2">
        <v>45116</v>
      </c>
      <c r="B191">
        <v>3.6666666666666665</v>
      </c>
      <c r="F191" s="2">
        <f>MAX(SalesTbl[Order Date])+1</f>
        <v>45295</v>
      </c>
      <c r="G191" s="2">
        <f t="shared" si="2"/>
        <v>45484</v>
      </c>
      <c r="H191" s="7">
        <f>_xlfn.FORECAST.ETS(G191, SalesTbl[Quantity], SalesTbl[Order Date], 0, 1, 1)</f>
        <v>3.0882419085886563</v>
      </c>
    </row>
    <row r="192" spans="1:8" x14ac:dyDescent="0.25">
      <c r="A192" s="2">
        <v>45117</v>
      </c>
      <c r="B192">
        <v>3</v>
      </c>
      <c r="F192" s="2">
        <f>MAX(SalesTbl[Order Date])+1</f>
        <v>45295</v>
      </c>
      <c r="G192" s="2">
        <f t="shared" si="2"/>
        <v>45485</v>
      </c>
      <c r="H192" s="7">
        <f>_xlfn.FORECAST.ETS(G192, SalesTbl[Quantity], SalesTbl[Order Date], 0, 1, 1)</f>
        <v>3.0887063396864871</v>
      </c>
    </row>
    <row r="193" spans="1:8" x14ac:dyDescent="0.25">
      <c r="A193" s="2">
        <v>45118</v>
      </c>
      <c r="B193">
        <v>3</v>
      </c>
      <c r="F193" s="2">
        <f>MAX(SalesTbl[Order Date])+1</f>
        <v>45295</v>
      </c>
      <c r="G193" s="2">
        <f t="shared" si="2"/>
        <v>45486</v>
      </c>
      <c r="H193" s="7">
        <f>_xlfn.FORECAST.ETS(G193, SalesTbl[Quantity], SalesTbl[Order Date], 0, 1, 1)</f>
        <v>3.0891707707843263</v>
      </c>
    </row>
    <row r="194" spans="1:8" x14ac:dyDescent="0.25">
      <c r="A194" s="2">
        <v>45119</v>
      </c>
      <c r="B194">
        <v>4.5</v>
      </c>
      <c r="F194" s="2">
        <f>MAX(SalesTbl[Order Date])+1</f>
        <v>45295</v>
      </c>
      <c r="G194" s="2">
        <f t="shared" si="2"/>
        <v>45487</v>
      </c>
      <c r="H194" s="7">
        <f>_xlfn.FORECAST.ETS(G194, SalesTbl[Quantity], SalesTbl[Order Date], 0, 1, 1)</f>
        <v>3.0896352018821571</v>
      </c>
    </row>
    <row r="195" spans="1:8" x14ac:dyDescent="0.25">
      <c r="A195" s="2">
        <v>45120</v>
      </c>
      <c r="B195">
        <v>1.5</v>
      </c>
      <c r="F195" s="2">
        <f>MAX(SalesTbl[Order Date])+1</f>
        <v>45295</v>
      </c>
      <c r="G195" s="2">
        <f t="shared" si="2"/>
        <v>45488</v>
      </c>
      <c r="H195" s="7">
        <f>_xlfn.FORECAST.ETS(G195, SalesTbl[Quantity], SalesTbl[Order Date], 0, 1, 1)</f>
        <v>3.0900996329799968</v>
      </c>
    </row>
    <row r="196" spans="1:8" x14ac:dyDescent="0.25">
      <c r="A196" s="2">
        <v>45121</v>
      </c>
      <c r="B196">
        <v>2.6</v>
      </c>
      <c r="F196" s="2">
        <f>MAX(SalesTbl[Order Date])+1</f>
        <v>45295</v>
      </c>
      <c r="G196" s="2">
        <f t="shared" ref="G196:G259" si="3">G195+1</f>
        <v>45489</v>
      </c>
      <c r="H196" s="7">
        <f>_xlfn.FORECAST.ETS(G196, SalesTbl[Quantity], SalesTbl[Order Date], 0, 1, 1)</f>
        <v>3.0905640640778271</v>
      </c>
    </row>
    <row r="197" spans="1:8" x14ac:dyDescent="0.25">
      <c r="A197" s="2">
        <v>45122</v>
      </c>
      <c r="B197">
        <v>2</v>
      </c>
      <c r="F197" s="2">
        <f>MAX(SalesTbl[Order Date])+1</f>
        <v>45295</v>
      </c>
      <c r="G197" s="2">
        <f t="shared" si="3"/>
        <v>45490</v>
      </c>
      <c r="H197" s="7">
        <f>_xlfn.FORECAST.ETS(G197, SalesTbl[Quantity], SalesTbl[Order Date], 0, 1, 1)</f>
        <v>3.0910284951756668</v>
      </c>
    </row>
    <row r="198" spans="1:8" x14ac:dyDescent="0.25">
      <c r="A198" s="2">
        <v>45123</v>
      </c>
      <c r="B198">
        <v>2.5</v>
      </c>
      <c r="F198" s="2">
        <f>MAX(SalesTbl[Order Date])+1</f>
        <v>45295</v>
      </c>
      <c r="G198" s="2">
        <f t="shared" si="3"/>
        <v>45491</v>
      </c>
      <c r="H198" s="7">
        <f>_xlfn.FORECAST.ETS(G198, SalesTbl[Quantity], SalesTbl[Order Date], 0, 1, 1)</f>
        <v>3.0914929262734971</v>
      </c>
    </row>
    <row r="199" spans="1:8" x14ac:dyDescent="0.25">
      <c r="A199" s="2">
        <v>45124</v>
      </c>
      <c r="B199">
        <v>1.5</v>
      </c>
      <c r="F199" s="2">
        <f>MAX(SalesTbl[Order Date])+1</f>
        <v>45295</v>
      </c>
      <c r="G199" s="2">
        <f t="shared" si="3"/>
        <v>45492</v>
      </c>
      <c r="H199" s="7">
        <f>_xlfn.FORECAST.ETS(G199, SalesTbl[Quantity], SalesTbl[Order Date], 0, 1, 1)</f>
        <v>3.0919573573713368</v>
      </c>
    </row>
    <row r="200" spans="1:8" x14ac:dyDescent="0.25">
      <c r="A200" s="2">
        <v>45125</v>
      </c>
      <c r="B200">
        <v>5</v>
      </c>
      <c r="F200" s="2">
        <f>MAX(SalesTbl[Order Date])+1</f>
        <v>45295</v>
      </c>
      <c r="G200" s="2">
        <f t="shared" si="3"/>
        <v>45493</v>
      </c>
      <c r="H200" s="7">
        <f>_xlfn.FORECAST.ETS(G200, SalesTbl[Quantity], SalesTbl[Order Date], 0, 1, 1)</f>
        <v>3.0924217884691672</v>
      </c>
    </row>
    <row r="201" spans="1:8" x14ac:dyDescent="0.25">
      <c r="A201" s="2">
        <v>45126</v>
      </c>
      <c r="B201">
        <v>3.5</v>
      </c>
      <c r="F201" s="2">
        <f>MAX(SalesTbl[Order Date])+1</f>
        <v>45295</v>
      </c>
      <c r="G201" s="2">
        <f t="shared" si="3"/>
        <v>45494</v>
      </c>
      <c r="H201" s="7">
        <f>_xlfn.FORECAST.ETS(G201, SalesTbl[Quantity], SalesTbl[Order Date], 0, 1, 1)</f>
        <v>3.0928862195670068</v>
      </c>
    </row>
    <row r="202" spans="1:8" x14ac:dyDescent="0.25">
      <c r="A202" s="2">
        <v>45127</v>
      </c>
      <c r="B202">
        <v>3.6666666666666665</v>
      </c>
      <c r="F202" s="2">
        <f>MAX(SalesTbl[Order Date])+1</f>
        <v>45295</v>
      </c>
      <c r="G202" s="2">
        <f t="shared" si="3"/>
        <v>45495</v>
      </c>
      <c r="H202" s="7">
        <f>_xlfn.FORECAST.ETS(G202, SalesTbl[Quantity], SalesTbl[Order Date], 0, 1, 1)</f>
        <v>3.0933506506648376</v>
      </c>
    </row>
    <row r="203" spans="1:8" x14ac:dyDescent="0.25">
      <c r="A203" s="2">
        <v>45128</v>
      </c>
      <c r="B203">
        <v>2.5</v>
      </c>
      <c r="F203" s="2">
        <f>MAX(SalesTbl[Order Date])+1</f>
        <v>45295</v>
      </c>
      <c r="G203" s="2">
        <f t="shared" si="3"/>
        <v>45496</v>
      </c>
      <c r="H203" s="7">
        <f>_xlfn.FORECAST.ETS(G203, SalesTbl[Quantity], SalesTbl[Order Date], 0, 1, 1)</f>
        <v>3.0938150817626768</v>
      </c>
    </row>
    <row r="204" spans="1:8" x14ac:dyDescent="0.25">
      <c r="A204" s="2">
        <v>45129</v>
      </c>
      <c r="B204">
        <v>3.25</v>
      </c>
      <c r="F204" s="2">
        <f>MAX(SalesTbl[Order Date])+1</f>
        <v>45295</v>
      </c>
      <c r="G204" s="2">
        <f t="shared" si="3"/>
        <v>45497</v>
      </c>
      <c r="H204" s="7">
        <f>_xlfn.FORECAST.ETS(G204, SalesTbl[Quantity], SalesTbl[Order Date], 0, 1, 1)</f>
        <v>3.0942795128605076</v>
      </c>
    </row>
    <row r="205" spans="1:8" x14ac:dyDescent="0.25">
      <c r="A205" s="2">
        <v>45130</v>
      </c>
      <c r="B205">
        <v>2.6</v>
      </c>
      <c r="F205" s="2">
        <f>MAX(SalesTbl[Order Date])+1</f>
        <v>45295</v>
      </c>
      <c r="G205" s="2">
        <f t="shared" si="3"/>
        <v>45498</v>
      </c>
      <c r="H205" s="7">
        <f>_xlfn.FORECAST.ETS(G205, SalesTbl[Quantity], SalesTbl[Order Date], 0, 1, 1)</f>
        <v>3.0947439439583468</v>
      </c>
    </row>
    <row r="206" spans="1:8" x14ac:dyDescent="0.25">
      <c r="A206" s="2">
        <v>45131</v>
      </c>
      <c r="B206">
        <v>2</v>
      </c>
      <c r="F206" s="2">
        <f>MAX(SalesTbl[Order Date])+1</f>
        <v>45295</v>
      </c>
      <c r="G206" s="2">
        <f t="shared" si="3"/>
        <v>45499</v>
      </c>
      <c r="H206" s="7">
        <f>_xlfn.FORECAST.ETS(G206, SalesTbl[Quantity], SalesTbl[Order Date], 0, 1, 1)</f>
        <v>3.0952083750561776</v>
      </c>
    </row>
    <row r="207" spans="1:8" x14ac:dyDescent="0.25">
      <c r="A207" s="2">
        <v>45132</v>
      </c>
      <c r="B207">
        <v>2.6666666666666665</v>
      </c>
      <c r="F207" s="2">
        <f>MAX(SalesTbl[Order Date])+1</f>
        <v>45295</v>
      </c>
      <c r="G207" s="2">
        <f t="shared" si="3"/>
        <v>45500</v>
      </c>
      <c r="H207" s="7">
        <f>_xlfn.FORECAST.ETS(G207, SalesTbl[Quantity], SalesTbl[Order Date], 0, 1, 1)</f>
        <v>3.0956728061540169</v>
      </c>
    </row>
    <row r="208" spans="1:8" x14ac:dyDescent="0.25">
      <c r="A208" s="2">
        <v>45133</v>
      </c>
      <c r="B208">
        <v>3</v>
      </c>
      <c r="F208" s="2">
        <f>MAX(SalesTbl[Order Date])+1</f>
        <v>45295</v>
      </c>
      <c r="G208" s="2">
        <f t="shared" si="3"/>
        <v>45501</v>
      </c>
      <c r="H208" s="7">
        <f>_xlfn.FORECAST.ETS(G208, SalesTbl[Quantity], SalesTbl[Order Date], 0, 1, 1)</f>
        <v>3.0961372372518476</v>
      </c>
    </row>
    <row r="209" spans="1:8" x14ac:dyDescent="0.25">
      <c r="A209" s="2">
        <v>45134</v>
      </c>
      <c r="B209">
        <v>2.375</v>
      </c>
      <c r="F209" s="2">
        <f>MAX(SalesTbl[Order Date])+1</f>
        <v>45295</v>
      </c>
      <c r="G209" s="2">
        <f t="shared" si="3"/>
        <v>45502</v>
      </c>
      <c r="H209" s="7">
        <f>_xlfn.FORECAST.ETS(G209, SalesTbl[Quantity], SalesTbl[Order Date], 0, 1, 1)</f>
        <v>3.0966016683496869</v>
      </c>
    </row>
    <row r="210" spans="1:8" x14ac:dyDescent="0.25">
      <c r="A210" s="2">
        <v>45135</v>
      </c>
      <c r="B210">
        <v>1.75</v>
      </c>
      <c r="F210" s="2">
        <f>MAX(SalesTbl[Order Date])+1</f>
        <v>45295</v>
      </c>
      <c r="G210" s="2">
        <f t="shared" si="3"/>
        <v>45503</v>
      </c>
      <c r="H210" s="7">
        <f>_xlfn.FORECAST.ETS(G210, SalesTbl[Quantity], SalesTbl[Order Date], 0, 1, 1)</f>
        <v>3.0970660994475177</v>
      </c>
    </row>
    <row r="211" spans="1:8" x14ac:dyDescent="0.25">
      <c r="A211" s="2">
        <v>45136</v>
      </c>
      <c r="B211">
        <v>2</v>
      </c>
      <c r="F211" s="2">
        <f>MAX(SalesTbl[Order Date])+1</f>
        <v>45295</v>
      </c>
      <c r="G211" s="2">
        <f t="shared" si="3"/>
        <v>45504</v>
      </c>
      <c r="H211" s="7">
        <f>_xlfn.FORECAST.ETS(G211, SalesTbl[Quantity], SalesTbl[Order Date], 0, 1, 1)</f>
        <v>3.0975305305453573</v>
      </c>
    </row>
    <row r="212" spans="1:8" x14ac:dyDescent="0.25">
      <c r="A212" s="2">
        <v>45137</v>
      </c>
      <c r="B212">
        <v>4.5</v>
      </c>
      <c r="F212" s="2">
        <f>MAX(SalesTbl[Order Date])+1</f>
        <v>45295</v>
      </c>
      <c r="G212" s="2">
        <f t="shared" si="3"/>
        <v>45505</v>
      </c>
      <c r="H212" s="7">
        <f>_xlfn.FORECAST.ETS(G212, SalesTbl[Quantity], SalesTbl[Order Date], 0, 1, 1)</f>
        <v>3.0979949616431877</v>
      </c>
    </row>
    <row r="213" spans="1:8" x14ac:dyDescent="0.25">
      <c r="A213" s="2">
        <v>45138</v>
      </c>
      <c r="B213">
        <v>3.3333333333333335</v>
      </c>
      <c r="F213" s="2">
        <f>MAX(SalesTbl[Order Date])+1</f>
        <v>45295</v>
      </c>
      <c r="G213" s="2">
        <f t="shared" si="3"/>
        <v>45506</v>
      </c>
      <c r="H213" s="7">
        <f>_xlfn.FORECAST.ETS(G213, SalesTbl[Quantity], SalesTbl[Order Date], 0, 1, 1)</f>
        <v>3.0984593927410273</v>
      </c>
    </row>
    <row r="214" spans="1:8" x14ac:dyDescent="0.25">
      <c r="A214" s="2">
        <v>45139</v>
      </c>
      <c r="B214">
        <v>2.5714285714285716</v>
      </c>
      <c r="F214" s="2">
        <f>MAX(SalesTbl[Order Date])+1</f>
        <v>45295</v>
      </c>
      <c r="G214" s="2">
        <f t="shared" si="3"/>
        <v>45507</v>
      </c>
      <c r="H214" s="7">
        <f>_xlfn.FORECAST.ETS(G214, SalesTbl[Quantity], SalesTbl[Order Date], 0, 1, 1)</f>
        <v>3.0989238238388577</v>
      </c>
    </row>
    <row r="215" spans="1:8" x14ac:dyDescent="0.25">
      <c r="A215" s="2">
        <v>45140</v>
      </c>
      <c r="B215">
        <v>3</v>
      </c>
      <c r="F215" s="2">
        <f>MAX(SalesTbl[Order Date])+1</f>
        <v>45295</v>
      </c>
      <c r="G215" s="2">
        <f t="shared" si="3"/>
        <v>45508</v>
      </c>
      <c r="H215" s="7">
        <f>_xlfn.FORECAST.ETS(G215, SalesTbl[Quantity], SalesTbl[Order Date], 0, 1, 1)</f>
        <v>3.0993882549366973</v>
      </c>
    </row>
    <row r="216" spans="1:8" x14ac:dyDescent="0.25">
      <c r="A216" s="2">
        <v>45141</v>
      </c>
      <c r="B216">
        <v>2.8</v>
      </c>
      <c r="F216" s="2">
        <f>MAX(SalesTbl[Order Date])+1</f>
        <v>45295</v>
      </c>
      <c r="G216" s="2">
        <f t="shared" si="3"/>
        <v>45509</v>
      </c>
      <c r="H216" s="7">
        <f>_xlfn.FORECAST.ETS(G216, SalesTbl[Quantity], SalesTbl[Order Date], 0, 1, 1)</f>
        <v>3.0998526860345277</v>
      </c>
    </row>
    <row r="217" spans="1:8" x14ac:dyDescent="0.25">
      <c r="A217" s="2">
        <v>45142</v>
      </c>
      <c r="B217">
        <v>2.9</v>
      </c>
      <c r="F217" s="2">
        <f>MAX(SalesTbl[Order Date])+1</f>
        <v>45295</v>
      </c>
      <c r="G217" s="2">
        <f t="shared" si="3"/>
        <v>45510</v>
      </c>
      <c r="H217" s="7">
        <f>_xlfn.FORECAST.ETS(G217, SalesTbl[Quantity], SalesTbl[Order Date], 0, 1, 1)</f>
        <v>3.1003171171323674</v>
      </c>
    </row>
    <row r="218" spans="1:8" x14ac:dyDescent="0.25">
      <c r="A218" s="2">
        <v>45143</v>
      </c>
      <c r="B218">
        <v>3</v>
      </c>
      <c r="F218" s="2">
        <f>MAX(SalesTbl[Order Date])+1</f>
        <v>45295</v>
      </c>
      <c r="G218" s="2">
        <f t="shared" si="3"/>
        <v>45511</v>
      </c>
      <c r="H218" s="7">
        <f>_xlfn.FORECAST.ETS(G218, SalesTbl[Quantity], SalesTbl[Order Date], 0, 1, 1)</f>
        <v>3.1007815482301981</v>
      </c>
    </row>
    <row r="219" spans="1:8" x14ac:dyDescent="0.25">
      <c r="A219" s="2">
        <v>45144</v>
      </c>
      <c r="B219">
        <v>1.5</v>
      </c>
      <c r="F219" s="2">
        <f>MAX(SalesTbl[Order Date])+1</f>
        <v>45295</v>
      </c>
      <c r="G219" s="2">
        <f t="shared" si="3"/>
        <v>45512</v>
      </c>
      <c r="H219" s="7">
        <f>_xlfn.FORECAST.ETS(G219, SalesTbl[Quantity], SalesTbl[Order Date], 0, 1, 1)</f>
        <v>3.1012459793280374</v>
      </c>
    </row>
    <row r="220" spans="1:8" x14ac:dyDescent="0.25">
      <c r="A220" s="2">
        <v>45145</v>
      </c>
      <c r="B220">
        <v>4</v>
      </c>
      <c r="F220" s="2">
        <f>MAX(SalesTbl[Order Date])+1</f>
        <v>45295</v>
      </c>
      <c r="G220" s="2">
        <f t="shared" si="3"/>
        <v>45513</v>
      </c>
      <c r="H220" s="7">
        <f>_xlfn.FORECAST.ETS(G220, SalesTbl[Quantity], SalesTbl[Order Date], 0, 1, 1)</f>
        <v>3.1017104104258681</v>
      </c>
    </row>
    <row r="221" spans="1:8" x14ac:dyDescent="0.25">
      <c r="A221" s="2">
        <v>45146</v>
      </c>
      <c r="B221">
        <v>3</v>
      </c>
      <c r="F221" s="2">
        <f>MAX(SalesTbl[Order Date])+1</f>
        <v>45295</v>
      </c>
      <c r="G221" s="2">
        <f t="shared" si="3"/>
        <v>45514</v>
      </c>
      <c r="H221" s="7">
        <f>_xlfn.FORECAST.ETS(G221, SalesTbl[Quantity], SalesTbl[Order Date], 0, 1, 1)</f>
        <v>3.1021748415237074</v>
      </c>
    </row>
    <row r="222" spans="1:8" x14ac:dyDescent="0.25">
      <c r="A222" s="2">
        <v>45147</v>
      </c>
      <c r="B222">
        <v>2.833333333333333</v>
      </c>
      <c r="F222" s="2">
        <f>MAX(SalesTbl[Order Date])+1</f>
        <v>45295</v>
      </c>
      <c r="G222" s="2">
        <f t="shared" si="3"/>
        <v>45515</v>
      </c>
      <c r="H222" s="7">
        <f>_xlfn.FORECAST.ETS(G222, SalesTbl[Quantity], SalesTbl[Order Date], 0, 1, 1)</f>
        <v>3.1026392726215382</v>
      </c>
    </row>
    <row r="223" spans="1:8" x14ac:dyDescent="0.25">
      <c r="A223" s="2">
        <v>45148</v>
      </c>
      <c r="B223">
        <v>2.6666666666666665</v>
      </c>
      <c r="F223" s="2">
        <f>MAX(SalesTbl[Order Date])+1</f>
        <v>45295</v>
      </c>
      <c r="G223" s="2">
        <f t="shared" si="3"/>
        <v>45516</v>
      </c>
      <c r="H223" s="7">
        <f>_xlfn.FORECAST.ETS(G223, SalesTbl[Quantity], SalesTbl[Order Date], 0, 1, 1)</f>
        <v>3.1031037037193774</v>
      </c>
    </row>
    <row r="224" spans="1:8" x14ac:dyDescent="0.25">
      <c r="A224" s="2">
        <v>45149</v>
      </c>
      <c r="B224">
        <v>2.75</v>
      </c>
      <c r="F224" s="2">
        <f>MAX(SalesTbl[Order Date])+1</f>
        <v>45295</v>
      </c>
      <c r="G224" s="2">
        <f t="shared" si="3"/>
        <v>45517</v>
      </c>
      <c r="H224" s="7">
        <f>_xlfn.FORECAST.ETS(G224, SalesTbl[Quantity], SalesTbl[Order Date], 0, 1, 1)</f>
        <v>3.1035681348172082</v>
      </c>
    </row>
    <row r="225" spans="1:8" x14ac:dyDescent="0.25">
      <c r="A225" s="2">
        <v>45150</v>
      </c>
      <c r="B225">
        <v>3</v>
      </c>
      <c r="F225" s="2">
        <f>MAX(SalesTbl[Order Date])+1</f>
        <v>45295</v>
      </c>
      <c r="G225" s="2">
        <f t="shared" si="3"/>
        <v>45518</v>
      </c>
      <c r="H225" s="7">
        <f>_xlfn.FORECAST.ETS(G225, SalesTbl[Quantity], SalesTbl[Order Date], 0, 1, 1)</f>
        <v>3.1040325659150478</v>
      </c>
    </row>
    <row r="226" spans="1:8" x14ac:dyDescent="0.25">
      <c r="A226" s="2">
        <v>45151</v>
      </c>
      <c r="B226">
        <v>2.4</v>
      </c>
      <c r="F226" s="2">
        <f>MAX(SalesTbl[Order Date])+1</f>
        <v>45295</v>
      </c>
      <c r="G226" s="2">
        <f t="shared" si="3"/>
        <v>45519</v>
      </c>
      <c r="H226" s="7">
        <f>_xlfn.FORECAST.ETS(G226, SalesTbl[Quantity], SalesTbl[Order Date], 0, 1, 1)</f>
        <v>3.1044969970128782</v>
      </c>
    </row>
    <row r="227" spans="1:8" x14ac:dyDescent="0.25">
      <c r="A227" s="2">
        <v>45152</v>
      </c>
      <c r="B227">
        <v>2.6666666666666665</v>
      </c>
      <c r="F227" s="2">
        <f>MAX(SalesTbl[Order Date])+1</f>
        <v>45295</v>
      </c>
      <c r="G227" s="2">
        <f t="shared" si="3"/>
        <v>45520</v>
      </c>
      <c r="H227" s="7">
        <f>_xlfn.FORECAST.ETS(G227, SalesTbl[Quantity], SalesTbl[Order Date], 0, 1, 1)</f>
        <v>3.1049614281107178</v>
      </c>
    </row>
    <row r="228" spans="1:8" x14ac:dyDescent="0.25">
      <c r="A228" s="2">
        <v>45153</v>
      </c>
      <c r="B228">
        <v>4</v>
      </c>
      <c r="F228" s="2">
        <f>MAX(SalesTbl[Order Date])+1</f>
        <v>45295</v>
      </c>
      <c r="G228" s="2">
        <f t="shared" si="3"/>
        <v>45521</v>
      </c>
      <c r="H228" s="7">
        <f>_xlfn.FORECAST.ETS(G228, SalesTbl[Quantity], SalesTbl[Order Date], 0, 1, 1)</f>
        <v>3.1054258592085482</v>
      </c>
    </row>
    <row r="229" spans="1:8" x14ac:dyDescent="0.25">
      <c r="A229" s="2">
        <v>45154</v>
      </c>
      <c r="B229">
        <v>2.2000000000000002</v>
      </c>
      <c r="F229" s="2">
        <f>MAX(SalesTbl[Order Date])+1</f>
        <v>45295</v>
      </c>
      <c r="G229" s="2">
        <f t="shared" si="3"/>
        <v>45522</v>
      </c>
      <c r="H229" s="7">
        <f>_xlfn.FORECAST.ETS(G229, SalesTbl[Quantity], SalesTbl[Order Date], 0, 1, 1)</f>
        <v>3.1058902903063879</v>
      </c>
    </row>
    <row r="230" spans="1:8" x14ac:dyDescent="0.25">
      <c r="A230" s="2">
        <v>45155</v>
      </c>
      <c r="B230">
        <v>4</v>
      </c>
      <c r="F230" s="2">
        <f>MAX(SalesTbl[Order Date])+1</f>
        <v>45295</v>
      </c>
      <c r="G230" s="2">
        <f t="shared" si="3"/>
        <v>45523</v>
      </c>
      <c r="H230" s="7">
        <f>_xlfn.FORECAST.ETS(G230, SalesTbl[Quantity], SalesTbl[Order Date], 0, 1, 1)</f>
        <v>3.1063547214042182</v>
      </c>
    </row>
    <row r="231" spans="1:8" x14ac:dyDescent="0.25">
      <c r="A231" s="2">
        <v>45156</v>
      </c>
      <c r="B231">
        <v>4</v>
      </c>
      <c r="F231" s="2">
        <f>MAX(SalesTbl[Order Date])+1</f>
        <v>45295</v>
      </c>
      <c r="G231" s="2">
        <f t="shared" si="3"/>
        <v>45524</v>
      </c>
      <c r="H231" s="7">
        <f>_xlfn.FORECAST.ETS(G231, SalesTbl[Quantity], SalesTbl[Order Date], 0, 1, 1)</f>
        <v>3.1068191525020579</v>
      </c>
    </row>
    <row r="232" spans="1:8" x14ac:dyDescent="0.25">
      <c r="A232" s="2">
        <v>45157</v>
      </c>
      <c r="B232">
        <v>2.5</v>
      </c>
      <c r="F232" s="2">
        <f>MAX(SalesTbl[Order Date])+1</f>
        <v>45295</v>
      </c>
      <c r="G232" s="2">
        <f t="shared" si="3"/>
        <v>45525</v>
      </c>
      <c r="H232" s="7">
        <f>_xlfn.FORECAST.ETS(G232, SalesTbl[Quantity], SalesTbl[Order Date], 0, 1, 1)</f>
        <v>3.1072835835998882</v>
      </c>
    </row>
    <row r="233" spans="1:8" x14ac:dyDescent="0.25">
      <c r="A233" s="2">
        <v>45158</v>
      </c>
      <c r="B233">
        <v>3.8</v>
      </c>
      <c r="F233" s="2">
        <f>MAX(SalesTbl[Order Date])+1</f>
        <v>45295</v>
      </c>
      <c r="G233" s="2">
        <f t="shared" si="3"/>
        <v>45526</v>
      </c>
      <c r="H233" s="7">
        <f>_xlfn.FORECAST.ETS(G233, SalesTbl[Quantity], SalesTbl[Order Date], 0, 1, 1)</f>
        <v>3.1077480146977279</v>
      </c>
    </row>
    <row r="234" spans="1:8" x14ac:dyDescent="0.25">
      <c r="A234" s="2">
        <v>45159</v>
      </c>
      <c r="B234">
        <v>4</v>
      </c>
      <c r="F234" s="2">
        <f>MAX(SalesTbl[Order Date])+1</f>
        <v>45295</v>
      </c>
      <c r="G234" s="2">
        <f t="shared" si="3"/>
        <v>45527</v>
      </c>
      <c r="H234" s="7">
        <f>_xlfn.FORECAST.ETS(G234, SalesTbl[Quantity], SalesTbl[Order Date], 0, 1, 1)</f>
        <v>3.1082124457955587</v>
      </c>
    </row>
    <row r="235" spans="1:8" x14ac:dyDescent="0.25">
      <c r="A235" s="2">
        <v>45160</v>
      </c>
      <c r="B235">
        <v>4</v>
      </c>
      <c r="F235" s="2">
        <f>MAX(SalesTbl[Order Date])+1</f>
        <v>45295</v>
      </c>
      <c r="G235" s="2">
        <f t="shared" si="3"/>
        <v>45528</v>
      </c>
      <c r="H235" s="7">
        <f>_xlfn.FORECAST.ETS(G235, SalesTbl[Quantity], SalesTbl[Order Date], 0, 1, 1)</f>
        <v>3.1086768768933979</v>
      </c>
    </row>
    <row r="236" spans="1:8" x14ac:dyDescent="0.25">
      <c r="A236" s="2">
        <v>45161</v>
      </c>
      <c r="B236">
        <v>3</v>
      </c>
      <c r="F236" s="2">
        <f>MAX(SalesTbl[Order Date])+1</f>
        <v>45295</v>
      </c>
      <c r="G236" s="2">
        <f t="shared" si="3"/>
        <v>45529</v>
      </c>
      <c r="H236" s="7">
        <f>_xlfn.FORECAST.ETS(G236, SalesTbl[Quantity], SalesTbl[Order Date], 0, 1, 1)</f>
        <v>3.1091413079912287</v>
      </c>
    </row>
    <row r="237" spans="1:8" x14ac:dyDescent="0.25">
      <c r="A237" s="2">
        <v>45162</v>
      </c>
      <c r="B237">
        <v>2.5</v>
      </c>
      <c r="F237" s="2">
        <f>MAX(SalesTbl[Order Date])+1</f>
        <v>45295</v>
      </c>
      <c r="G237" s="2">
        <f t="shared" si="3"/>
        <v>45530</v>
      </c>
      <c r="H237" s="7">
        <f>_xlfn.FORECAST.ETS(G237, SalesTbl[Quantity], SalesTbl[Order Date], 0, 1, 1)</f>
        <v>3.1096057390890679</v>
      </c>
    </row>
    <row r="238" spans="1:8" x14ac:dyDescent="0.25">
      <c r="A238" s="2">
        <v>45163</v>
      </c>
      <c r="B238">
        <v>3.25</v>
      </c>
      <c r="F238" s="2">
        <f>MAX(SalesTbl[Order Date])+1</f>
        <v>45295</v>
      </c>
      <c r="G238" s="2">
        <f t="shared" si="3"/>
        <v>45531</v>
      </c>
      <c r="H238" s="7">
        <f>_xlfn.FORECAST.ETS(G238, SalesTbl[Quantity], SalesTbl[Order Date], 0, 1, 1)</f>
        <v>3.1100701701868987</v>
      </c>
    </row>
    <row r="239" spans="1:8" x14ac:dyDescent="0.25">
      <c r="A239" s="2">
        <v>45164</v>
      </c>
      <c r="B239">
        <v>4</v>
      </c>
      <c r="F239" s="2">
        <f>MAX(SalesTbl[Order Date])+1</f>
        <v>45295</v>
      </c>
      <c r="G239" s="2">
        <f t="shared" si="3"/>
        <v>45532</v>
      </c>
      <c r="H239" s="7">
        <f>_xlfn.FORECAST.ETS(G239, SalesTbl[Quantity], SalesTbl[Order Date], 0, 1, 1)</f>
        <v>3.1105346012847379</v>
      </c>
    </row>
    <row r="240" spans="1:8" x14ac:dyDescent="0.25">
      <c r="A240" s="2">
        <v>45165</v>
      </c>
      <c r="B240">
        <v>2.5</v>
      </c>
      <c r="F240" s="2">
        <f>MAX(SalesTbl[Order Date])+1</f>
        <v>45295</v>
      </c>
      <c r="G240" s="2">
        <f t="shared" si="3"/>
        <v>45533</v>
      </c>
      <c r="H240" s="7">
        <f>_xlfn.FORECAST.ETS(G240, SalesTbl[Quantity], SalesTbl[Order Date], 0, 1, 1)</f>
        <v>3.1109990323825687</v>
      </c>
    </row>
    <row r="241" spans="1:8" x14ac:dyDescent="0.25">
      <c r="A241" s="2">
        <v>45166</v>
      </c>
      <c r="B241">
        <v>2.5</v>
      </c>
      <c r="F241" s="2">
        <f>MAX(SalesTbl[Order Date])+1</f>
        <v>45295</v>
      </c>
      <c r="G241" s="2">
        <f t="shared" si="3"/>
        <v>45534</v>
      </c>
      <c r="H241" s="7">
        <f>_xlfn.FORECAST.ETS(G241, SalesTbl[Quantity], SalesTbl[Order Date], 0, 1, 1)</f>
        <v>3.1114634634804084</v>
      </c>
    </row>
    <row r="242" spans="1:8" x14ac:dyDescent="0.25">
      <c r="A242" s="2">
        <v>45167</v>
      </c>
      <c r="B242">
        <v>2.25</v>
      </c>
      <c r="F242" s="2">
        <f>MAX(SalesTbl[Order Date])+1</f>
        <v>45295</v>
      </c>
      <c r="G242" s="2">
        <f t="shared" si="3"/>
        <v>45535</v>
      </c>
      <c r="H242" s="7">
        <f>_xlfn.FORECAST.ETS(G242, SalesTbl[Quantity], SalesTbl[Order Date], 0, 1, 1)</f>
        <v>3.1119278945782387</v>
      </c>
    </row>
    <row r="243" spans="1:8" x14ac:dyDescent="0.25">
      <c r="A243" s="2">
        <v>45168</v>
      </c>
      <c r="B243">
        <v>2</v>
      </c>
      <c r="F243" s="2">
        <f>MAX(SalesTbl[Order Date])+1</f>
        <v>45295</v>
      </c>
      <c r="G243" s="2">
        <f t="shared" si="3"/>
        <v>45536</v>
      </c>
      <c r="H243" s="7">
        <f>_xlfn.FORECAST.ETS(G243, SalesTbl[Quantity], SalesTbl[Order Date], 0, 1, 1)</f>
        <v>3.1123923256760784</v>
      </c>
    </row>
    <row r="244" spans="1:8" x14ac:dyDescent="0.25">
      <c r="A244" s="2">
        <v>45169</v>
      </c>
      <c r="B244">
        <v>2.25</v>
      </c>
      <c r="F244" s="2">
        <f>MAX(SalesTbl[Order Date])+1</f>
        <v>45295</v>
      </c>
      <c r="G244" s="2">
        <f t="shared" si="3"/>
        <v>45537</v>
      </c>
      <c r="H244" s="7">
        <f>_xlfn.FORECAST.ETS(G244, SalesTbl[Quantity], SalesTbl[Order Date], 0, 1, 1)</f>
        <v>3.1128567567739087</v>
      </c>
    </row>
    <row r="245" spans="1:8" x14ac:dyDescent="0.25">
      <c r="A245" s="2">
        <v>45170</v>
      </c>
      <c r="B245">
        <v>3.3333333333333335</v>
      </c>
      <c r="F245" s="2">
        <f>MAX(SalesTbl[Order Date])+1</f>
        <v>45295</v>
      </c>
      <c r="G245" s="2">
        <f t="shared" si="3"/>
        <v>45538</v>
      </c>
      <c r="H245" s="7">
        <f>_xlfn.FORECAST.ETS(G245, SalesTbl[Quantity], SalesTbl[Order Date], 0, 1, 1)</f>
        <v>3.1133211878717484</v>
      </c>
    </row>
    <row r="246" spans="1:8" x14ac:dyDescent="0.25">
      <c r="A246" s="2">
        <v>45171</v>
      </c>
      <c r="B246">
        <v>2.6666666666666665</v>
      </c>
      <c r="F246" s="2">
        <f>MAX(SalesTbl[Order Date])+1</f>
        <v>45295</v>
      </c>
      <c r="G246" s="2">
        <f t="shared" si="3"/>
        <v>45539</v>
      </c>
      <c r="H246" s="7">
        <f>_xlfn.FORECAST.ETS(G246, SalesTbl[Quantity], SalesTbl[Order Date], 0, 1, 1)</f>
        <v>3.1137856189695787</v>
      </c>
    </row>
    <row r="247" spans="1:8" x14ac:dyDescent="0.25">
      <c r="A247" s="2">
        <v>45172</v>
      </c>
      <c r="B247">
        <v>4</v>
      </c>
      <c r="F247" s="2">
        <f>MAX(SalesTbl[Order Date])+1</f>
        <v>45295</v>
      </c>
      <c r="G247" s="2">
        <f t="shared" si="3"/>
        <v>45540</v>
      </c>
      <c r="H247" s="7">
        <f>_xlfn.FORECAST.ETS(G247, SalesTbl[Quantity], SalesTbl[Order Date], 0, 1, 1)</f>
        <v>3.1142500500674184</v>
      </c>
    </row>
    <row r="248" spans="1:8" x14ac:dyDescent="0.25">
      <c r="A248" s="2">
        <v>45173</v>
      </c>
      <c r="B248">
        <v>3.3333333333333335</v>
      </c>
      <c r="F248" s="2">
        <f>MAX(SalesTbl[Order Date])+1</f>
        <v>45295</v>
      </c>
      <c r="G248" s="2">
        <f t="shared" si="3"/>
        <v>45541</v>
      </c>
      <c r="H248" s="7">
        <f>_xlfn.FORECAST.ETS(G248, SalesTbl[Quantity], SalesTbl[Order Date], 0, 1, 1)</f>
        <v>3.1147144811652487</v>
      </c>
    </row>
    <row r="249" spans="1:8" x14ac:dyDescent="0.25">
      <c r="A249" s="2">
        <v>45174</v>
      </c>
      <c r="B249">
        <v>2</v>
      </c>
      <c r="F249" s="2">
        <f>MAX(SalesTbl[Order Date])+1</f>
        <v>45295</v>
      </c>
      <c r="G249" s="2">
        <f t="shared" si="3"/>
        <v>45542</v>
      </c>
      <c r="H249" s="7">
        <f>_xlfn.FORECAST.ETS(G249, SalesTbl[Quantity], SalesTbl[Order Date], 0, 1, 1)</f>
        <v>3.1151789122630884</v>
      </c>
    </row>
    <row r="250" spans="1:8" x14ac:dyDescent="0.25">
      <c r="A250" s="2">
        <v>45175</v>
      </c>
      <c r="B250">
        <v>2.25</v>
      </c>
      <c r="F250" s="2">
        <f>MAX(SalesTbl[Order Date])+1</f>
        <v>45295</v>
      </c>
      <c r="G250" s="2">
        <f t="shared" si="3"/>
        <v>45543</v>
      </c>
      <c r="H250" s="7">
        <f>_xlfn.FORECAST.ETS(G250, SalesTbl[Quantity], SalesTbl[Order Date], 0, 1, 1)</f>
        <v>3.1156433433609192</v>
      </c>
    </row>
    <row r="251" spans="1:8" x14ac:dyDescent="0.25">
      <c r="A251" s="2">
        <v>45176</v>
      </c>
      <c r="B251">
        <v>1.625</v>
      </c>
      <c r="F251" s="2">
        <f>MAX(SalesTbl[Order Date])+1</f>
        <v>45295</v>
      </c>
      <c r="G251" s="2">
        <f t="shared" si="3"/>
        <v>45544</v>
      </c>
      <c r="H251" s="7">
        <f>_xlfn.FORECAST.ETS(G251, SalesTbl[Quantity], SalesTbl[Order Date], 0, 1, 1)</f>
        <v>3.1161077744587584</v>
      </c>
    </row>
    <row r="252" spans="1:8" x14ac:dyDescent="0.25">
      <c r="A252" s="2">
        <v>45177</v>
      </c>
      <c r="B252">
        <v>1</v>
      </c>
      <c r="F252" s="2">
        <f>MAX(SalesTbl[Order Date])+1</f>
        <v>45295</v>
      </c>
      <c r="G252" s="2">
        <f t="shared" si="3"/>
        <v>45545</v>
      </c>
      <c r="H252" s="7">
        <f>_xlfn.FORECAST.ETS(G252, SalesTbl[Quantity], SalesTbl[Order Date], 0, 1, 1)</f>
        <v>3.1165722055565892</v>
      </c>
    </row>
    <row r="253" spans="1:8" x14ac:dyDescent="0.25">
      <c r="A253" s="2">
        <v>45178</v>
      </c>
      <c r="B253">
        <v>3.5</v>
      </c>
      <c r="F253" s="2">
        <f>MAX(SalesTbl[Order Date])+1</f>
        <v>45295</v>
      </c>
      <c r="G253" s="2">
        <f t="shared" si="3"/>
        <v>45546</v>
      </c>
      <c r="H253" s="7">
        <f>_xlfn.FORECAST.ETS(G253, SalesTbl[Quantity], SalesTbl[Order Date], 0, 1, 1)</f>
        <v>3.1170366366544284</v>
      </c>
    </row>
    <row r="254" spans="1:8" x14ac:dyDescent="0.25">
      <c r="A254" s="2">
        <v>45179</v>
      </c>
      <c r="B254">
        <v>1</v>
      </c>
      <c r="F254" s="2">
        <f>MAX(SalesTbl[Order Date])+1</f>
        <v>45295</v>
      </c>
      <c r="G254" s="2">
        <f t="shared" si="3"/>
        <v>45547</v>
      </c>
      <c r="H254" s="7">
        <f>_xlfn.FORECAST.ETS(G254, SalesTbl[Quantity], SalesTbl[Order Date], 0, 1, 1)</f>
        <v>3.1175010677522592</v>
      </c>
    </row>
    <row r="255" spans="1:8" x14ac:dyDescent="0.25">
      <c r="A255" s="2">
        <v>45180</v>
      </c>
      <c r="B255">
        <v>3.5</v>
      </c>
      <c r="F255" s="2">
        <f>MAX(SalesTbl[Order Date])+1</f>
        <v>45295</v>
      </c>
      <c r="G255" s="2">
        <f t="shared" si="3"/>
        <v>45548</v>
      </c>
      <c r="H255" s="7">
        <f>_xlfn.FORECAST.ETS(G255, SalesTbl[Quantity], SalesTbl[Order Date], 0, 1, 1)</f>
        <v>3.1179654988500984</v>
      </c>
    </row>
    <row r="256" spans="1:8" x14ac:dyDescent="0.25">
      <c r="A256" s="2">
        <v>45181</v>
      </c>
      <c r="B256">
        <v>4</v>
      </c>
      <c r="F256" s="2">
        <f>MAX(SalesTbl[Order Date])+1</f>
        <v>45295</v>
      </c>
      <c r="G256" s="2">
        <f t="shared" si="3"/>
        <v>45549</v>
      </c>
      <c r="H256" s="7">
        <f>_xlfn.FORECAST.ETS(G256, SalesTbl[Quantity], SalesTbl[Order Date], 0, 1, 1)</f>
        <v>3.1184299299479292</v>
      </c>
    </row>
    <row r="257" spans="1:8" x14ac:dyDescent="0.25">
      <c r="A257" s="2">
        <v>45182</v>
      </c>
      <c r="B257">
        <v>3.2857142857142856</v>
      </c>
      <c r="F257" s="2">
        <f>MAX(SalesTbl[Order Date])+1</f>
        <v>45295</v>
      </c>
      <c r="G257" s="2">
        <f t="shared" si="3"/>
        <v>45550</v>
      </c>
      <c r="H257" s="7">
        <f>_xlfn.FORECAST.ETS(G257, SalesTbl[Quantity], SalesTbl[Order Date], 0, 1, 1)</f>
        <v>3.1188943610457689</v>
      </c>
    </row>
    <row r="258" spans="1:8" x14ac:dyDescent="0.25">
      <c r="A258" s="2">
        <v>45183</v>
      </c>
      <c r="B258">
        <v>2</v>
      </c>
      <c r="F258" s="2">
        <f>MAX(SalesTbl[Order Date])+1</f>
        <v>45295</v>
      </c>
      <c r="G258" s="2">
        <f t="shared" si="3"/>
        <v>45551</v>
      </c>
      <c r="H258" s="7">
        <f>_xlfn.FORECAST.ETS(G258, SalesTbl[Quantity], SalesTbl[Order Date], 0, 1, 1)</f>
        <v>3.1193587921435992</v>
      </c>
    </row>
    <row r="259" spans="1:8" x14ac:dyDescent="0.25">
      <c r="A259" s="2">
        <v>45184</v>
      </c>
      <c r="B259">
        <v>1</v>
      </c>
      <c r="F259" s="2">
        <f>MAX(SalesTbl[Order Date])+1</f>
        <v>45295</v>
      </c>
      <c r="G259" s="2">
        <f t="shared" si="3"/>
        <v>45552</v>
      </c>
      <c r="H259" s="7">
        <f>_xlfn.FORECAST.ETS(G259, SalesTbl[Quantity], SalesTbl[Order Date], 0, 1, 1)</f>
        <v>3.1198232232414389</v>
      </c>
    </row>
    <row r="260" spans="1:8" x14ac:dyDescent="0.25">
      <c r="A260" s="2">
        <v>45185</v>
      </c>
      <c r="B260">
        <v>2</v>
      </c>
      <c r="F260" s="2">
        <f>MAX(SalesTbl[Order Date])+1</f>
        <v>45295</v>
      </c>
      <c r="G260" s="2">
        <f t="shared" ref="G260:G323" si="4">G259+1</f>
        <v>45553</v>
      </c>
      <c r="H260" s="7">
        <f>_xlfn.FORECAST.ETS(G260, SalesTbl[Quantity], SalesTbl[Order Date], 0, 1, 1)</f>
        <v>3.1202876543392692</v>
      </c>
    </row>
    <row r="261" spans="1:8" x14ac:dyDescent="0.25">
      <c r="A261" s="2">
        <v>45186</v>
      </c>
      <c r="B261">
        <v>4.333333333333333</v>
      </c>
      <c r="F261" s="2">
        <f>MAX(SalesTbl[Order Date])+1</f>
        <v>45295</v>
      </c>
      <c r="G261" s="2">
        <f t="shared" si="4"/>
        <v>45554</v>
      </c>
      <c r="H261" s="7">
        <f>_xlfn.FORECAST.ETS(G261, SalesTbl[Quantity], SalesTbl[Order Date], 0, 1, 1)</f>
        <v>3.1207520854371089</v>
      </c>
    </row>
    <row r="262" spans="1:8" x14ac:dyDescent="0.25">
      <c r="A262" s="2">
        <v>45187</v>
      </c>
      <c r="B262">
        <v>4</v>
      </c>
      <c r="F262" s="2">
        <f>MAX(SalesTbl[Order Date])+1</f>
        <v>45295</v>
      </c>
      <c r="G262" s="2">
        <f t="shared" si="4"/>
        <v>45555</v>
      </c>
      <c r="H262" s="7">
        <f>_xlfn.FORECAST.ETS(G262, SalesTbl[Quantity], SalesTbl[Order Date], 0, 1, 1)</f>
        <v>3.1212165165349393</v>
      </c>
    </row>
    <row r="263" spans="1:8" x14ac:dyDescent="0.25">
      <c r="A263" s="2">
        <v>45188</v>
      </c>
      <c r="B263">
        <v>2.8571428571428572</v>
      </c>
      <c r="F263" s="2">
        <f>MAX(SalesTbl[Order Date])+1</f>
        <v>45295</v>
      </c>
      <c r="G263" s="2">
        <f t="shared" si="4"/>
        <v>45556</v>
      </c>
      <c r="H263" s="7">
        <f>_xlfn.FORECAST.ETS(G263, SalesTbl[Quantity], SalesTbl[Order Date], 0, 1, 1)</f>
        <v>3.1216809476327789</v>
      </c>
    </row>
    <row r="264" spans="1:8" x14ac:dyDescent="0.25">
      <c r="A264" s="2">
        <v>45189</v>
      </c>
      <c r="B264">
        <v>2.4285714285714288</v>
      </c>
      <c r="F264" s="2">
        <f>MAX(SalesTbl[Order Date])+1</f>
        <v>45295</v>
      </c>
      <c r="G264" s="2">
        <f t="shared" si="4"/>
        <v>45557</v>
      </c>
      <c r="H264" s="7">
        <f>_xlfn.FORECAST.ETS(G264, SalesTbl[Quantity], SalesTbl[Order Date], 0, 1, 1)</f>
        <v>3.1221453787306097</v>
      </c>
    </row>
    <row r="265" spans="1:8" x14ac:dyDescent="0.25">
      <c r="A265" s="2">
        <v>45190</v>
      </c>
      <c r="B265">
        <v>2</v>
      </c>
      <c r="F265" s="2">
        <f>MAX(SalesTbl[Order Date])+1</f>
        <v>45295</v>
      </c>
      <c r="G265" s="2">
        <f t="shared" si="4"/>
        <v>45558</v>
      </c>
      <c r="H265" s="7">
        <f>_xlfn.FORECAST.ETS(G265, SalesTbl[Quantity], SalesTbl[Order Date], 0, 1, 1)</f>
        <v>3.1226098098284489</v>
      </c>
    </row>
    <row r="266" spans="1:8" x14ac:dyDescent="0.25">
      <c r="A266" s="2">
        <v>45191</v>
      </c>
      <c r="B266">
        <v>3</v>
      </c>
      <c r="F266" s="2">
        <f>MAX(SalesTbl[Order Date])+1</f>
        <v>45295</v>
      </c>
      <c r="G266" s="2">
        <f t="shared" si="4"/>
        <v>45559</v>
      </c>
      <c r="H266" s="7">
        <f>_xlfn.FORECAST.ETS(G266, SalesTbl[Quantity], SalesTbl[Order Date], 0, 1, 1)</f>
        <v>3.1230742409262797</v>
      </c>
    </row>
    <row r="267" spans="1:8" x14ac:dyDescent="0.25">
      <c r="A267" s="2">
        <v>45192</v>
      </c>
      <c r="B267">
        <v>2.8</v>
      </c>
      <c r="F267" s="2">
        <f>MAX(SalesTbl[Order Date])+1</f>
        <v>45295</v>
      </c>
      <c r="G267" s="2">
        <f t="shared" si="4"/>
        <v>45560</v>
      </c>
      <c r="H267" s="7">
        <f>_xlfn.FORECAST.ETS(G267, SalesTbl[Quantity], SalesTbl[Order Date], 0, 1, 1)</f>
        <v>3.1235386720241189</v>
      </c>
    </row>
    <row r="268" spans="1:8" x14ac:dyDescent="0.25">
      <c r="A268" s="2">
        <v>45193</v>
      </c>
      <c r="B268">
        <v>2.25</v>
      </c>
      <c r="F268" s="2">
        <f>MAX(SalesTbl[Order Date])+1</f>
        <v>45295</v>
      </c>
      <c r="G268" s="2">
        <f t="shared" si="4"/>
        <v>45561</v>
      </c>
      <c r="H268" s="7">
        <f>_xlfn.FORECAST.ETS(G268, SalesTbl[Quantity], SalesTbl[Order Date], 0, 1, 1)</f>
        <v>3.1240031031219497</v>
      </c>
    </row>
    <row r="269" spans="1:8" x14ac:dyDescent="0.25">
      <c r="A269" s="2">
        <v>45194</v>
      </c>
      <c r="B269">
        <v>2.6666666666666665</v>
      </c>
      <c r="F269" s="2">
        <f>MAX(SalesTbl[Order Date])+1</f>
        <v>45295</v>
      </c>
      <c r="G269" s="2">
        <f t="shared" si="4"/>
        <v>45562</v>
      </c>
      <c r="H269" s="7">
        <f>_xlfn.FORECAST.ETS(G269, SalesTbl[Quantity], SalesTbl[Order Date], 0, 1, 1)</f>
        <v>3.124467534219789</v>
      </c>
    </row>
    <row r="270" spans="1:8" x14ac:dyDescent="0.25">
      <c r="A270" s="2">
        <v>45195</v>
      </c>
      <c r="B270">
        <v>2.8</v>
      </c>
      <c r="F270" s="2">
        <f>MAX(SalesTbl[Order Date])+1</f>
        <v>45295</v>
      </c>
      <c r="G270" s="2">
        <f t="shared" si="4"/>
        <v>45563</v>
      </c>
      <c r="H270" s="7">
        <f>_xlfn.FORECAST.ETS(G270, SalesTbl[Quantity], SalesTbl[Order Date], 0, 1, 1)</f>
        <v>3.1249319653176197</v>
      </c>
    </row>
    <row r="271" spans="1:8" x14ac:dyDescent="0.25">
      <c r="A271" s="2">
        <v>45196</v>
      </c>
      <c r="B271">
        <v>5</v>
      </c>
      <c r="F271" s="2">
        <f>MAX(SalesTbl[Order Date])+1</f>
        <v>45295</v>
      </c>
      <c r="G271" s="2">
        <f t="shared" si="4"/>
        <v>45564</v>
      </c>
      <c r="H271" s="7">
        <f>_xlfn.FORECAST.ETS(G271, SalesTbl[Quantity], SalesTbl[Order Date], 0, 1, 1)</f>
        <v>3.1253963964154594</v>
      </c>
    </row>
    <row r="272" spans="1:8" x14ac:dyDescent="0.25">
      <c r="A272" s="2">
        <v>45197</v>
      </c>
      <c r="B272">
        <v>3.75</v>
      </c>
      <c r="F272" s="2">
        <f>MAX(SalesTbl[Order Date])+1</f>
        <v>45295</v>
      </c>
      <c r="G272" s="2">
        <f t="shared" si="4"/>
        <v>45565</v>
      </c>
      <c r="H272" s="7">
        <f>_xlfn.FORECAST.ETS(G272, SalesTbl[Quantity], SalesTbl[Order Date], 0, 1, 1)</f>
        <v>3.1258608275132898</v>
      </c>
    </row>
    <row r="273" spans="1:8" x14ac:dyDescent="0.25">
      <c r="A273" s="2">
        <v>45198</v>
      </c>
      <c r="B273">
        <v>3.3333333333333335</v>
      </c>
      <c r="F273" s="2">
        <f>MAX(SalesTbl[Order Date])+1</f>
        <v>45295</v>
      </c>
      <c r="G273" s="2">
        <f t="shared" si="4"/>
        <v>45566</v>
      </c>
      <c r="H273" s="7">
        <f>_xlfn.FORECAST.ETS(G273, SalesTbl[Quantity], SalesTbl[Order Date], 0, 1, 1)</f>
        <v>3.1263252586111294</v>
      </c>
    </row>
    <row r="274" spans="1:8" x14ac:dyDescent="0.25">
      <c r="A274" s="2">
        <v>45199</v>
      </c>
      <c r="B274">
        <v>2.25</v>
      </c>
      <c r="F274" s="2">
        <f>MAX(SalesTbl[Order Date])+1</f>
        <v>45295</v>
      </c>
      <c r="G274" s="2">
        <f t="shared" si="4"/>
        <v>45567</v>
      </c>
      <c r="H274" s="7">
        <f>_xlfn.FORECAST.ETS(G274, SalesTbl[Quantity], SalesTbl[Order Date], 0, 1, 1)</f>
        <v>3.1267896897089598</v>
      </c>
    </row>
    <row r="275" spans="1:8" x14ac:dyDescent="0.25">
      <c r="A275" s="2">
        <v>45200</v>
      </c>
      <c r="B275">
        <v>4.5</v>
      </c>
      <c r="F275" s="2">
        <f>MAX(SalesTbl[Order Date])+1</f>
        <v>45295</v>
      </c>
      <c r="G275" s="2">
        <f t="shared" si="4"/>
        <v>45568</v>
      </c>
      <c r="H275" s="7">
        <f>_xlfn.FORECAST.ETS(G275, SalesTbl[Quantity], SalesTbl[Order Date], 0, 1, 1)</f>
        <v>3.1272541208067994</v>
      </c>
    </row>
    <row r="276" spans="1:8" x14ac:dyDescent="0.25">
      <c r="A276" s="2">
        <v>45201</v>
      </c>
      <c r="B276">
        <v>3</v>
      </c>
      <c r="F276" s="2">
        <f>MAX(SalesTbl[Order Date])+1</f>
        <v>45295</v>
      </c>
      <c r="G276" s="2">
        <f t="shared" si="4"/>
        <v>45569</v>
      </c>
      <c r="H276" s="7">
        <f>_xlfn.FORECAST.ETS(G276, SalesTbl[Quantity], SalesTbl[Order Date], 0, 1, 1)</f>
        <v>3.1277185519046298</v>
      </c>
    </row>
    <row r="277" spans="1:8" x14ac:dyDescent="0.25">
      <c r="A277" s="2">
        <v>45202</v>
      </c>
      <c r="B277">
        <v>1.5</v>
      </c>
      <c r="F277" s="2">
        <f>MAX(SalesTbl[Order Date])+1</f>
        <v>45295</v>
      </c>
      <c r="G277" s="2">
        <f t="shared" si="4"/>
        <v>45570</v>
      </c>
      <c r="H277" s="7">
        <f>_xlfn.FORECAST.ETS(G277, SalesTbl[Quantity], SalesTbl[Order Date], 0, 1, 1)</f>
        <v>3.1281829830024694</v>
      </c>
    </row>
    <row r="278" spans="1:8" x14ac:dyDescent="0.25">
      <c r="A278" s="2">
        <v>45203</v>
      </c>
      <c r="B278">
        <v>2.583333333333333</v>
      </c>
      <c r="F278" s="2">
        <f>MAX(SalesTbl[Order Date])+1</f>
        <v>45295</v>
      </c>
      <c r="G278" s="2">
        <f t="shared" si="4"/>
        <v>45571</v>
      </c>
      <c r="H278" s="7">
        <f>_xlfn.FORECAST.ETS(G278, SalesTbl[Quantity], SalesTbl[Order Date], 0, 1, 1)</f>
        <v>3.1286474141002998</v>
      </c>
    </row>
    <row r="279" spans="1:8" x14ac:dyDescent="0.25">
      <c r="A279" s="2">
        <v>45204</v>
      </c>
      <c r="B279">
        <v>3.6666666666666665</v>
      </c>
      <c r="F279" s="2">
        <f>MAX(SalesTbl[Order Date])+1</f>
        <v>45295</v>
      </c>
      <c r="G279" s="2">
        <f t="shared" si="4"/>
        <v>45572</v>
      </c>
      <c r="H279" s="7">
        <f>_xlfn.FORECAST.ETS(G279, SalesTbl[Quantity], SalesTbl[Order Date], 0, 1, 1)</f>
        <v>3.1291118451981395</v>
      </c>
    </row>
    <row r="280" spans="1:8" x14ac:dyDescent="0.25">
      <c r="A280" s="2">
        <v>45205</v>
      </c>
      <c r="B280">
        <v>1</v>
      </c>
      <c r="F280" s="2">
        <f>MAX(SalesTbl[Order Date])+1</f>
        <v>45295</v>
      </c>
      <c r="G280" s="2">
        <f t="shared" si="4"/>
        <v>45573</v>
      </c>
      <c r="H280" s="7">
        <f>_xlfn.FORECAST.ETS(G280, SalesTbl[Quantity], SalesTbl[Order Date], 0, 1, 1)</f>
        <v>3.1295762762959702</v>
      </c>
    </row>
    <row r="281" spans="1:8" x14ac:dyDescent="0.25">
      <c r="A281" s="2">
        <v>45206</v>
      </c>
      <c r="B281">
        <v>2.6666666666666665</v>
      </c>
      <c r="F281" s="2">
        <f>MAX(SalesTbl[Order Date])+1</f>
        <v>45295</v>
      </c>
      <c r="G281" s="2">
        <f t="shared" si="4"/>
        <v>45574</v>
      </c>
      <c r="H281" s="7">
        <f>_xlfn.FORECAST.ETS(G281, SalesTbl[Quantity], SalesTbl[Order Date], 0, 1, 1)</f>
        <v>3.1300407073938095</v>
      </c>
    </row>
    <row r="282" spans="1:8" x14ac:dyDescent="0.25">
      <c r="A282" s="2">
        <v>45207</v>
      </c>
      <c r="B282">
        <v>2.5</v>
      </c>
      <c r="F282" s="2">
        <f>MAX(SalesTbl[Order Date])+1</f>
        <v>45295</v>
      </c>
      <c r="G282" s="2">
        <f t="shared" si="4"/>
        <v>45575</v>
      </c>
      <c r="H282" s="7">
        <f>_xlfn.FORECAST.ETS(G282, SalesTbl[Quantity], SalesTbl[Order Date], 0, 1, 1)</f>
        <v>3.1305051384916402</v>
      </c>
    </row>
    <row r="283" spans="1:8" x14ac:dyDescent="0.25">
      <c r="A283" s="2">
        <v>45208</v>
      </c>
      <c r="B283">
        <v>3</v>
      </c>
      <c r="F283" s="2">
        <f>MAX(SalesTbl[Order Date])+1</f>
        <v>45295</v>
      </c>
      <c r="G283" s="2">
        <f t="shared" si="4"/>
        <v>45576</v>
      </c>
      <c r="H283" s="7">
        <f>_xlfn.FORECAST.ETS(G283, SalesTbl[Quantity], SalesTbl[Order Date], 0, 1, 1)</f>
        <v>3.1309695695894795</v>
      </c>
    </row>
    <row r="284" spans="1:8" x14ac:dyDescent="0.25">
      <c r="A284" s="2">
        <v>45209</v>
      </c>
      <c r="B284">
        <v>2.5</v>
      </c>
      <c r="F284" s="2">
        <f>MAX(SalesTbl[Order Date])+1</f>
        <v>45295</v>
      </c>
      <c r="G284" s="2">
        <f t="shared" si="4"/>
        <v>45577</v>
      </c>
      <c r="H284" s="7">
        <f>_xlfn.FORECAST.ETS(G284, SalesTbl[Quantity], SalesTbl[Order Date], 0, 1, 1)</f>
        <v>3.1314340006873103</v>
      </c>
    </row>
    <row r="285" spans="1:8" x14ac:dyDescent="0.25">
      <c r="A285" s="2">
        <v>45210</v>
      </c>
      <c r="B285">
        <v>2.5</v>
      </c>
      <c r="F285" s="2">
        <f>MAX(SalesTbl[Order Date])+1</f>
        <v>45295</v>
      </c>
      <c r="G285" s="2">
        <f t="shared" si="4"/>
        <v>45578</v>
      </c>
      <c r="H285" s="7">
        <f>_xlfn.FORECAST.ETS(G285, SalesTbl[Quantity], SalesTbl[Order Date], 0, 1, 1)</f>
        <v>3.1318984317851495</v>
      </c>
    </row>
    <row r="286" spans="1:8" x14ac:dyDescent="0.25">
      <c r="A286" s="2">
        <v>45211</v>
      </c>
      <c r="B286">
        <v>3</v>
      </c>
      <c r="F286" s="2">
        <f>MAX(SalesTbl[Order Date])+1</f>
        <v>45295</v>
      </c>
      <c r="G286" s="2">
        <f t="shared" si="4"/>
        <v>45579</v>
      </c>
      <c r="H286" s="7">
        <f>_xlfn.FORECAST.ETS(G286, SalesTbl[Quantity], SalesTbl[Order Date], 0, 1, 1)</f>
        <v>3.1323628628829803</v>
      </c>
    </row>
    <row r="287" spans="1:8" x14ac:dyDescent="0.25">
      <c r="A287" s="2">
        <v>45212</v>
      </c>
      <c r="B287">
        <v>3.1666666666666665</v>
      </c>
      <c r="F287" s="2">
        <f>MAX(SalesTbl[Order Date])+1</f>
        <v>45295</v>
      </c>
      <c r="G287" s="2">
        <f t="shared" si="4"/>
        <v>45580</v>
      </c>
      <c r="H287" s="7">
        <f>_xlfn.FORECAST.ETS(G287, SalesTbl[Quantity], SalesTbl[Order Date], 0, 1, 1)</f>
        <v>3.1328272939808199</v>
      </c>
    </row>
    <row r="288" spans="1:8" x14ac:dyDescent="0.25">
      <c r="A288" s="2">
        <v>45213</v>
      </c>
      <c r="B288">
        <v>3.3333333333333335</v>
      </c>
      <c r="F288" s="2">
        <f>MAX(SalesTbl[Order Date])+1</f>
        <v>45295</v>
      </c>
      <c r="G288" s="2">
        <f t="shared" si="4"/>
        <v>45581</v>
      </c>
      <c r="H288" s="7">
        <f>_xlfn.FORECAST.ETS(G288, SalesTbl[Quantity], SalesTbl[Order Date], 0, 1, 1)</f>
        <v>3.1332917250786503</v>
      </c>
    </row>
    <row r="289" spans="1:8" x14ac:dyDescent="0.25">
      <c r="A289" s="2">
        <v>45214</v>
      </c>
      <c r="B289">
        <v>3.5</v>
      </c>
      <c r="F289" s="2">
        <f>MAX(SalesTbl[Order Date])+1</f>
        <v>45295</v>
      </c>
      <c r="G289" s="2">
        <f t="shared" si="4"/>
        <v>45582</v>
      </c>
      <c r="H289" s="7">
        <f>_xlfn.FORECAST.ETS(G289, SalesTbl[Quantity], SalesTbl[Order Date], 0, 1, 1)</f>
        <v>3.1337561561764899</v>
      </c>
    </row>
    <row r="290" spans="1:8" x14ac:dyDescent="0.25">
      <c r="A290" s="2">
        <v>45215</v>
      </c>
      <c r="B290">
        <v>3.8</v>
      </c>
      <c r="F290" s="2">
        <f>MAX(SalesTbl[Order Date])+1</f>
        <v>45295</v>
      </c>
      <c r="G290" s="2">
        <f t="shared" si="4"/>
        <v>45583</v>
      </c>
      <c r="H290" s="7">
        <f>_xlfn.FORECAST.ETS(G290, SalesTbl[Quantity], SalesTbl[Order Date], 0, 1, 1)</f>
        <v>3.1342205872743203</v>
      </c>
    </row>
    <row r="291" spans="1:8" x14ac:dyDescent="0.25">
      <c r="A291" s="2">
        <v>45216</v>
      </c>
      <c r="B291">
        <v>3.8</v>
      </c>
      <c r="F291" s="2">
        <f>MAX(SalesTbl[Order Date])+1</f>
        <v>45295</v>
      </c>
      <c r="G291" s="2">
        <f t="shared" si="4"/>
        <v>45584</v>
      </c>
      <c r="H291" s="7">
        <f>_xlfn.FORECAST.ETS(G291, SalesTbl[Quantity], SalesTbl[Order Date], 0, 1, 1)</f>
        <v>3.13468501837216</v>
      </c>
    </row>
    <row r="292" spans="1:8" x14ac:dyDescent="0.25">
      <c r="A292" s="2">
        <v>45217</v>
      </c>
      <c r="B292">
        <v>3</v>
      </c>
      <c r="F292" s="2">
        <f>MAX(SalesTbl[Order Date])+1</f>
        <v>45295</v>
      </c>
      <c r="G292" s="2">
        <f t="shared" si="4"/>
        <v>45585</v>
      </c>
      <c r="H292" s="7">
        <f>_xlfn.FORECAST.ETS(G292, SalesTbl[Quantity], SalesTbl[Order Date], 0, 1, 1)</f>
        <v>3.1351494494699903</v>
      </c>
    </row>
    <row r="293" spans="1:8" x14ac:dyDescent="0.25">
      <c r="A293" s="2">
        <v>45218</v>
      </c>
      <c r="B293">
        <v>2.5</v>
      </c>
      <c r="F293" s="2">
        <f>MAX(SalesTbl[Order Date])+1</f>
        <v>45295</v>
      </c>
      <c r="G293" s="2">
        <f t="shared" si="4"/>
        <v>45586</v>
      </c>
      <c r="H293" s="7">
        <f>_xlfn.FORECAST.ETS(G293, SalesTbl[Quantity], SalesTbl[Order Date], 0, 1, 1)</f>
        <v>3.13561388056783</v>
      </c>
    </row>
    <row r="294" spans="1:8" x14ac:dyDescent="0.25">
      <c r="A294" s="2">
        <v>45219</v>
      </c>
      <c r="B294">
        <v>3.4</v>
      </c>
      <c r="F294" s="2">
        <f>MAX(SalesTbl[Order Date])+1</f>
        <v>45295</v>
      </c>
      <c r="G294" s="2">
        <f t="shared" si="4"/>
        <v>45587</v>
      </c>
      <c r="H294" s="7">
        <f>_xlfn.FORECAST.ETS(G294, SalesTbl[Quantity], SalesTbl[Order Date], 0, 1, 1)</f>
        <v>3.1360783116656603</v>
      </c>
    </row>
    <row r="295" spans="1:8" x14ac:dyDescent="0.25">
      <c r="A295" s="2">
        <v>45220</v>
      </c>
      <c r="B295">
        <v>2.2000000000000002</v>
      </c>
      <c r="F295" s="2">
        <f>MAX(SalesTbl[Order Date])+1</f>
        <v>45295</v>
      </c>
      <c r="G295" s="2">
        <f t="shared" si="4"/>
        <v>45588</v>
      </c>
      <c r="H295" s="7">
        <f>_xlfn.FORECAST.ETS(G295, SalesTbl[Quantity], SalesTbl[Order Date], 0, 1, 1)</f>
        <v>3.1365427427635</v>
      </c>
    </row>
    <row r="296" spans="1:8" x14ac:dyDescent="0.25">
      <c r="A296" s="2">
        <v>45221</v>
      </c>
      <c r="B296">
        <v>5</v>
      </c>
      <c r="F296" s="2">
        <f>MAX(SalesTbl[Order Date])+1</f>
        <v>45295</v>
      </c>
      <c r="G296" s="2">
        <f t="shared" si="4"/>
        <v>45589</v>
      </c>
      <c r="H296" s="7">
        <f>_xlfn.FORECAST.ETS(G296, SalesTbl[Quantity], SalesTbl[Order Date], 0, 1, 1)</f>
        <v>3.1370071738613308</v>
      </c>
    </row>
    <row r="297" spans="1:8" x14ac:dyDescent="0.25">
      <c r="A297" s="2">
        <v>45222</v>
      </c>
      <c r="B297">
        <v>2.25</v>
      </c>
      <c r="F297" s="2">
        <f>MAX(SalesTbl[Order Date])+1</f>
        <v>45295</v>
      </c>
      <c r="G297" s="2">
        <f t="shared" si="4"/>
        <v>45590</v>
      </c>
      <c r="H297" s="7">
        <f>_xlfn.FORECAST.ETS(G297, SalesTbl[Quantity], SalesTbl[Order Date], 0, 1, 1)</f>
        <v>3.13747160495917</v>
      </c>
    </row>
    <row r="298" spans="1:8" x14ac:dyDescent="0.25">
      <c r="A298" s="2">
        <v>45223</v>
      </c>
      <c r="B298">
        <v>4.75</v>
      </c>
      <c r="F298" s="2">
        <f>MAX(SalesTbl[Order Date])+1</f>
        <v>45295</v>
      </c>
      <c r="G298" s="2">
        <f t="shared" si="4"/>
        <v>45591</v>
      </c>
      <c r="H298" s="7">
        <f>_xlfn.FORECAST.ETS(G298, SalesTbl[Quantity], SalesTbl[Order Date], 0, 1, 1)</f>
        <v>3.1379360360570008</v>
      </c>
    </row>
    <row r="299" spans="1:8" x14ac:dyDescent="0.25">
      <c r="A299" s="2">
        <v>45224</v>
      </c>
      <c r="B299">
        <v>3.25</v>
      </c>
      <c r="F299" s="2">
        <f>MAX(SalesTbl[Order Date])+1</f>
        <v>45295</v>
      </c>
      <c r="G299" s="2">
        <f t="shared" si="4"/>
        <v>45592</v>
      </c>
      <c r="H299" s="7">
        <f>_xlfn.FORECAST.ETS(G299, SalesTbl[Quantity], SalesTbl[Order Date], 0, 1, 1)</f>
        <v>3.13840046715484</v>
      </c>
    </row>
    <row r="300" spans="1:8" x14ac:dyDescent="0.25">
      <c r="A300" s="2">
        <v>45225</v>
      </c>
      <c r="B300">
        <v>1.3333333333333333</v>
      </c>
      <c r="F300" s="2">
        <f>MAX(SalesTbl[Order Date])+1</f>
        <v>45295</v>
      </c>
      <c r="G300" s="2">
        <f t="shared" si="4"/>
        <v>45593</v>
      </c>
      <c r="H300" s="7">
        <f>_xlfn.FORECAST.ETS(G300, SalesTbl[Quantity], SalesTbl[Order Date], 0, 1, 1)</f>
        <v>3.1388648982526708</v>
      </c>
    </row>
    <row r="301" spans="1:8" x14ac:dyDescent="0.25">
      <c r="A301" s="2">
        <v>45226</v>
      </c>
      <c r="B301">
        <v>2</v>
      </c>
      <c r="F301" s="2">
        <f>MAX(SalesTbl[Order Date])+1</f>
        <v>45295</v>
      </c>
      <c r="G301" s="2">
        <f t="shared" si="4"/>
        <v>45594</v>
      </c>
      <c r="H301" s="7">
        <f>_xlfn.FORECAST.ETS(G301, SalesTbl[Quantity], SalesTbl[Order Date], 0, 1, 1)</f>
        <v>3.13932932935051</v>
      </c>
    </row>
    <row r="302" spans="1:8" x14ac:dyDescent="0.25">
      <c r="A302" s="2">
        <v>45227</v>
      </c>
      <c r="B302">
        <v>3.375</v>
      </c>
      <c r="F302" s="2">
        <f>MAX(SalesTbl[Order Date])+1</f>
        <v>45295</v>
      </c>
      <c r="G302" s="2">
        <f t="shared" si="4"/>
        <v>45595</v>
      </c>
      <c r="H302" s="7">
        <f>_xlfn.FORECAST.ETS(G302, SalesTbl[Quantity], SalesTbl[Order Date], 0, 1, 1)</f>
        <v>3.1397937604483408</v>
      </c>
    </row>
    <row r="303" spans="1:8" x14ac:dyDescent="0.25">
      <c r="A303" s="2">
        <v>45228</v>
      </c>
      <c r="B303">
        <v>3.3125</v>
      </c>
      <c r="F303" s="2">
        <f>MAX(SalesTbl[Order Date])+1</f>
        <v>45295</v>
      </c>
      <c r="G303" s="2">
        <f t="shared" si="4"/>
        <v>45596</v>
      </c>
      <c r="H303" s="7">
        <f>_xlfn.FORECAST.ETS(G303, SalesTbl[Quantity], SalesTbl[Order Date], 0, 1, 1)</f>
        <v>3.1402581915461805</v>
      </c>
    </row>
    <row r="304" spans="1:8" x14ac:dyDescent="0.25">
      <c r="A304" s="2">
        <v>45229</v>
      </c>
      <c r="B304">
        <v>3.25</v>
      </c>
      <c r="F304" s="2">
        <f>MAX(SalesTbl[Order Date])+1</f>
        <v>45295</v>
      </c>
      <c r="G304" s="2">
        <f t="shared" si="4"/>
        <v>45597</v>
      </c>
      <c r="H304" s="7">
        <f>_xlfn.FORECAST.ETS(G304, SalesTbl[Quantity], SalesTbl[Order Date], 0, 1, 1)</f>
        <v>3.1407226226440108</v>
      </c>
    </row>
    <row r="305" spans="1:8" x14ac:dyDescent="0.25">
      <c r="A305" s="2">
        <v>45230</v>
      </c>
      <c r="B305">
        <v>4</v>
      </c>
      <c r="F305" s="2">
        <f>MAX(SalesTbl[Order Date])+1</f>
        <v>45295</v>
      </c>
      <c r="G305" s="2">
        <f t="shared" si="4"/>
        <v>45598</v>
      </c>
      <c r="H305" s="7">
        <f>_xlfn.FORECAST.ETS(G305, SalesTbl[Quantity], SalesTbl[Order Date], 0, 1, 1)</f>
        <v>3.1411870537418505</v>
      </c>
    </row>
    <row r="306" spans="1:8" x14ac:dyDescent="0.25">
      <c r="A306" s="2">
        <v>45231</v>
      </c>
      <c r="B306">
        <v>3</v>
      </c>
      <c r="F306" s="2">
        <f>MAX(SalesTbl[Order Date])+1</f>
        <v>45295</v>
      </c>
      <c r="G306" s="2">
        <f t="shared" si="4"/>
        <v>45599</v>
      </c>
      <c r="H306" s="7">
        <f>_xlfn.FORECAST.ETS(G306, SalesTbl[Quantity], SalesTbl[Order Date], 0, 1, 1)</f>
        <v>3.1416514848396808</v>
      </c>
    </row>
    <row r="307" spans="1:8" x14ac:dyDescent="0.25">
      <c r="A307" s="2">
        <v>45232</v>
      </c>
      <c r="B307">
        <v>2.5</v>
      </c>
      <c r="F307" s="2">
        <f>MAX(SalesTbl[Order Date])+1</f>
        <v>45295</v>
      </c>
      <c r="G307" s="2">
        <f t="shared" si="4"/>
        <v>45600</v>
      </c>
      <c r="H307" s="7">
        <f>_xlfn.FORECAST.ETS(G307, SalesTbl[Quantity], SalesTbl[Order Date], 0, 1, 1)</f>
        <v>3.1421159159375205</v>
      </c>
    </row>
    <row r="308" spans="1:8" x14ac:dyDescent="0.25">
      <c r="A308" s="2">
        <v>45233</v>
      </c>
      <c r="B308">
        <v>3</v>
      </c>
      <c r="F308" s="2">
        <f>MAX(SalesTbl[Order Date])+1</f>
        <v>45295</v>
      </c>
      <c r="G308" s="2">
        <f t="shared" si="4"/>
        <v>45601</v>
      </c>
      <c r="H308" s="7">
        <f>_xlfn.FORECAST.ETS(G308, SalesTbl[Quantity], SalesTbl[Order Date], 0, 1, 1)</f>
        <v>3.1425803470353508</v>
      </c>
    </row>
    <row r="309" spans="1:8" x14ac:dyDescent="0.25">
      <c r="A309" s="2">
        <v>45234</v>
      </c>
      <c r="B309">
        <v>1</v>
      </c>
      <c r="F309" s="2">
        <f>MAX(SalesTbl[Order Date])+1</f>
        <v>45295</v>
      </c>
      <c r="G309" s="2">
        <f t="shared" si="4"/>
        <v>45602</v>
      </c>
      <c r="H309" s="7">
        <f>_xlfn.FORECAST.ETS(G309, SalesTbl[Quantity], SalesTbl[Order Date], 0, 1, 1)</f>
        <v>3.1430447781331905</v>
      </c>
    </row>
    <row r="310" spans="1:8" x14ac:dyDescent="0.25">
      <c r="A310" s="2">
        <v>45235</v>
      </c>
      <c r="B310">
        <v>4</v>
      </c>
      <c r="F310" s="2">
        <f>MAX(SalesTbl[Order Date])+1</f>
        <v>45295</v>
      </c>
      <c r="G310" s="2">
        <f t="shared" si="4"/>
        <v>45603</v>
      </c>
      <c r="H310" s="7">
        <f>_xlfn.FORECAST.ETS(G310, SalesTbl[Quantity], SalesTbl[Order Date], 0, 1, 1)</f>
        <v>3.1435092092310213</v>
      </c>
    </row>
    <row r="311" spans="1:8" x14ac:dyDescent="0.25">
      <c r="A311" s="2">
        <v>45236</v>
      </c>
      <c r="B311">
        <v>3.8</v>
      </c>
      <c r="F311" s="2">
        <f>MAX(SalesTbl[Order Date])+1</f>
        <v>45295</v>
      </c>
      <c r="G311" s="2">
        <f t="shared" si="4"/>
        <v>45604</v>
      </c>
      <c r="H311" s="7">
        <f>_xlfn.FORECAST.ETS(G311, SalesTbl[Quantity], SalesTbl[Order Date], 0, 1, 1)</f>
        <v>3.1439736403288605</v>
      </c>
    </row>
    <row r="312" spans="1:8" x14ac:dyDescent="0.25">
      <c r="A312" s="2">
        <v>45237</v>
      </c>
      <c r="B312">
        <v>4.166666666666667</v>
      </c>
      <c r="F312" s="2">
        <f>MAX(SalesTbl[Order Date])+1</f>
        <v>45295</v>
      </c>
      <c r="G312" s="2">
        <f t="shared" si="4"/>
        <v>45605</v>
      </c>
      <c r="H312" s="7">
        <f>_xlfn.FORECAST.ETS(G312, SalesTbl[Quantity], SalesTbl[Order Date], 0, 1, 1)</f>
        <v>3.1444380714266913</v>
      </c>
    </row>
    <row r="313" spans="1:8" x14ac:dyDescent="0.25">
      <c r="A313" s="2">
        <v>45238</v>
      </c>
      <c r="B313">
        <v>4.2</v>
      </c>
      <c r="F313" s="2">
        <f>MAX(SalesTbl[Order Date])+1</f>
        <v>45295</v>
      </c>
      <c r="G313" s="2">
        <f t="shared" si="4"/>
        <v>45606</v>
      </c>
      <c r="H313" s="7">
        <f>_xlfn.FORECAST.ETS(G313, SalesTbl[Quantity], SalesTbl[Order Date], 0, 1, 1)</f>
        <v>3.1449025025245305</v>
      </c>
    </row>
    <row r="314" spans="1:8" x14ac:dyDescent="0.25">
      <c r="A314" s="2">
        <v>45239</v>
      </c>
      <c r="B314">
        <v>3</v>
      </c>
      <c r="F314" s="2">
        <f>MAX(SalesTbl[Order Date])+1</f>
        <v>45295</v>
      </c>
      <c r="G314" s="2">
        <f t="shared" si="4"/>
        <v>45607</v>
      </c>
      <c r="H314" s="7">
        <f>_xlfn.FORECAST.ETS(G314, SalesTbl[Quantity], SalesTbl[Order Date], 0, 1, 1)</f>
        <v>3.1453669336223613</v>
      </c>
    </row>
    <row r="315" spans="1:8" x14ac:dyDescent="0.25">
      <c r="A315" s="2">
        <v>45240</v>
      </c>
      <c r="B315">
        <v>3.5</v>
      </c>
      <c r="F315" s="2">
        <f>MAX(SalesTbl[Order Date])+1</f>
        <v>45295</v>
      </c>
      <c r="G315" s="2">
        <f t="shared" si="4"/>
        <v>45608</v>
      </c>
      <c r="H315" s="7">
        <f>_xlfn.FORECAST.ETS(G315, SalesTbl[Quantity], SalesTbl[Order Date], 0, 1, 1)</f>
        <v>3.1458313647202005</v>
      </c>
    </row>
    <row r="316" spans="1:8" x14ac:dyDescent="0.25">
      <c r="A316" s="2">
        <v>45241</v>
      </c>
      <c r="B316">
        <v>3.5</v>
      </c>
      <c r="F316" s="2">
        <f>MAX(SalesTbl[Order Date])+1</f>
        <v>45295</v>
      </c>
      <c r="G316" s="2">
        <f t="shared" si="4"/>
        <v>45609</v>
      </c>
      <c r="H316" s="7">
        <f>_xlfn.FORECAST.ETS(G316, SalesTbl[Quantity], SalesTbl[Order Date], 0, 1, 1)</f>
        <v>3.1462957958180313</v>
      </c>
    </row>
    <row r="317" spans="1:8" x14ac:dyDescent="0.25">
      <c r="A317" s="2">
        <v>45242</v>
      </c>
      <c r="B317">
        <v>4</v>
      </c>
      <c r="F317" s="2">
        <f>MAX(SalesTbl[Order Date])+1</f>
        <v>45295</v>
      </c>
      <c r="G317" s="2">
        <f t="shared" si="4"/>
        <v>45610</v>
      </c>
      <c r="H317" s="7">
        <f>_xlfn.FORECAST.ETS(G317, SalesTbl[Quantity], SalesTbl[Order Date], 0, 1, 1)</f>
        <v>3.146760226915871</v>
      </c>
    </row>
    <row r="318" spans="1:8" x14ac:dyDescent="0.25">
      <c r="A318" s="2">
        <v>45243</v>
      </c>
      <c r="B318">
        <v>3</v>
      </c>
      <c r="F318" s="2">
        <f>MAX(SalesTbl[Order Date])+1</f>
        <v>45295</v>
      </c>
      <c r="G318" s="2">
        <f t="shared" si="4"/>
        <v>45611</v>
      </c>
      <c r="H318" s="7">
        <f>_xlfn.FORECAST.ETS(G318, SalesTbl[Quantity], SalesTbl[Order Date], 0, 1, 1)</f>
        <v>3.1472246580137013</v>
      </c>
    </row>
    <row r="319" spans="1:8" x14ac:dyDescent="0.25">
      <c r="A319" s="2">
        <v>45244</v>
      </c>
      <c r="B319">
        <v>5</v>
      </c>
      <c r="F319" s="2">
        <f>MAX(SalesTbl[Order Date])+1</f>
        <v>45295</v>
      </c>
      <c r="G319" s="2">
        <f t="shared" si="4"/>
        <v>45612</v>
      </c>
      <c r="H319" s="7">
        <f>_xlfn.FORECAST.ETS(G319, SalesTbl[Quantity], SalesTbl[Order Date], 0, 1, 1)</f>
        <v>3.147689089111541</v>
      </c>
    </row>
    <row r="320" spans="1:8" x14ac:dyDescent="0.25">
      <c r="A320" s="2">
        <v>45245</v>
      </c>
      <c r="B320">
        <v>3</v>
      </c>
      <c r="F320" s="2">
        <f>MAX(SalesTbl[Order Date])+1</f>
        <v>45295</v>
      </c>
      <c r="G320" s="2">
        <f t="shared" si="4"/>
        <v>45613</v>
      </c>
      <c r="H320" s="7">
        <f>_xlfn.FORECAST.ETS(G320, SalesTbl[Quantity], SalesTbl[Order Date], 0, 1, 1)</f>
        <v>3.1481535202093713</v>
      </c>
    </row>
    <row r="321" spans="1:8" x14ac:dyDescent="0.25">
      <c r="A321" s="2">
        <v>45246</v>
      </c>
      <c r="B321">
        <v>1.75</v>
      </c>
      <c r="F321" s="2">
        <f>MAX(SalesTbl[Order Date])+1</f>
        <v>45295</v>
      </c>
      <c r="G321" s="2">
        <f t="shared" si="4"/>
        <v>45614</v>
      </c>
      <c r="H321" s="7">
        <f>_xlfn.FORECAST.ETS(G321, SalesTbl[Quantity], SalesTbl[Order Date], 0, 1, 1)</f>
        <v>3.148617951307211</v>
      </c>
    </row>
    <row r="322" spans="1:8" x14ac:dyDescent="0.25">
      <c r="A322" s="2">
        <v>45247</v>
      </c>
      <c r="B322">
        <v>2.6</v>
      </c>
      <c r="F322" s="2">
        <f>MAX(SalesTbl[Order Date])+1</f>
        <v>45295</v>
      </c>
      <c r="G322" s="2">
        <f t="shared" si="4"/>
        <v>45615</v>
      </c>
      <c r="H322" s="7">
        <f>_xlfn.FORECAST.ETS(G322, SalesTbl[Quantity], SalesTbl[Order Date], 0, 1, 1)</f>
        <v>3.1490823824050413</v>
      </c>
    </row>
    <row r="323" spans="1:8" x14ac:dyDescent="0.25">
      <c r="A323" s="2">
        <v>45248</v>
      </c>
      <c r="B323">
        <v>3.3333333333333335</v>
      </c>
      <c r="F323" s="2">
        <f>MAX(SalesTbl[Order Date])+1</f>
        <v>45295</v>
      </c>
      <c r="G323" s="2">
        <f t="shared" si="4"/>
        <v>45616</v>
      </c>
      <c r="H323" s="7">
        <f>_xlfn.FORECAST.ETS(G323, SalesTbl[Quantity], SalesTbl[Order Date], 0, 1, 1)</f>
        <v>3.149546813502881</v>
      </c>
    </row>
    <row r="324" spans="1:8" x14ac:dyDescent="0.25">
      <c r="A324" s="2">
        <v>45249</v>
      </c>
      <c r="B324">
        <v>4</v>
      </c>
      <c r="F324" s="2">
        <f>MAX(SalesTbl[Order Date])+1</f>
        <v>45295</v>
      </c>
      <c r="G324" s="2">
        <f t="shared" ref="G324:G387" si="5">G323+1</f>
        <v>45617</v>
      </c>
      <c r="H324" s="7">
        <f>_xlfn.FORECAST.ETS(G324, SalesTbl[Quantity], SalesTbl[Order Date], 0, 1, 1)</f>
        <v>3.1500112446007114</v>
      </c>
    </row>
    <row r="325" spans="1:8" x14ac:dyDescent="0.25">
      <c r="A325" s="2">
        <v>45250</v>
      </c>
      <c r="B325">
        <v>2</v>
      </c>
      <c r="F325" s="2">
        <f>MAX(SalesTbl[Order Date])+1</f>
        <v>45295</v>
      </c>
      <c r="G325" s="2">
        <f t="shared" si="5"/>
        <v>45618</v>
      </c>
      <c r="H325" s="7">
        <f>_xlfn.FORECAST.ETS(G325, SalesTbl[Quantity], SalesTbl[Order Date], 0, 1, 1)</f>
        <v>3.150475675698551</v>
      </c>
    </row>
    <row r="326" spans="1:8" x14ac:dyDescent="0.25">
      <c r="A326" s="2">
        <v>45251</v>
      </c>
      <c r="B326">
        <v>3</v>
      </c>
      <c r="F326" s="2">
        <f>MAX(SalesTbl[Order Date])+1</f>
        <v>45295</v>
      </c>
      <c r="G326" s="2">
        <f t="shared" si="5"/>
        <v>45619</v>
      </c>
      <c r="H326" s="7">
        <f>_xlfn.FORECAST.ETS(G326, SalesTbl[Quantity], SalesTbl[Order Date], 0, 1, 1)</f>
        <v>3.1509401067963818</v>
      </c>
    </row>
    <row r="327" spans="1:8" x14ac:dyDescent="0.25">
      <c r="A327" s="2">
        <v>45252</v>
      </c>
      <c r="B327">
        <v>3</v>
      </c>
      <c r="F327" s="2">
        <f>MAX(SalesTbl[Order Date])+1</f>
        <v>45295</v>
      </c>
      <c r="G327" s="2">
        <f t="shared" si="5"/>
        <v>45620</v>
      </c>
      <c r="H327" s="7">
        <f>_xlfn.FORECAST.ETS(G327, SalesTbl[Quantity], SalesTbl[Order Date], 0, 1, 1)</f>
        <v>3.151404537894221</v>
      </c>
    </row>
    <row r="328" spans="1:8" x14ac:dyDescent="0.25">
      <c r="A328" s="2">
        <v>45253</v>
      </c>
      <c r="B328">
        <v>2.3333333333333335</v>
      </c>
      <c r="F328" s="2">
        <f>MAX(SalesTbl[Order Date])+1</f>
        <v>45295</v>
      </c>
      <c r="G328" s="2">
        <f t="shared" si="5"/>
        <v>45621</v>
      </c>
      <c r="H328" s="7">
        <f>_xlfn.FORECAST.ETS(G328, SalesTbl[Quantity], SalesTbl[Order Date], 0, 1, 1)</f>
        <v>3.1518689689920518</v>
      </c>
    </row>
    <row r="329" spans="1:8" x14ac:dyDescent="0.25">
      <c r="A329" s="2">
        <v>45254</v>
      </c>
      <c r="B329">
        <v>4</v>
      </c>
      <c r="F329" s="2">
        <f>MAX(SalesTbl[Order Date])+1</f>
        <v>45295</v>
      </c>
      <c r="G329" s="2">
        <f t="shared" si="5"/>
        <v>45622</v>
      </c>
      <c r="H329" s="7">
        <f>_xlfn.FORECAST.ETS(G329, SalesTbl[Quantity], SalesTbl[Order Date], 0, 1, 1)</f>
        <v>3.152333400089891</v>
      </c>
    </row>
    <row r="330" spans="1:8" x14ac:dyDescent="0.25">
      <c r="A330" s="2">
        <v>45255</v>
      </c>
      <c r="B330">
        <v>2.3333333333333335</v>
      </c>
      <c r="F330" s="2">
        <f>MAX(SalesTbl[Order Date])+1</f>
        <v>45295</v>
      </c>
      <c r="G330" s="2">
        <f t="shared" si="5"/>
        <v>45623</v>
      </c>
      <c r="H330" s="7">
        <f>_xlfn.FORECAST.ETS(G330, SalesTbl[Quantity], SalesTbl[Order Date], 0, 1, 1)</f>
        <v>3.1527978311877218</v>
      </c>
    </row>
    <row r="331" spans="1:8" x14ac:dyDescent="0.25">
      <c r="A331" s="2">
        <v>45256</v>
      </c>
      <c r="B331">
        <v>3.5</v>
      </c>
      <c r="F331" s="2">
        <f>MAX(SalesTbl[Order Date])+1</f>
        <v>45295</v>
      </c>
      <c r="G331" s="2">
        <f t="shared" si="5"/>
        <v>45624</v>
      </c>
      <c r="H331" s="7">
        <f>_xlfn.FORECAST.ETS(G331, SalesTbl[Quantity], SalesTbl[Order Date], 0, 1, 1)</f>
        <v>3.1532622622855611</v>
      </c>
    </row>
    <row r="332" spans="1:8" x14ac:dyDescent="0.25">
      <c r="A332" s="2">
        <v>45257</v>
      </c>
      <c r="B332">
        <v>2</v>
      </c>
      <c r="F332" s="2">
        <f>MAX(SalesTbl[Order Date])+1</f>
        <v>45295</v>
      </c>
      <c r="G332" s="2">
        <f t="shared" si="5"/>
        <v>45625</v>
      </c>
      <c r="H332" s="7">
        <f>_xlfn.FORECAST.ETS(G332, SalesTbl[Quantity], SalesTbl[Order Date], 0, 1, 1)</f>
        <v>3.1537266933833918</v>
      </c>
    </row>
    <row r="333" spans="1:8" x14ac:dyDescent="0.25">
      <c r="A333" s="2">
        <v>45258</v>
      </c>
      <c r="B333">
        <v>2.3333333333333335</v>
      </c>
      <c r="F333" s="2">
        <f>MAX(SalesTbl[Order Date])+1</f>
        <v>45295</v>
      </c>
      <c r="G333" s="2">
        <f t="shared" si="5"/>
        <v>45626</v>
      </c>
      <c r="H333" s="7">
        <f>_xlfn.FORECAST.ETS(G333, SalesTbl[Quantity], SalesTbl[Order Date], 0, 1, 1)</f>
        <v>3.1541911244812311</v>
      </c>
    </row>
    <row r="334" spans="1:8" x14ac:dyDescent="0.25">
      <c r="A334" s="2">
        <v>45259</v>
      </c>
      <c r="B334">
        <v>3.5</v>
      </c>
      <c r="F334" s="2">
        <f>MAX(SalesTbl[Order Date])+1</f>
        <v>45295</v>
      </c>
      <c r="G334" s="2">
        <f t="shared" si="5"/>
        <v>45627</v>
      </c>
      <c r="H334" s="7">
        <f>_xlfn.FORECAST.ETS(G334, SalesTbl[Quantity], SalesTbl[Order Date], 0, 1, 1)</f>
        <v>3.1546555555790619</v>
      </c>
    </row>
    <row r="335" spans="1:8" x14ac:dyDescent="0.25">
      <c r="A335" s="2">
        <v>45260</v>
      </c>
      <c r="B335">
        <v>4</v>
      </c>
      <c r="F335" s="2">
        <f>MAX(SalesTbl[Order Date])+1</f>
        <v>45295</v>
      </c>
      <c r="G335" s="2">
        <f t="shared" si="5"/>
        <v>45628</v>
      </c>
      <c r="H335" s="7">
        <f>_xlfn.FORECAST.ETS(G335, SalesTbl[Quantity], SalesTbl[Order Date], 0, 1, 1)</f>
        <v>3.1551199866769015</v>
      </c>
    </row>
    <row r="336" spans="1:8" x14ac:dyDescent="0.25">
      <c r="A336" s="2">
        <v>45261</v>
      </c>
      <c r="B336">
        <v>4.333333333333333</v>
      </c>
      <c r="F336" s="2">
        <f>MAX(SalesTbl[Order Date])+1</f>
        <v>45295</v>
      </c>
      <c r="G336" s="2">
        <f t="shared" si="5"/>
        <v>45629</v>
      </c>
      <c r="H336" s="7">
        <f>_xlfn.FORECAST.ETS(G336, SalesTbl[Quantity], SalesTbl[Order Date], 0, 1, 1)</f>
        <v>3.1555844177747319</v>
      </c>
    </row>
    <row r="337" spans="1:8" x14ac:dyDescent="0.25">
      <c r="A337" s="2">
        <v>45262</v>
      </c>
      <c r="B337">
        <v>2</v>
      </c>
      <c r="F337" s="2">
        <f>MAX(SalesTbl[Order Date])+1</f>
        <v>45295</v>
      </c>
      <c r="G337" s="2">
        <f t="shared" si="5"/>
        <v>45630</v>
      </c>
      <c r="H337" s="7">
        <f>_xlfn.FORECAST.ETS(G337, SalesTbl[Quantity], SalesTbl[Order Date], 0, 1, 1)</f>
        <v>3.1560488488725715</v>
      </c>
    </row>
    <row r="338" spans="1:8" x14ac:dyDescent="0.25">
      <c r="A338" s="2">
        <v>45263</v>
      </c>
      <c r="B338">
        <v>5</v>
      </c>
      <c r="F338" s="2">
        <f>MAX(SalesTbl[Order Date])+1</f>
        <v>45295</v>
      </c>
      <c r="G338" s="2">
        <f t="shared" si="5"/>
        <v>45631</v>
      </c>
      <c r="H338" s="7">
        <f>_xlfn.FORECAST.ETS(G338, SalesTbl[Quantity], SalesTbl[Order Date], 0, 1, 1)</f>
        <v>3.1565132799704019</v>
      </c>
    </row>
    <row r="339" spans="1:8" x14ac:dyDescent="0.25">
      <c r="A339" s="2">
        <v>45264</v>
      </c>
      <c r="B339">
        <v>2.2000000000000002</v>
      </c>
      <c r="F339" s="2">
        <f>MAX(SalesTbl[Order Date])+1</f>
        <v>45295</v>
      </c>
      <c r="G339" s="2">
        <f t="shared" si="5"/>
        <v>45632</v>
      </c>
      <c r="H339" s="7">
        <f>_xlfn.FORECAST.ETS(G339, SalesTbl[Quantity], SalesTbl[Order Date], 0, 1, 1)</f>
        <v>3.1569777110682415</v>
      </c>
    </row>
    <row r="340" spans="1:8" x14ac:dyDescent="0.25">
      <c r="A340" s="2">
        <v>45265</v>
      </c>
      <c r="B340">
        <v>2.6</v>
      </c>
      <c r="F340" s="2">
        <f>MAX(SalesTbl[Order Date])+1</f>
        <v>45295</v>
      </c>
      <c r="G340" s="2">
        <f t="shared" si="5"/>
        <v>45633</v>
      </c>
      <c r="H340" s="7">
        <f>_xlfn.FORECAST.ETS(G340, SalesTbl[Quantity], SalesTbl[Order Date], 0, 1, 1)</f>
        <v>3.1574421421660719</v>
      </c>
    </row>
    <row r="341" spans="1:8" x14ac:dyDescent="0.25">
      <c r="A341" s="2">
        <v>45266</v>
      </c>
      <c r="B341">
        <v>3</v>
      </c>
      <c r="F341" s="2">
        <f>MAX(SalesTbl[Order Date])+1</f>
        <v>45295</v>
      </c>
      <c r="G341" s="2">
        <f t="shared" si="5"/>
        <v>45634</v>
      </c>
      <c r="H341" s="7">
        <f>_xlfn.FORECAST.ETS(G341, SalesTbl[Quantity], SalesTbl[Order Date], 0, 1, 1)</f>
        <v>3.1579065732639116</v>
      </c>
    </row>
    <row r="342" spans="1:8" x14ac:dyDescent="0.25">
      <c r="A342" s="2">
        <v>45267</v>
      </c>
      <c r="B342">
        <v>2.7142857142857144</v>
      </c>
      <c r="F342" s="2">
        <f>MAX(SalesTbl[Order Date])+1</f>
        <v>45295</v>
      </c>
      <c r="G342" s="2">
        <f t="shared" si="5"/>
        <v>45635</v>
      </c>
      <c r="H342" s="7">
        <f>_xlfn.FORECAST.ETS(G342, SalesTbl[Quantity], SalesTbl[Order Date], 0, 1, 1)</f>
        <v>3.1583710043617423</v>
      </c>
    </row>
    <row r="343" spans="1:8" x14ac:dyDescent="0.25">
      <c r="A343" s="2">
        <v>45268</v>
      </c>
      <c r="B343">
        <v>2.875</v>
      </c>
      <c r="F343" s="2">
        <f>MAX(SalesTbl[Order Date])+1</f>
        <v>45295</v>
      </c>
      <c r="G343" s="2">
        <f t="shared" si="5"/>
        <v>45636</v>
      </c>
      <c r="H343" s="7">
        <f>_xlfn.FORECAST.ETS(G343, SalesTbl[Quantity], SalesTbl[Order Date], 0, 1, 1)</f>
        <v>3.1588354354595816</v>
      </c>
    </row>
    <row r="344" spans="1:8" x14ac:dyDescent="0.25">
      <c r="A344" s="2">
        <v>45269</v>
      </c>
      <c r="B344">
        <v>3.5</v>
      </c>
      <c r="F344" s="2">
        <f>MAX(SalesTbl[Order Date])+1</f>
        <v>45295</v>
      </c>
      <c r="G344" s="2">
        <f t="shared" si="5"/>
        <v>45637</v>
      </c>
      <c r="H344" s="7">
        <f>_xlfn.FORECAST.ETS(G344, SalesTbl[Quantity], SalesTbl[Order Date], 0, 1, 1)</f>
        <v>3.1592998665574124</v>
      </c>
    </row>
    <row r="345" spans="1:8" x14ac:dyDescent="0.25">
      <c r="A345" s="2">
        <v>45270</v>
      </c>
      <c r="B345">
        <v>2.5</v>
      </c>
      <c r="F345" s="2">
        <f>MAX(SalesTbl[Order Date])+1</f>
        <v>45295</v>
      </c>
      <c r="G345" s="2">
        <f t="shared" si="5"/>
        <v>45638</v>
      </c>
      <c r="H345" s="7">
        <f>_xlfn.FORECAST.ETS(G345, SalesTbl[Quantity], SalesTbl[Order Date], 0, 1, 1)</f>
        <v>3.1597642976552516</v>
      </c>
    </row>
    <row r="346" spans="1:8" x14ac:dyDescent="0.25">
      <c r="A346" s="2">
        <v>45271</v>
      </c>
      <c r="B346">
        <v>2.916666666666667</v>
      </c>
      <c r="F346" s="2">
        <f>MAX(SalesTbl[Order Date])+1</f>
        <v>45295</v>
      </c>
      <c r="G346" s="2">
        <f t="shared" si="5"/>
        <v>45639</v>
      </c>
      <c r="H346" s="7">
        <f>_xlfn.FORECAST.ETS(G346, SalesTbl[Quantity], SalesTbl[Order Date], 0, 1, 1)</f>
        <v>3.1602287287530824</v>
      </c>
    </row>
    <row r="347" spans="1:8" x14ac:dyDescent="0.25">
      <c r="A347" s="2">
        <v>45272</v>
      </c>
      <c r="B347">
        <v>3.3333333333333335</v>
      </c>
      <c r="F347" s="2">
        <f>MAX(SalesTbl[Order Date])+1</f>
        <v>45295</v>
      </c>
      <c r="G347" s="2">
        <f t="shared" si="5"/>
        <v>45640</v>
      </c>
      <c r="H347" s="7">
        <f>_xlfn.FORECAST.ETS(G347, SalesTbl[Quantity], SalesTbl[Order Date], 0, 1, 1)</f>
        <v>3.1606931598509216</v>
      </c>
    </row>
    <row r="348" spans="1:8" x14ac:dyDescent="0.25">
      <c r="A348" s="2">
        <v>45273</v>
      </c>
      <c r="B348">
        <v>3</v>
      </c>
      <c r="F348" s="2">
        <f>MAX(SalesTbl[Order Date])+1</f>
        <v>45295</v>
      </c>
      <c r="G348" s="2">
        <f t="shared" si="5"/>
        <v>45641</v>
      </c>
      <c r="H348" s="7">
        <f>_xlfn.FORECAST.ETS(G348, SalesTbl[Quantity], SalesTbl[Order Date], 0, 1, 1)</f>
        <v>3.1611575909487524</v>
      </c>
    </row>
    <row r="349" spans="1:8" x14ac:dyDescent="0.25">
      <c r="A349" s="2">
        <v>45274</v>
      </c>
      <c r="B349">
        <v>2</v>
      </c>
      <c r="F349" s="2">
        <f>MAX(SalesTbl[Order Date])+1</f>
        <v>45295</v>
      </c>
      <c r="G349" s="2">
        <f t="shared" si="5"/>
        <v>45642</v>
      </c>
      <c r="H349" s="7">
        <f>_xlfn.FORECAST.ETS(G349, SalesTbl[Quantity], SalesTbl[Order Date], 0, 1, 1)</f>
        <v>3.161622022046592</v>
      </c>
    </row>
    <row r="350" spans="1:8" x14ac:dyDescent="0.25">
      <c r="A350" s="2">
        <v>45275</v>
      </c>
      <c r="B350">
        <v>2.666666666666667</v>
      </c>
      <c r="F350" s="2">
        <f>MAX(SalesTbl[Order Date])+1</f>
        <v>45295</v>
      </c>
      <c r="G350" s="2">
        <f t="shared" si="5"/>
        <v>45643</v>
      </c>
      <c r="H350" s="7">
        <f>_xlfn.FORECAST.ETS(G350, SalesTbl[Quantity], SalesTbl[Order Date], 0, 1, 1)</f>
        <v>3.1620864531444224</v>
      </c>
    </row>
    <row r="351" spans="1:8" x14ac:dyDescent="0.25">
      <c r="A351" s="2">
        <v>45276</v>
      </c>
      <c r="B351">
        <v>3.3333333333333335</v>
      </c>
      <c r="F351" s="2">
        <f>MAX(SalesTbl[Order Date])+1</f>
        <v>45295</v>
      </c>
      <c r="G351" s="2">
        <f t="shared" si="5"/>
        <v>45644</v>
      </c>
      <c r="H351" s="7">
        <f>_xlfn.FORECAST.ETS(G351, SalesTbl[Quantity], SalesTbl[Order Date], 0, 1, 1)</f>
        <v>3.1625508842422621</v>
      </c>
    </row>
    <row r="352" spans="1:8" x14ac:dyDescent="0.25">
      <c r="A352" s="2">
        <v>45277</v>
      </c>
      <c r="B352">
        <v>5</v>
      </c>
      <c r="F352" s="2">
        <f>MAX(SalesTbl[Order Date])+1</f>
        <v>45295</v>
      </c>
      <c r="G352" s="2">
        <f t="shared" si="5"/>
        <v>45645</v>
      </c>
      <c r="H352" s="7">
        <f>_xlfn.FORECAST.ETS(G352, SalesTbl[Quantity], SalesTbl[Order Date], 0, 1, 1)</f>
        <v>3.1630153153400924</v>
      </c>
    </row>
    <row r="353" spans="1:8" x14ac:dyDescent="0.25">
      <c r="A353" s="2">
        <v>45278</v>
      </c>
      <c r="B353">
        <v>1.3333333333333333</v>
      </c>
      <c r="F353" s="2">
        <f>MAX(SalesTbl[Order Date])+1</f>
        <v>45295</v>
      </c>
      <c r="G353" s="2">
        <f t="shared" si="5"/>
        <v>45646</v>
      </c>
      <c r="H353" s="7">
        <f>_xlfn.FORECAST.ETS(G353, SalesTbl[Quantity], SalesTbl[Order Date], 0, 1, 1)</f>
        <v>3.1634797464379321</v>
      </c>
    </row>
    <row r="354" spans="1:8" x14ac:dyDescent="0.25">
      <c r="A354" s="2">
        <v>45279</v>
      </c>
      <c r="B354">
        <v>5</v>
      </c>
      <c r="F354" s="2">
        <f>MAX(SalesTbl[Order Date])+1</f>
        <v>45295</v>
      </c>
      <c r="G354" s="2">
        <f t="shared" si="5"/>
        <v>45647</v>
      </c>
      <c r="H354" s="7">
        <f>_xlfn.FORECAST.ETS(G354, SalesTbl[Quantity], SalesTbl[Order Date], 0, 1, 1)</f>
        <v>3.1639441775357624</v>
      </c>
    </row>
    <row r="355" spans="1:8" x14ac:dyDescent="0.25">
      <c r="A355" s="2">
        <v>45280</v>
      </c>
      <c r="B355">
        <v>4.75</v>
      </c>
      <c r="F355" s="2">
        <f>MAX(SalesTbl[Order Date])+1</f>
        <v>45295</v>
      </c>
      <c r="G355" s="2">
        <f t="shared" si="5"/>
        <v>45648</v>
      </c>
      <c r="H355" s="7">
        <f>_xlfn.FORECAST.ETS(G355, SalesTbl[Quantity], SalesTbl[Order Date], 0, 1, 1)</f>
        <v>3.1644086086336021</v>
      </c>
    </row>
    <row r="356" spans="1:8" x14ac:dyDescent="0.25">
      <c r="A356" s="2">
        <v>45281</v>
      </c>
      <c r="B356">
        <v>4.5</v>
      </c>
      <c r="F356" s="2">
        <f>MAX(SalesTbl[Order Date])+1</f>
        <v>45295</v>
      </c>
      <c r="G356" s="2">
        <f t="shared" si="5"/>
        <v>45649</v>
      </c>
      <c r="H356" s="7">
        <f>_xlfn.FORECAST.ETS(G356, SalesTbl[Quantity], SalesTbl[Order Date], 0, 1, 1)</f>
        <v>3.1648730397314329</v>
      </c>
    </row>
    <row r="357" spans="1:8" x14ac:dyDescent="0.25">
      <c r="A357" s="2">
        <v>45282</v>
      </c>
      <c r="B357">
        <v>4</v>
      </c>
      <c r="F357" s="2">
        <f>MAX(SalesTbl[Order Date])+1</f>
        <v>45295</v>
      </c>
      <c r="G357" s="2">
        <f t="shared" si="5"/>
        <v>45650</v>
      </c>
      <c r="H357" s="7">
        <f>_xlfn.FORECAST.ETS(G357, SalesTbl[Quantity], SalesTbl[Order Date], 0, 1, 1)</f>
        <v>3.1653374708292721</v>
      </c>
    </row>
    <row r="358" spans="1:8" x14ac:dyDescent="0.25">
      <c r="A358" s="2">
        <v>45283</v>
      </c>
      <c r="B358">
        <v>2</v>
      </c>
      <c r="F358" s="2">
        <f>MAX(SalesTbl[Order Date])+1</f>
        <v>45295</v>
      </c>
      <c r="G358" s="2">
        <f t="shared" si="5"/>
        <v>45651</v>
      </c>
      <c r="H358" s="7">
        <f>_xlfn.FORECAST.ETS(G358, SalesTbl[Quantity], SalesTbl[Order Date], 0, 1, 1)</f>
        <v>3.1658019019271029</v>
      </c>
    </row>
    <row r="359" spans="1:8" x14ac:dyDescent="0.25">
      <c r="A359" s="2">
        <v>45284</v>
      </c>
      <c r="B359">
        <v>5</v>
      </c>
      <c r="F359" s="2">
        <f>MAX(SalesTbl[Order Date])+1</f>
        <v>45295</v>
      </c>
      <c r="G359" s="2">
        <f t="shared" si="5"/>
        <v>45652</v>
      </c>
      <c r="H359" s="7">
        <f>_xlfn.FORECAST.ETS(G359, SalesTbl[Quantity], SalesTbl[Order Date], 0, 1, 1)</f>
        <v>3.1662663330249421</v>
      </c>
    </row>
    <row r="360" spans="1:8" x14ac:dyDescent="0.25">
      <c r="A360" s="2">
        <v>45285</v>
      </c>
      <c r="B360">
        <v>3</v>
      </c>
      <c r="F360" s="2">
        <f>MAX(SalesTbl[Order Date])+1</f>
        <v>45295</v>
      </c>
      <c r="G360" s="2">
        <f t="shared" si="5"/>
        <v>45653</v>
      </c>
      <c r="H360" s="7">
        <f>_xlfn.FORECAST.ETS(G360, SalesTbl[Quantity], SalesTbl[Order Date], 0, 1, 1)</f>
        <v>3.1667307641227729</v>
      </c>
    </row>
    <row r="361" spans="1:8" x14ac:dyDescent="0.25">
      <c r="A361" s="2">
        <v>45286</v>
      </c>
      <c r="B361">
        <v>2.25</v>
      </c>
      <c r="F361" s="2">
        <f>MAX(SalesTbl[Order Date])+1</f>
        <v>45295</v>
      </c>
      <c r="G361" s="2">
        <f t="shared" si="5"/>
        <v>45654</v>
      </c>
      <c r="H361" s="7">
        <f>_xlfn.FORECAST.ETS(G361, SalesTbl[Quantity], SalesTbl[Order Date], 0, 1, 1)</f>
        <v>3.1671951952206121</v>
      </c>
    </row>
    <row r="362" spans="1:8" x14ac:dyDescent="0.25">
      <c r="A362" s="2">
        <v>45287</v>
      </c>
      <c r="B362">
        <v>3</v>
      </c>
      <c r="F362" s="2">
        <f>MAX(SalesTbl[Order Date])+1</f>
        <v>45295</v>
      </c>
      <c r="G362" s="2">
        <f t="shared" si="5"/>
        <v>45655</v>
      </c>
      <c r="H362" s="7">
        <f>_xlfn.FORECAST.ETS(G362, SalesTbl[Quantity], SalesTbl[Order Date], 0, 1, 1)</f>
        <v>3.1676596263184429</v>
      </c>
    </row>
    <row r="363" spans="1:8" x14ac:dyDescent="0.25">
      <c r="A363" s="2">
        <v>45288</v>
      </c>
      <c r="B363">
        <v>2.5</v>
      </c>
      <c r="F363" s="2">
        <f>MAX(SalesTbl[Order Date])+1</f>
        <v>45295</v>
      </c>
      <c r="G363" s="2">
        <f t="shared" si="5"/>
        <v>45656</v>
      </c>
      <c r="H363" s="7">
        <f>_xlfn.FORECAST.ETS(G363, SalesTbl[Quantity], SalesTbl[Order Date], 0, 1, 1)</f>
        <v>3.1681240574162821</v>
      </c>
    </row>
    <row r="364" spans="1:8" x14ac:dyDescent="0.25">
      <c r="A364" s="2">
        <v>45289</v>
      </c>
      <c r="B364">
        <v>4.5</v>
      </c>
      <c r="F364" s="2">
        <f>MAX(SalesTbl[Order Date])+1</f>
        <v>45295</v>
      </c>
      <c r="G364" s="2">
        <f t="shared" si="5"/>
        <v>45657</v>
      </c>
      <c r="H364" s="7">
        <f>_xlfn.FORECAST.ETS(G364, SalesTbl[Quantity], SalesTbl[Order Date], 0, 1, 1)</f>
        <v>3.1685884885141129</v>
      </c>
    </row>
    <row r="365" spans="1:8" x14ac:dyDescent="0.25">
      <c r="A365" s="2">
        <v>45290</v>
      </c>
      <c r="B365">
        <v>3.3333333333333335</v>
      </c>
      <c r="F365" s="2">
        <f>MAX(SalesTbl[Order Date])+1</f>
        <v>45295</v>
      </c>
      <c r="G365" s="2">
        <f t="shared" si="5"/>
        <v>45658</v>
      </c>
      <c r="H365" s="7">
        <f>_xlfn.FORECAST.ETS(G365, SalesTbl[Quantity], SalesTbl[Order Date], 0, 1, 1)</f>
        <v>3.1690529196119526</v>
      </c>
    </row>
    <row r="366" spans="1:8" x14ac:dyDescent="0.25">
      <c r="A366" s="2">
        <v>45291</v>
      </c>
      <c r="B366">
        <v>3.5</v>
      </c>
      <c r="F366" s="2">
        <f>MAX(SalesTbl[Order Date])+1</f>
        <v>45295</v>
      </c>
      <c r="G366" s="2">
        <f t="shared" si="5"/>
        <v>45659</v>
      </c>
      <c r="H366" s="7">
        <f>_xlfn.FORECAST.ETS(G366, SalesTbl[Quantity], SalesTbl[Order Date], 0, 1, 1)</f>
        <v>3.1695173507097829</v>
      </c>
    </row>
    <row r="367" spans="1:8" x14ac:dyDescent="0.25">
      <c r="A367" s="2">
        <v>45292</v>
      </c>
      <c r="B367">
        <v>3.3333333333333335</v>
      </c>
      <c r="F367" s="2">
        <f>MAX(SalesTbl[Order Date])+1</f>
        <v>45295</v>
      </c>
      <c r="G367" s="2">
        <f t="shared" si="5"/>
        <v>45660</v>
      </c>
      <c r="H367" s="7">
        <f>_xlfn.FORECAST.ETS(G367, SalesTbl[Quantity], SalesTbl[Order Date], 0, 1, 1)</f>
        <v>3.1699817818076226</v>
      </c>
    </row>
    <row r="368" spans="1:8" x14ac:dyDescent="0.25">
      <c r="A368" s="2">
        <v>45293</v>
      </c>
      <c r="B368">
        <v>3.1666666666666665</v>
      </c>
      <c r="F368" s="2">
        <f>MAX(SalesTbl[Order Date])+1</f>
        <v>45295</v>
      </c>
      <c r="G368" s="2">
        <f t="shared" si="5"/>
        <v>45661</v>
      </c>
      <c r="H368" s="7">
        <f>_xlfn.FORECAST.ETS(G368, SalesTbl[Quantity], SalesTbl[Order Date], 0, 1, 1)</f>
        <v>3.1704462129054529</v>
      </c>
    </row>
    <row r="369" spans="1:8" x14ac:dyDescent="0.25">
      <c r="A369" s="2">
        <v>45294</v>
      </c>
      <c r="B369">
        <v>3</v>
      </c>
      <c r="C369">
        <v>3</v>
      </c>
      <c r="D369" s="19">
        <v>3</v>
      </c>
      <c r="E369" s="19">
        <v>3</v>
      </c>
      <c r="F369" s="2">
        <f>MAX(SalesTbl[Order Date])+1</f>
        <v>45295</v>
      </c>
      <c r="G369" s="2">
        <f t="shared" si="5"/>
        <v>45662</v>
      </c>
      <c r="H369" s="7">
        <f>_xlfn.FORECAST.ETS(G369, SalesTbl[Quantity], SalesTbl[Order Date], 0, 1, 1)</f>
        <v>3.1709106440032926</v>
      </c>
    </row>
    <row r="370" spans="1:8" x14ac:dyDescent="0.25">
      <c r="A370" s="2">
        <v>45295</v>
      </c>
      <c r="C370">
        <f>_xlfn.FORECAST.ETS(A370,$B$2:$B$369,$A$2:$A$369,1,1)</f>
        <v>3.4259110131689954</v>
      </c>
      <c r="D370" s="19">
        <f>C370-_xlfn.FORECAST.ETS.CONFINT(A370,$B$2:$B$369,$A$2:$A$369,0.95,1,1)</f>
        <v>1.4803779800589005</v>
      </c>
      <c r="E370" s="19">
        <f>C370+_xlfn.FORECAST.ETS.CONFINT(A370,$B$2:$B$369,$A$2:$A$369,0.95,1,1)</f>
        <v>5.3714440462790902</v>
      </c>
      <c r="F370" s="2">
        <f>MAX(SalesTbl[Order Date])+1</f>
        <v>45295</v>
      </c>
      <c r="G370" s="2">
        <f t="shared" si="5"/>
        <v>45663</v>
      </c>
      <c r="H370" s="7">
        <f>_xlfn.FORECAST.ETS(G370, SalesTbl[Quantity], SalesTbl[Order Date], 0, 1, 1)</f>
        <v>3.1713750751011229</v>
      </c>
    </row>
    <row r="371" spans="1:8" x14ac:dyDescent="0.25">
      <c r="A371" s="2">
        <v>45296</v>
      </c>
      <c r="C371">
        <f>_xlfn.FORECAST.ETS(A371,$B$2:$B$369,$A$2:$A$369,1,1)</f>
        <v>3.4002686750103761</v>
      </c>
      <c r="D371" s="19">
        <f>C371-_xlfn.FORECAST.ETS.CONFINT(A371,$B$2:$B$369,$A$2:$A$369,0.95,1,1)</f>
        <v>1.4391086506390032</v>
      </c>
      <c r="E371" s="19">
        <f>C371+_xlfn.FORECAST.ETS.CONFINT(A371,$B$2:$B$369,$A$2:$A$369,0.95,1,1)</f>
        <v>5.361428699381749</v>
      </c>
      <c r="F371" s="2">
        <f>MAX(SalesTbl[Order Date])+1</f>
        <v>45295</v>
      </c>
      <c r="G371" s="2">
        <f t="shared" si="5"/>
        <v>45664</v>
      </c>
      <c r="H371" s="7">
        <f>_xlfn.FORECAST.ETS(G371, SalesTbl[Quantity], SalesTbl[Order Date], 0, 1, 1)</f>
        <v>3.1718395061989626</v>
      </c>
    </row>
    <row r="372" spans="1:8" x14ac:dyDescent="0.25">
      <c r="A372" s="2">
        <v>45297</v>
      </c>
      <c r="C372">
        <f>_xlfn.FORECAST.ETS(A372,$B$2:$B$369,$A$2:$A$369,1,1)</f>
        <v>3.1081348378704119</v>
      </c>
      <c r="D372" s="19">
        <f>C372-_xlfn.FORECAST.ETS.CONFINT(A372,$B$2:$B$369,$A$2:$A$369,0.95,1,1)</f>
        <v>1.1312272275730244</v>
      </c>
      <c r="E372" s="19">
        <f>C372+_xlfn.FORECAST.ETS.CONFINT(A372,$B$2:$B$369,$A$2:$A$369,0.95,1,1)</f>
        <v>5.0850424481677994</v>
      </c>
      <c r="F372" s="2">
        <f>MAX(SalesTbl[Order Date])+1</f>
        <v>45295</v>
      </c>
      <c r="G372" s="2">
        <f t="shared" si="5"/>
        <v>45665</v>
      </c>
      <c r="H372" s="7">
        <f>_xlfn.FORECAST.ETS(G372, SalesTbl[Quantity], SalesTbl[Order Date], 0, 1, 1)</f>
        <v>3.1723039372967934</v>
      </c>
    </row>
    <row r="373" spans="1:8" x14ac:dyDescent="0.25">
      <c r="A373" s="2">
        <v>45298</v>
      </c>
      <c r="C373">
        <f>_xlfn.FORECAST.ETS(A373,$B$2:$B$369,$A$2:$A$369,1,1)</f>
        <v>2.7393340987175314</v>
      </c>
      <c r="D373" s="19">
        <f>C373-_xlfn.FORECAST.ETS.CONFINT(A373,$B$2:$B$369,$A$2:$A$369,0.95,1,1)</f>
        <v>0.74655926735841849</v>
      </c>
      <c r="E373" s="19">
        <f>C373+_xlfn.FORECAST.ETS.CONFINT(A373,$B$2:$B$369,$A$2:$A$369,0.95,1,1)</f>
        <v>4.7321089300766443</v>
      </c>
      <c r="F373" s="2">
        <f>MAX(SalesTbl[Order Date])+1</f>
        <v>45295</v>
      </c>
      <c r="G373" s="2">
        <f t="shared" si="5"/>
        <v>45666</v>
      </c>
      <c r="H373" s="7">
        <f>_xlfn.FORECAST.ETS(G373, SalesTbl[Quantity], SalesTbl[Order Date], 0, 1, 1)</f>
        <v>3.1727683683946326</v>
      </c>
    </row>
    <row r="374" spans="1:8" x14ac:dyDescent="0.25">
      <c r="A374" s="2">
        <v>45299</v>
      </c>
      <c r="C374">
        <f>_xlfn.FORECAST.ETS(A374,$B$2:$B$369,$A$2:$A$369,1,1)</f>
        <v>4.0116861618612578</v>
      </c>
      <c r="D374" s="19">
        <f>C374-_xlfn.FORECAST.ETS.CONFINT(A374,$B$2:$B$369,$A$2:$A$369,0.95,1,1)</f>
        <v>2.0029254250063846</v>
      </c>
      <c r="E374" s="19">
        <f>C374+_xlfn.FORECAST.ETS.CONFINT(A374,$B$2:$B$369,$A$2:$A$369,0.95,1,1)</f>
        <v>6.0204468987161306</v>
      </c>
      <c r="F374" s="2">
        <f>MAX(SalesTbl[Order Date])+1</f>
        <v>45295</v>
      </c>
      <c r="G374" s="2">
        <f t="shared" si="5"/>
        <v>45667</v>
      </c>
      <c r="H374" s="7">
        <f>_xlfn.FORECAST.ETS(G374, SalesTbl[Quantity], SalesTbl[Order Date], 0, 1, 1)</f>
        <v>3.1732327994924634</v>
      </c>
    </row>
    <row r="375" spans="1:8" x14ac:dyDescent="0.25">
      <c r="A375" s="2">
        <v>45300</v>
      </c>
      <c r="C375">
        <f>_xlfn.FORECAST.ETS(A375,$B$2:$B$369,$A$2:$A$369,1,1)</f>
        <v>2.9067688895199657</v>
      </c>
      <c r="D375" s="19">
        <f>C375-_xlfn.FORECAST.ETS.CONFINT(A375,$B$2:$B$369,$A$2:$A$369,0.95,1,1)</f>
        <v>0.88190450439599699</v>
      </c>
      <c r="E375" s="19">
        <f>C375+_xlfn.FORECAST.ETS.CONFINT(A375,$B$2:$B$369,$A$2:$A$369,0.95,1,1)</f>
        <v>4.931633274643934</v>
      </c>
      <c r="F375" s="2">
        <f>MAX(SalesTbl[Order Date])+1</f>
        <v>45295</v>
      </c>
      <c r="G375" s="2">
        <f t="shared" si="5"/>
        <v>45668</v>
      </c>
      <c r="H375" s="7">
        <f>_xlfn.FORECAST.ETS(G375, SalesTbl[Quantity], SalesTbl[Order Date], 0, 1, 1)</f>
        <v>3.1736972305903026</v>
      </c>
    </row>
    <row r="376" spans="1:8" x14ac:dyDescent="0.25">
      <c r="A376" s="2">
        <v>45301</v>
      </c>
      <c r="C376">
        <f>_xlfn.FORECAST.ETS(A376,$B$2:$B$369,$A$2:$A$369,1,1)</f>
        <v>3.878299448088149</v>
      </c>
      <c r="D376" s="19">
        <f>C376-_xlfn.FORECAST.ETS.CONFINT(A376,$B$2:$B$369,$A$2:$A$369,0.95,1,1)</f>
        <v>1.8372146043501161</v>
      </c>
      <c r="E376" s="19">
        <f>C376+_xlfn.FORECAST.ETS.CONFINT(A376,$B$2:$B$369,$A$2:$A$369,0.95,1,1)</f>
        <v>5.9193842918261819</v>
      </c>
      <c r="F376" s="2">
        <f>MAX(SalesTbl[Order Date])+1</f>
        <v>45295</v>
      </c>
      <c r="G376" s="2">
        <f t="shared" si="5"/>
        <v>45669</v>
      </c>
      <c r="H376" s="7">
        <f>_xlfn.FORECAST.ETS(G376, SalesTbl[Quantity], SalesTbl[Order Date], 0, 1, 1)</f>
        <v>3.1741616616881334</v>
      </c>
    </row>
    <row r="377" spans="1:8" x14ac:dyDescent="0.25">
      <c r="A377" s="2">
        <v>45302</v>
      </c>
      <c r="C377">
        <f>_xlfn.FORECAST.ETS(A377,$B$2:$B$369,$A$2:$A$369,1,1)</f>
        <v>2.8802803415194571</v>
      </c>
      <c r="D377" s="19">
        <f>C377-_xlfn.FORECAST.ETS.CONFINT(A377,$B$2:$B$369,$A$2:$A$369,0.95,1,1)</f>
        <v>0.82285915184821556</v>
      </c>
      <c r="E377" s="19">
        <f>C377+_xlfn.FORECAST.ETS.CONFINT(A377,$B$2:$B$369,$A$2:$A$369,0.95,1,1)</f>
        <v>4.9377015311906991</v>
      </c>
      <c r="F377" s="2">
        <f>MAX(SalesTbl[Order Date])+1</f>
        <v>45295</v>
      </c>
      <c r="G377" s="2">
        <f t="shared" si="5"/>
        <v>45670</v>
      </c>
      <c r="H377" s="7">
        <f>_xlfn.FORECAST.ETS(G377, SalesTbl[Quantity], SalesTbl[Order Date], 0, 1, 1)</f>
        <v>3.1746260927859726</v>
      </c>
    </row>
    <row r="378" spans="1:8" x14ac:dyDescent="0.25">
      <c r="A378" s="2">
        <v>45303</v>
      </c>
      <c r="C378">
        <f>_xlfn.FORECAST.ETS(A378,$B$2:$B$369,$A$2:$A$369,1,1)</f>
        <v>3.4656214989469407</v>
      </c>
      <c r="D378" s="19">
        <f>C378-_xlfn.FORECAST.ETS.CONFINT(A378,$B$2:$B$369,$A$2:$A$369,0.95,1,1)</f>
        <v>1.3917489894964716</v>
      </c>
      <c r="E378" s="19">
        <f>C378+_xlfn.FORECAST.ETS.CONFINT(A378,$B$2:$B$369,$A$2:$A$369,0.95,1,1)</f>
        <v>5.5394940083974102</v>
      </c>
      <c r="F378" s="2">
        <f>MAX(SalesTbl[Order Date])+1</f>
        <v>45295</v>
      </c>
      <c r="G378" s="2">
        <f t="shared" si="5"/>
        <v>45671</v>
      </c>
      <c r="H378" s="7">
        <f>_xlfn.FORECAST.ETS(G378, SalesTbl[Quantity], SalesTbl[Order Date], 0, 1, 1)</f>
        <v>3.1750905238838034</v>
      </c>
    </row>
    <row r="379" spans="1:8" x14ac:dyDescent="0.25">
      <c r="A379" s="2">
        <v>45304</v>
      </c>
      <c r="C379">
        <f>_xlfn.FORECAST.ETS(A379,$B$2:$B$369,$A$2:$A$369,1,1)</f>
        <v>3.9285334926330102</v>
      </c>
      <c r="D379" s="19">
        <f>C379-_xlfn.FORECAST.ETS.CONFINT(A379,$B$2:$B$369,$A$2:$A$369,0.95,1,1)</f>
        <v>1.8380955933465599</v>
      </c>
      <c r="E379" s="19">
        <f>C379+_xlfn.FORECAST.ETS.CONFINT(A379,$B$2:$B$369,$A$2:$A$369,0.95,1,1)</f>
        <v>6.018971391919461</v>
      </c>
      <c r="F379" s="2">
        <f>MAX(SalesTbl[Order Date])+1</f>
        <v>45295</v>
      </c>
      <c r="G379" s="2">
        <f t="shared" si="5"/>
        <v>45672</v>
      </c>
      <c r="H379" s="7">
        <f>_xlfn.FORECAST.ETS(G379, SalesTbl[Quantity], SalesTbl[Order Date], 0, 1, 1)</f>
        <v>3.1755549549816426</v>
      </c>
    </row>
    <row r="380" spans="1:8" x14ac:dyDescent="0.25">
      <c r="A380" s="2">
        <v>45305</v>
      </c>
      <c r="C380">
        <f>_xlfn.FORECAST.ETS(A380,$B$2:$B$369,$A$2:$A$369,1,1)</f>
        <v>3.4067386774442521</v>
      </c>
      <c r="D380" s="19">
        <f>C380-_xlfn.FORECAST.ETS.CONFINT(A380,$B$2:$B$369,$A$2:$A$369,0.95,1,1)</f>
        <v>1.2996222122572694</v>
      </c>
      <c r="E380" s="19">
        <f>C380+_xlfn.FORECAST.ETS.CONFINT(A380,$B$2:$B$369,$A$2:$A$369,0.95,1,1)</f>
        <v>5.5138551426312343</v>
      </c>
      <c r="F380" s="2">
        <f>MAX(SalesTbl[Order Date])+1</f>
        <v>45295</v>
      </c>
      <c r="G380" s="2">
        <f t="shared" si="5"/>
        <v>45673</v>
      </c>
      <c r="H380" s="7">
        <f>_xlfn.FORECAST.ETS(G380, SalesTbl[Quantity], SalesTbl[Order Date], 0, 1, 1)</f>
        <v>3.1760193860794734</v>
      </c>
    </row>
    <row r="381" spans="1:8" x14ac:dyDescent="0.25">
      <c r="A381" s="2">
        <v>45306</v>
      </c>
      <c r="C381">
        <f>_xlfn.FORECAST.ETS(A381,$B$2:$B$369,$A$2:$A$369,1,1)</f>
        <v>3.8835393423360811</v>
      </c>
      <c r="D381" s="19">
        <f>C381-_xlfn.FORECAST.ETS.CONFINT(A381,$B$2:$B$369,$A$2:$A$369,0.95,1,1)</f>
        <v>1.75963201928294</v>
      </c>
      <c r="E381" s="19">
        <f>C381+_xlfn.FORECAST.ETS.CONFINT(A381,$B$2:$B$369,$A$2:$A$369,0.95,1,1)</f>
        <v>6.0074466653892227</v>
      </c>
      <c r="F381" s="2">
        <f>MAX(SalesTbl[Order Date])+1</f>
        <v>45295</v>
      </c>
      <c r="G381" s="2">
        <f t="shared" si="5"/>
        <v>45674</v>
      </c>
      <c r="H381" s="7">
        <f>_xlfn.FORECAST.ETS(G381, SalesTbl[Quantity], SalesTbl[Order Date], 0, 1, 1)</f>
        <v>3.1764838171773131</v>
      </c>
    </row>
    <row r="382" spans="1:8" x14ac:dyDescent="0.25">
      <c r="A382" s="2">
        <v>45307</v>
      </c>
      <c r="C382">
        <f>_xlfn.FORECAST.ETS(A382,$B$2:$B$369,$A$2:$A$369,1,1)</f>
        <v>4.7405213156796151</v>
      </c>
      <c r="D382" s="19">
        <f>C382-_xlfn.FORECAST.ETS.CONFINT(A382,$B$2:$B$369,$A$2:$A$369,0.95,1,1)</f>
        <v>2.5997117169201331</v>
      </c>
      <c r="E382" s="19">
        <f>C382+_xlfn.FORECAST.ETS.CONFINT(A382,$B$2:$B$369,$A$2:$A$369,0.95,1,1)</f>
        <v>6.8813309144390971</v>
      </c>
      <c r="F382" s="2">
        <f>MAX(SalesTbl[Order Date])+1</f>
        <v>45295</v>
      </c>
      <c r="G382" s="2">
        <f t="shared" si="5"/>
        <v>45675</v>
      </c>
      <c r="H382" s="7">
        <f>_xlfn.FORECAST.ETS(G382, SalesTbl[Quantity], SalesTbl[Order Date], 0, 1, 1)</f>
        <v>3.1769482482751434</v>
      </c>
    </row>
    <row r="383" spans="1:8" x14ac:dyDescent="0.25">
      <c r="A383" s="2">
        <v>45308</v>
      </c>
      <c r="C383">
        <f>_xlfn.FORECAST.ETS(A383,$B$2:$B$369,$A$2:$A$369,1,1)</f>
        <v>3.8229706528092358</v>
      </c>
      <c r="D383" s="19">
        <f>C383-_xlfn.FORECAST.ETS.CONFINT(A383,$B$2:$B$369,$A$2:$A$369,0.95,1,1)</f>
        <v>1.6651482245900868</v>
      </c>
      <c r="E383" s="19">
        <f>C383+_xlfn.FORECAST.ETS.CONFINT(A383,$B$2:$B$369,$A$2:$A$369,0.95,1,1)</f>
        <v>5.9807930810283843</v>
      </c>
      <c r="F383" s="2">
        <f>MAX(SalesTbl[Order Date])+1</f>
        <v>45295</v>
      </c>
      <c r="G383" s="2">
        <f t="shared" si="5"/>
        <v>45676</v>
      </c>
      <c r="H383" s="7">
        <f>_xlfn.FORECAST.ETS(G383, SalesTbl[Quantity], SalesTbl[Order Date], 0, 1, 1)</f>
        <v>3.1774126793729831</v>
      </c>
    </row>
    <row r="384" spans="1:8" x14ac:dyDescent="0.25">
      <c r="A384" s="2">
        <v>45309</v>
      </c>
      <c r="C384">
        <f>_xlfn.FORECAST.ETS(A384,$B$2:$B$369,$A$2:$A$369,1,1)</f>
        <v>3.5841883220563946</v>
      </c>
      <c r="D384" s="19">
        <f>C384-_xlfn.FORECAST.ETS.CONFINT(A384,$B$2:$B$369,$A$2:$A$369,0.95,1,1)</f>
        <v>1.4092433646216409</v>
      </c>
      <c r="E384" s="19">
        <f>C384+_xlfn.FORECAST.ETS.CONFINT(A384,$B$2:$B$369,$A$2:$A$369,0.95,1,1)</f>
        <v>5.7591332794911487</v>
      </c>
      <c r="F384" s="2">
        <f>MAX(SalesTbl[Order Date])+1</f>
        <v>45295</v>
      </c>
      <c r="G384" s="2">
        <f t="shared" si="5"/>
        <v>45677</v>
      </c>
      <c r="H384" s="7">
        <f>_xlfn.FORECAST.ETS(G384, SalesTbl[Quantity], SalesTbl[Order Date], 0, 1, 1)</f>
        <v>3.1778771104708134</v>
      </c>
    </row>
    <row r="385" spans="1:8" x14ac:dyDescent="0.25">
      <c r="A385" s="2">
        <v>45310</v>
      </c>
      <c r="C385">
        <f>_xlfn.FORECAST.ETS(A385,$B$2:$B$369,$A$2:$A$369,1,1)</f>
        <v>4.4589682002229178</v>
      </c>
      <c r="D385" s="19">
        <f>C385-_xlfn.FORECAST.ETS.CONFINT(A385,$B$2:$B$369,$A$2:$A$369,0.95,1,1)</f>
        <v>2.2667918576870014</v>
      </c>
      <c r="E385" s="19">
        <f>C385+_xlfn.FORECAST.ETS.CONFINT(A385,$B$2:$B$369,$A$2:$A$369,0.95,1,1)</f>
        <v>6.6511445427588338</v>
      </c>
      <c r="F385" s="2">
        <f>MAX(SalesTbl[Order Date])+1</f>
        <v>45295</v>
      </c>
      <c r="G385" s="2">
        <f t="shared" si="5"/>
        <v>45678</v>
      </c>
      <c r="H385" s="7">
        <f>_xlfn.FORECAST.ETS(G385, SalesTbl[Quantity], SalesTbl[Order Date], 0, 1, 1)</f>
        <v>3.1783415415686531</v>
      </c>
    </row>
    <row r="386" spans="1:8" x14ac:dyDescent="0.25">
      <c r="A386" s="2">
        <v>45311</v>
      </c>
      <c r="C386">
        <f>_xlfn.FORECAST.ETS(A386,$B$2:$B$369,$A$2:$A$369,1,1)</f>
        <v>3.0832867515451006</v>
      </c>
      <c r="D386" s="19">
        <f>C386-_xlfn.FORECAST.ETS.CONFINT(A386,$B$2:$B$369,$A$2:$A$369,0.95,1,1)</f>
        <v>0.87377100174085909</v>
      </c>
      <c r="E386" s="19">
        <f>C386+_xlfn.FORECAST.ETS.CONFINT(A386,$B$2:$B$369,$A$2:$A$369,0.95,1,1)</f>
        <v>5.2928025013493425</v>
      </c>
      <c r="F386" s="2">
        <f>MAX(SalesTbl[Order Date])+1</f>
        <v>45295</v>
      </c>
      <c r="G386" s="2">
        <f t="shared" si="5"/>
        <v>45679</v>
      </c>
      <c r="H386" s="7">
        <f>_xlfn.FORECAST.ETS(G386, SalesTbl[Quantity], SalesTbl[Order Date], 0, 1, 1)</f>
        <v>3.1788059726664835</v>
      </c>
    </row>
    <row r="387" spans="1:8" x14ac:dyDescent="0.25">
      <c r="A387" s="2">
        <v>45312</v>
      </c>
      <c r="C387">
        <f>_xlfn.FORECAST.ETS(A387,$B$2:$B$369,$A$2:$A$369,1,1)</f>
        <v>4.3488641207019851</v>
      </c>
      <c r="D387" s="19">
        <f>C387-_xlfn.FORECAST.ETS.CONFINT(A387,$B$2:$B$369,$A$2:$A$369,0.95,1,1)</f>
        <v>2.1219017650154366</v>
      </c>
      <c r="E387" s="19">
        <f>C387+_xlfn.FORECAST.ETS.CONFINT(A387,$B$2:$B$369,$A$2:$A$369,0.95,1,1)</f>
        <v>6.5758264763885332</v>
      </c>
      <c r="F387" s="2">
        <f>MAX(SalesTbl[Order Date])+1</f>
        <v>45295</v>
      </c>
      <c r="G387" s="2">
        <f t="shared" si="5"/>
        <v>45680</v>
      </c>
      <c r="H387" s="7">
        <f>_xlfn.FORECAST.ETS(G387, SalesTbl[Quantity], SalesTbl[Order Date], 0, 1, 1)</f>
        <v>3.1792704037643231</v>
      </c>
    </row>
    <row r="388" spans="1:8" x14ac:dyDescent="0.25">
      <c r="A388" s="2">
        <v>45313</v>
      </c>
      <c r="C388">
        <f>_xlfn.FORECAST.ETS(A388,$B$2:$B$369,$A$2:$A$369,1,1)</f>
        <v>3.2421913367933115</v>
      </c>
      <c r="D388" s="19">
        <f>C388-_xlfn.FORECAST.ETS.CONFINT(A388,$B$2:$B$369,$A$2:$A$369,0.95,1,1)</f>
        <v>0.99767598999622065</v>
      </c>
      <c r="E388" s="19">
        <f>C388+_xlfn.FORECAST.ETS.CONFINT(A388,$B$2:$B$369,$A$2:$A$369,0.95,1,1)</f>
        <v>5.4867066835904019</v>
      </c>
      <c r="F388" s="2">
        <f>MAX(SalesTbl[Order Date])+1</f>
        <v>45295</v>
      </c>
      <c r="G388" s="2">
        <f t="shared" ref="G388:G451" si="6">G387+1</f>
        <v>45681</v>
      </c>
      <c r="H388" s="7">
        <f>_xlfn.FORECAST.ETS(G388, SalesTbl[Quantity], SalesTbl[Order Date], 0, 1, 1)</f>
        <v>3.1797348348621539</v>
      </c>
    </row>
    <row r="389" spans="1:8" x14ac:dyDescent="0.25">
      <c r="A389" s="2">
        <v>45314</v>
      </c>
      <c r="C389">
        <f>_xlfn.FORECAST.ETS(A389,$B$2:$B$369,$A$2:$A$369,1,1)</f>
        <v>4.0733416506732718</v>
      </c>
      <c r="D389" s="19">
        <f>C389-_xlfn.FORECAST.ETS.CONFINT(A389,$B$2:$B$369,$A$2:$A$369,0.95,1,1)</f>
        <v>1.8111677307637946</v>
      </c>
      <c r="E389" s="19">
        <f>C389+_xlfn.FORECAST.ETS.CONFINT(A389,$B$2:$B$369,$A$2:$A$369,0.95,1,1)</f>
        <v>6.3355155705827491</v>
      </c>
      <c r="F389" s="2">
        <f>MAX(SalesTbl[Order Date])+1</f>
        <v>45295</v>
      </c>
      <c r="G389" s="2">
        <f t="shared" si="6"/>
        <v>45682</v>
      </c>
      <c r="H389" s="7">
        <f>_xlfn.FORECAST.ETS(G389, SalesTbl[Quantity], SalesTbl[Order Date], 0, 1, 1)</f>
        <v>3.1801992659599931</v>
      </c>
    </row>
    <row r="390" spans="1:8" x14ac:dyDescent="0.25">
      <c r="A390" s="2">
        <v>45315</v>
      </c>
      <c r="C390">
        <f>_xlfn.FORECAST.ETS(A390,$B$2:$B$369,$A$2:$A$369,1,1)</f>
        <v>3.138113383951763</v>
      </c>
      <c r="D390" s="19">
        <f>C390-_xlfn.FORECAST.ETS.CONFINT(A390,$B$2:$B$369,$A$2:$A$369,0.95,1,1)</f>
        <v>0.85817610201276473</v>
      </c>
      <c r="E390" s="19">
        <f>C390+_xlfn.FORECAST.ETS.CONFINT(A390,$B$2:$B$369,$A$2:$A$369,0.95,1,1)</f>
        <v>5.4180506658907612</v>
      </c>
      <c r="F390" s="2">
        <f>MAX(SalesTbl[Order Date])+1</f>
        <v>45295</v>
      </c>
      <c r="G390" s="2">
        <f t="shared" si="6"/>
        <v>45683</v>
      </c>
      <c r="H390" s="7">
        <f>_xlfn.FORECAST.ETS(G390, SalesTbl[Quantity], SalesTbl[Order Date], 0, 1, 1)</f>
        <v>3.1806636970578239</v>
      </c>
    </row>
    <row r="391" spans="1:8" x14ac:dyDescent="0.25">
      <c r="A391" s="2">
        <v>45316</v>
      </c>
      <c r="C391">
        <f>_xlfn.FORECAST.ETS(A391,$B$2:$B$369,$A$2:$A$369,1,1)</f>
        <v>3.2517552688941938</v>
      </c>
      <c r="D391" s="19">
        <f>C391-_xlfn.FORECAST.ETS.CONFINT(A391,$B$2:$B$369,$A$2:$A$369,0.95,1,1)</f>
        <v>0.9539506189782001</v>
      </c>
      <c r="E391" s="19">
        <f>C391+_xlfn.FORECAST.ETS.CONFINT(A391,$B$2:$B$369,$A$2:$A$369,0.95,1,1)</f>
        <v>5.5495599188101874</v>
      </c>
      <c r="F391" s="2">
        <f>MAX(SalesTbl[Order Date])+1</f>
        <v>45295</v>
      </c>
      <c r="G391" s="2">
        <f t="shared" si="6"/>
        <v>45684</v>
      </c>
      <c r="H391" s="7">
        <f>_xlfn.FORECAST.ETS(G391, SalesTbl[Quantity], SalesTbl[Order Date], 0, 1, 1)</f>
        <v>3.1811281281556631</v>
      </c>
    </row>
    <row r="392" spans="1:8" x14ac:dyDescent="0.25">
      <c r="A392" s="2">
        <v>45317</v>
      </c>
      <c r="C392">
        <f>_xlfn.FORECAST.ETS(A392,$B$2:$B$369,$A$2:$A$369,1,1)</f>
        <v>4.1149807831691643</v>
      </c>
      <c r="D392" s="19">
        <f>C392-_xlfn.FORECAST.ETS.CONFINT(A392,$B$2:$B$369,$A$2:$A$369,0.95,1,1)</f>
        <v>1.7992055322182656</v>
      </c>
      <c r="E392" s="19">
        <f>C392+_xlfn.FORECAST.ETS.CONFINT(A392,$B$2:$B$369,$A$2:$A$369,0.95,1,1)</f>
        <v>6.4307560341200629</v>
      </c>
      <c r="F392" s="2">
        <f>MAX(SalesTbl[Order Date])+1</f>
        <v>45295</v>
      </c>
      <c r="G392" s="2">
        <f t="shared" si="6"/>
        <v>45685</v>
      </c>
      <c r="H392" s="7">
        <f>_xlfn.FORECAST.ETS(G392, SalesTbl[Quantity], SalesTbl[Order Date], 0, 1, 1)</f>
        <v>3.1815925592534939</v>
      </c>
    </row>
    <row r="393" spans="1:8" x14ac:dyDescent="0.25">
      <c r="A393" s="2">
        <v>45318</v>
      </c>
      <c r="C393">
        <f>_xlfn.FORECAST.ETS(A393,$B$2:$B$369,$A$2:$A$369,1,1)</f>
        <v>4.1470793294452548</v>
      </c>
      <c r="D393" s="19">
        <f>C393-_xlfn.FORECAST.ETS.CONFINT(A393,$B$2:$B$369,$A$2:$A$369,0.95,1,1)</f>
        <v>1.8132310072536941</v>
      </c>
      <c r="E393" s="19">
        <f>C393+_xlfn.FORECAST.ETS.CONFINT(A393,$B$2:$B$369,$A$2:$A$369,0.95,1,1)</f>
        <v>6.4809276516368151</v>
      </c>
      <c r="F393" s="2">
        <f>MAX(SalesTbl[Order Date])+1</f>
        <v>45295</v>
      </c>
      <c r="G393" s="2">
        <f t="shared" si="6"/>
        <v>45686</v>
      </c>
      <c r="H393" s="7">
        <f>_xlfn.FORECAST.ETS(G393, SalesTbl[Quantity], SalesTbl[Order Date], 0, 1, 1)</f>
        <v>3.1820569903513332</v>
      </c>
    </row>
    <row r="394" spans="1:8" x14ac:dyDescent="0.25">
      <c r="A394" s="2">
        <v>45319</v>
      </c>
      <c r="C394">
        <f>_xlfn.FORECAST.ETS(A394,$B$2:$B$369,$A$2:$A$369,1,1)</f>
        <v>3.9745605993538389</v>
      </c>
      <c r="D394" s="19">
        <f>C394-_xlfn.FORECAST.ETS.CONFINT(A394,$B$2:$B$369,$A$2:$A$369,0.95,1,1)</f>
        <v>1.622537488580452</v>
      </c>
      <c r="E394" s="19">
        <f>C394+_xlfn.FORECAST.ETS.CONFINT(A394,$B$2:$B$369,$A$2:$A$369,0.95,1,1)</f>
        <v>6.3265837101272258</v>
      </c>
      <c r="F394" s="2">
        <f>MAX(SalesTbl[Order Date])+1</f>
        <v>45295</v>
      </c>
      <c r="G394" s="2">
        <f t="shared" si="6"/>
        <v>45687</v>
      </c>
      <c r="H394" s="7">
        <f>_xlfn.FORECAST.ETS(G394, SalesTbl[Quantity], SalesTbl[Order Date], 0, 1, 1)</f>
        <v>3.1825214214491639</v>
      </c>
    </row>
    <row r="395" spans="1:8" x14ac:dyDescent="0.25">
      <c r="A395" s="2">
        <v>45320</v>
      </c>
      <c r="C395">
        <f>_xlfn.FORECAST.ETS(A395,$B$2:$B$369,$A$2:$A$369,1,1)</f>
        <v>4.7496973519607391</v>
      </c>
      <c r="D395" s="19">
        <f>C395-_xlfn.FORECAST.ETS.CONFINT(A395,$B$2:$B$369,$A$2:$A$369,0.95,1,1)</f>
        <v>2.3793984781978672</v>
      </c>
      <c r="E395" s="19">
        <f>C395+_xlfn.FORECAST.ETS.CONFINT(A395,$B$2:$B$369,$A$2:$A$369,0.95,1,1)</f>
        <v>7.1199962257236109</v>
      </c>
      <c r="F395" s="2">
        <f>MAX(SalesTbl[Order Date])+1</f>
        <v>45295</v>
      </c>
      <c r="G395" s="2">
        <f t="shared" si="6"/>
        <v>45688</v>
      </c>
      <c r="H395" s="7">
        <f>_xlfn.FORECAST.ETS(G395, SalesTbl[Quantity], SalesTbl[Order Date], 0, 1, 1)</f>
        <v>3.1829858525470036</v>
      </c>
    </row>
    <row r="396" spans="1:8" x14ac:dyDescent="0.25">
      <c r="A396" s="2">
        <v>45321</v>
      </c>
      <c r="C396">
        <f>_xlfn.FORECAST.ETS(A396,$B$2:$B$369,$A$2:$A$369,1,1)</f>
        <v>3.5928106864089537</v>
      </c>
      <c r="D396" s="19">
        <f>C396-_xlfn.FORECAST.ETS.CONFINT(A396,$B$2:$B$369,$A$2:$A$369,0.95,1,1)</f>
        <v>1.20413580831395</v>
      </c>
      <c r="E396" s="19">
        <f>C396+_xlfn.FORECAST.ETS.CONFINT(A396,$B$2:$B$369,$A$2:$A$369,0.95,1,1)</f>
        <v>5.9814855645039575</v>
      </c>
      <c r="F396" s="2">
        <f>MAX(SalesTbl[Order Date])+1</f>
        <v>45295</v>
      </c>
      <c r="G396" s="2">
        <f t="shared" si="6"/>
        <v>45689</v>
      </c>
      <c r="H396" s="7">
        <f>_xlfn.FORECAST.ETS(G396, SalesTbl[Quantity], SalesTbl[Order Date], 0, 1, 1)</f>
        <v>3.183450283644834</v>
      </c>
    </row>
    <row r="397" spans="1:8" x14ac:dyDescent="0.25">
      <c r="A397" s="2">
        <v>45322</v>
      </c>
      <c r="C397">
        <f>_xlfn.FORECAST.ETS(A397,$B$2:$B$369,$A$2:$A$369,1,1)</f>
        <v>4.4212662524045516</v>
      </c>
      <c r="D397" s="19">
        <f>C397-_xlfn.FORECAST.ETS.CONFINT(A397,$B$2:$B$369,$A$2:$A$369,0.95,1,1)</f>
        <v>2.0141158518995033</v>
      </c>
      <c r="E397" s="19">
        <f>C397+_xlfn.FORECAST.ETS.CONFINT(A397,$B$2:$B$369,$A$2:$A$369,0.95,1,1)</f>
        <v>6.8284166529096</v>
      </c>
      <c r="F397" s="2">
        <f>MAX(SalesTbl[Order Date])+1</f>
        <v>45295</v>
      </c>
      <c r="G397" s="2">
        <f t="shared" si="6"/>
        <v>45690</v>
      </c>
      <c r="H397" s="7">
        <f>_xlfn.FORECAST.ETS(G397, SalesTbl[Quantity], SalesTbl[Order Date], 0, 1, 1)</f>
        <v>3.1839147147426736</v>
      </c>
    </row>
    <row r="398" spans="1:8" x14ac:dyDescent="0.25">
      <c r="A398" s="2">
        <v>45323</v>
      </c>
      <c r="C398">
        <f>_xlfn.FORECAST.ETS(A398,$B$2:$B$369,$A$2:$A$369,1,1)</f>
        <v>4.3425161457723025</v>
      </c>
      <c r="D398" s="19">
        <f>C398-_xlfn.FORECAST.ETS.CONFINT(A398,$B$2:$B$369,$A$2:$A$369,0.95,1,1)</f>
        <v>1.9167914183171435</v>
      </c>
      <c r="E398" s="19">
        <f>C398+_xlfn.FORECAST.ETS.CONFINT(A398,$B$2:$B$369,$A$2:$A$369,0.95,1,1)</f>
        <v>6.7682408732274615</v>
      </c>
      <c r="F398" s="2">
        <f>MAX(SalesTbl[Order Date])+1</f>
        <v>45295</v>
      </c>
      <c r="G398" s="2">
        <f t="shared" si="6"/>
        <v>45691</v>
      </c>
      <c r="H398" s="7">
        <f>_xlfn.FORECAST.ETS(G398, SalesTbl[Quantity], SalesTbl[Order Date], 0, 1, 1)</f>
        <v>3.184379145840504</v>
      </c>
    </row>
    <row r="399" spans="1:8" x14ac:dyDescent="0.25">
      <c r="A399" s="2">
        <v>45324</v>
      </c>
      <c r="C399">
        <f>_xlfn.FORECAST.ETS(A399,$B$2:$B$369,$A$2:$A$369,1,1)</f>
        <v>4.8940401703682941</v>
      </c>
      <c r="D399" s="19">
        <f>C399-_xlfn.FORECAST.ETS.CONFINT(A399,$B$2:$B$369,$A$2:$A$369,0.95,1,1)</f>
        <v>2.4496430153120379</v>
      </c>
      <c r="E399" s="19">
        <f>C399+_xlfn.FORECAST.ETS.CONFINT(A399,$B$2:$B$369,$A$2:$A$369,0.95,1,1)</f>
        <v>7.3384373254245503</v>
      </c>
      <c r="F399" s="2">
        <f>MAX(SalesTbl[Order Date])+1</f>
        <v>45295</v>
      </c>
      <c r="G399" s="2">
        <f t="shared" si="6"/>
        <v>45692</v>
      </c>
      <c r="H399" s="7">
        <f>_xlfn.FORECAST.ETS(G399, SalesTbl[Quantity], SalesTbl[Order Date], 0, 1, 1)</f>
        <v>3.1848435769383436</v>
      </c>
    </row>
    <row r="400" spans="1:8" x14ac:dyDescent="0.25">
      <c r="A400" s="2">
        <v>45325</v>
      </c>
      <c r="C400">
        <f>_xlfn.FORECAST.ETS(A400,$B$2:$B$369,$A$2:$A$369,1,1)</f>
        <v>3.6888545277037195</v>
      </c>
      <c r="D400" s="19">
        <f>C400-_xlfn.FORECAST.ETS.CONFINT(A400,$B$2:$B$369,$A$2:$A$369,0.95,1,1)</f>
        <v>1.2256875387181321</v>
      </c>
      <c r="E400" s="19">
        <f>C400+_xlfn.FORECAST.ETS.CONFINT(A400,$B$2:$B$369,$A$2:$A$369,0.95,1,1)</f>
        <v>6.1520215166893069</v>
      </c>
      <c r="F400" s="2">
        <f>MAX(SalesTbl[Order Date])+1</f>
        <v>45295</v>
      </c>
      <c r="G400" s="2">
        <f t="shared" si="6"/>
        <v>45693</v>
      </c>
      <c r="H400" s="7">
        <f>_xlfn.FORECAST.ETS(G400, SalesTbl[Quantity], SalesTbl[Order Date], 0, 1, 1)</f>
        <v>3.185308008036174</v>
      </c>
    </row>
    <row r="401" spans="1:8" x14ac:dyDescent="0.25">
      <c r="A401" s="2">
        <v>45326</v>
      </c>
      <c r="C401">
        <f>_xlfn.FORECAST.ETS(A401,$B$2:$B$369,$A$2:$A$369,1,1)</f>
        <v>3.4658195099159004</v>
      </c>
      <c r="D401" s="19">
        <f>C401-_xlfn.FORECAST.ETS.CONFINT(A401,$B$2:$B$369,$A$2:$A$369,0.95,1,1)</f>
        <v>0.98378596551554676</v>
      </c>
      <c r="E401" s="19">
        <f>C401+_xlfn.FORECAST.ETS.CONFINT(A401,$B$2:$B$369,$A$2:$A$369,0.95,1,1)</f>
        <v>5.947853054316254</v>
      </c>
      <c r="F401" s="2">
        <f>MAX(SalesTbl[Order Date])+1</f>
        <v>45295</v>
      </c>
      <c r="G401" s="2">
        <f t="shared" si="6"/>
        <v>45694</v>
      </c>
      <c r="H401" s="7">
        <f>_xlfn.FORECAST.ETS(G401, SalesTbl[Quantity], SalesTbl[Order Date], 0, 1, 1)</f>
        <v>3.1857724391340136</v>
      </c>
    </row>
    <row r="402" spans="1:8" x14ac:dyDescent="0.25">
      <c r="A402" s="2">
        <v>45327</v>
      </c>
      <c r="C402">
        <f>_xlfn.FORECAST.ETS(A402,$B$2:$B$369,$A$2:$A$369,1,1)</f>
        <v>3.3184789473531069</v>
      </c>
      <c r="D402" s="19">
        <f>C402-_xlfn.FORECAST.ETS.CONFINT(A402,$B$2:$B$369,$A$2:$A$369,0.95,1,1)</f>
        <v>0.81748280150532437</v>
      </c>
      <c r="E402" s="19">
        <f>C402+_xlfn.FORECAST.ETS.CONFINT(A402,$B$2:$B$369,$A$2:$A$369,0.95,1,1)</f>
        <v>5.8194750932008894</v>
      </c>
      <c r="F402" s="2">
        <f>MAX(SalesTbl[Order Date])+1</f>
        <v>45295</v>
      </c>
      <c r="G402" s="2">
        <f t="shared" si="6"/>
        <v>45695</v>
      </c>
      <c r="H402" s="7">
        <f>_xlfn.FORECAST.ETS(G402, SalesTbl[Quantity], SalesTbl[Order Date], 0, 1, 1)</f>
        <v>3.1862368702318444</v>
      </c>
    </row>
    <row r="403" spans="1:8" x14ac:dyDescent="0.25">
      <c r="A403" s="2">
        <v>45328</v>
      </c>
      <c r="C403">
        <f>_xlfn.FORECAST.ETS(A403,$B$2:$B$369,$A$2:$A$369,1,1)</f>
        <v>3.250909060386959</v>
      </c>
      <c r="D403" s="19">
        <f>C403-_xlfn.FORECAST.ETS.CONFINT(A403,$B$2:$B$369,$A$2:$A$369,0.95,1,1)</f>
        <v>0.73085493321497985</v>
      </c>
      <c r="E403" s="19">
        <f>C403+_xlfn.FORECAST.ETS.CONFINT(A403,$B$2:$B$369,$A$2:$A$369,0.95,1,1)</f>
        <v>5.7709631875589382</v>
      </c>
      <c r="F403" s="2">
        <f>MAX(SalesTbl[Order Date])+1</f>
        <v>45295</v>
      </c>
      <c r="G403" s="2">
        <f t="shared" si="6"/>
        <v>45696</v>
      </c>
      <c r="H403" s="7">
        <f>_xlfn.FORECAST.ETS(G403, SalesTbl[Quantity], SalesTbl[Order Date], 0, 1, 1)</f>
        <v>3.1867013013296837</v>
      </c>
    </row>
    <row r="404" spans="1:8" x14ac:dyDescent="0.25">
      <c r="A404" s="2">
        <v>45329</v>
      </c>
      <c r="C404">
        <f>_xlfn.FORECAST.ETS(A404,$B$2:$B$369,$A$2:$A$369,1,1)</f>
        <v>3.2846100124235447</v>
      </c>
      <c r="D404" s="19">
        <f>C404-_xlfn.FORECAST.ETS.CONFINT(A404,$B$2:$B$369,$A$2:$A$369,0.95,1,1)</f>
        <v>0.74540318100564207</v>
      </c>
      <c r="E404" s="19">
        <f>C404+_xlfn.FORECAST.ETS.CONFINT(A404,$B$2:$B$369,$A$2:$A$369,0.95,1,1)</f>
        <v>5.8238168438414473</v>
      </c>
      <c r="F404" s="2">
        <f>MAX(SalesTbl[Order Date])+1</f>
        <v>45295</v>
      </c>
      <c r="G404" s="2">
        <f t="shared" si="6"/>
        <v>45697</v>
      </c>
      <c r="H404" s="7">
        <f>_xlfn.FORECAST.ETS(G404, SalesTbl[Quantity], SalesTbl[Order Date], 0, 1, 1)</f>
        <v>3.1871657324275144</v>
      </c>
    </row>
    <row r="405" spans="1:8" x14ac:dyDescent="0.25">
      <c r="A405" s="2">
        <v>45330</v>
      </c>
      <c r="C405">
        <f>_xlfn.FORECAST.ETS(A405,$B$2:$B$369,$A$2:$A$369,1,1)</f>
        <v>3.7010923730686827</v>
      </c>
      <c r="D405" s="19">
        <f>C405-_xlfn.FORECAST.ETS.CONFINT(A405,$B$2:$B$369,$A$2:$A$369,0.95,1,1)</f>
        <v>1.1426387623359258</v>
      </c>
      <c r="E405" s="19">
        <f>C405+_xlfn.FORECAST.ETS.CONFINT(A405,$B$2:$B$369,$A$2:$A$369,0.95,1,1)</f>
        <v>6.2595459838014396</v>
      </c>
      <c r="F405" s="2">
        <f>MAX(SalesTbl[Order Date])+1</f>
        <v>45295</v>
      </c>
      <c r="G405" s="2">
        <f t="shared" si="6"/>
        <v>45698</v>
      </c>
      <c r="H405" s="7">
        <f>_xlfn.FORECAST.ETS(G405, SalesTbl[Quantity], SalesTbl[Order Date], 0, 1, 1)</f>
        <v>3.1876301635253537</v>
      </c>
    </row>
    <row r="406" spans="1:8" x14ac:dyDescent="0.25">
      <c r="A406" s="2">
        <v>45331</v>
      </c>
      <c r="C406">
        <f>_xlfn.FORECAST.ETS(A406,$B$2:$B$369,$A$2:$A$369,1,1)</f>
        <v>4.131739142204669</v>
      </c>
      <c r="D406" s="19">
        <f>C406-_xlfn.FORECAST.ETS.CONFINT(A406,$B$2:$B$369,$A$2:$A$369,0.95,1,1)</f>
        <v>1.5539453159395618</v>
      </c>
      <c r="E406" s="19">
        <f>C406+_xlfn.FORECAST.ETS.CONFINT(A406,$B$2:$B$369,$A$2:$A$369,0.95,1,1)</f>
        <v>6.7095329684697766</v>
      </c>
      <c r="F406" s="2">
        <f>MAX(SalesTbl[Order Date])+1</f>
        <v>45295</v>
      </c>
      <c r="G406" s="2">
        <f t="shared" si="6"/>
        <v>45699</v>
      </c>
      <c r="H406" s="7">
        <f>_xlfn.FORECAST.ETS(G406, SalesTbl[Quantity], SalesTbl[Order Date], 0, 1, 1)</f>
        <v>3.1880945946231845</v>
      </c>
    </row>
    <row r="407" spans="1:8" x14ac:dyDescent="0.25">
      <c r="A407" s="2">
        <v>45332</v>
      </c>
      <c r="C407">
        <f>_xlfn.FORECAST.ETS(A407,$B$2:$B$369,$A$2:$A$369,1,1)</f>
        <v>3.2749988449302081</v>
      </c>
      <c r="D407" s="19">
        <f>C407-_xlfn.FORECAST.ETS.CONFINT(A407,$B$2:$B$369,$A$2:$A$369,0.95,1,1)</f>
        <v>0.67777199686822742</v>
      </c>
      <c r="E407" s="19">
        <f>C407+_xlfn.FORECAST.ETS.CONFINT(A407,$B$2:$B$369,$A$2:$A$369,0.95,1,1)</f>
        <v>5.8722256929921883</v>
      </c>
      <c r="F407" s="2">
        <f>MAX(SalesTbl[Order Date])+1</f>
        <v>45295</v>
      </c>
      <c r="G407" s="2">
        <f t="shared" si="6"/>
        <v>45700</v>
      </c>
      <c r="H407" s="7">
        <f>_xlfn.FORECAST.ETS(G407, SalesTbl[Quantity], SalesTbl[Order Date], 0, 1, 1)</f>
        <v>3.1885590257210237</v>
      </c>
    </row>
    <row r="408" spans="1:8" x14ac:dyDescent="0.25">
      <c r="A408" s="2">
        <v>45333</v>
      </c>
      <c r="C408">
        <f>_xlfn.FORECAST.ETS(A408,$B$2:$B$369,$A$2:$A$369,1,1)</f>
        <v>3.0855569710344746</v>
      </c>
      <c r="D408" s="19">
        <f>C408-_xlfn.FORECAST.ETS.CONFINT(A408,$B$2:$B$369,$A$2:$A$369,0.95,1,1)</f>
        <v>0.46880491607025698</v>
      </c>
      <c r="E408" s="19">
        <f>C408+_xlfn.FORECAST.ETS.CONFINT(A408,$B$2:$B$369,$A$2:$A$369,0.95,1,1)</f>
        <v>5.7023090259986926</v>
      </c>
      <c r="F408" s="2">
        <f>MAX(SalesTbl[Order Date])+1</f>
        <v>45295</v>
      </c>
      <c r="G408" s="2">
        <f t="shared" si="6"/>
        <v>45701</v>
      </c>
      <c r="H408" s="7">
        <f>_xlfn.FORECAST.ETS(G408, SalesTbl[Quantity], SalesTbl[Order Date], 0, 1, 1)</f>
        <v>3.1890234568188545</v>
      </c>
    </row>
    <row r="409" spans="1:8" x14ac:dyDescent="0.25">
      <c r="A409" s="2">
        <v>45334</v>
      </c>
      <c r="C409">
        <f>_xlfn.FORECAST.ETS(A409,$B$2:$B$369,$A$2:$A$369,1,1)</f>
        <v>3.2795822557026688</v>
      </c>
      <c r="D409" s="19">
        <f>C409-_xlfn.FORECAST.ETS.CONFINT(A409,$B$2:$B$369,$A$2:$A$369,0.95,1,1)</f>
        <v>0.64321342120235903</v>
      </c>
      <c r="E409" s="19">
        <f>C409+_xlfn.FORECAST.ETS.CONFINT(A409,$B$2:$B$369,$A$2:$A$369,0.95,1,1)</f>
        <v>5.915951090202979</v>
      </c>
      <c r="F409" s="2">
        <f>MAX(SalesTbl[Order Date])+1</f>
        <v>45295</v>
      </c>
      <c r="G409" s="2">
        <f t="shared" si="6"/>
        <v>45702</v>
      </c>
      <c r="H409" s="7">
        <f>_xlfn.FORECAST.ETS(G409, SalesTbl[Quantity], SalesTbl[Order Date], 0, 1, 1)</f>
        <v>3.1894878879166937</v>
      </c>
    </row>
    <row r="410" spans="1:8" x14ac:dyDescent="0.25">
      <c r="A410" s="2">
        <v>45335</v>
      </c>
      <c r="C410">
        <f>_xlfn.FORECAST.ETS(A410,$B$2:$B$369,$A$2:$A$369,1,1)</f>
        <v>2.4477972561483154</v>
      </c>
      <c r="D410" s="19">
        <f>C410-_xlfn.FORECAST.ETS.CONFINT(A410,$B$2:$B$369,$A$2:$A$369,0.95,1,1)</f>
        <v>-0.20827932663064042</v>
      </c>
      <c r="E410" s="19">
        <f>C410+_xlfn.FORECAST.ETS.CONFINT(A410,$B$2:$B$369,$A$2:$A$369,0.95,1,1)</f>
        <v>5.1038738389272709</v>
      </c>
      <c r="F410" s="2">
        <f>MAX(SalesTbl[Order Date])+1</f>
        <v>45295</v>
      </c>
      <c r="G410" s="2">
        <f t="shared" si="6"/>
        <v>45703</v>
      </c>
      <c r="H410" s="7">
        <f>_xlfn.FORECAST.ETS(G410, SalesTbl[Quantity], SalesTbl[Order Date], 0, 1, 1)</f>
        <v>3.1899523190145245</v>
      </c>
    </row>
    <row r="411" spans="1:8" x14ac:dyDescent="0.25">
      <c r="A411" s="2">
        <v>45336</v>
      </c>
      <c r="C411">
        <f>_xlfn.FORECAST.ETS(A411,$B$2:$B$369,$A$2:$A$369,1,1)</f>
        <v>2.609829969254243</v>
      </c>
      <c r="D411" s="19">
        <f>C411-_xlfn.FORECAST.ETS.CONFINT(A411,$B$2:$B$369,$A$2:$A$369,0.95,1,1)</f>
        <v>-6.6044735126301379E-2</v>
      </c>
      <c r="E411" s="19">
        <f>C411+_xlfn.FORECAST.ETS.CONFINT(A411,$B$2:$B$369,$A$2:$A$369,0.95,1,1)</f>
        <v>5.2857046736347879</v>
      </c>
      <c r="F411" s="2">
        <f>MAX(SalesTbl[Order Date])+1</f>
        <v>45295</v>
      </c>
      <c r="G411" s="2">
        <f t="shared" si="6"/>
        <v>45704</v>
      </c>
      <c r="H411" s="7">
        <f>_xlfn.FORECAST.ETS(G411, SalesTbl[Quantity], SalesTbl[Order Date], 0, 1, 1)</f>
        <v>3.1904167501123641</v>
      </c>
    </row>
    <row r="412" spans="1:8" x14ac:dyDescent="0.25">
      <c r="A412" s="2">
        <v>45337</v>
      </c>
      <c r="C412">
        <f>_xlfn.FORECAST.ETS(A412,$B$2:$B$369,$A$2:$A$369,1,1)</f>
        <v>3.2250669306454633</v>
      </c>
      <c r="D412" s="19">
        <f>C412-_xlfn.FORECAST.ETS.CONFINT(A412,$B$2:$B$369,$A$2:$A$369,0.95,1,1)</f>
        <v>0.52930431839770264</v>
      </c>
      <c r="E412" s="19">
        <f>C412+_xlfn.FORECAST.ETS.CONFINT(A412,$B$2:$B$369,$A$2:$A$369,0.95,1,1)</f>
        <v>5.9208295428932241</v>
      </c>
      <c r="F412" s="2">
        <f>MAX(SalesTbl[Order Date])+1</f>
        <v>45295</v>
      </c>
      <c r="G412" s="2">
        <f t="shared" si="6"/>
        <v>45705</v>
      </c>
      <c r="H412" s="7">
        <f>_xlfn.FORECAST.ETS(G412, SalesTbl[Quantity], SalesTbl[Order Date], 0, 1, 1)</f>
        <v>3.1908811812101945</v>
      </c>
    </row>
    <row r="413" spans="1:8" x14ac:dyDescent="0.25">
      <c r="A413" s="2">
        <v>45338</v>
      </c>
      <c r="C413">
        <f>_xlfn.FORECAST.ETS(A413,$B$2:$B$369,$A$2:$A$369,1,1)</f>
        <v>3.6528752948226089</v>
      </c>
      <c r="D413" s="19">
        <f>C413-_xlfn.FORECAST.ETS.CONFINT(A413,$B$2:$B$369,$A$2:$A$369,0.95,1,1)</f>
        <v>0.93713556724709557</v>
      </c>
      <c r="E413" s="19">
        <f>C413+_xlfn.FORECAST.ETS.CONFINT(A413,$B$2:$B$369,$A$2:$A$369,0.95,1,1)</f>
        <v>6.3686150223981226</v>
      </c>
      <c r="F413" s="2">
        <f>MAX(SalesTbl[Order Date])+1</f>
        <v>45295</v>
      </c>
      <c r="G413" s="2">
        <f t="shared" si="6"/>
        <v>45706</v>
      </c>
      <c r="H413" s="7">
        <f>_xlfn.FORECAST.ETS(G413, SalesTbl[Quantity], SalesTbl[Order Date], 0, 1, 1)</f>
        <v>3.1913456123080342</v>
      </c>
    </row>
    <row r="414" spans="1:8" x14ac:dyDescent="0.25">
      <c r="A414" s="2">
        <v>45339</v>
      </c>
      <c r="C414">
        <f>_xlfn.FORECAST.ETS(A414,$B$2:$B$369,$A$2:$A$369,1,1)</f>
        <v>2.7233939316522497</v>
      </c>
      <c r="D414" s="19">
        <f>C414-_xlfn.FORECAST.ETS.CONFINT(A414,$B$2:$B$369,$A$2:$A$369,0.95,1,1)</f>
        <v>-1.2411548048085752E-2</v>
      </c>
      <c r="E414" s="19">
        <f>C414+_xlfn.FORECAST.ETS.CONFINT(A414,$B$2:$B$369,$A$2:$A$369,0.95,1,1)</f>
        <v>5.4591994113525857</v>
      </c>
      <c r="F414" s="2">
        <f>MAX(SalesTbl[Order Date])+1</f>
        <v>45295</v>
      </c>
      <c r="G414" s="2">
        <f t="shared" si="6"/>
        <v>45707</v>
      </c>
      <c r="H414" s="7">
        <f>_xlfn.FORECAST.ETS(G414, SalesTbl[Quantity], SalesTbl[Order Date], 0, 1, 1)</f>
        <v>3.1918100434058645</v>
      </c>
    </row>
    <row r="415" spans="1:8" x14ac:dyDescent="0.25">
      <c r="A415" s="2">
        <v>45340</v>
      </c>
      <c r="C415">
        <f>_xlfn.FORECAST.ETS(A415,$B$2:$B$369,$A$2:$A$369,1,1)</f>
        <v>3.572306763661155</v>
      </c>
      <c r="D415" s="19">
        <f>C415-_xlfn.FORECAST.ETS.CONFINT(A415,$B$2:$B$369,$A$2:$A$369,0.95,1,1)</f>
        <v>0.8163474576717098</v>
      </c>
      <c r="E415" s="19">
        <f>C415+_xlfn.FORECAST.ETS.CONFINT(A415,$B$2:$B$369,$A$2:$A$369,0.95,1,1)</f>
        <v>6.3282660696506001</v>
      </c>
      <c r="F415" s="2">
        <f>MAX(SalesTbl[Order Date])+1</f>
        <v>45295</v>
      </c>
      <c r="G415" s="2">
        <f t="shared" si="6"/>
        <v>45708</v>
      </c>
      <c r="H415" s="7">
        <f>_xlfn.FORECAST.ETS(G415, SalesTbl[Quantity], SalesTbl[Order Date], 0, 1, 1)</f>
        <v>3.1922744745037042</v>
      </c>
    </row>
    <row r="416" spans="1:8" x14ac:dyDescent="0.25">
      <c r="A416" s="2">
        <v>45341</v>
      </c>
      <c r="C416">
        <f>_xlfn.FORECAST.ETS(A416,$B$2:$B$369,$A$2:$A$369,1,1)</f>
        <v>3.4970431220175078</v>
      </c>
      <c r="D416" s="19">
        <f>C416-_xlfn.FORECAST.ETS.CONFINT(A416,$B$2:$B$369,$A$2:$A$369,0.95,1,1)</f>
        <v>0.72084247028791726</v>
      </c>
      <c r="E416" s="19">
        <f>C416+_xlfn.FORECAST.ETS.CONFINT(A416,$B$2:$B$369,$A$2:$A$369,0.95,1,1)</f>
        <v>6.2732437737470983</v>
      </c>
      <c r="F416" s="2">
        <f>MAX(SalesTbl[Order Date])+1</f>
        <v>45295</v>
      </c>
      <c r="G416" s="2">
        <f t="shared" si="6"/>
        <v>45709</v>
      </c>
      <c r="H416" s="7">
        <f>_xlfn.FORECAST.ETS(G416, SalesTbl[Quantity], SalesTbl[Order Date], 0, 1, 1)</f>
        <v>3.1927389056015345</v>
      </c>
    </row>
    <row r="417" spans="1:8" x14ac:dyDescent="0.25">
      <c r="A417" s="2">
        <v>45342</v>
      </c>
      <c r="C417">
        <f>_xlfn.FORECAST.ETS(A417,$B$2:$B$369,$A$2:$A$369,1,1)</f>
        <v>3.7211590531110437</v>
      </c>
      <c r="D417" s="19">
        <f>C417-_xlfn.FORECAST.ETS.CONFINT(A417,$B$2:$B$369,$A$2:$A$369,0.95,1,1)</f>
        <v>0.92463008309519701</v>
      </c>
      <c r="E417" s="19">
        <f>C417+_xlfn.FORECAST.ETS.CONFINT(A417,$B$2:$B$369,$A$2:$A$369,0.95,1,1)</f>
        <v>6.5176880231268903</v>
      </c>
      <c r="F417" s="2">
        <f>MAX(SalesTbl[Order Date])+1</f>
        <v>45295</v>
      </c>
      <c r="G417" s="2">
        <f t="shared" si="6"/>
        <v>45710</v>
      </c>
      <c r="H417" s="7">
        <f>_xlfn.FORECAST.ETS(G417, SalesTbl[Quantity], SalesTbl[Order Date], 0, 1, 1)</f>
        <v>3.1932033366993742</v>
      </c>
    </row>
    <row r="418" spans="1:8" x14ac:dyDescent="0.25">
      <c r="A418" s="2">
        <v>45343</v>
      </c>
      <c r="C418">
        <f>_xlfn.FORECAST.ETS(A418,$B$2:$B$369,$A$2:$A$369,1,1)</f>
        <v>2.4954729719295456</v>
      </c>
      <c r="D418" s="19">
        <f>C418-_xlfn.FORECAST.ETS.CONFINT(A418,$B$2:$B$369,$A$2:$A$369,0.95,1,1)</f>
        <v>-0.32147074971092371</v>
      </c>
      <c r="E418" s="19">
        <f>C418+_xlfn.FORECAST.ETS.CONFINT(A418,$B$2:$B$369,$A$2:$A$369,0.95,1,1)</f>
        <v>5.3124166935700146</v>
      </c>
      <c r="F418" s="2">
        <f>MAX(SalesTbl[Order Date])+1</f>
        <v>45295</v>
      </c>
      <c r="G418" s="2">
        <f t="shared" si="6"/>
        <v>45711</v>
      </c>
      <c r="H418" s="7">
        <f>_xlfn.FORECAST.ETS(G418, SalesTbl[Quantity], SalesTbl[Order Date], 0, 1, 1)</f>
        <v>3.1936677677972045</v>
      </c>
    </row>
    <row r="419" spans="1:8" x14ac:dyDescent="0.25">
      <c r="A419" s="2">
        <v>45344</v>
      </c>
      <c r="C419">
        <f>_xlfn.FORECAST.ETS(A419,$B$2:$B$369,$A$2:$A$369,1,1)</f>
        <v>3.8473553812129286</v>
      </c>
      <c r="D419" s="19">
        <f>C419-_xlfn.FORECAST.ETS.CONFINT(A419,$B$2:$B$369,$A$2:$A$369,0.95,1,1)</f>
        <v>1.0099110062309875</v>
      </c>
      <c r="E419" s="19">
        <f>C419+_xlfn.FORECAST.ETS.CONFINT(A419,$B$2:$B$369,$A$2:$A$369,0.95,1,1)</f>
        <v>6.6847997561948702</v>
      </c>
      <c r="F419" s="2">
        <f>MAX(SalesTbl[Order Date])+1</f>
        <v>45295</v>
      </c>
      <c r="G419" s="2">
        <f t="shared" si="6"/>
        <v>45712</v>
      </c>
      <c r="H419" s="7">
        <f>_xlfn.FORECAST.ETS(G419, SalesTbl[Quantity], SalesTbl[Order Date], 0, 1, 1)</f>
        <v>3.1941321988950442</v>
      </c>
    </row>
    <row r="420" spans="1:8" x14ac:dyDescent="0.25">
      <c r="A420" s="2">
        <v>45345</v>
      </c>
      <c r="C420">
        <f>_xlfn.FORECAST.ETS(A420,$B$2:$B$369,$A$2:$A$369,1,1)</f>
        <v>3.6475177063093884</v>
      </c>
      <c r="D420" s="19">
        <f>C420-_xlfn.FORECAST.ETS.CONFINT(A420,$B$2:$B$369,$A$2:$A$369,0.95,1,1)</f>
        <v>0.78948730041506465</v>
      </c>
      <c r="E420" s="19">
        <f>C420+_xlfn.FORECAST.ETS.CONFINT(A420,$B$2:$B$369,$A$2:$A$369,0.95,1,1)</f>
        <v>6.5055481122037122</v>
      </c>
      <c r="F420" s="2">
        <f>MAX(SalesTbl[Order Date])+1</f>
        <v>45295</v>
      </c>
      <c r="G420" s="2">
        <f t="shared" si="6"/>
        <v>45713</v>
      </c>
      <c r="H420" s="7">
        <f>_xlfn.FORECAST.ETS(G420, SalesTbl[Quantity], SalesTbl[Order Date], 0, 1, 1)</f>
        <v>3.194596629992875</v>
      </c>
    </row>
    <row r="421" spans="1:8" x14ac:dyDescent="0.25">
      <c r="A421" s="2">
        <v>45346</v>
      </c>
      <c r="C421">
        <f>_xlfn.FORECAST.ETS(A421,$B$2:$B$369,$A$2:$A$369,1,1)</f>
        <v>3.2546598083695941</v>
      </c>
      <c r="D421" s="19">
        <f>C421-_xlfn.FORECAST.ETS.CONFINT(A421,$B$2:$B$369,$A$2:$A$369,0.95,1,1)</f>
        <v>0.37595851077259423</v>
      </c>
      <c r="E421" s="19">
        <f>C421+_xlfn.FORECAST.ETS.CONFINT(A421,$B$2:$B$369,$A$2:$A$369,0.95,1,1)</f>
        <v>6.1333611059665945</v>
      </c>
      <c r="F421" s="2">
        <f>MAX(SalesTbl[Order Date])+1</f>
        <v>45295</v>
      </c>
      <c r="G421" s="2">
        <f t="shared" si="6"/>
        <v>45714</v>
      </c>
      <c r="H421" s="7">
        <f>_xlfn.FORECAST.ETS(G421, SalesTbl[Quantity], SalesTbl[Order Date], 0, 1, 1)</f>
        <v>3.1950610610907142</v>
      </c>
    </row>
    <row r="422" spans="1:8" x14ac:dyDescent="0.25">
      <c r="A422" s="2">
        <v>45347</v>
      </c>
      <c r="C422">
        <f>_xlfn.FORECAST.ETS(A422,$B$2:$B$369,$A$2:$A$369,1,1)</f>
        <v>3.0344505161767161</v>
      </c>
      <c r="D422" s="19">
        <f>C422-_xlfn.FORECAST.ETS.CONFINT(A422,$B$2:$B$369,$A$2:$A$369,0.95,1,1)</f>
        <v>0.13499397561178306</v>
      </c>
      <c r="E422" s="19">
        <f>C422+_xlfn.FORECAST.ETS.CONFINT(A422,$B$2:$B$369,$A$2:$A$369,0.95,1,1)</f>
        <v>5.9339070567416492</v>
      </c>
      <c r="F422" s="2">
        <f>MAX(SalesTbl[Order Date])+1</f>
        <v>45295</v>
      </c>
      <c r="G422" s="2">
        <f t="shared" si="6"/>
        <v>45715</v>
      </c>
      <c r="H422" s="7">
        <f>_xlfn.FORECAST.ETS(G422, SalesTbl[Quantity], SalesTbl[Order Date], 0, 1, 1)</f>
        <v>3.195525492188545</v>
      </c>
    </row>
    <row r="423" spans="1:8" x14ac:dyDescent="0.25">
      <c r="A423" s="2">
        <v>45348</v>
      </c>
      <c r="C423">
        <f>_xlfn.FORECAST.ETS(A423,$B$2:$B$369,$A$2:$A$369,1,1)</f>
        <v>3.4603615293457115</v>
      </c>
      <c r="D423" s="19">
        <f>C423-_xlfn.FORECAST.ETS.CONFINT(A423,$B$2:$B$369,$A$2:$A$369,0.95,1,1)</f>
        <v>0.53983324987443426</v>
      </c>
      <c r="E423" s="19">
        <f>C423+_xlfn.FORECAST.ETS.CONFINT(A423,$B$2:$B$369,$A$2:$A$369,0.95,1,1)</f>
        <v>6.3808898088169883</v>
      </c>
      <c r="F423" s="2">
        <f>MAX(SalesTbl[Order Date])+1</f>
        <v>45295</v>
      </c>
      <c r="G423" s="2">
        <f t="shared" si="6"/>
        <v>45716</v>
      </c>
      <c r="H423" s="7">
        <f>_xlfn.FORECAST.ETS(G423, SalesTbl[Quantity], SalesTbl[Order Date], 0, 1, 1)</f>
        <v>3.1959899232863842</v>
      </c>
    </row>
    <row r="424" spans="1:8" x14ac:dyDescent="0.25">
      <c r="A424" s="2">
        <v>45349</v>
      </c>
      <c r="C424">
        <f>_xlfn.FORECAST.ETS(A424,$B$2:$B$369,$A$2:$A$369,1,1)</f>
        <v>3.4347191911870922</v>
      </c>
      <c r="D424" s="19">
        <f>C424-_xlfn.FORECAST.ETS.CONFINT(A424,$B$2:$B$369,$A$2:$A$369,0.95,1,1)</f>
        <v>0.49327012112686885</v>
      </c>
      <c r="E424" s="19">
        <f>C424+_xlfn.FORECAST.ETS.CONFINT(A424,$B$2:$B$369,$A$2:$A$369,0.95,1,1)</f>
        <v>6.3761682612473152</v>
      </c>
      <c r="F424" s="2">
        <f>MAX(SalesTbl[Order Date])+1</f>
        <v>45295</v>
      </c>
      <c r="G424" s="2">
        <f t="shared" si="6"/>
        <v>45717</v>
      </c>
      <c r="H424" s="7">
        <f>_xlfn.FORECAST.ETS(G424, SalesTbl[Quantity], SalesTbl[Order Date], 0, 1, 1)</f>
        <v>3.196454354384215</v>
      </c>
    </row>
    <row r="425" spans="1:8" x14ac:dyDescent="0.25">
      <c r="A425" s="2">
        <v>45350</v>
      </c>
      <c r="C425">
        <f>_xlfn.FORECAST.ETS(A425,$B$2:$B$369,$A$2:$A$369,1,1)</f>
        <v>3.142585354047128</v>
      </c>
      <c r="D425" s="19">
        <f>C425-_xlfn.FORECAST.ETS.CONFINT(A425,$B$2:$B$369,$A$2:$A$369,0.95,1,1)</f>
        <v>0.18013261130413571</v>
      </c>
      <c r="E425" s="19">
        <f>C425+_xlfn.FORECAST.ETS.CONFINT(A425,$B$2:$B$369,$A$2:$A$369,0.95,1,1)</f>
        <v>6.1050380967901203</v>
      </c>
      <c r="F425" s="2">
        <f>MAX(SalesTbl[Order Date])+1</f>
        <v>45295</v>
      </c>
      <c r="G425" s="2">
        <f t="shared" si="6"/>
        <v>45718</v>
      </c>
      <c r="H425" s="7">
        <f>_xlfn.FORECAST.ETS(G425, SalesTbl[Quantity], SalesTbl[Order Date], 0, 1, 1)</f>
        <v>3.1969187854820542</v>
      </c>
    </row>
    <row r="426" spans="1:8" x14ac:dyDescent="0.25">
      <c r="A426" s="2">
        <v>45351</v>
      </c>
      <c r="C426">
        <f>_xlfn.FORECAST.ETS(A426,$B$2:$B$369,$A$2:$A$369,1,1)</f>
        <v>2.773784614894248</v>
      </c>
      <c r="D426" s="19">
        <f>C426-_xlfn.FORECAST.ETS.CONFINT(A426,$B$2:$B$369,$A$2:$A$369,0.95,1,1)</f>
        <v>-0.20975420085308594</v>
      </c>
      <c r="E426" s="19">
        <f>C426+_xlfn.FORECAST.ETS.CONFINT(A426,$B$2:$B$369,$A$2:$A$369,0.95,1,1)</f>
        <v>5.7573234306415824</v>
      </c>
      <c r="F426" s="2">
        <f>MAX(SalesTbl[Order Date])+1</f>
        <v>45295</v>
      </c>
      <c r="G426" s="2">
        <f t="shared" si="6"/>
        <v>45719</v>
      </c>
      <c r="H426" s="7">
        <f>_xlfn.FORECAST.ETS(G426, SalesTbl[Quantity], SalesTbl[Order Date], 0, 1, 1)</f>
        <v>3.197383216579885</v>
      </c>
    </row>
    <row r="427" spans="1:8" x14ac:dyDescent="0.25">
      <c r="A427" s="2">
        <v>45352</v>
      </c>
      <c r="C427">
        <f>_xlfn.FORECAST.ETS(A427,$B$2:$B$369,$A$2:$A$369,1,1)</f>
        <v>4.0461366780379739</v>
      </c>
      <c r="D427" s="19">
        <f>C427-_xlfn.FORECAST.ETS.CONFINT(A427,$B$2:$B$369,$A$2:$A$369,0.95,1,1)</f>
        <v>1.041429864018959</v>
      </c>
      <c r="E427" s="19">
        <f>C427+_xlfn.FORECAST.ETS.CONFINT(A427,$B$2:$B$369,$A$2:$A$369,0.95,1,1)</f>
        <v>7.0508434920569893</v>
      </c>
      <c r="F427" s="2">
        <f>MAX(SalesTbl[Order Date])+1</f>
        <v>45295</v>
      </c>
      <c r="G427" s="2">
        <f t="shared" si="6"/>
        <v>45720</v>
      </c>
      <c r="H427" s="7">
        <f>_xlfn.FORECAST.ETS(G427, SalesTbl[Quantity], SalesTbl[Order Date], 0, 1, 1)</f>
        <v>3.1978476476777247</v>
      </c>
    </row>
    <row r="428" spans="1:8" x14ac:dyDescent="0.25">
      <c r="A428" s="2">
        <v>45353</v>
      </c>
      <c r="C428">
        <f>_xlfn.FORECAST.ETS(A428,$B$2:$B$369,$A$2:$A$369,1,1)</f>
        <v>2.9412194056966818</v>
      </c>
      <c r="D428" s="19">
        <f>C428-_xlfn.FORECAST.ETS.CONFINT(A428,$B$2:$B$369,$A$2:$A$369,0.95,1,1)</f>
        <v>-8.473686342006248E-2</v>
      </c>
      <c r="E428" s="19">
        <f>C428+_xlfn.FORECAST.ETS.CONFINT(A428,$B$2:$B$369,$A$2:$A$369,0.95,1,1)</f>
        <v>5.9671756748134257</v>
      </c>
      <c r="F428" s="2">
        <f>MAX(SalesTbl[Order Date])+1</f>
        <v>45295</v>
      </c>
      <c r="G428" s="2">
        <f t="shared" si="6"/>
        <v>45721</v>
      </c>
      <c r="H428" s="7">
        <f>_xlfn.FORECAST.ETS(G428, SalesTbl[Quantity], SalesTbl[Order Date], 0, 1, 1)</f>
        <v>3.198312078775555</v>
      </c>
    </row>
    <row r="429" spans="1:8" x14ac:dyDescent="0.25">
      <c r="A429" s="2">
        <v>45354</v>
      </c>
      <c r="C429">
        <f>_xlfn.FORECAST.ETS(A429,$B$2:$B$369,$A$2:$A$369,1,1)</f>
        <v>3.9127499642648651</v>
      </c>
      <c r="D429" s="19">
        <f>C429-_xlfn.FORECAST.ETS.CONFINT(A429,$B$2:$B$369,$A$2:$A$369,0.95,1,1)</f>
        <v>0.86546324515679096</v>
      </c>
      <c r="E429" s="19">
        <f>C429+_xlfn.FORECAST.ETS.CONFINT(A429,$B$2:$B$369,$A$2:$A$369,0.95,1,1)</f>
        <v>6.9600366833729392</v>
      </c>
      <c r="F429" s="2">
        <f>MAX(SalesTbl[Order Date])+1</f>
        <v>45295</v>
      </c>
      <c r="G429" s="2">
        <f t="shared" si="6"/>
        <v>45722</v>
      </c>
      <c r="H429" s="7">
        <f>_xlfn.FORECAST.ETS(G429, SalesTbl[Quantity], SalesTbl[Order Date], 0, 1, 1)</f>
        <v>3.1987765098733947</v>
      </c>
    </row>
    <row r="430" spans="1:8" x14ac:dyDescent="0.25">
      <c r="A430" s="2">
        <v>45355</v>
      </c>
      <c r="C430">
        <f>_xlfn.FORECAST.ETS(A430,$B$2:$B$369,$A$2:$A$369,1,1)</f>
        <v>2.9147308576961732</v>
      </c>
      <c r="D430" s="19">
        <f>C430-_xlfn.FORECAST.ETS.CONFINT(A430,$B$2:$B$369,$A$2:$A$369,0.95,1,1)</f>
        <v>-0.15396685077014594</v>
      </c>
      <c r="E430" s="19">
        <f>C430+_xlfn.FORECAST.ETS.CONFINT(A430,$B$2:$B$369,$A$2:$A$369,0.95,1,1)</f>
        <v>5.9834285661624929</v>
      </c>
      <c r="F430" s="2">
        <f>MAX(SalesTbl[Order Date])+1</f>
        <v>45295</v>
      </c>
      <c r="G430" s="2">
        <f t="shared" si="6"/>
        <v>45723</v>
      </c>
      <c r="H430" s="7">
        <f>_xlfn.FORECAST.ETS(G430, SalesTbl[Quantity], SalesTbl[Order Date], 0, 1, 1)</f>
        <v>3.199240940971225</v>
      </c>
    </row>
    <row r="431" spans="1:8" x14ac:dyDescent="0.25">
      <c r="A431" s="2">
        <v>45356</v>
      </c>
      <c r="C431">
        <f>_xlfn.FORECAST.ETS(A431,$B$2:$B$369,$A$2:$A$369,1,1)</f>
        <v>3.5000720151236573</v>
      </c>
      <c r="D431" s="19">
        <f>C431-_xlfn.FORECAST.ETS.CONFINT(A431,$B$2:$B$369,$A$2:$A$369,0.95,1,1)</f>
        <v>0.40988322715511982</v>
      </c>
      <c r="E431" s="19">
        <f>C431+_xlfn.FORECAST.ETS.CONFINT(A431,$B$2:$B$369,$A$2:$A$369,0.95,1,1)</f>
        <v>6.5902608030921943</v>
      </c>
      <c r="F431" s="2">
        <f>MAX(SalesTbl[Order Date])+1</f>
        <v>45295</v>
      </c>
      <c r="G431" s="2">
        <f t="shared" si="6"/>
        <v>45724</v>
      </c>
      <c r="H431" s="7">
        <f>_xlfn.FORECAST.ETS(G431, SalesTbl[Quantity], SalesTbl[Order Date], 0, 1, 1)</f>
        <v>3.1997053720690647</v>
      </c>
    </row>
    <row r="432" spans="1:8" x14ac:dyDescent="0.25">
      <c r="A432" s="2">
        <v>45357</v>
      </c>
      <c r="C432">
        <f>_xlfn.FORECAST.ETS(A432,$B$2:$B$369,$A$2:$A$369,1,1)</f>
        <v>3.9629840088097263</v>
      </c>
      <c r="D432" s="19">
        <f>C432-_xlfn.FORECAST.ETS.CONFINT(A432,$B$2:$B$369,$A$2:$A$369,0.95,1,1)</f>
        <v>0.85122449421511792</v>
      </c>
      <c r="E432" s="19">
        <f>C432+_xlfn.FORECAST.ETS.CONFINT(A432,$B$2:$B$369,$A$2:$A$369,0.95,1,1)</f>
        <v>7.0747435234043348</v>
      </c>
      <c r="F432" s="2">
        <f>MAX(SalesTbl[Order Date])+1</f>
        <v>45295</v>
      </c>
      <c r="G432" s="2">
        <f t="shared" si="6"/>
        <v>45725</v>
      </c>
      <c r="H432" s="7">
        <f>_xlfn.FORECAST.ETS(G432, SalesTbl[Quantity], SalesTbl[Order Date], 0, 1, 1)</f>
        <v>3.200169803166895</v>
      </c>
    </row>
    <row r="433" spans="1:8" x14ac:dyDescent="0.25">
      <c r="A433" s="2">
        <v>45358</v>
      </c>
      <c r="C433">
        <f>_xlfn.FORECAST.ETS(A433,$B$2:$B$369,$A$2:$A$369,1,1)</f>
        <v>3.4411891936209682</v>
      </c>
      <c r="D433" s="19">
        <f>C433-_xlfn.FORECAST.ETS.CONFINT(A433,$B$2:$B$369,$A$2:$A$369,0.95,1,1)</f>
        <v>0.30777974219352178</v>
      </c>
      <c r="E433" s="19">
        <f>C433+_xlfn.FORECAST.ETS.CONFINT(A433,$B$2:$B$369,$A$2:$A$369,0.95,1,1)</f>
        <v>6.5745986450484146</v>
      </c>
      <c r="F433" s="2">
        <f>MAX(SalesTbl[Order Date])+1</f>
        <v>45295</v>
      </c>
      <c r="G433" s="2">
        <f t="shared" si="6"/>
        <v>45726</v>
      </c>
      <c r="H433" s="7">
        <f>_xlfn.FORECAST.ETS(G433, SalesTbl[Quantity], SalesTbl[Order Date], 0, 1, 1)</f>
        <v>3.2006342342647347</v>
      </c>
    </row>
    <row r="434" spans="1:8" x14ac:dyDescent="0.25">
      <c r="A434" s="2">
        <v>45359</v>
      </c>
      <c r="C434">
        <f>_xlfn.FORECAST.ETS(A434,$B$2:$B$369,$A$2:$A$369,1,1)</f>
        <v>3.9179898585127977</v>
      </c>
      <c r="D434" s="19">
        <f>C434-_xlfn.FORECAST.ETS.CONFINT(A434,$B$2:$B$369,$A$2:$A$369,0.95,1,1)</f>
        <v>0.76285169095842642</v>
      </c>
      <c r="E434" s="19">
        <f>C434+_xlfn.FORECAST.ETS.CONFINT(A434,$B$2:$B$369,$A$2:$A$369,0.95,1,1)</f>
        <v>7.0731280260671685</v>
      </c>
      <c r="F434" s="2">
        <f>MAX(SalesTbl[Order Date])+1</f>
        <v>45295</v>
      </c>
      <c r="G434" s="2">
        <f t="shared" si="6"/>
        <v>45727</v>
      </c>
      <c r="H434" s="7">
        <f>_xlfn.FORECAST.ETS(G434, SalesTbl[Quantity], SalesTbl[Order Date], 0, 1, 1)</f>
        <v>3.2010986653625655</v>
      </c>
    </row>
    <row r="435" spans="1:8" x14ac:dyDescent="0.25">
      <c r="A435" s="2">
        <v>45360</v>
      </c>
      <c r="C435">
        <f>_xlfn.FORECAST.ETS(A435,$B$2:$B$369,$A$2:$A$369,1,1)</f>
        <v>4.7749718318563303</v>
      </c>
      <c r="D435" s="19">
        <f>C435-_xlfn.FORECAST.ETS.CONFINT(A435,$B$2:$B$369,$A$2:$A$369,0.95,1,1)</f>
        <v>1.598026593886662</v>
      </c>
      <c r="E435" s="19">
        <f>C435+_xlfn.FORECAST.ETS.CONFINT(A435,$B$2:$B$369,$A$2:$A$369,0.95,1,1)</f>
        <v>7.9519170698259991</v>
      </c>
      <c r="F435" s="2">
        <f>MAX(SalesTbl[Order Date])+1</f>
        <v>45295</v>
      </c>
      <c r="G435" s="2">
        <f t="shared" si="6"/>
        <v>45728</v>
      </c>
      <c r="H435" s="7">
        <f>_xlfn.FORECAST.ETS(G435, SalesTbl[Quantity], SalesTbl[Order Date], 0, 1, 1)</f>
        <v>3.2015630964604047</v>
      </c>
    </row>
    <row r="436" spans="1:8" x14ac:dyDescent="0.25">
      <c r="A436" s="2">
        <v>45361</v>
      </c>
      <c r="C436">
        <f>_xlfn.FORECAST.ETS(A436,$B$2:$B$369,$A$2:$A$369,1,1)</f>
        <v>3.8574211689859519</v>
      </c>
      <c r="D436" s="19">
        <f>C436-_xlfn.FORECAST.ETS.CONFINT(A436,$B$2:$B$369,$A$2:$A$369,0.95,1,1)</f>
        <v>0.65859092550759391</v>
      </c>
      <c r="E436" s="19">
        <f>C436+_xlfn.FORECAST.ETS.CONFINT(A436,$B$2:$B$369,$A$2:$A$369,0.95,1,1)</f>
        <v>7.0562514124643094</v>
      </c>
      <c r="F436" s="2">
        <f>MAX(SalesTbl[Order Date])+1</f>
        <v>45295</v>
      </c>
      <c r="G436" s="2">
        <f t="shared" si="6"/>
        <v>45729</v>
      </c>
      <c r="H436" s="7">
        <f>_xlfn.FORECAST.ETS(G436, SalesTbl[Quantity], SalesTbl[Order Date], 0, 1, 1)</f>
        <v>3.2020275275582355</v>
      </c>
    </row>
    <row r="437" spans="1:8" x14ac:dyDescent="0.25">
      <c r="A437" s="2">
        <v>45362</v>
      </c>
      <c r="C437">
        <f>_xlfn.FORECAST.ETS(A437,$B$2:$B$369,$A$2:$A$369,1,1)</f>
        <v>3.6186388382331107</v>
      </c>
      <c r="D437" s="19">
        <f>C437-_xlfn.FORECAST.ETS.CONFINT(A437,$B$2:$B$369,$A$2:$A$369,0.95,1,1)</f>
        <v>0.39784606763192043</v>
      </c>
      <c r="E437" s="19">
        <f>C437+_xlfn.FORECAST.ETS.CONFINT(A437,$B$2:$B$369,$A$2:$A$369,0.95,1,1)</f>
        <v>6.8394316088343015</v>
      </c>
      <c r="F437" s="2">
        <f>MAX(SalesTbl[Order Date])+1</f>
        <v>45295</v>
      </c>
      <c r="G437" s="2">
        <f t="shared" si="6"/>
        <v>45730</v>
      </c>
      <c r="H437" s="7">
        <f>_xlfn.FORECAST.ETS(G437, SalesTbl[Quantity], SalesTbl[Order Date], 0, 1, 1)</f>
        <v>3.2024919586560747</v>
      </c>
    </row>
    <row r="438" spans="1:8" x14ac:dyDescent="0.25">
      <c r="A438" s="2">
        <v>45363</v>
      </c>
      <c r="C438">
        <f>_xlfn.FORECAST.ETS(A438,$B$2:$B$369,$A$2:$A$369,1,1)</f>
        <v>4.4934187163996349</v>
      </c>
      <c r="D438" s="19">
        <f>C438-_xlfn.FORECAST.ETS.CONFINT(A438,$B$2:$B$369,$A$2:$A$369,0.95,1,1)</f>
        <v>1.2505863049187447</v>
      </c>
      <c r="E438" s="19">
        <f>C438+_xlfn.FORECAST.ETS.CONFINT(A438,$B$2:$B$369,$A$2:$A$369,0.95,1,1)</f>
        <v>7.736251127880525</v>
      </c>
      <c r="F438" s="2">
        <f>MAX(SalesTbl[Order Date])+1</f>
        <v>45295</v>
      </c>
      <c r="G438" s="2">
        <f t="shared" si="6"/>
        <v>45731</v>
      </c>
      <c r="H438" s="7">
        <f>_xlfn.FORECAST.ETS(G438, SalesTbl[Quantity], SalesTbl[Order Date], 0, 1, 1)</f>
        <v>3.2029563897539055</v>
      </c>
    </row>
    <row r="439" spans="1:8" x14ac:dyDescent="0.25">
      <c r="A439" s="2">
        <v>45364</v>
      </c>
      <c r="C439">
        <f>_xlfn.FORECAST.ETS(A439,$B$2:$B$369,$A$2:$A$369,1,1)</f>
        <v>3.1177372677218171</v>
      </c>
      <c r="D439" s="19">
        <f>C439-_xlfn.FORECAST.ETS.CONFINT(A439,$B$2:$B$369,$A$2:$A$369,0.95,1,1)</f>
        <v>-0.1472114960678379</v>
      </c>
      <c r="E439" s="19">
        <f>C439+_xlfn.FORECAST.ETS.CONFINT(A439,$B$2:$B$369,$A$2:$A$369,0.95,1,1)</f>
        <v>6.3826860315114722</v>
      </c>
      <c r="F439" s="2">
        <f>MAX(SalesTbl[Order Date])+1</f>
        <v>45295</v>
      </c>
      <c r="G439" s="2">
        <f t="shared" si="6"/>
        <v>45732</v>
      </c>
      <c r="H439" s="7">
        <f>_xlfn.FORECAST.ETS(G439, SalesTbl[Quantity], SalesTbl[Order Date], 0, 1, 1)</f>
        <v>3.2034208208517447</v>
      </c>
    </row>
    <row r="440" spans="1:8" x14ac:dyDescent="0.25">
      <c r="A440" s="2">
        <v>45365</v>
      </c>
      <c r="C440">
        <f>_xlfn.FORECAST.ETS(A440,$B$2:$B$369,$A$2:$A$369,1,1)</f>
        <v>4.3833146368787013</v>
      </c>
      <c r="D440" s="19">
        <f>C440-_xlfn.FORECAST.ETS.CONFINT(A440,$B$2:$B$369,$A$2:$A$369,0.95,1,1)</f>
        <v>1.0961732062407754</v>
      </c>
      <c r="E440" s="19">
        <f>C440+_xlfn.FORECAST.ETS.CONFINT(A440,$B$2:$B$369,$A$2:$A$369,0.95,1,1)</f>
        <v>7.6704560675166267</v>
      </c>
      <c r="F440" s="2">
        <f>MAX(SalesTbl[Order Date])+1</f>
        <v>45295</v>
      </c>
      <c r="G440" s="2">
        <f t="shared" si="6"/>
        <v>45733</v>
      </c>
      <c r="H440" s="7">
        <f>_xlfn.FORECAST.ETS(G440, SalesTbl[Quantity], SalesTbl[Order Date], 0, 1, 1)</f>
        <v>3.2038852519495755</v>
      </c>
    </row>
    <row r="441" spans="1:8" x14ac:dyDescent="0.25">
      <c r="A441" s="2">
        <v>45366</v>
      </c>
      <c r="C441">
        <f>_xlfn.FORECAST.ETS(A441,$B$2:$B$369,$A$2:$A$369,1,1)</f>
        <v>3.2766418529700276</v>
      </c>
      <c r="D441" s="19">
        <f>C441-_xlfn.FORECAST.ETS.CONFINT(A441,$B$2:$B$369,$A$2:$A$369,0.95,1,1)</f>
        <v>-3.2768167514408031E-2</v>
      </c>
      <c r="E441" s="19">
        <f>C441+_xlfn.FORECAST.ETS.CONFINT(A441,$B$2:$B$369,$A$2:$A$369,0.95,1,1)</f>
        <v>6.5860518734544637</v>
      </c>
      <c r="F441" s="2">
        <f>MAX(SalesTbl[Order Date])+1</f>
        <v>45295</v>
      </c>
      <c r="G441" s="2">
        <f t="shared" si="6"/>
        <v>45734</v>
      </c>
      <c r="H441" s="7">
        <f>_xlfn.FORECAST.ETS(G441, SalesTbl[Quantity], SalesTbl[Order Date], 0, 1, 1)</f>
        <v>3.2043496830474152</v>
      </c>
    </row>
    <row r="442" spans="1:8" x14ac:dyDescent="0.25">
      <c r="A442" s="2">
        <v>45367</v>
      </c>
      <c r="C442">
        <f>_xlfn.FORECAST.ETS(A442,$B$2:$B$369,$A$2:$A$369,1,1)</f>
        <v>4.1077921668499879</v>
      </c>
      <c r="D442" s="19">
        <f>C442-_xlfn.FORECAST.ETS.CONFINT(A442,$B$2:$B$369,$A$2:$A$369,0.95,1,1)</f>
        <v>0.77603801980244658</v>
      </c>
      <c r="E442" s="19">
        <f>C442+_xlfn.FORECAST.ETS.CONFINT(A442,$B$2:$B$369,$A$2:$A$369,0.95,1,1)</f>
        <v>7.4395463138975293</v>
      </c>
      <c r="F442" s="2">
        <f>MAX(SalesTbl[Order Date])+1</f>
        <v>45295</v>
      </c>
      <c r="G442" s="2">
        <f t="shared" si="6"/>
        <v>45735</v>
      </c>
      <c r="H442" s="7">
        <f>_xlfn.FORECAST.ETS(G442, SalesTbl[Quantity], SalesTbl[Order Date], 0, 1, 1)</f>
        <v>3.2048141141452455</v>
      </c>
    </row>
    <row r="443" spans="1:8" x14ac:dyDescent="0.25">
      <c r="A443" s="2">
        <v>45368</v>
      </c>
      <c r="C443">
        <f>_xlfn.FORECAST.ETS(A443,$B$2:$B$369,$A$2:$A$369,1,1)</f>
        <v>3.1725639001284791</v>
      </c>
      <c r="D443" s="19">
        <f>C443-_xlfn.FORECAST.ETS.CONFINT(A443,$B$2:$B$369,$A$2:$A$369,0.95,1,1)</f>
        <v>-0.18160952908936734</v>
      </c>
      <c r="E443" s="19">
        <f>C443+_xlfn.FORECAST.ETS.CONFINT(A443,$B$2:$B$369,$A$2:$A$369,0.95,1,1)</f>
        <v>6.5267373293463251</v>
      </c>
      <c r="F443" s="2">
        <f>MAX(SalesTbl[Order Date])+1</f>
        <v>45295</v>
      </c>
      <c r="G443" s="2">
        <f t="shared" si="6"/>
        <v>45736</v>
      </c>
      <c r="H443" s="7">
        <f>_xlfn.FORECAST.ETS(G443, SalesTbl[Quantity], SalesTbl[Order Date], 0, 1, 1)</f>
        <v>3.2052785452430852</v>
      </c>
    </row>
    <row r="444" spans="1:8" x14ac:dyDescent="0.25">
      <c r="A444" s="2">
        <v>45369</v>
      </c>
      <c r="C444">
        <f>_xlfn.FORECAST.ETS(A444,$B$2:$B$369,$A$2:$A$369,1,1)</f>
        <v>3.2862057850709103</v>
      </c>
      <c r="D444" s="19">
        <f>C444-_xlfn.FORECAST.ETS.CONFINT(A444,$B$2:$B$369,$A$2:$A$369,0.95,1,1)</f>
        <v>-9.0461705901203171E-2</v>
      </c>
      <c r="E444" s="19">
        <f>C444+_xlfn.FORECAST.ETS.CONFINT(A444,$B$2:$B$369,$A$2:$A$369,0.95,1,1)</f>
        <v>6.6628732760430243</v>
      </c>
      <c r="F444" s="2">
        <f>MAX(SalesTbl[Order Date])+1</f>
        <v>45295</v>
      </c>
      <c r="G444" s="2">
        <f t="shared" si="6"/>
        <v>45737</v>
      </c>
      <c r="H444" s="7">
        <f>_xlfn.FORECAST.ETS(G444, SalesTbl[Quantity], SalesTbl[Order Date], 0, 1, 1)</f>
        <v>3.2057429763409155</v>
      </c>
    </row>
    <row r="445" spans="1:8" x14ac:dyDescent="0.25">
      <c r="A445" s="2">
        <v>45370</v>
      </c>
      <c r="C445">
        <f>_xlfn.FORECAST.ETS(A445,$B$2:$B$369,$A$2:$A$369,1,1)</f>
        <v>4.1494312993458804</v>
      </c>
      <c r="D445" s="19">
        <f>C445-_xlfn.FORECAST.ETS.CONFINT(A445,$B$2:$B$369,$A$2:$A$369,0.95,1,1)</f>
        <v>0.75019533805740846</v>
      </c>
      <c r="E445" s="19">
        <f>C445+_xlfn.FORECAST.ETS.CONFINT(A445,$B$2:$B$369,$A$2:$A$369,0.95,1,1)</f>
        <v>7.5486672606343523</v>
      </c>
      <c r="F445" s="2">
        <f>MAX(SalesTbl[Order Date])+1</f>
        <v>45295</v>
      </c>
      <c r="G445" s="2">
        <f t="shared" si="6"/>
        <v>45738</v>
      </c>
      <c r="H445" s="7">
        <f>_xlfn.FORECAST.ETS(G445, SalesTbl[Quantity], SalesTbl[Order Date], 0, 1, 1)</f>
        <v>3.2062074074387552</v>
      </c>
    </row>
    <row r="446" spans="1:8" x14ac:dyDescent="0.25">
      <c r="A446" s="2">
        <v>45371</v>
      </c>
      <c r="C446">
        <f>_xlfn.FORECAST.ETS(A446,$B$2:$B$369,$A$2:$A$369,1,1)</f>
        <v>4.1815298456219709</v>
      </c>
      <c r="D446" s="19">
        <f>C446-_xlfn.FORECAST.ETS.CONFINT(A446,$B$2:$B$369,$A$2:$A$369,0.95,1,1)</f>
        <v>0.75965137155905715</v>
      </c>
      <c r="E446" s="19">
        <f>C446+_xlfn.FORECAST.ETS.CONFINT(A446,$B$2:$B$369,$A$2:$A$369,0.95,1,1)</f>
        <v>7.6034083196848847</v>
      </c>
      <c r="F446" s="2">
        <f>MAX(SalesTbl[Order Date])+1</f>
        <v>45295</v>
      </c>
      <c r="G446" s="2">
        <f t="shared" si="6"/>
        <v>45739</v>
      </c>
      <c r="H446" s="7">
        <f>_xlfn.FORECAST.ETS(G446, SalesTbl[Quantity], SalesTbl[Order Date], 0, 1, 1)</f>
        <v>3.2066718385365856</v>
      </c>
    </row>
    <row r="447" spans="1:8" x14ac:dyDescent="0.25">
      <c r="A447" s="2">
        <v>45372</v>
      </c>
      <c r="C447">
        <f>_xlfn.FORECAST.ETS(A447,$B$2:$B$369,$A$2:$A$369,1,1)</f>
        <v>4.009011115530555</v>
      </c>
      <c r="D447" s="19">
        <f>C447-_xlfn.FORECAST.ETS.CONFINT(A447,$B$2:$B$369,$A$2:$A$369,0.95,1,1)</f>
        <v>0.56441644750347475</v>
      </c>
      <c r="E447" s="19">
        <f>C447+_xlfn.FORECAST.ETS.CONFINT(A447,$B$2:$B$369,$A$2:$A$369,0.95,1,1)</f>
        <v>7.4536057835576353</v>
      </c>
      <c r="F447" s="2">
        <f>MAX(SalesTbl[Order Date])+1</f>
        <v>45295</v>
      </c>
      <c r="G447" s="2">
        <f t="shared" si="6"/>
        <v>45740</v>
      </c>
      <c r="H447" s="7">
        <f>_xlfn.FORECAST.ETS(G447, SalesTbl[Quantity], SalesTbl[Order Date], 0, 1, 1)</f>
        <v>3.2071362696344252</v>
      </c>
    </row>
    <row r="448" spans="1:8" x14ac:dyDescent="0.25">
      <c r="A448" s="2">
        <v>45373</v>
      </c>
      <c r="C448">
        <f>_xlfn.FORECAST.ETS(A448,$B$2:$B$369,$A$2:$A$369,1,1)</f>
        <v>4.7841478681374552</v>
      </c>
      <c r="D448" s="19">
        <f>C448-_xlfn.FORECAST.ETS.CONFINT(A448,$B$2:$B$369,$A$2:$A$369,0.95,1,1)</f>
        <v>1.3167636814701202</v>
      </c>
      <c r="E448" s="19">
        <f>C448+_xlfn.FORECAST.ETS.CONFINT(A448,$B$2:$B$369,$A$2:$A$369,0.95,1,1)</f>
        <v>8.251532054804791</v>
      </c>
      <c r="F448" s="2">
        <f>MAX(SalesTbl[Order Date])+1</f>
        <v>45295</v>
      </c>
      <c r="G448" s="2">
        <f t="shared" si="6"/>
        <v>45741</v>
      </c>
      <c r="H448" s="7">
        <f>_xlfn.FORECAST.ETS(G448, SalesTbl[Quantity], SalesTbl[Order Date], 0, 1, 1)</f>
        <v>3.207600700732256</v>
      </c>
    </row>
    <row r="449" spans="1:8" x14ac:dyDescent="0.25">
      <c r="A449" s="2">
        <v>45374</v>
      </c>
      <c r="C449">
        <f>_xlfn.FORECAST.ETS(A449,$B$2:$B$369,$A$2:$A$369,1,1)</f>
        <v>3.6272612025856703</v>
      </c>
      <c r="D449" s="19">
        <f>C449-_xlfn.FORECAST.ETS.CONFINT(A449,$B$2:$B$369,$A$2:$A$369,0.95,1,1)</f>
        <v>0.13701452444055384</v>
      </c>
      <c r="E449" s="19">
        <f>C449+_xlfn.FORECAST.ETS.CONFINT(A449,$B$2:$B$369,$A$2:$A$369,0.95,1,1)</f>
        <v>7.1175078807307868</v>
      </c>
      <c r="F449" s="2">
        <f>MAX(SalesTbl[Order Date])+1</f>
        <v>45295</v>
      </c>
      <c r="G449" s="2">
        <f t="shared" si="6"/>
        <v>45742</v>
      </c>
      <c r="H449" s="7">
        <f>_xlfn.FORECAST.ETS(G449, SalesTbl[Quantity], SalesTbl[Order Date], 0, 1, 1)</f>
        <v>3.2080651318300952</v>
      </c>
    </row>
    <row r="450" spans="1:8" x14ac:dyDescent="0.25">
      <c r="A450" s="2">
        <v>45375</v>
      </c>
      <c r="C450">
        <f>_xlfn.FORECAST.ETS(A450,$B$2:$B$369,$A$2:$A$369,1,1)</f>
        <v>4.4557167685812678</v>
      </c>
      <c r="D450" s="19">
        <f>C450-_xlfn.FORECAST.ETS.CONFINT(A450,$B$2:$B$369,$A$2:$A$369,0.95,1,1)</f>
        <v>0.94253497336270575</v>
      </c>
      <c r="E450" s="19">
        <f>C450+_xlfn.FORECAST.ETS.CONFINT(A450,$B$2:$B$369,$A$2:$A$369,0.95,1,1)</f>
        <v>7.9688985637998293</v>
      </c>
      <c r="F450" s="2">
        <f>MAX(SalesTbl[Order Date])+1</f>
        <v>45295</v>
      </c>
      <c r="G450" s="2">
        <f t="shared" si="6"/>
        <v>45743</v>
      </c>
      <c r="H450" s="7">
        <f>_xlfn.FORECAST.ETS(G450, SalesTbl[Quantity], SalesTbl[Order Date], 0, 1, 1)</f>
        <v>3.208529562927926</v>
      </c>
    </row>
    <row r="451" spans="1:8" x14ac:dyDescent="0.25">
      <c r="A451" s="2">
        <v>45376</v>
      </c>
      <c r="C451">
        <f>_xlfn.FORECAST.ETS(A451,$B$2:$B$369,$A$2:$A$369,1,1)</f>
        <v>4.3769666619490186</v>
      </c>
      <c r="D451" s="19">
        <f>C451-_xlfn.FORECAST.ETS.CONFINT(A451,$B$2:$B$369,$A$2:$A$369,0.95,1,1)</f>
        <v>0.84077746678361187</v>
      </c>
      <c r="E451" s="19">
        <f>C451+_xlfn.FORECAST.ETS.CONFINT(A451,$B$2:$B$369,$A$2:$A$369,0.95,1,1)</f>
        <v>7.9131558571144254</v>
      </c>
      <c r="F451" s="2">
        <f>MAX(SalesTbl[Order Date])+1</f>
        <v>45295</v>
      </c>
      <c r="G451" s="2">
        <f t="shared" si="6"/>
        <v>45744</v>
      </c>
      <c r="H451" s="7">
        <f>_xlfn.FORECAST.ETS(G451, SalesTbl[Quantity], SalesTbl[Order Date], 0, 1, 1)</f>
        <v>3.2089939940257652</v>
      </c>
    </row>
    <row r="452" spans="1:8" x14ac:dyDescent="0.25">
      <c r="A452" s="2">
        <v>45377</v>
      </c>
      <c r="C452">
        <f>_xlfn.FORECAST.ETS(A452,$B$2:$B$369,$A$2:$A$369,1,1)</f>
        <v>4.9284906865450102</v>
      </c>
      <c r="D452" s="19">
        <f>C452-_xlfn.FORECAST.ETS.CONFINT(A452,$B$2:$B$369,$A$2:$A$369,0.95,1,1)</f>
        <v>1.3692221468378794</v>
      </c>
      <c r="E452" s="19">
        <f>C452+_xlfn.FORECAST.ETS.CONFINT(A452,$B$2:$B$369,$A$2:$A$369,0.95,1,1)</f>
        <v>8.4877592262521411</v>
      </c>
      <c r="F452" s="2">
        <f>MAX(SalesTbl[Order Date])+1</f>
        <v>45295</v>
      </c>
      <c r="G452" s="2">
        <f t="shared" ref="G452:G475" si="7">G451+1</f>
        <v>45745</v>
      </c>
      <c r="H452" s="7">
        <f>_xlfn.FORECAST.ETS(G452, SalesTbl[Quantity], SalesTbl[Order Date], 0, 1, 1)</f>
        <v>3.209458425123596</v>
      </c>
    </row>
    <row r="453" spans="1:8" x14ac:dyDescent="0.25">
      <c r="A453" s="2">
        <v>45378</v>
      </c>
      <c r="C453">
        <f>_xlfn.FORECAST.ETS(A453,$B$2:$B$369,$A$2:$A$369,1,1)</f>
        <v>3.7233050438804356</v>
      </c>
      <c r="D453" s="19">
        <f>C453-_xlfn.FORECAST.ETS.CONFINT(A453,$B$2:$B$369,$A$2:$A$369,0.95,1,1)</f>
        <v>0.14088554894607341</v>
      </c>
      <c r="E453" s="19">
        <f>C453+_xlfn.FORECAST.ETS.CONFINT(A453,$B$2:$B$369,$A$2:$A$369,0.95,1,1)</f>
        <v>7.3057245388147978</v>
      </c>
      <c r="F453" s="2">
        <f>MAX(SalesTbl[Order Date])+1</f>
        <v>45295</v>
      </c>
      <c r="G453" s="2">
        <f t="shared" si="7"/>
        <v>45746</v>
      </c>
      <c r="H453" s="7">
        <f>_xlfn.FORECAST.ETS(G453, SalesTbl[Quantity], SalesTbl[Order Date], 0, 1, 1)</f>
        <v>3.2099228562214353</v>
      </c>
    </row>
    <row r="454" spans="1:8" x14ac:dyDescent="0.25">
      <c r="A454" s="2">
        <v>45379</v>
      </c>
      <c r="C454">
        <f>_xlfn.FORECAST.ETS(A454,$B$2:$B$369,$A$2:$A$369,1,1)</f>
        <v>3.5002700260926169</v>
      </c>
      <c r="D454" s="19">
        <f>C454-_xlfn.FORECAST.ETS.CONFINT(A454,$B$2:$B$369,$A$2:$A$369,0.95,1,1)</f>
        <v>-0.10537170514090333</v>
      </c>
      <c r="E454" s="19">
        <f>C454+_xlfn.FORECAST.ETS.CONFINT(A454,$B$2:$B$369,$A$2:$A$369,0.95,1,1)</f>
        <v>7.1059117573261368</v>
      </c>
      <c r="F454" s="2">
        <f>MAX(SalesTbl[Order Date])+1</f>
        <v>45295</v>
      </c>
      <c r="G454" s="2">
        <f t="shared" si="7"/>
        <v>45747</v>
      </c>
      <c r="H454" s="7">
        <f>_xlfn.FORECAST.ETS(G454, SalesTbl[Quantity], SalesTbl[Order Date], 0, 1, 1)</f>
        <v>3.210387287319266</v>
      </c>
    </row>
    <row r="455" spans="1:8" x14ac:dyDescent="0.25">
      <c r="A455" s="2">
        <v>45380</v>
      </c>
      <c r="C455">
        <f>_xlfn.FORECAST.ETS(A455,$B$2:$B$369,$A$2:$A$369,1,1)</f>
        <v>3.352929463529823</v>
      </c>
      <c r="D455" s="19">
        <f>C455-_xlfn.FORECAST.ETS.CONFINT(A455,$B$2:$B$369,$A$2:$A$369,0.95,1,1)</f>
        <v>-0.27600545968485957</v>
      </c>
      <c r="E455" s="19">
        <f>C455+_xlfn.FORECAST.ETS.CONFINT(A455,$B$2:$B$369,$A$2:$A$369,0.95,1,1)</f>
        <v>6.9818643867445056</v>
      </c>
      <c r="F455" s="2">
        <f>MAX(SalesTbl[Order Date])+1</f>
        <v>45295</v>
      </c>
      <c r="G455" s="2">
        <f t="shared" si="7"/>
        <v>45748</v>
      </c>
      <c r="H455" s="7">
        <f>_xlfn.FORECAST.ETS(G455, SalesTbl[Quantity], SalesTbl[Order Date], 0, 1, 1)</f>
        <v>3.2108517184171053</v>
      </c>
    </row>
    <row r="456" spans="1:8" x14ac:dyDescent="0.25">
      <c r="A456" s="2">
        <v>45381</v>
      </c>
      <c r="C456">
        <f>_xlfn.FORECAST.ETS(A456,$B$2:$B$369,$A$2:$A$369,1,1)</f>
        <v>3.2853595765636752</v>
      </c>
      <c r="D456" s="19">
        <f>C456-_xlfn.FORECAST.ETS.CONFINT(A456,$B$2:$B$369,$A$2:$A$369,0.95,1,1)</f>
        <v>-0.36693917307699797</v>
      </c>
      <c r="E456" s="19">
        <f>C456+_xlfn.FORECAST.ETS.CONFINT(A456,$B$2:$B$369,$A$2:$A$369,0.95,1,1)</f>
        <v>6.9376583262043479</v>
      </c>
      <c r="F456" s="2">
        <f>MAX(SalesTbl[Order Date])+1</f>
        <v>45295</v>
      </c>
      <c r="G456" s="2">
        <f t="shared" si="7"/>
        <v>45749</v>
      </c>
      <c r="H456" s="7">
        <f>_xlfn.FORECAST.ETS(G456, SalesTbl[Quantity], SalesTbl[Order Date], 0, 1, 1)</f>
        <v>3.211316149514936</v>
      </c>
    </row>
    <row r="457" spans="1:8" x14ac:dyDescent="0.25">
      <c r="A457" s="2">
        <v>45382</v>
      </c>
      <c r="C457">
        <f>_xlfn.FORECAST.ETS(A457,$B$2:$B$369,$A$2:$A$369,1,1)</f>
        <v>3.3190605286002612</v>
      </c>
      <c r="D457" s="19">
        <f>C457-_xlfn.FORECAST.ETS.CONFINT(A457,$B$2:$B$369,$A$2:$A$369,0.95,1,1)</f>
        <v>-0.35667236475709485</v>
      </c>
      <c r="E457" s="19">
        <f>C457+_xlfn.FORECAST.ETS.CONFINT(A457,$B$2:$B$369,$A$2:$A$369,0.95,1,1)</f>
        <v>6.9947934219576169</v>
      </c>
      <c r="F457" s="2">
        <f>MAX(SalesTbl[Order Date])+1</f>
        <v>45295</v>
      </c>
      <c r="G457" s="2">
        <f t="shared" si="7"/>
        <v>45750</v>
      </c>
      <c r="H457" s="7">
        <f>_xlfn.FORECAST.ETS(G457, SalesTbl[Quantity], SalesTbl[Order Date], 0, 1, 1)</f>
        <v>3.2117805806127757</v>
      </c>
    </row>
    <row r="458" spans="1:8" x14ac:dyDescent="0.25">
      <c r="A458" s="2">
        <v>45383</v>
      </c>
      <c r="C458">
        <f>_xlfn.FORECAST.ETS(A458,$B$2:$B$369,$A$2:$A$369,1,1)</f>
        <v>3.7355428892453988</v>
      </c>
      <c r="D458" s="19">
        <f>C458-_xlfn.FORECAST.ETS.CONFINT(A458,$B$2:$B$369,$A$2:$A$369,0.95,1,1)</f>
        <v>3.6305848020281584E-2</v>
      </c>
      <c r="E458" s="19">
        <f>C458+_xlfn.FORECAST.ETS.CONFINT(A458,$B$2:$B$369,$A$2:$A$369,0.95,1,1)</f>
        <v>7.4347799304705156</v>
      </c>
      <c r="F458" s="2">
        <f>MAX(SalesTbl[Order Date])+1</f>
        <v>45295</v>
      </c>
      <c r="G458" s="2">
        <f t="shared" si="7"/>
        <v>45751</v>
      </c>
      <c r="H458" s="7">
        <f>_xlfn.FORECAST.ETS(G458, SalesTbl[Quantity], SalesTbl[Order Date], 0, 1, 1)</f>
        <v>3.2122450117106061</v>
      </c>
    </row>
    <row r="459" spans="1:8" x14ac:dyDescent="0.25">
      <c r="A459" s="2">
        <v>45384</v>
      </c>
      <c r="C459">
        <f>_xlfn.FORECAST.ETS(A459,$B$2:$B$369,$A$2:$A$369,1,1)</f>
        <v>4.166189658381386</v>
      </c>
      <c r="D459" s="19">
        <f>C459-_xlfn.FORECAST.ETS.CONFINT(A459,$B$2:$B$369,$A$2:$A$369,0.95,1,1)</f>
        <v>0.44337877432985318</v>
      </c>
      <c r="E459" s="19">
        <f>C459+_xlfn.FORECAST.ETS.CONFINT(A459,$B$2:$B$369,$A$2:$A$369,0.95,1,1)</f>
        <v>7.8890005424329193</v>
      </c>
      <c r="F459" s="2">
        <f>MAX(SalesTbl[Order Date])+1</f>
        <v>45295</v>
      </c>
      <c r="G459" s="2">
        <f t="shared" si="7"/>
        <v>45752</v>
      </c>
      <c r="H459" s="7">
        <f>_xlfn.FORECAST.ETS(G459, SalesTbl[Quantity], SalesTbl[Order Date], 0, 1, 1)</f>
        <v>3.2127094428084457</v>
      </c>
    </row>
    <row r="460" spans="1:8" x14ac:dyDescent="0.25">
      <c r="A460" s="2">
        <v>45385</v>
      </c>
      <c r="C460">
        <f>_xlfn.FORECAST.ETS(A460,$B$2:$B$369,$A$2:$A$369,1,1)</f>
        <v>3.3094493611069242</v>
      </c>
      <c r="D460" s="19">
        <f>C460-_xlfn.FORECAST.ETS.CONFINT(A460,$B$2:$B$369,$A$2:$A$369,0.95,1,1)</f>
        <v>-0.43700475541827233</v>
      </c>
      <c r="E460" s="19">
        <f>C460+_xlfn.FORECAST.ETS.CONFINT(A460,$B$2:$B$369,$A$2:$A$369,0.95,1,1)</f>
        <v>7.0559034776321212</v>
      </c>
      <c r="F460" s="2">
        <f>MAX(SalesTbl[Order Date])+1</f>
        <v>45295</v>
      </c>
      <c r="G460" s="2">
        <f t="shared" si="7"/>
        <v>45753</v>
      </c>
      <c r="H460" s="7">
        <f>_xlfn.FORECAST.ETS(G460, SalesTbl[Quantity], SalesTbl[Order Date], 0, 1, 1)</f>
        <v>3.2131738739062761</v>
      </c>
    </row>
    <row r="461" spans="1:8" x14ac:dyDescent="0.25">
      <c r="A461" s="2">
        <v>45386</v>
      </c>
      <c r="C461">
        <f>_xlfn.FORECAST.ETS(A461,$B$2:$B$369,$A$2:$A$369,1,1)</f>
        <v>3.1200074872111907</v>
      </c>
      <c r="D461" s="19">
        <f>C461-_xlfn.FORECAST.ETS.CONFINT(A461,$B$2:$B$369,$A$2:$A$369,0.95,1,1)</f>
        <v>-0.65015894993951306</v>
      </c>
      <c r="E461" s="19">
        <f>C461+_xlfn.FORECAST.ETS.CONFINT(A461,$B$2:$B$369,$A$2:$A$369,0.95,1,1)</f>
        <v>6.8901739243618945</v>
      </c>
      <c r="F461" s="2">
        <f>MAX(SalesTbl[Order Date])+1</f>
        <v>45295</v>
      </c>
      <c r="G461" s="2">
        <f t="shared" si="7"/>
        <v>45754</v>
      </c>
      <c r="H461" s="7">
        <f>_xlfn.FORECAST.ETS(G461, SalesTbl[Quantity], SalesTbl[Order Date], 0, 1, 1)</f>
        <v>3.2136383050041157</v>
      </c>
    </row>
    <row r="462" spans="1:8" x14ac:dyDescent="0.25">
      <c r="A462" s="2">
        <v>45387</v>
      </c>
      <c r="C462">
        <f>_xlfn.FORECAST.ETS(A462,$B$2:$B$369,$A$2:$A$369,1,1)</f>
        <v>3.3140327718793854</v>
      </c>
      <c r="D462" s="19">
        <f>C462-_xlfn.FORECAST.ETS.CONFINT(A462,$B$2:$B$369,$A$2:$A$369,0.95,1,1)</f>
        <v>-0.47991477630538659</v>
      </c>
      <c r="E462" s="19">
        <f>C462+_xlfn.FORECAST.ETS.CONFINT(A462,$B$2:$B$369,$A$2:$A$369,0.95,1,1)</f>
        <v>7.1079803200641578</v>
      </c>
      <c r="F462" s="2">
        <f>MAX(SalesTbl[Order Date])+1</f>
        <v>45295</v>
      </c>
      <c r="G462" s="2">
        <f t="shared" si="7"/>
        <v>45755</v>
      </c>
      <c r="H462" s="7">
        <f>_xlfn.FORECAST.ETS(G462, SalesTbl[Quantity], SalesTbl[Order Date], 0, 1, 1)</f>
        <v>3.2141027361019461</v>
      </c>
    </row>
    <row r="463" spans="1:8" x14ac:dyDescent="0.25">
      <c r="A463" s="2">
        <v>45388</v>
      </c>
      <c r="C463">
        <f>_xlfn.FORECAST.ETS(A463,$B$2:$B$369,$A$2:$A$369,1,1)</f>
        <v>2.4822477723250316</v>
      </c>
      <c r="D463" s="19">
        <f>C463-_xlfn.FORECAST.ETS.CONFINT(A463,$B$2:$B$369,$A$2:$A$369,0.95,1,1)</f>
        <v>-1.3355493832484533</v>
      </c>
      <c r="E463" s="19">
        <f>C463+_xlfn.FORECAST.ETS.CONFINT(A463,$B$2:$B$369,$A$2:$A$369,0.95,1,1)</f>
        <v>6.3000449278985169</v>
      </c>
      <c r="F463" s="2">
        <f>MAX(SalesTbl[Order Date])+1</f>
        <v>45295</v>
      </c>
      <c r="G463" s="2">
        <f t="shared" si="7"/>
        <v>45756</v>
      </c>
      <c r="H463" s="7">
        <f>_xlfn.FORECAST.ETS(G463, SalesTbl[Quantity], SalesTbl[Order Date], 0, 1, 1)</f>
        <v>3.2145671671997857</v>
      </c>
    </row>
    <row r="464" spans="1:8" x14ac:dyDescent="0.25">
      <c r="A464" s="2">
        <v>45389</v>
      </c>
      <c r="C464">
        <f>_xlfn.FORECAST.ETS(A464,$B$2:$B$369,$A$2:$A$369,1,1)</f>
        <v>2.6442804854309592</v>
      </c>
      <c r="D464" s="19">
        <f>C464-_xlfn.FORECAST.ETS.CONFINT(A464,$B$2:$B$369,$A$2:$A$369,0.95,1,1)</f>
        <v>-1.1974344834596851</v>
      </c>
      <c r="E464" s="19">
        <f>C464+_xlfn.FORECAST.ETS.CONFINT(A464,$B$2:$B$369,$A$2:$A$369,0.95,1,1)</f>
        <v>6.4859954543216034</v>
      </c>
      <c r="F464" s="2">
        <f>MAX(SalesTbl[Order Date])+1</f>
        <v>45295</v>
      </c>
      <c r="G464" s="2">
        <f t="shared" si="7"/>
        <v>45757</v>
      </c>
      <c r="H464" s="7">
        <f>_xlfn.FORECAST.ETS(G464, SalesTbl[Quantity], SalesTbl[Order Date], 0, 1, 1)</f>
        <v>3.2150315982976161</v>
      </c>
    </row>
    <row r="465" spans="1:8" x14ac:dyDescent="0.25">
      <c r="A465" s="2">
        <v>45390</v>
      </c>
      <c r="C465">
        <f>_xlfn.FORECAST.ETS(A465,$B$2:$B$369,$A$2:$A$369,1,1)</f>
        <v>3.2595174468221795</v>
      </c>
      <c r="D465" s="19">
        <f>C465-_xlfn.FORECAST.ETS.CONFINT(A465,$B$2:$B$369,$A$2:$A$369,0.95,1,1)</f>
        <v>-0.60618325445503718</v>
      </c>
      <c r="E465" s="19">
        <f>C465+_xlfn.FORECAST.ETS.CONFINT(A465,$B$2:$B$369,$A$2:$A$369,0.95,1,1)</f>
        <v>7.1252181480993961</v>
      </c>
      <c r="F465" s="2">
        <f>MAX(SalesTbl[Order Date])+1</f>
        <v>45295</v>
      </c>
      <c r="G465" s="2">
        <f t="shared" si="7"/>
        <v>45758</v>
      </c>
      <c r="H465" s="7">
        <f>_xlfn.FORECAST.ETS(G465, SalesTbl[Quantity], SalesTbl[Order Date], 0, 1, 1)</f>
        <v>3.2154960293954558</v>
      </c>
    </row>
    <row r="466" spans="1:8" x14ac:dyDescent="0.25">
      <c r="A466" s="2">
        <v>45391</v>
      </c>
      <c r="C466">
        <f>_xlfn.FORECAST.ETS(A466,$B$2:$B$369,$A$2:$A$369,1,1)</f>
        <v>3.687325810999325</v>
      </c>
      <c r="D466" s="19">
        <f>C466-_xlfn.FORECAST.ETS.CONFINT(A466,$B$2:$B$369,$A$2:$A$369,0.95,1,1)</f>
        <v>-0.20242825838253298</v>
      </c>
      <c r="E466" s="19">
        <f>C466+_xlfn.FORECAST.ETS.CONFINT(A466,$B$2:$B$369,$A$2:$A$369,0.95,1,1)</f>
        <v>7.5770798803811825</v>
      </c>
      <c r="F466" s="2">
        <f>MAX(SalesTbl[Order Date])+1</f>
        <v>45295</v>
      </c>
      <c r="G466" s="2">
        <f t="shared" si="7"/>
        <v>45759</v>
      </c>
      <c r="H466" s="7">
        <f>_xlfn.FORECAST.ETS(G466, SalesTbl[Quantity], SalesTbl[Order Date], 0, 1, 1)</f>
        <v>3.2159604604932865</v>
      </c>
    </row>
    <row r="467" spans="1:8" x14ac:dyDescent="0.25">
      <c r="A467" s="2">
        <v>45392</v>
      </c>
      <c r="C467">
        <f>_xlfn.FORECAST.ETS(A467,$B$2:$B$369,$A$2:$A$369,1,1)</f>
        <v>2.7578444478289663</v>
      </c>
      <c r="D467" s="19">
        <f>C467-_xlfn.FORECAST.ETS.CONFINT(A467,$B$2:$B$369,$A$2:$A$369,0.95,1,1)</f>
        <v>-1.1560303454735328</v>
      </c>
      <c r="E467" s="19">
        <f>C467+_xlfn.FORECAST.ETS.CONFINT(A467,$B$2:$B$369,$A$2:$A$369,0.95,1,1)</f>
        <v>6.6717192411314654</v>
      </c>
      <c r="F467" s="2">
        <f>MAX(SalesTbl[Order Date])+1</f>
        <v>45295</v>
      </c>
      <c r="G467" s="2">
        <f t="shared" si="7"/>
        <v>45760</v>
      </c>
      <c r="H467" s="7">
        <f>_xlfn.FORECAST.ETS(G467, SalesTbl[Quantity], SalesTbl[Order Date], 0, 1, 1)</f>
        <v>3.2164248915911258</v>
      </c>
    </row>
    <row r="468" spans="1:8" x14ac:dyDescent="0.25">
      <c r="A468" s="2">
        <v>45393</v>
      </c>
      <c r="C468">
        <f>_xlfn.FORECAST.ETS(A468,$B$2:$B$369,$A$2:$A$369,1,1)</f>
        <v>3.6067572798378711</v>
      </c>
      <c r="D468" s="19">
        <f>C468-_xlfn.FORECAST.ETS.CONFINT(A468,$B$2:$B$369,$A$2:$A$369,0.95,1,1)</f>
        <v>-0.33130531669111329</v>
      </c>
      <c r="E468" s="19">
        <f>C468+_xlfn.FORECAST.ETS.CONFINT(A468,$B$2:$B$369,$A$2:$A$369,0.95,1,1)</f>
        <v>7.544819876366855</v>
      </c>
      <c r="F468" s="2">
        <f>MAX(SalesTbl[Order Date])+1</f>
        <v>45295</v>
      </c>
      <c r="G468" s="2">
        <f t="shared" si="7"/>
        <v>45761</v>
      </c>
      <c r="H468" s="7">
        <f>_xlfn.FORECAST.ETS(G468, SalesTbl[Quantity], SalesTbl[Order Date], 0, 1, 1)</f>
        <v>3.2168893226889566</v>
      </c>
    </row>
    <row r="469" spans="1:8" x14ac:dyDescent="0.25">
      <c r="A469" s="2">
        <v>45394</v>
      </c>
      <c r="C469">
        <f>_xlfn.FORECAST.ETS(A469,$B$2:$B$369,$A$2:$A$369,1,1)</f>
        <v>3.5314936381942239</v>
      </c>
      <c r="D469" s="19">
        <f>C469-_xlfn.FORECAST.ETS.CONFINT(A469,$B$2:$B$369,$A$2:$A$369,0.95,1,1)</f>
        <v>-0.43082356769251051</v>
      </c>
      <c r="E469" s="19">
        <f>C469+_xlfn.FORECAST.ETS.CONFINT(A469,$B$2:$B$369,$A$2:$A$369,0.95,1,1)</f>
        <v>7.4938108440809579</v>
      </c>
      <c r="F469" s="2">
        <f>MAX(SalesTbl[Order Date])+1</f>
        <v>45295</v>
      </c>
      <c r="G469" s="2">
        <f t="shared" si="7"/>
        <v>45762</v>
      </c>
      <c r="H469" s="7">
        <f>_xlfn.FORECAST.ETS(G469, SalesTbl[Quantity], SalesTbl[Order Date], 0, 1, 1)</f>
        <v>3.2173537537867958</v>
      </c>
    </row>
    <row r="470" spans="1:8" x14ac:dyDescent="0.25">
      <c r="A470" s="2">
        <v>45395</v>
      </c>
      <c r="C470">
        <f>_xlfn.FORECAST.ETS(A470,$B$2:$B$369,$A$2:$A$369,1,1)</f>
        <v>3.7556095692877598</v>
      </c>
      <c r="D470" s="19">
        <f>C470-_xlfn.FORECAST.ETS.CONFINT(A470,$B$2:$B$369,$A$2:$A$369,0.95,1,1)</f>
        <v>-0.23102878219367495</v>
      </c>
      <c r="E470" s="19">
        <f>C470+_xlfn.FORECAST.ETS.CONFINT(A470,$B$2:$B$369,$A$2:$A$369,0.95,1,1)</f>
        <v>7.742247920769195</v>
      </c>
      <c r="F470" s="2">
        <f>MAX(SalesTbl[Order Date])+1</f>
        <v>45295</v>
      </c>
      <c r="G470" s="2">
        <f t="shared" si="7"/>
        <v>45763</v>
      </c>
      <c r="H470" s="7">
        <f>_xlfn.FORECAST.ETS(G470, SalesTbl[Quantity], SalesTbl[Order Date], 0, 1, 1)</f>
        <v>3.2178181848846266</v>
      </c>
    </row>
    <row r="471" spans="1:8" x14ac:dyDescent="0.25">
      <c r="A471" s="2">
        <v>45396</v>
      </c>
      <c r="C471">
        <f>_xlfn.FORECAST.ETS(A471,$B$2:$B$369,$A$2:$A$369,1,1)</f>
        <v>2.5299234881062618</v>
      </c>
      <c r="D471" s="19">
        <f>C471-_xlfn.FORECAST.ETS.CONFINT(A471,$B$2:$B$369,$A$2:$A$369,0.95,1,1)</f>
        <v>-1.4811022785384531</v>
      </c>
      <c r="E471" s="19">
        <f>C471+_xlfn.FORECAST.ETS.CONFINT(A471,$B$2:$B$369,$A$2:$A$369,0.95,1,1)</f>
        <v>6.5409492547509771</v>
      </c>
      <c r="F471" s="2">
        <f>MAX(SalesTbl[Order Date])+1</f>
        <v>45295</v>
      </c>
      <c r="G471" s="2">
        <f t="shared" si="7"/>
        <v>45764</v>
      </c>
      <c r="H471" s="7">
        <f>_xlfn.FORECAST.ETS(G471, SalesTbl[Quantity], SalesTbl[Order Date], 0, 1, 1)</f>
        <v>3.2182826159824658</v>
      </c>
    </row>
    <row r="472" spans="1:8" x14ac:dyDescent="0.25">
      <c r="A472" s="2">
        <v>45397</v>
      </c>
      <c r="C472">
        <f>_xlfn.FORECAST.ETS(A472,$B$2:$B$369,$A$2:$A$369,1,1)</f>
        <v>3.8818058973896452</v>
      </c>
      <c r="D472" s="19">
        <f>C472-_xlfn.FORECAST.ETS.CONFINT(A472,$B$2:$B$369,$A$2:$A$369,0.95,1,1)</f>
        <v>-0.15367329049117817</v>
      </c>
      <c r="E472" s="19">
        <f>C472+_xlfn.FORECAST.ETS.CONFINT(A472,$B$2:$B$369,$A$2:$A$369,0.95,1,1)</f>
        <v>7.9172850852704686</v>
      </c>
      <c r="F472" s="2">
        <f>MAX(SalesTbl[Order Date])+1</f>
        <v>45295</v>
      </c>
      <c r="G472" s="2">
        <f t="shared" si="7"/>
        <v>45765</v>
      </c>
      <c r="H472" s="7">
        <f>_xlfn.FORECAST.ETS(G472, SalesTbl[Quantity], SalesTbl[Order Date], 0, 1, 1)</f>
        <v>3.2187470470802966</v>
      </c>
    </row>
    <row r="473" spans="1:8" x14ac:dyDescent="0.25">
      <c r="A473" s="2">
        <v>45398</v>
      </c>
      <c r="C473">
        <f>_xlfn.FORECAST.ETS(A473,$B$2:$B$369,$A$2:$A$369,1,1)</f>
        <v>3.6819682224861046</v>
      </c>
      <c r="D473" s="19">
        <f>C473-_xlfn.FORECAST.ETS.CONFINT(A473,$B$2:$B$369,$A$2:$A$369,0.95,1,1)</f>
        <v>-0.37803013232815807</v>
      </c>
      <c r="E473" s="19">
        <f>C473+_xlfn.FORECAST.ETS.CONFINT(A473,$B$2:$B$369,$A$2:$A$369,0.95,1,1)</f>
        <v>7.7419665773003672</v>
      </c>
      <c r="F473" s="2">
        <f>MAX(SalesTbl[Order Date])+1</f>
        <v>45295</v>
      </c>
      <c r="G473" s="2">
        <f t="shared" si="7"/>
        <v>45766</v>
      </c>
      <c r="H473" s="7">
        <f>_xlfn.FORECAST.ETS(G473, SalesTbl[Quantity], SalesTbl[Order Date], 0, 1, 1)</f>
        <v>3.2192114781781362</v>
      </c>
    </row>
    <row r="474" spans="1:8" x14ac:dyDescent="0.25">
      <c r="A474" s="2">
        <v>45399</v>
      </c>
      <c r="C474">
        <f>_xlfn.FORECAST.ETS(A474,$B$2:$B$369,$A$2:$A$369,1,1)</f>
        <v>3.2891103245463102</v>
      </c>
      <c r="D474" s="19">
        <f>C474-_xlfn.FORECAST.ETS.CONFINT(A474,$B$2:$B$369,$A$2:$A$369,0.95,1,1)</f>
        <v>-0.79547268559207085</v>
      </c>
      <c r="E474" s="19">
        <f>C474+_xlfn.FORECAST.ETS.CONFINT(A474,$B$2:$B$369,$A$2:$A$369,0.95,1,1)</f>
        <v>7.3736933346846918</v>
      </c>
      <c r="F474" s="2">
        <f>MAX(SalesTbl[Order Date])+1</f>
        <v>45295</v>
      </c>
      <c r="G474" s="2">
        <f t="shared" si="7"/>
        <v>45767</v>
      </c>
      <c r="H474" s="7">
        <f>_xlfn.FORECAST.ETS(G474, SalesTbl[Quantity], SalesTbl[Order Date], 0, 1, 1)</f>
        <v>3.2196759092759666</v>
      </c>
    </row>
    <row r="475" spans="1:8" x14ac:dyDescent="0.25">
      <c r="A475" s="2">
        <v>45400</v>
      </c>
      <c r="C475">
        <f>_xlfn.FORECAST.ETS(A475,$B$2:$B$369,$A$2:$A$369,1,1)</f>
        <v>3.0689010323534323</v>
      </c>
      <c r="D475" s="19">
        <f>C475-_xlfn.FORECAST.ETS.CONFINT(A475,$B$2:$B$369,$A$2:$A$369,0.95,1,1)</f>
        <v>-1.0403318672114796</v>
      </c>
      <c r="E475" s="19">
        <f>C475+_xlfn.FORECAST.ETS.CONFINT(A475,$B$2:$B$369,$A$2:$A$369,0.95,1,1)</f>
        <v>7.1781339319183441</v>
      </c>
      <c r="F475" s="2">
        <f>MAX(SalesTbl[Order Date])+1</f>
        <v>45295</v>
      </c>
      <c r="G475" s="2">
        <f t="shared" si="7"/>
        <v>45768</v>
      </c>
      <c r="H475" s="7">
        <f>_xlfn.FORECAST.ETS(G475, SalesTbl[Quantity], SalesTbl[Order Date], 0, 1, 1)</f>
        <v>3.2201403403738063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13F9-A5D3-4AAB-974A-D3718B520FE3}">
  <dimension ref="A1:T1001"/>
  <sheetViews>
    <sheetView tabSelected="1" topLeftCell="M1" workbookViewId="0">
      <selection activeCell="U1" sqref="U1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9.5703125" bestFit="1" customWidth="1"/>
    <col min="4" max="4" width="16.140625" bestFit="1" customWidth="1"/>
    <col min="5" max="5" width="11.5703125" bestFit="1" customWidth="1"/>
    <col min="6" max="6" width="6.5703125" bestFit="1" customWidth="1"/>
    <col min="7" max="7" width="12" bestFit="1" customWidth="1"/>
    <col min="8" max="8" width="11" bestFit="1" customWidth="1"/>
    <col min="9" max="9" width="12.7109375" bestFit="1" customWidth="1"/>
    <col min="10" max="10" width="14.85546875" bestFit="1" customWidth="1"/>
    <col min="11" max="11" width="13.140625" bestFit="1" customWidth="1"/>
    <col min="12" max="12" width="17.42578125" bestFit="1" customWidth="1"/>
    <col min="13" max="13" width="12" bestFit="1" customWidth="1"/>
    <col min="14" max="14" width="7.28515625" bestFit="1" customWidth="1"/>
    <col min="15" max="15" width="12.140625" bestFit="1" customWidth="1"/>
    <col min="16" max="16" width="12.42578125" style="10" customWidth="1"/>
    <col min="17" max="17" width="16.42578125" style="15" customWidth="1"/>
    <col min="18" max="18" width="22.28515625" style="15" customWidth="1"/>
    <col min="19" max="19" width="14.7109375" customWidth="1"/>
    <col min="20" max="20" width="10.7109375" style="9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1" t="s">
        <v>324</v>
      </c>
      <c r="N1" s="11" t="s">
        <v>325</v>
      </c>
      <c r="O1" s="11" t="s">
        <v>326</v>
      </c>
      <c r="P1" s="12" t="s">
        <v>328</v>
      </c>
      <c r="Q1" s="12" t="s">
        <v>327</v>
      </c>
      <c r="R1" s="12" t="s">
        <v>348</v>
      </c>
      <c r="S1" s="3" t="s">
        <v>347</v>
      </c>
      <c r="T1" s="8" t="s">
        <v>349</v>
      </c>
    </row>
    <row r="2" spans="1:20" x14ac:dyDescent="0.25">
      <c r="A2" t="s">
        <v>12</v>
      </c>
      <c r="B2" t="s">
        <v>13</v>
      </c>
      <c r="C2" t="s">
        <v>320</v>
      </c>
      <c r="D2" t="s">
        <v>14</v>
      </c>
      <c r="E2" t="s">
        <v>15</v>
      </c>
      <c r="F2">
        <v>49</v>
      </c>
      <c r="G2">
        <v>300</v>
      </c>
      <c r="H2">
        <v>5</v>
      </c>
      <c r="I2">
        <v>1500</v>
      </c>
      <c r="J2">
        <v>13.31</v>
      </c>
      <c r="K2" s="2">
        <v>45268</v>
      </c>
      <c r="L2" t="s">
        <v>316</v>
      </c>
      <c r="M2" s="6">
        <f>SalesTbl[[#This Row],[Unit Price]]*SalesTbl[[#This Row],[Quantity]]</f>
        <v>1500</v>
      </c>
      <c r="N2" s="6">
        <f>YEAR(SalesTbl[[#This Row],[Order Date]])</f>
        <v>2023</v>
      </c>
      <c r="O2" s="6" t="str">
        <f>TEXT(SalesTbl[[#This Row],[Order Date]],"yyyy-mm")</f>
        <v>2023-12</v>
      </c>
      <c r="P2" s="13">
        <f>WEEKNUM(SalesTbl[[#This Row],[Order Date]],2)</f>
        <v>50</v>
      </c>
      <c r="Q2" s="14">
        <f>MEDIAN(SalesTbl[Quantity])</f>
        <v>3</v>
      </c>
      <c r="R2" s="14">
        <f>IF(ISBLANK(SalesTbl[[#This Row],[Quantity]]),$H$2,SalesTbl[[#This Row],[Quantity]])</f>
        <v>5</v>
      </c>
      <c r="S2">
        <f>ROW()-ROW(SalesTbl[[#Headers],[Customer ID]])</f>
        <v>1</v>
      </c>
      <c r="T2" s="18" t="str">
        <f>IF(SalesTbl[[#This Row],[RowIdx]]&lt;=ROUNDUP(COUNTA(SalesTbl[Customer ID])*0.8,0),"Train","Test")</f>
        <v>Train</v>
      </c>
    </row>
    <row r="3" spans="1:20" x14ac:dyDescent="0.25">
      <c r="A3" t="s">
        <v>16</v>
      </c>
      <c r="B3" t="s">
        <v>13</v>
      </c>
      <c r="C3" t="s">
        <v>321</v>
      </c>
      <c r="D3" t="s">
        <v>17</v>
      </c>
      <c r="E3" t="s">
        <v>18</v>
      </c>
      <c r="F3">
        <v>22</v>
      </c>
      <c r="G3">
        <v>100</v>
      </c>
      <c r="H3">
        <v>2</v>
      </c>
      <c r="I3">
        <v>200</v>
      </c>
      <c r="J3">
        <v>6.93</v>
      </c>
      <c r="K3" s="2">
        <v>45025</v>
      </c>
      <c r="L3" t="s">
        <v>317</v>
      </c>
      <c r="M3" s="6">
        <f>SalesTbl[[#This Row],[Unit Price]]*SalesTbl[[#This Row],[Quantity]]</f>
        <v>200</v>
      </c>
      <c r="N3" s="6">
        <f>YEAR(SalesTbl[[#This Row],[Order Date]])</f>
        <v>2023</v>
      </c>
      <c r="O3" s="6" t="str">
        <f>TEXT(SalesTbl[[#This Row],[Order Date]],"yyyy-mm")</f>
        <v>2023-04</v>
      </c>
      <c r="P3" s="13">
        <f>WEEKNUM(SalesTbl[[#This Row],[Order Date]],2)</f>
        <v>15</v>
      </c>
      <c r="Q3" s="14">
        <f>MEDIAN(SalesTbl[Quantity])</f>
        <v>3</v>
      </c>
      <c r="R3" s="14">
        <f>IF(ISBLANK(SalesTbl[[#This Row],[Quantity]]),$H$2,SalesTbl[[#This Row],[Quantity]])</f>
        <v>2</v>
      </c>
      <c r="S3">
        <f>ROW()-ROW(SalesTbl[[#Headers],[Customer ID]])</f>
        <v>2</v>
      </c>
      <c r="T3" s="9" t="str">
        <f>IF(SalesTbl[[#This Row],[RowIdx]]&lt;=ROUNDUP(COUNTA(SalesTbl[Customer ID])*0.8,0),"Train","Test")</f>
        <v>Train</v>
      </c>
    </row>
    <row r="4" spans="1:20" x14ac:dyDescent="0.25">
      <c r="A4" t="s">
        <v>19</v>
      </c>
      <c r="B4" t="s">
        <v>20</v>
      </c>
      <c r="C4" t="s">
        <v>322</v>
      </c>
      <c r="D4" t="s">
        <v>14</v>
      </c>
      <c r="E4" t="s">
        <v>15</v>
      </c>
      <c r="F4">
        <v>54</v>
      </c>
      <c r="G4">
        <v>300</v>
      </c>
      <c r="H4">
        <v>1</v>
      </c>
      <c r="I4">
        <v>300</v>
      </c>
      <c r="J4">
        <v>11.31</v>
      </c>
      <c r="K4" s="2">
        <v>45166</v>
      </c>
      <c r="L4" t="s">
        <v>316</v>
      </c>
      <c r="M4" s="6">
        <f>SalesTbl[[#This Row],[Unit Price]]*SalesTbl[[#This Row],[Quantity]]</f>
        <v>300</v>
      </c>
      <c r="N4" s="6">
        <f>YEAR(SalesTbl[[#This Row],[Order Date]])</f>
        <v>2023</v>
      </c>
      <c r="O4" s="6" t="str">
        <f>TEXT(SalesTbl[[#This Row],[Order Date]],"yyyy-mm")</f>
        <v>2023-08</v>
      </c>
      <c r="P4" s="13">
        <f>WEEKNUM(SalesTbl[[#This Row],[Order Date]],2)</f>
        <v>36</v>
      </c>
      <c r="Q4" s="14">
        <f>MEDIAN(SalesTbl[Quantity])</f>
        <v>3</v>
      </c>
      <c r="R4" s="14">
        <f>IF(ISBLANK(SalesTbl[[#This Row],[Quantity]]),$H$2,SalesTbl[[#This Row],[Quantity]])</f>
        <v>1</v>
      </c>
      <c r="S4">
        <f>ROW()-ROW(SalesTbl[[#Headers],[Customer ID]])</f>
        <v>3</v>
      </c>
      <c r="T4" s="9" t="str">
        <f>IF(SalesTbl[[#This Row],[RowIdx]]&lt;=ROUNDUP(COUNTA(SalesTbl[Customer ID])*0.8,0),"Train","Test")</f>
        <v>Train</v>
      </c>
    </row>
    <row r="5" spans="1:20" x14ac:dyDescent="0.25">
      <c r="A5" t="s">
        <v>21</v>
      </c>
      <c r="B5" t="s">
        <v>13</v>
      </c>
      <c r="C5" t="s">
        <v>320</v>
      </c>
      <c r="D5" t="s">
        <v>17</v>
      </c>
      <c r="E5" t="s">
        <v>18</v>
      </c>
      <c r="F5">
        <v>23</v>
      </c>
      <c r="G5">
        <v>100</v>
      </c>
      <c r="H5">
        <v>5</v>
      </c>
      <c r="I5">
        <v>500</v>
      </c>
      <c r="J5">
        <v>12.22</v>
      </c>
      <c r="K5" s="2">
        <v>44944</v>
      </c>
      <c r="L5" t="s">
        <v>318</v>
      </c>
      <c r="M5" s="6">
        <f>SalesTbl[[#This Row],[Unit Price]]*SalesTbl[[#This Row],[Quantity]]</f>
        <v>500</v>
      </c>
      <c r="N5" s="6">
        <f>YEAR(SalesTbl[[#This Row],[Order Date]])</f>
        <v>2023</v>
      </c>
      <c r="O5" s="6" t="str">
        <f>TEXT(SalesTbl[[#This Row],[Order Date]],"yyyy-mm")</f>
        <v>2023-01</v>
      </c>
      <c r="P5" s="13">
        <f>WEEKNUM(SalesTbl[[#This Row],[Order Date]],2)</f>
        <v>4</v>
      </c>
      <c r="Q5" s="14">
        <f>MEDIAN(SalesTbl[Quantity])</f>
        <v>3</v>
      </c>
      <c r="R5" s="14">
        <f>IF(ISBLANK(SalesTbl[[#This Row],[Quantity]]),$H$2,SalesTbl[[#This Row],[Quantity]])</f>
        <v>5</v>
      </c>
      <c r="S5">
        <f>ROW()-ROW(SalesTbl[[#Headers],[Customer ID]])</f>
        <v>4</v>
      </c>
      <c r="T5" s="9" t="str">
        <f>IF(SalesTbl[[#This Row],[RowIdx]]&lt;=ROUNDUP(COUNTA(SalesTbl[Customer ID])*0.8,0),"Train","Test")</f>
        <v>Train</v>
      </c>
    </row>
    <row r="6" spans="1:20" x14ac:dyDescent="0.25">
      <c r="A6" t="s">
        <v>22</v>
      </c>
      <c r="B6" t="s">
        <v>20</v>
      </c>
      <c r="C6" t="s">
        <v>322</v>
      </c>
      <c r="D6" t="s">
        <v>23</v>
      </c>
      <c r="E6" t="s">
        <v>15</v>
      </c>
      <c r="F6">
        <v>49</v>
      </c>
      <c r="G6">
        <v>1500</v>
      </c>
      <c r="H6">
        <v>3</v>
      </c>
      <c r="I6">
        <v>4500</v>
      </c>
      <c r="J6">
        <v>5.4</v>
      </c>
      <c r="K6" s="2">
        <v>44945</v>
      </c>
      <c r="L6" t="s">
        <v>318</v>
      </c>
      <c r="M6" s="6">
        <f>SalesTbl[[#This Row],[Unit Price]]*SalesTbl[[#This Row],[Quantity]]</f>
        <v>4500</v>
      </c>
      <c r="N6" s="6">
        <f>YEAR(SalesTbl[[#This Row],[Order Date]])</f>
        <v>2023</v>
      </c>
      <c r="O6" s="6" t="str">
        <f>TEXT(SalesTbl[[#This Row],[Order Date]],"yyyy-mm")</f>
        <v>2023-01</v>
      </c>
      <c r="P6" s="13">
        <f>WEEKNUM(SalesTbl[[#This Row],[Order Date]],2)</f>
        <v>4</v>
      </c>
      <c r="Q6" s="14">
        <f>MEDIAN(SalesTbl[Quantity])</f>
        <v>3</v>
      </c>
      <c r="R6" s="14">
        <f>IF(ISBLANK(SalesTbl[[#This Row],[Quantity]]),$H$2,SalesTbl[[#This Row],[Quantity]])</f>
        <v>3</v>
      </c>
      <c r="S6">
        <f>ROW()-ROW(SalesTbl[[#Headers],[Customer ID]])</f>
        <v>5</v>
      </c>
      <c r="T6" s="9" t="str">
        <f>IF(SalesTbl[[#This Row],[RowIdx]]&lt;=ROUNDUP(COUNTA(SalesTbl[Customer ID])*0.8,0),"Train","Test")</f>
        <v>Train</v>
      </c>
    </row>
    <row r="7" spans="1:20" x14ac:dyDescent="0.25">
      <c r="A7" t="s">
        <v>24</v>
      </c>
      <c r="B7" t="s">
        <v>13</v>
      </c>
      <c r="C7" t="s">
        <v>320</v>
      </c>
      <c r="D7" t="s">
        <v>25</v>
      </c>
      <c r="E7" t="s">
        <v>26</v>
      </c>
      <c r="F7">
        <v>64</v>
      </c>
      <c r="G7">
        <v>200</v>
      </c>
      <c r="H7">
        <v>2</v>
      </c>
      <c r="I7">
        <v>400</v>
      </c>
      <c r="J7">
        <v>11.26</v>
      </c>
      <c r="K7" s="2">
        <v>44937</v>
      </c>
      <c r="L7" t="s">
        <v>317</v>
      </c>
      <c r="M7" s="6">
        <f>SalesTbl[[#This Row],[Unit Price]]*SalesTbl[[#This Row],[Quantity]]</f>
        <v>400</v>
      </c>
      <c r="N7" s="6">
        <f>YEAR(SalesTbl[[#This Row],[Order Date]])</f>
        <v>2023</v>
      </c>
      <c r="O7" s="6" t="str">
        <f>TEXT(SalesTbl[[#This Row],[Order Date]],"yyyy-mm")</f>
        <v>2023-01</v>
      </c>
      <c r="P7" s="13">
        <f>WEEKNUM(SalesTbl[[#This Row],[Order Date]],2)</f>
        <v>3</v>
      </c>
      <c r="Q7" s="14">
        <f>MEDIAN(SalesTbl[Quantity])</f>
        <v>3</v>
      </c>
      <c r="R7" s="14">
        <f>IF(ISBLANK(SalesTbl[[#This Row],[Quantity]]),$H$2,SalesTbl[[#This Row],[Quantity]])</f>
        <v>2</v>
      </c>
      <c r="S7">
        <f>ROW()-ROW(SalesTbl[[#Headers],[Customer ID]])</f>
        <v>6</v>
      </c>
      <c r="T7" s="9" t="str">
        <f>IF(SalesTbl[[#This Row],[RowIdx]]&lt;=ROUNDUP(COUNTA(SalesTbl[Customer ID])*0.8,0),"Train","Test")</f>
        <v>Train</v>
      </c>
    </row>
    <row r="8" spans="1:20" x14ac:dyDescent="0.25">
      <c r="A8" t="s">
        <v>27</v>
      </c>
      <c r="B8" t="s">
        <v>13</v>
      </c>
      <c r="C8" t="s">
        <v>323</v>
      </c>
      <c r="D8" t="s">
        <v>25</v>
      </c>
      <c r="E8" t="s">
        <v>26</v>
      </c>
      <c r="F8">
        <v>27</v>
      </c>
      <c r="G8">
        <v>200</v>
      </c>
      <c r="H8">
        <v>1</v>
      </c>
      <c r="I8">
        <v>200</v>
      </c>
      <c r="J8">
        <v>18.38</v>
      </c>
      <c r="K8" s="2">
        <v>45222</v>
      </c>
      <c r="L8" t="s">
        <v>317</v>
      </c>
      <c r="M8" s="6">
        <f>SalesTbl[[#This Row],[Unit Price]]*SalesTbl[[#This Row],[Quantity]]</f>
        <v>200</v>
      </c>
      <c r="N8" s="6">
        <f>YEAR(SalesTbl[[#This Row],[Order Date]])</f>
        <v>2023</v>
      </c>
      <c r="O8" s="6" t="str">
        <f>TEXT(SalesTbl[[#This Row],[Order Date]],"yyyy-mm")</f>
        <v>2023-10</v>
      </c>
      <c r="P8" s="13">
        <f>WEEKNUM(SalesTbl[[#This Row],[Order Date]],2)</f>
        <v>44</v>
      </c>
      <c r="Q8" s="14">
        <f>MEDIAN(SalesTbl[Quantity])</f>
        <v>3</v>
      </c>
      <c r="R8" s="14">
        <f>IF(ISBLANK(SalesTbl[[#This Row],[Quantity]]),$H$2,SalesTbl[[#This Row],[Quantity]])</f>
        <v>1</v>
      </c>
      <c r="S8">
        <f>ROW()-ROW(SalesTbl[[#Headers],[Customer ID]])</f>
        <v>7</v>
      </c>
      <c r="T8" s="9" t="str">
        <f>IF(SalesTbl[[#This Row],[RowIdx]]&lt;=ROUNDUP(COUNTA(SalesTbl[Customer ID])*0.8,0),"Train","Test")</f>
        <v>Train</v>
      </c>
    </row>
    <row r="9" spans="1:20" x14ac:dyDescent="0.25">
      <c r="A9" t="s">
        <v>28</v>
      </c>
      <c r="B9" t="s">
        <v>20</v>
      </c>
      <c r="C9" t="s">
        <v>322</v>
      </c>
      <c r="D9" t="s">
        <v>29</v>
      </c>
      <c r="E9" t="s">
        <v>18</v>
      </c>
      <c r="F9">
        <v>18</v>
      </c>
      <c r="G9">
        <v>50</v>
      </c>
      <c r="H9">
        <v>2</v>
      </c>
      <c r="I9">
        <v>100</v>
      </c>
      <c r="J9">
        <v>15.08</v>
      </c>
      <c r="K9" s="2">
        <v>45092</v>
      </c>
      <c r="L9" t="s">
        <v>316</v>
      </c>
      <c r="M9" s="6">
        <f>SalesTbl[[#This Row],[Unit Price]]*SalesTbl[[#This Row],[Quantity]]</f>
        <v>100</v>
      </c>
      <c r="N9" s="6">
        <f>YEAR(SalesTbl[[#This Row],[Order Date]])</f>
        <v>2023</v>
      </c>
      <c r="O9" s="6" t="str">
        <f>TEXT(SalesTbl[[#This Row],[Order Date]],"yyyy-mm")</f>
        <v>2023-06</v>
      </c>
      <c r="P9" s="13">
        <f>WEEKNUM(SalesTbl[[#This Row],[Order Date]],2)</f>
        <v>25</v>
      </c>
      <c r="Q9" s="14">
        <f>MEDIAN(SalesTbl[Quantity])</f>
        <v>3</v>
      </c>
      <c r="R9" s="14">
        <f>IF(ISBLANK(SalesTbl[[#This Row],[Quantity]]),$H$2,SalesTbl[[#This Row],[Quantity]])</f>
        <v>2</v>
      </c>
      <c r="S9">
        <f>ROW()-ROW(SalesTbl[[#Headers],[Customer ID]])</f>
        <v>8</v>
      </c>
      <c r="T9" s="9" t="str">
        <f>IF(SalesTbl[[#This Row],[RowIdx]]&lt;=ROUNDUP(COUNTA(SalesTbl[Customer ID])*0.8,0),"Train","Test")</f>
        <v>Train</v>
      </c>
    </row>
    <row r="10" spans="1:20" x14ac:dyDescent="0.25">
      <c r="A10" t="s">
        <v>16</v>
      </c>
      <c r="B10" t="s">
        <v>20</v>
      </c>
      <c r="C10" t="s">
        <v>323</v>
      </c>
      <c r="D10" t="s">
        <v>30</v>
      </c>
      <c r="E10" t="s">
        <v>18</v>
      </c>
      <c r="F10">
        <v>22</v>
      </c>
      <c r="G10">
        <v>30</v>
      </c>
      <c r="H10">
        <v>1</v>
      </c>
      <c r="I10">
        <v>30</v>
      </c>
      <c r="J10">
        <v>8.2200000000000006</v>
      </c>
      <c r="K10" s="2">
        <v>44982</v>
      </c>
      <c r="L10" t="s">
        <v>316</v>
      </c>
      <c r="M10" s="6">
        <f>SalesTbl[[#This Row],[Unit Price]]*SalesTbl[[#This Row],[Quantity]]</f>
        <v>30</v>
      </c>
      <c r="N10" s="6">
        <f>YEAR(SalesTbl[[#This Row],[Order Date]])</f>
        <v>2023</v>
      </c>
      <c r="O10" s="6" t="str">
        <f>TEXT(SalesTbl[[#This Row],[Order Date]],"yyyy-mm")</f>
        <v>2023-02</v>
      </c>
      <c r="P10" s="13">
        <f>WEEKNUM(SalesTbl[[#This Row],[Order Date]],2)</f>
        <v>9</v>
      </c>
      <c r="Q10" s="14">
        <f>MEDIAN(SalesTbl[Quantity])</f>
        <v>3</v>
      </c>
      <c r="R10" s="14">
        <f>IF(ISBLANK(SalesTbl[[#This Row],[Quantity]]),$H$2,SalesTbl[[#This Row],[Quantity]])</f>
        <v>1</v>
      </c>
      <c r="S10">
        <f>ROW()-ROW(SalesTbl[[#Headers],[Customer ID]])</f>
        <v>9</v>
      </c>
      <c r="T10" s="9" t="str">
        <f>IF(SalesTbl[[#This Row],[RowIdx]]&lt;=ROUNDUP(COUNTA(SalesTbl[Customer ID])*0.8,0),"Train","Test")</f>
        <v>Train</v>
      </c>
    </row>
    <row r="11" spans="1:20" x14ac:dyDescent="0.25">
      <c r="A11" t="s">
        <v>31</v>
      </c>
      <c r="B11" t="s">
        <v>13</v>
      </c>
      <c r="C11" t="s">
        <v>321</v>
      </c>
      <c r="D11" t="s">
        <v>17</v>
      </c>
      <c r="E11" t="s">
        <v>18</v>
      </c>
      <c r="F11">
        <v>29</v>
      </c>
      <c r="G11">
        <v>100</v>
      </c>
      <c r="H11">
        <v>3</v>
      </c>
      <c r="I11">
        <v>300</v>
      </c>
      <c r="J11">
        <v>10.7</v>
      </c>
      <c r="K11" s="2">
        <v>45039</v>
      </c>
      <c r="L11" t="s">
        <v>318</v>
      </c>
      <c r="M11" s="6">
        <f>SalesTbl[[#This Row],[Unit Price]]*SalesTbl[[#This Row],[Quantity]]</f>
        <v>300</v>
      </c>
      <c r="N11" s="6">
        <f>YEAR(SalesTbl[[#This Row],[Order Date]])</f>
        <v>2023</v>
      </c>
      <c r="O11" s="6" t="str">
        <f>TEXT(SalesTbl[[#This Row],[Order Date]],"yyyy-mm")</f>
        <v>2023-04</v>
      </c>
      <c r="P11" s="13">
        <f>WEEKNUM(SalesTbl[[#This Row],[Order Date]],2)</f>
        <v>17</v>
      </c>
      <c r="Q11" s="14">
        <f>MEDIAN(SalesTbl[Quantity])</f>
        <v>3</v>
      </c>
      <c r="R11" s="14">
        <f>IF(ISBLANK(SalesTbl[[#This Row],[Quantity]]),$H$2,SalesTbl[[#This Row],[Quantity]])</f>
        <v>3</v>
      </c>
      <c r="S11">
        <f>ROW()-ROW(SalesTbl[[#Headers],[Customer ID]])</f>
        <v>10</v>
      </c>
      <c r="T11" s="9" t="str">
        <f>IF(SalesTbl[[#This Row],[RowIdx]]&lt;=ROUNDUP(COUNTA(SalesTbl[Customer ID])*0.8,0),"Train","Test")</f>
        <v>Train</v>
      </c>
    </row>
    <row r="12" spans="1:20" x14ac:dyDescent="0.25">
      <c r="A12" t="s">
        <v>32</v>
      </c>
      <c r="B12" t="s">
        <v>20</v>
      </c>
      <c r="C12" t="s">
        <v>323</v>
      </c>
      <c r="D12" t="s">
        <v>17</v>
      </c>
      <c r="E12" t="s">
        <v>18</v>
      </c>
      <c r="F12">
        <v>49</v>
      </c>
      <c r="G12">
        <v>100</v>
      </c>
      <c r="H12">
        <v>2</v>
      </c>
      <c r="I12">
        <v>200</v>
      </c>
      <c r="J12">
        <v>9.8000000000000007</v>
      </c>
      <c r="K12" s="2">
        <v>45078</v>
      </c>
      <c r="L12" t="s">
        <v>316</v>
      </c>
      <c r="M12" s="6">
        <f>SalesTbl[[#This Row],[Unit Price]]*SalesTbl[[#This Row],[Quantity]]</f>
        <v>200</v>
      </c>
      <c r="N12" s="6">
        <f>YEAR(SalesTbl[[#This Row],[Order Date]])</f>
        <v>2023</v>
      </c>
      <c r="O12" s="6" t="str">
        <f>TEXT(SalesTbl[[#This Row],[Order Date]],"yyyy-mm")</f>
        <v>2023-06</v>
      </c>
      <c r="P12" s="13">
        <f>WEEKNUM(SalesTbl[[#This Row],[Order Date]],2)</f>
        <v>23</v>
      </c>
      <c r="Q12" s="14">
        <f>MEDIAN(SalesTbl[Quantity])</f>
        <v>3</v>
      </c>
      <c r="R12" s="14">
        <f>IF(ISBLANK(SalesTbl[[#This Row],[Quantity]]),$H$2,SalesTbl[[#This Row],[Quantity]])</f>
        <v>2</v>
      </c>
      <c r="S12">
        <f>ROW()-ROW(SalesTbl[[#Headers],[Customer ID]])</f>
        <v>11</v>
      </c>
      <c r="T12" s="9" t="str">
        <f>IF(SalesTbl[[#This Row],[RowIdx]]&lt;=ROUNDUP(COUNTA(SalesTbl[Customer ID])*0.8,0),"Train","Test")</f>
        <v>Train</v>
      </c>
    </row>
    <row r="13" spans="1:20" x14ac:dyDescent="0.25">
      <c r="A13" t="s">
        <v>33</v>
      </c>
      <c r="B13" t="s">
        <v>20</v>
      </c>
      <c r="C13" t="s">
        <v>321</v>
      </c>
      <c r="D13" t="s">
        <v>30</v>
      </c>
      <c r="E13" t="s">
        <v>18</v>
      </c>
      <c r="F13">
        <v>67</v>
      </c>
      <c r="G13">
        <v>30</v>
      </c>
      <c r="H13">
        <v>3</v>
      </c>
      <c r="I13">
        <v>90</v>
      </c>
      <c r="J13">
        <v>5.65</v>
      </c>
      <c r="K13" s="2">
        <v>45182</v>
      </c>
      <c r="L13" t="s">
        <v>317</v>
      </c>
      <c r="M13" s="6">
        <f>SalesTbl[[#This Row],[Unit Price]]*SalesTbl[[#This Row],[Quantity]]</f>
        <v>90</v>
      </c>
      <c r="N13" s="6">
        <f>YEAR(SalesTbl[[#This Row],[Order Date]])</f>
        <v>2023</v>
      </c>
      <c r="O13" s="6" t="str">
        <f>TEXT(SalesTbl[[#This Row],[Order Date]],"yyyy-mm")</f>
        <v>2023-09</v>
      </c>
      <c r="P13" s="13">
        <f>WEEKNUM(SalesTbl[[#This Row],[Order Date]],2)</f>
        <v>38</v>
      </c>
      <c r="Q13" s="14">
        <f>MEDIAN(SalesTbl[Quantity])</f>
        <v>3</v>
      </c>
      <c r="R13" s="14">
        <f>IF(ISBLANK(SalesTbl[[#This Row],[Quantity]]),$H$2,SalesTbl[[#This Row],[Quantity]])</f>
        <v>3</v>
      </c>
      <c r="S13">
        <f>ROW()-ROW(SalesTbl[[#Headers],[Customer ID]])</f>
        <v>12</v>
      </c>
      <c r="T13" s="9" t="str">
        <f>IF(SalesTbl[[#This Row],[RowIdx]]&lt;=ROUNDUP(COUNTA(SalesTbl[Customer ID])*0.8,0),"Train","Test")</f>
        <v>Train</v>
      </c>
    </row>
    <row r="14" spans="1:20" x14ac:dyDescent="0.25">
      <c r="A14" t="s">
        <v>34</v>
      </c>
      <c r="B14" t="s">
        <v>20</v>
      </c>
      <c r="C14" t="s">
        <v>321</v>
      </c>
      <c r="D14" t="s">
        <v>29</v>
      </c>
      <c r="E14" t="s">
        <v>18</v>
      </c>
      <c r="F14">
        <v>41</v>
      </c>
      <c r="G14">
        <v>50</v>
      </c>
      <c r="H14">
        <v>5</v>
      </c>
      <c r="I14">
        <v>250</v>
      </c>
      <c r="J14">
        <v>7.13</v>
      </c>
      <c r="K14" s="2">
        <v>44974</v>
      </c>
      <c r="L14" t="s">
        <v>318</v>
      </c>
      <c r="M14" s="6">
        <f>SalesTbl[[#This Row],[Unit Price]]*SalesTbl[[#This Row],[Quantity]]</f>
        <v>250</v>
      </c>
      <c r="N14" s="6">
        <f>YEAR(SalesTbl[[#This Row],[Order Date]])</f>
        <v>2023</v>
      </c>
      <c r="O14" s="6" t="str">
        <f>TEXT(SalesTbl[[#This Row],[Order Date]],"yyyy-mm")</f>
        <v>2023-02</v>
      </c>
      <c r="P14" s="13">
        <f>WEEKNUM(SalesTbl[[#This Row],[Order Date]],2)</f>
        <v>8</v>
      </c>
      <c r="Q14" s="14">
        <f>MEDIAN(SalesTbl[Quantity])</f>
        <v>3</v>
      </c>
      <c r="R14" s="14">
        <f>IF(ISBLANK(SalesTbl[[#This Row],[Quantity]]),$H$2,SalesTbl[[#This Row],[Quantity]])</f>
        <v>5</v>
      </c>
      <c r="S14">
        <f>ROW()-ROW(SalesTbl[[#Headers],[Customer ID]])</f>
        <v>13</v>
      </c>
      <c r="T14" s="9" t="str">
        <f>IF(SalesTbl[[#This Row],[RowIdx]]&lt;=ROUNDUP(COUNTA(SalesTbl[Customer ID])*0.8,0),"Train","Test")</f>
        <v>Train</v>
      </c>
    </row>
    <row r="15" spans="1:20" x14ac:dyDescent="0.25">
      <c r="A15" t="s">
        <v>35</v>
      </c>
      <c r="B15" t="s">
        <v>13</v>
      </c>
      <c r="C15" t="s">
        <v>322</v>
      </c>
      <c r="D15" t="s">
        <v>29</v>
      </c>
      <c r="E15" t="s">
        <v>18</v>
      </c>
      <c r="F15">
        <v>60</v>
      </c>
      <c r="G15">
        <v>50</v>
      </c>
      <c r="H15">
        <v>4</v>
      </c>
      <c r="I15">
        <v>200</v>
      </c>
      <c r="J15">
        <v>10.91</v>
      </c>
      <c r="K15" s="2">
        <v>45270</v>
      </c>
      <c r="L15" t="s">
        <v>316</v>
      </c>
      <c r="M15" s="6">
        <f>SalesTbl[[#This Row],[Unit Price]]*SalesTbl[[#This Row],[Quantity]]</f>
        <v>200</v>
      </c>
      <c r="N15" s="6">
        <f>YEAR(SalesTbl[[#This Row],[Order Date]])</f>
        <v>2023</v>
      </c>
      <c r="O15" s="6" t="str">
        <f>TEXT(SalesTbl[[#This Row],[Order Date]],"yyyy-mm")</f>
        <v>2023-12</v>
      </c>
      <c r="P15" s="13">
        <f>WEEKNUM(SalesTbl[[#This Row],[Order Date]],2)</f>
        <v>50</v>
      </c>
      <c r="Q15" s="14">
        <f>MEDIAN(SalesTbl[Quantity])</f>
        <v>3</v>
      </c>
      <c r="R15" s="14">
        <f>IF(ISBLANK(SalesTbl[[#This Row],[Quantity]]),$H$2,SalesTbl[[#This Row],[Quantity]])</f>
        <v>4</v>
      </c>
      <c r="S15">
        <f>ROW()-ROW(SalesTbl[[#Headers],[Customer ID]])</f>
        <v>14</v>
      </c>
      <c r="T15" s="9" t="str">
        <f>IF(SalesTbl[[#This Row],[RowIdx]]&lt;=ROUNDUP(COUNTA(SalesTbl[Customer ID])*0.8,0),"Train","Test")</f>
        <v>Train</v>
      </c>
    </row>
    <row r="16" spans="1:20" x14ac:dyDescent="0.25">
      <c r="A16" t="s">
        <v>36</v>
      </c>
      <c r="B16" t="s">
        <v>13</v>
      </c>
      <c r="C16" t="s">
        <v>321</v>
      </c>
      <c r="D16" t="s">
        <v>30</v>
      </c>
      <c r="E16" t="s">
        <v>18</v>
      </c>
      <c r="F16">
        <v>66</v>
      </c>
      <c r="G16">
        <v>30</v>
      </c>
      <c r="H16">
        <v>1</v>
      </c>
      <c r="I16">
        <v>30</v>
      </c>
      <c r="J16">
        <v>11.36</v>
      </c>
      <c r="K16" s="2">
        <v>45106</v>
      </c>
      <c r="L16" t="s">
        <v>317</v>
      </c>
      <c r="M16" s="6">
        <f>SalesTbl[[#This Row],[Unit Price]]*SalesTbl[[#This Row],[Quantity]]</f>
        <v>30</v>
      </c>
      <c r="N16" s="6">
        <f>YEAR(SalesTbl[[#This Row],[Order Date]])</f>
        <v>2023</v>
      </c>
      <c r="O16" s="6" t="str">
        <f>TEXT(SalesTbl[[#This Row],[Order Date]],"yyyy-mm")</f>
        <v>2023-06</v>
      </c>
      <c r="P16" s="13">
        <f>WEEKNUM(SalesTbl[[#This Row],[Order Date]],2)</f>
        <v>27</v>
      </c>
      <c r="Q16" s="14">
        <f>MEDIAN(SalesTbl[Quantity])</f>
        <v>3</v>
      </c>
      <c r="R16" s="14">
        <f>IF(ISBLANK(SalesTbl[[#This Row],[Quantity]]),$H$2,SalesTbl[[#This Row],[Quantity]])</f>
        <v>1</v>
      </c>
      <c r="S16">
        <f>ROW()-ROW(SalesTbl[[#Headers],[Customer ID]])</f>
        <v>15</v>
      </c>
      <c r="T16" s="9" t="str">
        <f>IF(SalesTbl[[#This Row],[RowIdx]]&lt;=ROUNDUP(COUNTA(SalesTbl[Customer ID])*0.8,0),"Train","Test")</f>
        <v>Train</v>
      </c>
    </row>
    <row r="17" spans="1:20" x14ac:dyDescent="0.25">
      <c r="A17" t="s">
        <v>37</v>
      </c>
      <c r="B17" t="s">
        <v>20</v>
      </c>
      <c r="C17" t="s">
        <v>319</v>
      </c>
      <c r="D17" t="s">
        <v>25</v>
      </c>
      <c r="E17" t="s">
        <v>26</v>
      </c>
      <c r="F17">
        <v>36</v>
      </c>
      <c r="G17">
        <v>200</v>
      </c>
      <c r="H17">
        <v>3</v>
      </c>
      <c r="I17">
        <v>600</v>
      </c>
      <c r="J17">
        <v>7.89</v>
      </c>
      <c r="K17" s="2">
        <v>45121</v>
      </c>
      <c r="L17" t="s">
        <v>318</v>
      </c>
      <c r="M17" s="6">
        <f>SalesTbl[[#This Row],[Unit Price]]*SalesTbl[[#This Row],[Quantity]]</f>
        <v>600</v>
      </c>
      <c r="N17" s="6">
        <f>YEAR(SalesTbl[[#This Row],[Order Date]])</f>
        <v>2023</v>
      </c>
      <c r="O17" s="6" t="str">
        <f>TEXT(SalesTbl[[#This Row],[Order Date]],"yyyy-mm")</f>
        <v>2023-07</v>
      </c>
      <c r="P17" s="13">
        <f>WEEKNUM(SalesTbl[[#This Row],[Order Date]],2)</f>
        <v>29</v>
      </c>
      <c r="Q17" s="14">
        <f>MEDIAN(SalesTbl[Quantity])</f>
        <v>3</v>
      </c>
      <c r="R17" s="14">
        <f>IF(ISBLANK(SalesTbl[[#This Row],[Quantity]]),$H$2,SalesTbl[[#This Row],[Quantity]])</f>
        <v>3</v>
      </c>
      <c r="S17">
        <f>ROW()-ROW(SalesTbl[[#Headers],[Customer ID]])</f>
        <v>16</v>
      </c>
      <c r="T17" s="9" t="str">
        <f>IF(SalesTbl[[#This Row],[RowIdx]]&lt;=ROUNDUP(COUNTA(SalesTbl[Customer ID])*0.8,0),"Train","Test")</f>
        <v>Train</v>
      </c>
    </row>
    <row r="18" spans="1:20" x14ac:dyDescent="0.25">
      <c r="A18" t="s">
        <v>38</v>
      </c>
      <c r="B18" t="s">
        <v>13</v>
      </c>
      <c r="C18" t="s">
        <v>320</v>
      </c>
      <c r="D18" t="s">
        <v>23</v>
      </c>
      <c r="E18" t="s">
        <v>15</v>
      </c>
      <c r="F18">
        <v>57</v>
      </c>
      <c r="G18">
        <v>1500</v>
      </c>
      <c r="H18">
        <v>4</v>
      </c>
      <c r="I18">
        <v>6000</v>
      </c>
      <c r="J18">
        <v>10.92</v>
      </c>
      <c r="K18" s="2">
        <v>45059</v>
      </c>
      <c r="L18" t="s">
        <v>317</v>
      </c>
      <c r="M18" s="6">
        <f>SalesTbl[[#This Row],[Unit Price]]*SalesTbl[[#This Row],[Quantity]]</f>
        <v>6000</v>
      </c>
      <c r="N18" s="6">
        <f>YEAR(SalesTbl[[#This Row],[Order Date]])</f>
        <v>2023</v>
      </c>
      <c r="O18" s="6" t="str">
        <f>TEXT(SalesTbl[[#This Row],[Order Date]],"yyyy-mm")</f>
        <v>2023-05</v>
      </c>
      <c r="P18" s="13">
        <f>WEEKNUM(SalesTbl[[#This Row],[Order Date]],2)</f>
        <v>20</v>
      </c>
      <c r="Q18" s="14">
        <f>MEDIAN(SalesTbl[Quantity])</f>
        <v>3</v>
      </c>
      <c r="R18" s="14">
        <f>IF(ISBLANK(SalesTbl[[#This Row],[Quantity]]),$H$2,SalesTbl[[#This Row],[Quantity]])</f>
        <v>4</v>
      </c>
      <c r="S18">
        <f>ROW()-ROW(SalesTbl[[#Headers],[Customer ID]])</f>
        <v>17</v>
      </c>
      <c r="T18" s="9" t="str">
        <f>IF(SalesTbl[[#This Row],[RowIdx]]&lt;=ROUNDUP(COUNTA(SalesTbl[Customer ID])*0.8,0),"Train","Test")</f>
        <v>Train</v>
      </c>
    </row>
    <row r="19" spans="1:20" x14ac:dyDescent="0.25">
      <c r="A19" t="s">
        <v>39</v>
      </c>
      <c r="B19" t="s">
        <v>13</v>
      </c>
      <c r="C19" t="s">
        <v>322</v>
      </c>
      <c r="D19" t="s">
        <v>40</v>
      </c>
      <c r="E19" t="s">
        <v>15</v>
      </c>
      <c r="F19">
        <v>30</v>
      </c>
      <c r="G19">
        <v>800</v>
      </c>
      <c r="H19">
        <v>2</v>
      </c>
      <c r="I19">
        <v>1600</v>
      </c>
      <c r="J19">
        <v>11.44</v>
      </c>
      <c r="K19" s="2">
        <v>45086</v>
      </c>
      <c r="L19" t="s">
        <v>316</v>
      </c>
      <c r="M19" s="6">
        <f>SalesTbl[[#This Row],[Unit Price]]*SalesTbl[[#This Row],[Quantity]]</f>
        <v>1600</v>
      </c>
      <c r="N19" s="6">
        <f>YEAR(SalesTbl[[#This Row],[Order Date]])</f>
        <v>2023</v>
      </c>
      <c r="O19" s="6" t="str">
        <f>TEXT(SalesTbl[[#This Row],[Order Date]],"yyyy-mm")</f>
        <v>2023-06</v>
      </c>
      <c r="P19" s="13">
        <f>WEEKNUM(SalesTbl[[#This Row],[Order Date]],2)</f>
        <v>24</v>
      </c>
      <c r="Q19" s="14">
        <f>MEDIAN(SalesTbl[Quantity])</f>
        <v>3</v>
      </c>
      <c r="R19" s="14">
        <f>IF(ISBLANK(SalesTbl[[#This Row],[Quantity]]),$H$2,SalesTbl[[#This Row],[Quantity]])</f>
        <v>2</v>
      </c>
      <c r="S19">
        <f>ROW()-ROW(SalesTbl[[#Headers],[Customer ID]])</f>
        <v>18</v>
      </c>
      <c r="T19" s="9" t="str">
        <f>IF(SalesTbl[[#This Row],[RowIdx]]&lt;=ROUNDUP(COUNTA(SalesTbl[Customer ID])*0.8,0),"Train","Test")</f>
        <v>Train</v>
      </c>
    </row>
    <row r="20" spans="1:20" x14ac:dyDescent="0.25">
      <c r="A20" t="s">
        <v>41</v>
      </c>
      <c r="B20" t="s">
        <v>20</v>
      </c>
      <c r="C20" t="s">
        <v>323</v>
      </c>
      <c r="D20" t="s">
        <v>25</v>
      </c>
      <c r="E20" t="s">
        <v>26</v>
      </c>
      <c r="F20">
        <v>32</v>
      </c>
      <c r="G20">
        <v>200</v>
      </c>
      <c r="H20">
        <v>5</v>
      </c>
      <c r="I20">
        <v>1000</v>
      </c>
      <c r="J20">
        <v>7.16</v>
      </c>
      <c r="K20" s="2">
        <v>45098</v>
      </c>
      <c r="L20" t="s">
        <v>317</v>
      </c>
      <c r="M20" s="6">
        <f>SalesTbl[[#This Row],[Unit Price]]*SalesTbl[[#This Row],[Quantity]]</f>
        <v>1000</v>
      </c>
      <c r="N20" s="6">
        <f>YEAR(SalesTbl[[#This Row],[Order Date]])</f>
        <v>2023</v>
      </c>
      <c r="O20" s="6" t="str">
        <f>TEXT(SalesTbl[[#This Row],[Order Date]],"yyyy-mm")</f>
        <v>2023-06</v>
      </c>
      <c r="P20" s="13">
        <f>WEEKNUM(SalesTbl[[#This Row],[Order Date]],2)</f>
        <v>26</v>
      </c>
      <c r="Q20" s="14">
        <f>MEDIAN(SalesTbl[Quantity])</f>
        <v>3</v>
      </c>
      <c r="R20" s="14">
        <f>IF(ISBLANK(SalesTbl[[#This Row],[Quantity]]),$H$2,SalesTbl[[#This Row],[Quantity]])</f>
        <v>5</v>
      </c>
      <c r="S20">
        <f>ROW()-ROW(SalesTbl[[#Headers],[Customer ID]])</f>
        <v>19</v>
      </c>
      <c r="T20" s="9" t="str">
        <f>IF(SalesTbl[[#This Row],[RowIdx]]&lt;=ROUNDUP(COUNTA(SalesTbl[Customer ID])*0.8,0),"Train","Test")</f>
        <v>Train</v>
      </c>
    </row>
    <row r="21" spans="1:20" x14ac:dyDescent="0.25">
      <c r="A21" t="s">
        <v>42</v>
      </c>
      <c r="B21" t="s">
        <v>20</v>
      </c>
      <c r="C21" t="s">
        <v>321</v>
      </c>
      <c r="D21" t="s">
        <v>14</v>
      </c>
      <c r="E21" t="s">
        <v>15</v>
      </c>
      <c r="F21">
        <v>59</v>
      </c>
      <c r="G21">
        <v>300</v>
      </c>
      <c r="H21">
        <v>4</v>
      </c>
      <c r="I21">
        <v>1200</v>
      </c>
      <c r="J21">
        <v>17.37</v>
      </c>
      <c r="K21" s="2">
        <v>45256</v>
      </c>
      <c r="L21" t="s">
        <v>317</v>
      </c>
      <c r="M21" s="6">
        <f>SalesTbl[[#This Row],[Unit Price]]*SalesTbl[[#This Row],[Quantity]]</f>
        <v>1200</v>
      </c>
      <c r="N21" s="6">
        <f>YEAR(SalesTbl[[#This Row],[Order Date]])</f>
        <v>2023</v>
      </c>
      <c r="O21" s="6" t="str">
        <f>TEXT(SalesTbl[[#This Row],[Order Date]],"yyyy-mm")</f>
        <v>2023-11</v>
      </c>
      <c r="P21" s="13">
        <f>WEEKNUM(SalesTbl[[#This Row],[Order Date]],2)</f>
        <v>48</v>
      </c>
      <c r="Q21" s="14">
        <f>MEDIAN(SalesTbl[Quantity])</f>
        <v>3</v>
      </c>
      <c r="R21" s="14">
        <f>IF(ISBLANK(SalesTbl[[#This Row],[Quantity]]),$H$2,SalesTbl[[#This Row],[Quantity]])</f>
        <v>4</v>
      </c>
      <c r="S21">
        <f>ROW()-ROW(SalesTbl[[#Headers],[Customer ID]])</f>
        <v>20</v>
      </c>
      <c r="T21" s="9" t="str">
        <f>IF(SalesTbl[[#This Row],[RowIdx]]&lt;=ROUNDUP(COUNTA(SalesTbl[Customer ID])*0.8,0),"Train","Test")</f>
        <v>Train</v>
      </c>
    </row>
    <row r="22" spans="1:20" x14ac:dyDescent="0.25">
      <c r="A22" t="s">
        <v>33</v>
      </c>
      <c r="B22" t="s">
        <v>20</v>
      </c>
      <c r="C22" t="s">
        <v>323</v>
      </c>
      <c r="D22" t="s">
        <v>40</v>
      </c>
      <c r="E22" t="s">
        <v>15</v>
      </c>
      <c r="F22">
        <v>67</v>
      </c>
      <c r="G22">
        <v>800</v>
      </c>
      <c r="H22">
        <v>5</v>
      </c>
      <c r="I22">
        <v>4000</v>
      </c>
      <c r="J22">
        <v>12.17</v>
      </c>
      <c r="K22" s="2">
        <v>45238</v>
      </c>
      <c r="L22" t="s">
        <v>318</v>
      </c>
      <c r="M22" s="6">
        <f>SalesTbl[[#This Row],[Unit Price]]*SalesTbl[[#This Row],[Quantity]]</f>
        <v>4000</v>
      </c>
      <c r="N22" s="6">
        <f>YEAR(SalesTbl[[#This Row],[Order Date]])</f>
        <v>2023</v>
      </c>
      <c r="O22" s="6" t="str">
        <f>TEXT(SalesTbl[[#This Row],[Order Date]],"yyyy-mm")</f>
        <v>2023-11</v>
      </c>
      <c r="P22" s="13">
        <f>WEEKNUM(SalesTbl[[#This Row],[Order Date]],2)</f>
        <v>46</v>
      </c>
      <c r="Q22" s="14">
        <f>MEDIAN(SalesTbl[Quantity])</f>
        <v>3</v>
      </c>
      <c r="R22" s="14">
        <f>IF(ISBLANK(SalesTbl[[#This Row],[Quantity]]),$H$2,SalesTbl[[#This Row],[Quantity]])</f>
        <v>5</v>
      </c>
      <c r="S22">
        <f>ROW()-ROW(SalesTbl[[#Headers],[Customer ID]])</f>
        <v>21</v>
      </c>
      <c r="T22" s="9" t="str">
        <f>IF(SalesTbl[[#This Row],[RowIdx]]&lt;=ROUNDUP(COUNTA(SalesTbl[Customer ID])*0.8,0),"Train","Test")</f>
        <v>Train</v>
      </c>
    </row>
    <row r="23" spans="1:20" x14ac:dyDescent="0.25">
      <c r="A23" t="s">
        <v>43</v>
      </c>
      <c r="B23" t="s">
        <v>20</v>
      </c>
      <c r="C23" t="s">
        <v>322</v>
      </c>
      <c r="D23" t="s">
        <v>30</v>
      </c>
      <c r="E23" t="s">
        <v>18</v>
      </c>
      <c r="F23">
        <v>37</v>
      </c>
      <c r="G23">
        <v>30</v>
      </c>
      <c r="H23">
        <v>3</v>
      </c>
      <c r="I23">
        <v>90</v>
      </c>
      <c r="J23">
        <v>19.41</v>
      </c>
      <c r="K23" s="2">
        <v>45287</v>
      </c>
      <c r="L23" t="s">
        <v>316</v>
      </c>
      <c r="M23" s="6">
        <f>SalesTbl[[#This Row],[Unit Price]]*SalesTbl[[#This Row],[Quantity]]</f>
        <v>90</v>
      </c>
      <c r="N23" s="6">
        <f>YEAR(SalesTbl[[#This Row],[Order Date]])</f>
        <v>2023</v>
      </c>
      <c r="O23" s="6" t="str">
        <f>TEXT(SalesTbl[[#This Row],[Order Date]],"yyyy-mm")</f>
        <v>2023-12</v>
      </c>
      <c r="P23" s="13">
        <f>WEEKNUM(SalesTbl[[#This Row],[Order Date]],2)</f>
        <v>53</v>
      </c>
      <c r="Q23" s="14">
        <f>MEDIAN(SalesTbl[Quantity])</f>
        <v>3</v>
      </c>
      <c r="R23" s="14">
        <f>IF(ISBLANK(SalesTbl[[#This Row],[Quantity]]),$H$2,SalesTbl[[#This Row],[Quantity]])</f>
        <v>3</v>
      </c>
      <c r="S23">
        <f>ROW()-ROW(SalesTbl[[#Headers],[Customer ID]])</f>
        <v>22</v>
      </c>
      <c r="T23" s="9" t="str">
        <f>IF(SalesTbl[[#This Row],[RowIdx]]&lt;=ROUNDUP(COUNTA(SalesTbl[Customer ID])*0.8,0),"Train","Test")</f>
        <v>Train</v>
      </c>
    </row>
    <row r="24" spans="1:20" x14ac:dyDescent="0.25">
      <c r="A24" t="s">
        <v>44</v>
      </c>
      <c r="B24" t="s">
        <v>13</v>
      </c>
      <c r="C24" t="s">
        <v>320</v>
      </c>
      <c r="D24" t="s">
        <v>30</v>
      </c>
      <c r="E24" t="s">
        <v>18</v>
      </c>
      <c r="F24">
        <v>49</v>
      </c>
      <c r="G24">
        <v>30</v>
      </c>
      <c r="H24">
        <v>3</v>
      </c>
      <c r="I24">
        <v>90</v>
      </c>
      <c r="J24">
        <v>6.97</v>
      </c>
      <c r="K24" s="2">
        <v>45083</v>
      </c>
      <c r="L24" t="s">
        <v>316</v>
      </c>
      <c r="M24" s="6">
        <f>SalesTbl[[#This Row],[Unit Price]]*SalesTbl[[#This Row],[Quantity]]</f>
        <v>90</v>
      </c>
      <c r="N24" s="6">
        <f>YEAR(SalesTbl[[#This Row],[Order Date]])</f>
        <v>2023</v>
      </c>
      <c r="O24" s="6" t="str">
        <f>TEXT(SalesTbl[[#This Row],[Order Date]],"yyyy-mm")</f>
        <v>2023-06</v>
      </c>
      <c r="P24" s="13">
        <f>WEEKNUM(SalesTbl[[#This Row],[Order Date]],2)</f>
        <v>24</v>
      </c>
      <c r="Q24" s="14">
        <f>MEDIAN(SalesTbl[Quantity])</f>
        <v>3</v>
      </c>
      <c r="R24" s="14">
        <f>IF(ISBLANK(SalesTbl[[#This Row],[Quantity]]),$H$2,SalesTbl[[#This Row],[Quantity]])</f>
        <v>3</v>
      </c>
      <c r="S24">
        <f>ROW()-ROW(SalesTbl[[#Headers],[Customer ID]])</f>
        <v>23</v>
      </c>
      <c r="T24" s="9" t="str">
        <f>IF(SalesTbl[[#This Row],[RowIdx]]&lt;=ROUNDUP(COUNTA(SalesTbl[Customer ID])*0.8,0),"Train","Test")</f>
        <v>Train</v>
      </c>
    </row>
    <row r="25" spans="1:20" x14ac:dyDescent="0.25">
      <c r="A25" t="s">
        <v>45</v>
      </c>
      <c r="B25" t="s">
        <v>20</v>
      </c>
      <c r="C25" t="s">
        <v>323</v>
      </c>
      <c r="D25" t="s">
        <v>17</v>
      </c>
      <c r="E25" t="s">
        <v>18</v>
      </c>
      <c r="F25">
        <v>52</v>
      </c>
      <c r="G25">
        <v>100</v>
      </c>
      <c r="H25">
        <v>2</v>
      </c>
      <c r="I25">
        <v>200</v>
      </c>
      <c r="J25">
        <v>12</v>
      </c>
      <c r="K25" s="2">
        <v>45227</v>
      </c>
      <c r="L25" t="s">
        <v>317</v>
      </c>
      <c r="M25" s="6">
        <f>SalesTbl[[#This Row],[Unit Price]]*SalesTbl[[#This Row],[Quantity]]</f>
        <v>200</v>
      </c>
      <c r="N25" s="6">
        <f>YEAR(SalesTbl[[#This Row],[Order Date]])</f>
        <v>2023</v>
      </c>
      <c r="O25" s="6" t="str">
        <f>TEXT(SalesTbl[[#This Row],[Order Date]],"yyyy-mm")</f>
        <v>2023-10</v>
      </c>
      <c r="P25" s="13">
        <f>WEEKNUM(SalesTbl[[#This Row],[Order Date]],2)</f>
        <v>44</v>
      </c>
      <c r="Q25" s="14">
        <f>MEDIAN(SalesTbl[Quantity])</f>
        <v>3</v>
      </c>
      <c r="R25" s="14">
        <f>IF(ISBLANK(SalesTbl[[#This Row],[Quantity]]),$H$2,SalesTbl[[#This Row],[Quantity]])</f>
        <v>2</v>
      </c>
      <c r="S25">
        <f>ROW()-ROW(SalesTbl[[#Headers],[Customer ID]])</f>
        <v>24</v>
      </c>
      <c r="T25" s="9" t="str">
        <f>IF(SalesTbl[[#This Row],[RowIdx]]&lt;=ROUNDUP(COUNTA(SalesTbl[Customer ID])*0.8,0),"Train","Test")</f>
        <v>Train</v>
      </c>
    </row>
    <row r="26" spans="1:20" x14ac:dyDescent="0.25">
      <c r="A26" t="s">
        <v>46</v>
      </c>
      <c r="B26" t="s">
        <v>13</v>
      </c>
      <c r="C26" t="s">
        <v>320</v>
      </c>
      <c r="D26" t="s">
        <v>40</v>
      </c>
      <c r="E26" t="s">
        <v>15</v>
      </c>
      <c r="F26">
        <v>58</v>
      </c>
      <c r="G26">
        <v>800</v>
      </c>
      <c r="H26">
        <v>4</v>
      </c>
      <c r="I26">
        <v>3200</v>
      </c>
      <c r="J26">
        <v>18.11</v>
      </c>
      <c r="K26" s="2">
        <v>45290</v>
      </c>
      <c r="L26" t="s">
        <v>319</v>
      </c>
      <c r="M26" s="6">
        <f>SalesTbl[[#This Row],[Unit Price]]*SalesTbl[[#This Row],[Quantity]]</f>
        <v>3200</v>
      </c>
      <c r="N26" s="6">
        <f>YEAR(SalesTbl[[#This Row],[Order Date]])</f>
        <v>2023</v>
      </c>
      <c r="O26" s="6" t="str">
        <f>TEXT(SalesTbl[[#This Row],[Order Date]],"yyyy-mm")</f>
        <v>2023-12</v>
      </c>
      <c r="P26" s="13">
        <f>WEEKNUM(SalesTbl[[#This Row],[Order Date]],2)</f>
        <v>53</v>
      </c>
      <c r="Q26" s="14">
        <f>MEDIAN(SalesTbl[Quantity])</f>
        <v>3</v>
      </c>
      <c r="R26" s="14">
        <f>IF(ISBLANK(SalesTbl[[#This Row],[Quantity]]),$H$2,SalesTbl[[#This Row],[Quantity]])</f>
        <v>4</v>
      </c>
      <c r="S26">
        <f>ROW()-ROW(SalesTbl[[#Headers],[Customer ID]])</f>
        <v>25</v>
      </c>
      <c r="T26" s="9" t="str">
        <f>IF(SalesTbl[[#This Row],[RowIdx]]&lt;=ROUNDUP(COUNTA(SalesTbl[Customer ID])*0.8,0),"Train","Test")</f>
        <v>Train</v>
      </c>
    </row>
    <row r="27" spans="1:20" x14ac:dyDescent="0.25">
      <c r="A27" t="s">
        <v>47</v>
      </c>
      <c r="B27" t="s">
        <v>20</v>
      </c>
      <c r="C27" t="s">
        <v>322</v>
      </c>
      <c r="D27" t="s">
        <v>29</v>
      </c>
      <c r="E27" t="s">
        <v>18</v>
      </c>
      <c r="F27">
        <v>57</v>
      </c>
      <c r="G27">
        <v>50</v>
      </c>
      <c r="H27">
        <v>1</v>
      </c>
      <c r="I27">
        <v>50</v>
      </c>
      <c r="J27">
        <v>9.6</v>
      </c>
      <c r="K27" s="2">
        <v>45264</v>
      </c>
      <c r="L27" t="s">
        <v>318</v>
      </c>
      <c r="M27" s="6">
        <f>SalesTbl[[#This Row],[Unit Price]]*SalesTbl[[#This Row],[Quantity]]</f>
        <v>50</v>
      </c>
      <c r="N27" s="6">
        <f>YEAR(SalesTbl[[#This Row],[Order Date]])</f>
        <v>2023</v>
      </c>
      <c r="O27" s="6" t="str">
        <f>TEXT(SalesTbl[[#This Row],[Order Date]],"yyyy-mm")</f>
        <v>2023-12</v>
      </c>
      <c r="P27" s="13">
        <f>WEEKNUM(SalesTbl[[#This Row],[Order Date]],2)</f>
        <v>50</v>
      </c>
      <c r="Q27" s="14">
        <f>MEDIAN(SalesTbl[Quantity])</f>
        <v>3</v>
      </c>
      <c r="R27" s="14">
        <f>IF(ISBLANK(SalesTbl[[#This Row],[Quantity]]),$H$2,SalesTbl[[#This Row],[Quantity]])</f>
        <v>1</v>
      </c>
      <c r="S27">
        <f>ROW()-ROW(SalesTbl[[#Headers],[Customer ID]])</f>
        <v>26</v>
      </c>
      <c r="T27" s="9" t="str">
        <f>IF(SalesTbl[[#This Row],[RowIdx]]&lt;=ROUNDUP(COUNTA(SalesTbl[Customer ID])*0.8,0),"Train","Test")</f>
        <v>Train</v>
      </c>
    </row>
    <row r="28" spans="1:20" x14ac:dyDescent="0.25">
      <c r="A28" t="s">
        <v>48</v>
      </c>
      <c r="B28" t="s">
        <v>13</v>
      </c>
      <c r="C28" t="s">
        <v>323</v>
      </c>
      <c r="D28" t="s">
        <v>40</v>
      </c>
      <c r="E28" t="s">
        <v>15</v>
      </c>
      <c r="F28">
        <v>59</v>
      </c>
      <c r="G28">
        <v>1658.43232665954</v>
      </c>
      <c r="H28">
        <v>2</v>
      </c>
      <c r="I28">
        <v>1600</v>
      </c>
      <c r="J28">
        <v>11.59</v>
      </c>
      <c r="K28" s="2">
        <v>44958</v>
      </c>
      <c r="L28" t="s">
        <v>317</v>
      </c>
      <c r="M28" s="6">
        <f>SalesTbl[[#This Row],[Unit Price]]*SalesTbl[[#This Row],[Quantity]]</f>
        <v>3316.8646533190799</v>
      </c>
      <c r="N28" s="6">
        <f>YEAR(SalesTbl[[#This Row],[Order Date]])</f>
        <v>2023</v>
      </c>
      <c r="O28" s="6" t="str">
        <f>TEXT(SalesTbl[[#This Row],[Order Date]],"yyyy-mm")</f>
        <v>2023-02</v>
      </c>
      <c r="P28" s="13">
        <f>WEEKNUM(SalesTbl[[#This Row],[Order Date]],2)</f>
        <v>6</v>
      </c>
      <c r="Q28" s="14">
        <f>MEDIAN(SalesTbl[Quantity])</f>
        <v>3</v>
      </c>
      <c r="R28" s="14">
        <f>IF(ISBLANK(SalesTbl[[#This Row],[Quantity]]),$H$2,SalesTbl[[#This Row],[Quantity]])</f>
        <v>2</v>
      </c>
      <c r="S28">
        <f>ROW()-ROW(SalesTbl[[#Headers],[Customer ID]])</f>
        <v>27</v>
      </c>
      <c r="T28" s="9" t="str">
        <f>IF(SalesTbl[[#This Row],[RowIdx]]&lt;=ROUNDUP(COUNTA(SalesTbl[Customer ID])*0.8,0),"Train","Test")</f>
        <v>Train</v>
      </c>
    </row>
    <row r="29" spans="1:20" x14ac:dyDescent="0.25">
      <c r="A29" t="s">
        <v>49</v>
      </c>
      <c r="B29" t="s">
        <v>20</v>
      </c>
      <c r="C29" t="s">
        <v>320</v>
      </c>
      <c r="D29" t="s">
        <v>25</v>
      </c>
      <c r="E29" t="s">
        <v>26</v>
      </c>
      <c r="F29">
        <v>25</v>
      </c>
      <c r="G29">
        <v>200</v>
      </c>
      <c r="H29">
        <v>1</v>
      </c>
      <c r="I29">
        <v>200</v>
      </c>
      <c r="J29">
        <v>14.9</v>
      </c>
      <c r="K29" s="2">
        <v>45152</v>
      </c>
      <c r="L29" t="s">
        <v>318</v>
      </c>
      <c r="M29" s="6">
        <f>SalesTbl[[#This Row],[Unit Price]]*SalesTbl[[#This Row],[Quantity]]</f>
        <v>200</v>
      </c>
      <c r="N29" s="6">
        <f>YEAR(SalesTbl[[#This Row],[Order Date]])</f>
        <v>2023</v>
      </c>
      <c r="O29" s="6" t="str">
        <f>TEXT(SalesTbl[[#This Row],[Order Date]],"yyyy-mm")</f>
        <v>2023-08</v>
      </c>
      <c r="P29" s="13">
        <f>WEEKNUM(SalesTbl[[#This Row],[Order Date]],2)</f>
        <v>34</v>
      </c>
      <c r="Q29" s="14">
        <f>MEDIAN(SalesTbl[Quantity])</f>
        <v>3</v>
      </c>
      <c r="R29" s="14">
        <f>IF(ISBLANK(SalesTbl[[#This Row],[Quantity]]),$H$2,SalesTbl[[#This Row],[Quantity]])</f>
        <v>1</v>
      </c>
      <c r="S29">
        <f>ROW()-ROW(SalesTbl[[#Headers],[Customer ID]])</f>
        <v>28</v>
      </c>
      <c r="T29" s="9" t="str">
        <f>IF(SalesTbl[[#This Row],[RowIdx]]&lt;=ROUNDUP(COUNTA(SalesTbl[Customer ID])*0.8,0),"Train","Test")</f>
        <v>Train</v>
      </c>
    </row>
    <row r="30" spans="1:20" x14ac:dyDescent="0.25">
      <c r="A30" t="s">
        <v>50</v>
      </c>
      <c r="B30" t="s">
        <v>20</v>
      </c>
      <c r="C30" t="s">
        <v>323</v>
      </c>
      <c r="D30" t="s">
        <v>40</v>
      </c>
      <c r="E30" t="s">
        <v>15</v>
      </c>
      <c r="F30">
        <v>31</v>
      </c>
      <c r="G30">
        <v>800</v>
      </c>
      <c r="H30">
        <v>1</v>
      </c>
      <c r="I30">
        <v>800</v>
      </c>
      <c r="J30">
        <v>19.22</v>
      </c>
      <c r="K30" s="2">
        <v>45267</v>
      </c>
      <c r="L30" t="s">
        <v>317</v>
      </c>
      <c r="M30" s="6">
        <f>SalesTbl[[#This Row],[Unit Price]]*SalesTbl[[#This Row],[Quantity]]</f>
        <v>800</v>
      </c>
      <c r="N30" s="6">
        <f>YEAR(SalesTbl[[#This Row],[Order Date]])</f>
        <v>2023</v>
      </c>
      <c r="O30" s="6" t="str">
        <f>TEXT(SalesTbl[[#This Row],[Order Date]],"yyyy-mm")</f>
        <v>2023-12</v>
      </c>
      <c r="P30" s="13">
        <f>WEEKNUM(SalesTbl[[#This Row],[Order Date]],2)</f>
        <v>50</v>
      </c>
      <c r="Q30" s="14">
        <f>MEDIAN(SalesTbl[Quantity])</f>
        <v>3</v>
      </c>
      <c r="R30" s="14">
        <f>IF(ISBLANK(SalesTbl[[#This Row],[Quantity]]),$H$2,SalesTbl[[#This Row],[Quantity]])</f>
        <v>1</v>
      </c>
      <c r="S30">
        <f>ROW()-ROW(SalesTbl[[#Headers],[Customer ID]])</f>
        <v>29</v>
      </c>
      <c r="T30" s="9" t="str">
        <f>IF(SalesTbl[[#This Row],[RowIdx]]&lt;=ROUNDUP(COUNTA(SalesTbl[Customer ID])*0.8,0),"Train","Test")</f>
        <v>Train</v>
      </c>
    </row>
    <row r="31" spans="1:20" x14ac:dyDescent="0.25">
      <c r="A31" t="s">
        <v>51</v>
      </c>
      <c r="B31" t="s">
        <v>13</v>
      </c>
      <c r="C31" t="s">
        <v>320</v>
      </c>
      <c r="D31" t="s">
        <v>29</v>
      </c>
      <c r="E31" t="s">
        <v>18</v>
      </c>
      <c r="F31">
        <v>28</v>
      </c>
      <c r="G31">
        <v>50</v>
      </c>
      <c r="H31">
        <v>4</v>
      </c>
      <c r="I31">
        <v>200</v>
      </c>
      <c r="J31">
        <v>15.31</v>
      </c>
      <c r="K31" s="2">
        <v>45105</v>
      </c>
      <c r="L31" t="s">
        <v>318</v>
      </c>
      <c r="M31" s="6">
        <f>SalesTbl[[#This Row],[Unit Price]]*SalesTbl[[#This Row],[Quantity]]</f>
        <v>200</v>
      </c>
      <c r="N31" s="6">
        <f>YEAR(SalesTbl[[#This Row],[Order Date]])</f>
        <v>2023</v>
      </c>
      <c r="O31" s="6" t="str">
        <f>TEXT(SalesTbl[[#This Row],[Order Date]],"yyyy-mm")</f>
        <v>2023-06</v>
      </c>
      <c r="P31" s="13">
        <f>WEEKNUM(SalesTbl[[#This Row],[Order Date]],2)</f>
        <v>27</v>
      </c>
      <c r="Q31" s="14">
        <f>MEDIAN(SalesTbl[Quantity])</f>
        <v>3</v>
      </c>
      <c r="R31" s="14">
        <f>IF(ISBLANK(SalesTbl[[#This Row],[Quantity]]),$H$2,SalesTbl[[#This Row],[Quantity]])</f>
        <v>4</v>
      </c>
      <c r="S31">
        <f>ROW()-ROW(SalesTbl[[#Headers],[Customer ID]])</f>
        <v>30</v>
      </c>
      <c r="T31" s="9" t="str">
        <f>IF(SalesTbl[[#This Row],[RowIdx]]&lt;=ROUNDUP(COUNTA(SalesTbl[Customer ID])*0.8,0),"Train","Test")</f>
        <v>Train</v>
      </c>
    </row>
    <row r="32" spans="1:20" x14ac:dyDescent="0.25">
      <c r="A32" t="s">
        <v>52</v>
      </c>
      <c r="B32" t="s">
        <v>20</v>
      </c>
      <c r="C32" t="s">
        <v>323</v>
      </c>
      <c r="D32" t="s">
        <v>14</v>
      </c>
      <c r="E32" t="s">
        <v>15</v>
      </c>
      <c r="F32">
        <v>57</v>
      </c>
      <c r="G32">
        <v>300</v>
      </c>
      <c r="H32">
        <v>2</v>
      </c>
      <c r="I32">
        <v>600</v>
      </c>
      <c r="J32">
        <v>12.38</v>
      </c>
      <c r="K32" s="2">
        <v>45247</v>
      </c>
      <c r="L32" t="s">
        <v>316</v>
      </c>
      <c r="M32" s="6">
        <f>SalesTbl[[#This Row],[Unit Price]]*SalesTbl[[#This Row],[Quantity]]</f>
        <v>600</v>
      </c>
      <c r="N32" s="6">
        <f>YEAR(SalesTbl[[#This Row],[Order Date]])</f>
        <v>2023</v>
      </c>
      <c r="O32" s="6" t="str">
        <f>TEXT(SalesTbl[[#This Row],[Order Date]],"yyyy-mm")</f>
        <v>2023-11</v>
      </c>
      <c r="P32" s="13">
        <f>WEEKNUM(SalesTbl[[#This Row],[Order Date]],2)</f>
        <v>47</v>
      </c>
      <c r="Q32" s="14">
        <f>MEDIAN(SalesTbl[Quantity])</f>
        <v>3</v>
      </c>
      <c r="R32" s="14">
        <f>IF(ISBLANK(SalesTbl[[#This Row],[Quantity]]),$H$2,SalesTbl[[#This Row],[Quantity]])</f>
        <v>2</v>
      </c>
      <c r="S32">
        <f>ROW()-ROW(SalesTbl[[#Headers],[Customer ID]])</f>
        <v>31</v>
      </c>
      <c r="T32" s="9" t="str">
        <f>IF(SalesTbl[[#This Row],[RowIdx]]&lt;=ROUNDUP(COUNTA(SalesTbl[Customer ID])*0.8,0),"Train","Test")</f>
        <v>Train</v>
      </c>
    </row>
    <row r="33" spans="1:20" x14ac:dyDescent="0.25">
      <c r="A33" t="s">
        <v>53</v>
      </c>
      <c r="B33" t="s">
        <v>20</v>
      </c>
      <c r="C33" t="s">
        <v>322</v>
      </c>
      <c r="D33" t="s">
        <v>23</v>
      </c>
      <c r="E33" t="s">
        <v>15</v>
      </c>
      <c r="F33">
        <v>49</v>
      </c>
      <c r="G33">
        <v>1500</v>
      </c>
      <c r="H33">
        <v>4</v>
      </c>
      <c r="I33">
        <v>6000</v>
      </c>
      <c r="J33">
        <v>12.91</v>
      </c>
      <c r="K33" s="2">
        <v>44951</v>
      </c>
      <c r="L33" t="s">
        <v>318</v>
      </c>
      <c r="M33" s="6">
        <f>SalesTbl[[#This Row],[Unit Price]]*SalesTbl[[#This Row],[Quantity]]</f>
        <v>6000</v>
      </c>
      <c r="N33" s="6">
        <f>YEAR(SalesTbl[[#This Row],[Order Date]])</f>
        <v>2023</v>
      </c>
      <c r="O33" s="6" t="str">
        <f>TEXT(SalesTbl[[#This Row],[Order Date]],"yyyy-mm")</f>
        <v>2023-01</v>
      </c>
      <c r="P33" s="13">
        <f>WEEKNUM(SalesTbl[[#This Row],[Order Date]],2)</f>
        <v>5</v>
      </c>
      <c r="Q33" s="14">
        <f>MEDIAN(SalesTbl[Quantity])</f>
        <v>3</v>
      </c>
      <c r="R33" s="14">
        <f>IF(ISBLANK(SalesTbl[[#This Row],[Quantity]]),$H$2,SalesTbl[[#This Row],[Quantity]])</f>
        <v>4</v>
      </c>
      <c r="S33">
        <f>ROW()-ROW(SalesTbl[[#Headers],[Customer ID]])</f>
        <v>32</v>
      </c>
      <c r="T33" s="9" t="str">
        <f>IF(SalesTbl[[#This Row],[RowIdx]]&lt;=ROUNDUP(COUNTA(SalesTbl[Customer ID])*0.8,0),"Train","Test")</f>
        <v>Train</v>
      </c>
    </row>
    <row r="34" spans="1:20" x14ac:dyDescent="0.25">
      <c r="A34" t="s">
        <v>54</v>
      </c>
      <c r="B34" t="s">
        <v>20</v>
      </c>
      <c r="C34" t="s">
        <v>322</v>
      </c>
      <c r="D34" t="s">
        <v>14</v>
      </c>
      <c r="E34" t="s">
        <v>15</v>
      </c>
      <c r="F34">
        <v>53</v>
      </c>
      <c r="G34">
        <v>300</v>
      </c>
      <c r="H34">
        <v>2</v>
      </c>
      <c r="I34">
        <v>600</v>
      </c>
      <c r="J34">
        <v>18.38</v>
      </c>
      <c r="K34" s="2">
        <v>45174</v>
      </c>
      <c r="L34" t="s">
        <v>317</v>
      </c>
      <c r="M34" s="6">
        <f>SalesTbl[[#This Row],[Unit Price]]*SalesTbl[[#This Row],[Quantity]]</f>
        <v>600</v>
      </c>
      <c r="N34" s="6">
        <f>YEAR(SalesTbl[[#This Row],[Order Date]])</f>
        <v>2023</v>
      </c>
      <c r="O34" s="6" t="str">
        <f>TEXT(SalesTbl[[#This Row],[Order Date]],"yyyy-mm")</f>
        <v>2023-09</v>
      </c>
      <c r="P34" s="13">
        <f>WEEKNUM(SalesTbl[[#This Row],[Order Date]],2)</f>
        <v>37</v>
      </c>
      <c r="Q34" s="14">
        <f>MEDIAN(SalesTbl[Quantity])</f>
        <v>3</v>
      </c>
      <c r="R34" s="14">
        <f>IF(ISBLANK(SalesTbl[[#This Row],[Quantity]]),$H$2,SalesTbl[[#This Row],[Quantity]])</f>
        <v>2</v>
      </c>
      <c r="S34">
        <f>ROW()-ROW(SalesTbl[[#Headers],[Customer ID]])</f>
        <v>33</v>
      </c>
      <c r="T34" s="9" t="str">
        <f>IF(SalesTbl[[#This Row],[RowIdx]]&lt;=ROUNDUP(COUNTA(SalesTbl[Customer ID])*0.8,0),"Train","Test")</f>
        <v>Train</v>
      </c>
    </row>
    <row r="35" spans="1:20" x14ac:dyDescent="0.25">
      <c r="A35" t="s">
        <v>55</v>
      </c>
      <c r="B35" t="s">
        <v>20</v>
      </c>
      <c r="C35" t="s">
        <v>322</v>
      </c>
      <c r="D35" t="s">
        <v>17</v>
      </c>
      <c r="E35" t="s">
        <v>18</v>
      </c>
      <c r="F35">
        <v>58</v>
      </c>
      <c r="G35">
        <v>100</v>
      </c>
      <c r="H35">
        <v>5</v>
      </c>
      <c r="I35">
        <v>500</v>
      </c>
      <c r="J35">
        <v>7.41</v>
      </c>
      <c r="K35" s="2">
        <v>45186</v>
      </c>
      <c r="L35" t="s">
        <v>318</v>
      </c>
      <c r="M35" s="6">
        <f>SalesTbl[[#This Row],[Unit Price]]*SalesTbl[[#This Row],[Quantity]]</f>
        <v>500</v>
      </c>
      <c r="N35" s="6">
        <f>YEAR(SalesTbl[[#This Row],[Order Date]])</f>
        <v>2023</v>
      </c>
      <c r="O35" s="6" t="str">
        <f>TEXT(SalesTbl[[#This Row],[Order Date]],"yyyy-mm")</f>
        <v>2023-09</v>
      </c>
      <c r="P35" s="13">
        <f>WEEKNUM(SalesTbl[[#This Row],[Order Date]],2)</f>
        <v>38</v>
      </c>
      <c r="Q35" s="14">
        <f>MEDIAN(SalesTbl[Quantity])</f>
        <v>3</v>
      </c>
      <c r="R35" s="14">
        <f>IF(ISBLANK(SalesTbl[[#This Row],[Quantity]]),$H$2,SalesTbl[[#This Row],[Quantity]])</f>
        <v>5</v>
      </c>
      <c r="S35">
        <f>ROW()-ROW(SalesTbl[[#Headers],[Customer ID]])</f>
        <v>34</v>
      </c>
      <c r="T35" s="9" t="str">
        <f>IF(SalesTbl[[#This Row],[RowIdx]]&lt;=ROUNDUP(COUNTA(SalesTbl[Customer ID])*0.8,0),"Train","Test")</f>
        <v>Train</v>
      </c>
    </row>
    <row r="36" spans="1:20" x14ac:dyDescent="0.25">
      <c r="A36" t="s">
        <v>56</v>
      </c>
      <c r="B36" t="s">
        <v>20</v>
      </c>
      <c r="C36" t="s">
        <v>322</v>
      </c>
      <c r="D36" t="s">
        <v>30</v>
      </c>
      <c r="E36" t="s">
        <v>18</v>
      </c>
      <c r="F36">
        <v>35</v>
      </c>
      <c r="G36">
        <v>30</v>
      </c>
      <c r="H36">
        <v>3</v>
      </c>
      <c r="I36">
        <v>90</v>
      </c>
      <c r="J36">
        <v>11.42</v>
      </c>
      <c r="K36" s="2">
        <v>45285</v>
      </c>
      <c r="L36" t="s">
        <v>318</v>
      </c>
      <c r="M36" s="6">
        <f>SalesTbl[[#This Row],[Unit Price]]*SalesTbl[[#This Row],[Quantity]]</f>
        <v>90</v>
      </c>
      <c r="N36" s="6">
        <f>YEAR(SalesTbl[[#This Row],[Order Date]])</f>
        <v>2023</v>
      </c>
      <c r="O36" s="6" t="str">
        <f>TEXT(SalesTbl[[#This Row],[Order Date]],"yyyy-mm")</f>
        <v>2023-12</v>
      </c>
      <c r="P36" s="13">
        <f>WEEKNUM(SalesTbl[[#This Row],[Order Date]],2)</f>
        <v>53</v>
      </c>
      <c r="Q36" s="14">
        <f>MEDIAN(SalesTbl[Quantity])</f>
        <v>3</v>
      </c>
      <c r="R36" s="14">
        <f>IF(ISBLANK(SalesTbl[[#This Row],[Quantity]]),$H$2,SalesTbl[[#This Row],[Quantity]])</f>
        <v>3</v>
      </c>
      <c r="S36">
        <f>ROW()-ROW(SalesTbl[[#Headers],[Customer ID]])</f>
        <v>35</v>
      </c>
      <c r="T36" s="9" t="str">
        <f>IF(SalesTbl[[#This Row],[RowIdx]]&lt;=ROUNDUP(COUNTA(SalesTbl[Customer ID])*0.8,0),"Train","Test")</f>
        <v>Train</v>
      </c>
    </row>
    <row r="37" spans="1:20" x14ac:dyDescent="0.25">
      <c r="A37" t="s">
        <v>57</v>
      </c>
      <c r="B37" t="s">
        <v>13</v>
      </c>
      <c r="C37" t="s">
        <v>320</v>
      </c>
      <c r="D37" t="s">
        <v>23</v>
      </c>
      <c r="E37" t="s">
        <v>15</v>
      </c>
      <c r="F37">
        <v>41</v>
      </c>
      <c r="G37">
        <v>1500</v>
      </c>
      <c r="H37">
        <v>4</v>
      </c>
      <c r="I37">
        <v>6000</v>
      </c>
      <c r="J37">
        <v>7.13</v>
      </c>
      <c r="K37" s="2">
        <v>44940</v>
      </c>
      <c r="L37" t="s">
        <v>318</v>
      </c>
      <c r="M37" s="6">
        <f>SalesTbl[[#This Row],[Unit Price]]*SalesTbl[[#This Row],[Quantity]]</f>
        <v>6000</v>
      </c>
      <c r="N37" s="6">
        <f>YEAR(SalesTbl[[#This Row],[Order Date]])</f>
        <v>2023</v>
      </c>
      <c r="O37" s="6" t="str">
        <f>TEXT(SalesTbl[[#This Row],[Order Date]],"yyyy-mm")</f>
        <v>2023-01</v>
      </c>
      <c r="P37" s="13">
        <f>WEEKNUM(SalesTbl[[#This Row],[Order Date]],2)</f>
        <v>3</v>
      </c>
      <c r="Q37" s="14">
        <f>MEDIAN(SalesTbl[Quantity])</f>
        <v>3</v>
      </c>
      <c r="R37" s="14">
        <f>IF(ISBLANK(SalesTbl[[#This Row],[Quantity]]),$H$2,SalesTbl[[#This Row],[Quantity]])</f>
        <v>4</v>
      </c>
      <c r="S37">
        <f>ROW()-ROW(SalesTbl[[#Headers],[Customer ID]])</f>
        <v>36</v>
      </c>
      <c r="T37" s="9" t="str">
        <f>IF(SalesTbl[[#This Row],[RowIdx]]&lt;=ROUNDUP(COUNTA(SalesTbl[Customer ID])*0.8,0),"Train","Test")</f>
        <v>Train</v>
      </c>
    </row>
    <row r="38" spans="1:20" x14ac:dyDescent="0.25">
      <c r="A38" t="s">
        <v>58</v>
      </c>
      <c r="B38" t="s">
        <v>20</v>
      </c>
      <c r="C38" t="s">
        <v>321</v>
      </c>
      <c r="D38" t="s">
        <v>14</v>
      </c>
      <c r="E38" t="s">
        <v>15</v>
      </c>
      <c r="F38">
        <v>64</v>
      </c>
      <c r="G38">
        <v>300</v>
      </c>
      <c r="H38">
        <v>1</v>
      </c>
      <c r="I38">
        <v>300</v>
      </c>
      <c r="J38">
        <v>6.55</v>
      </c>
      <c r="K38" s="2">
        <v>45139</v>
      </c>
      <c r="L38" t="s">
        <v>316</v>
      </c>
      <c r="M38" s="6">
        <f>SalesTbl[[#This Row],[Unit Price]]*SalesTbl[[#This Row],[Quantity]]</f>
        <v>300</v>
      </c>
      <c r="N38" s="6">
        <f>YEAR(SalesTbl[[#This Row],[Order Date]])</f>
        <v>2023</v>
      </c>
      <c r="O38" s="6" t="str">
        <f>TEXT(SalesTbl[[#This Row],[Order Date]],"yyyy-mm")</f>
        <v>2023-08</v>
      </c>
      <c r="P38" s="13">
        <f>WEEKNUM(SalesTbl[[#This Row],[Order Date]],2)</f>
        <v>32</v>
      </c>
      <c r="Q38" s="14">
        <f>MEDIAN(SalesTbl[Quantity])</f>
        <v>3</v>
      </c>
      <c r="R38" s="14">
        <f>IF(ISBLANK(SalesTbl[[#This Row],[Quantity]]),$H$2,SalesTbl[[#This Row],[Quantity]])</f>
        <v>1</v>
      </c>
      <c r="S38">
        <f>ROW()-ROW(SalesTbl[[#Headers],[Customer ID]])</f>
        <v>37</v>
      </c>
      <c r="T38" s="9" t="str">
        <f>IF(SalesTbl[[#This Row],[RowIdx]]&lt;=ROUNDUP(COUNTA(SalesTbl[Customer ID])*0.8,0),"Train","Test")</f>
        <v>Train</v>
      </c>
    </row>
    <row r="39" spans="1:20" x14ac:dyDescent="0.25">
      <c r="A39" t="s">
        <v>59</v>
      </c>
      <c r="B39" t="s">
        <v>13</v>
      </c>
      <c r="C39" t="s">
        <v>320</v>
      </c>
      <c r="D39" t="s">
        <v>40</v>
      </c>
      <c r="E39" t="s">
        <v>15</v>
      </c>
      <c r="F39">
        <v>49</v>
      </c>
      <c r="G39">
        <v>800</v>
      </c>
      <c r="H39">
        <v>2</v>
      </c>
      <c r="I39">
        <v>1600</v>
      </c>
      <c r="J39">
        <v>9.7200000000000006</v>
      </c>
      <c r="K39" s="2">
        <v>44969</v>
      </c>
      <c r="L39" t="s">
        <v>318</v>
      </c>
      <c r="M39" s="6">
        <f>SalesTbl[[#This Row],[Unit Price]]*SalesTbl[[#This Row],[Quantity]]</f>
        <v>1600</v>
      </c>
      <c r="N39" s="6">
        <f>YEAR(SalesTbl[[#This Row],[Order Date]])</f>
        <v>2023</v>
      </c>
      <c r="O39" s="6" t="str">
        <f>TEXT(SalesTbl[[#This Row],[Order Date]],"yyyy-mm")</f>
        <v>2023-02</v>
      </c>
      <c r="P39" s="13">
        <f>WEEKNUM(SalesTbl[[#This Row],[Order Date]],2)</f>
        <v>7</v>
      </c>
      <c r="Q39" s="14">
        <f>MEDIAN(SalesTbl[Quantity])</f>
        <v>3</v>
      </c>
      <c r="R39" s="14">
        <f>IF(ISBLANK(SalesTbl[[#This Row],[Quantity]]),$H$2,SalesTbl[[#This Row],[Quantity]])</f>
        <v>2</v>
      </c>
      <c r="S39">
        <f>ROW()-ROW(SalesTbl[[#Headers],[Customer ID]])</f>
        <v>38</v>
      </c>
      <c r="T39" s="9" t="str">
        <f>IF(SalesTbl[[#This Row],[RowIdx]]&lt;=ROUNDUP(COUNTA(SalesTbl[Customer ID])*0.8,0),"Train","Test")</f>
        <v>Train</v>
      </c>
    </row>
    <row r="40" spans="1:20" x14ac:dyDescent="0.25">
      <c r="A40" t="s">
        <v>60</v>
      </c>
      <c r="B40" t="s">
        <v>20</v>
      </c>
      <c r="C40" t="s">
        <v>322</v>
      </c>
      <c r="D40" t="s">
        <v>14</v>
      </c>
      <c r="E40" t="s">
        <v>15</v>
      </c>
      <c r="F40">
        <v>43</v>
      </c>
      <c r="G40">
        <v>300</v>
      </c>
      <c r="H40">
        <v>2</v>
      </c>
      <c r="I40">
        <v>600</v>
      </c>
      <c r="J40">
        <v>18.27</v>
      </c>
      <c r="K40" s="2">
        <v>45064</v>
      </c>
      <c r="L40" t="s">
        <v>317</v>
      </c>
      <c r="M40" s="6">
        <f>SalesTbl[[#This Row],[Unit Price]]*SalesTbl[[#This Row],[Quantity]]</f>
        <v>600</v>
      </c>
      <c r="N40" s="6">
        <f>YEAR(SalesTbl[[#This Row],[Order Date]])</f>
        <v>2023</v>
      </c>
      <c r="O40" s="6" t="str">
        <f>TEXT(SalesTbl[[#This Row],[Order Date]],"yyyy-mm")</f>
        <v>2023-05</v>
      </c>
      <c r="P40" s="13">
        <f>WEEKNUM(SalesTbl[[#This Row],[Order Date]],2)</f>
        <v>21</v>
      </c>
      <c r="Q40" s="14">
        <f>MEDIAN(SalesTbl[Quantity])</f>
        <v>3</v>
      </c>
      <c r="R40" s="14">
        <f>IF(ISBLANK(SalesTbl[[#This Row],[Quantity]]),$H$2,SalesTbl[[#This Row],[Quantity]])</f>
        <v>2</v>
      </c>
      <c r="S40">
        <f>ROW()-ROW(SalesTbl[[#Headers],[Customer ID]])</f>
        <v>39</v>
      </c>
      <c r="T40" s="9" t="str">
        <f>IF(SalesTbl[[#This Row],[RowIdx]]&lt;=ROUNDUP(COUNTA(SalesTbl[Customer ID])*0.8,0),"Train","Test")</f>
        <v>Train</v>
      </c>
    </row>
    <row r="41" spans="1:20" x14ac:dyDescent="0.25">
      <c r="A41" t="s">
        <v>61</v>
      </c>
      <c r="B41" t="s">
        <v>20</v>
      </c>
      <c r="C41" t="s">
        <v>319</v>
      </c>
      <c r="D41" t="s">
        <v>40</v>
      </c>
      <c r="E41" t="s">
        <v>15</v>
      </c>
      <c r="F41">
        <v>61</v>
      </c>
      <c r="G41">
        <v>800</v>
      </c>
      <c r="H41">
        <v>2</v>
      </c>
      <c r="I41">
        <v>1600</v>
      </c>
      <c r="J41">
        <v>6.01</v>
      </c>
      <c r="K41" s="2">
        <v>45202</v>
      </c>
      <c r="L41" t="s">
        <v>316</v>
      </c>
      <c r="M41" s="6">
        <f>SalesTbl[[#This Row],[Unit Price]]*SalesTbl[[#This Row],[Quantity]]</f>
        <v>1600</v>
      </c>
      <c r="N41" s="6">
        <f>YEAR(SalesTbl[[#This Row],[Order Date]])</f>
        <v>2023</v>
      </c>
      <c r="O41" s="6" t="str">
        <f>TEXT(SalesTbl[[#This Row],[Order Date]],"yyyy-mm")</f>
        <v>2023-10</v>
      </c>
      <c r="P41" s="13">
        <f>WEEKNUM(SalesTbl[[#This Row],[Order Date]],2)</f>
        <v>41</v>
      </c>
      <c r="Q41" s="14">
        <f>MEDIAN(SalesTbl[Quantity])</f>
        <v>3</v>
      </c>
      <c r="R41" s="14">
        <f>IF(ISBLANK(SalesTbl[[#This Row],[Quantity]]),$H$2,SalesTbl[[#This Row],[Quantity]])</f>
        <v>2</v>
      </c>
      <c r="S41">
        <f>ROW()-ROW(SalesTbl[[#Headers],[Customer ID]])</f>
        <v>40</v>
      </c>
      <c r="T41" s="9" t="str">
        <f>IF(SalesTbl[[#This Row],[RowIdx]]&lt;=ROUNDUP(COUNTA(SalesTbl[Customer ID])*0.8,0),"Train","Test")</f>
        <v>Train</v>
      </c>
    </row>
    <row r="42" spans="1:20" x14ac:dyDescent="0.25">
      <c r="A42" t="s">
        <v>62</v>
      </c>
      <c r="B42" t="s">
        <v>13</v>
      </c>
      <c r="C42" t="s">
        <v>323</v>
      </c>
      <c r="D42" t="s">
        <v>29</v>
      </c>
      <c r="E42" t="s">
        <v>18</v>
      </c>
      <c r="F42">
        <v>58</v>
      </c>
      <c r="G42">
        <v>50</v>
      </c>
      <c r="H42">
        <v>2</v>
      </c>
      <c r="I42">
        <v>100</v>
      </c>
      <c r="J42">
        <v>9.57</v>
      </c>
      <c r="K42" s="2">
        <v>45168</v>
      </c>
      <c r="L42" t="s">
        <v>316</v>
      </c>
      <c r="M42" s="6">
        <f>SalesTbl[[#This Row],[Unit Price]]*SalesTbl[[#This Row],[Quantity]]</f>
        <v>100</v>
      </c>
      <c r="N42" s="6">
        <f>YEAR(SalesTbl[[#This Row],[Order Date]])</f>
        <v>2023</v>
      </c>
      <c r="O42" s="6" t="str">
        <f>TEXT(SalesTbl[[#This Row],[Order Date]],"yyyy-mm")</f>
        <v>2023-08</v>
      </c>
      <c r="P42" s="13">
        <f>WEEKNUM(SalesTbl[[#This Row],[Order Date]],2)</f>
        <v>36</v>
      </c>
      <c r="Q42" s="14">
        <f>MEDIAN(SalesTbl[Quantity])</f>
        <v>3</v>
      </c>
      <c r="R42" s="14">
        <f>IF(ISBLANK(SalesTbl[[#This Row],[Quantity]]),$H$2,SalesTbl[[#This Row],[Quantity]])</f>
        <v>2</v>
      </c>
      <c r="S42">
        <f>ROW()-ROW(SalesTbl[[#Headers],[Customer ID]])</f>
        <v>41</v>
      </c>
      <c r="T42" s="9" t="str">
        <f>IF(SalesTbl[[#This Row],[RowIdx]]&lt;=ROUNDUP(COUNTA(SalesTbl[Customer ID])*0.8,0),"Train","Test")</f>
        <v>Train</v>
      </c>
    </row>
    <row r="43" spans="1:20" x14ac:dyDescent="0.25">
      <c r="A43" t="s">
        <v>63</v>
      </c>
      <c r="B43" t="s">
        <v>13</v>
      </c>
      <c r="C43" t="s">
        <v>321</v>
      </c>
      <c r="D43" t="s">
        <v>14</v>
      </c>
      <c r="E43" t="s">
        <v>15</v>
      </c>
      <c r="F43">
        <v>61</v>
      </c>
      <c r="G43">
        <v>300</v>
      </c>
      <c r="H43">
        <v>1</v>
      </c>
      <c r="I43">
        <v>300</v>
      </c>
      <c r="J43">
        <v>13.82</v>
      </c>
      <c r="K43" s="2">
        <v>45184</v>
      </c>
      <c r="L43" t="s">
        <v>316</v>
      </c>
      <c r="M43" s="6">
        <f>SalesTbl[[#This Row],[Unit Price]]*SalesTbl[[#This Row],[Quantity]]</f>
        <v>300</v>
      </c>
      <c r="N43" s="6">
        <f>YEAR(SalesTbl[[#This Row],[Order Date]])</f>
        <v>2023</v>
      </c>
      <c r="O43" s="6" t="str">
        <f>TEXT(SalesTbl[[#This Row],[Order Date]],"yyyy-mm")</f>
        <v>2023-09</v>
      </c>
      <c r="P43" s="13">
        <f>WEEKNUM(SalesTbl[[#This Row],[Order Date]],2)</f>
        <v>38</v>
      </c>
      <c r="Q43" s="14">
        <f>MEDIAN(SalesTbl[Quantity])</f>
        <v>3</v>
      </c>
      <c r="R43" s="14">
        <f>IF(ISBLANK(SalesTbl[[#This Row],[Quantity]]),$H$2,SalesTbl[[#This Row],[Quantity]])</f>
        <v>1</v>
      </c>
      <c r="S43">
        <f>ROW()-ROW(SalesTbl[[#Headers],[Customer ID]])</f>
        <v>42</v>
      </c>
      <c r="T43" s="9" t="str">
        <f>IF(SalesTbl[[#This Row],[RowIdx]]&lt;=ROUNDUP(COUNTA(SalesTbl[Customer ID])*0.8,0),"Train","Test")</f>
        <v>Train</v>
      </c>
    </row>
    <row r="44" spans="1:20" x14ac:dyDescent="0.25">
      <c r="A44" t="s">
        <v>64</v>
      </c>
      <c r="B44" t="s">
        <v>13</v>
      </c>
      <c r="C44" t="s">
        <v>323</v>
      </c>
      <c r="D44" t="s">
        <v>29</v>
      </c>
      <c r="E44" t="s">
        <v>18</v>
      </c>
      <c r="F44">
        <v>19</v>
      </c>
      <c r="G44">
        <v>50</v>
      </c>
      <c r="H44">
        <v>4</v>
      </c>
      <c r="I44">
        <v>200</v>
      </c>
      <c r="J44">
        <v>5.32</v>
      </c>
      <c r="K44" s="2">
        <v>44971</v>
      </c>
      <c r="L44" t="s">
        <v>318</v>
      </c>
      <c r="M44" s="6">
        <f>SalesTbl[[#This Row],[Unit Price]]*SalesTbl[[#This Row],[Quantity]]</f>
        <v>200</v>
      </c>
      <c r="N44" s="6">
        <f>YEAR(SalesTbl[[#This Row],[Order Date]])</f>
        <v>2023</v>
      </c>
      <c r="O44" s="6" t="str">
        <f>TEXT(SalesTbl[[#This Row],[Order Date]],"yyyy-mm")</f>
        <v>2023-02</v>
      </c>
      <c r="P44" s="13">
        <f>WEEKNUM(SalesTbl[[#This Row],[Order Date]],2)</f>
        <v>8</v>
      </c>
      <c r="Q44" s="14">
        <f>MEDIAN(SalesTbl[Quantity])</f>
        <v>3</v>
      </c>
      <c r="R44" s="14">
        <f>IF(ISBLANK(SalesTbl[[#This Row],[Quantity]]),$H$2,SalesTbl[[#This Row],[Quantity]])</f>
        <v>4</v>
      </c>
      <c r="S44">
        <f>ROW()-ROW(SalesTbl[[#Headers],[Customer ID]])</f>
        <v>43</v>
      </c>
      <c r="T44" s="9" t="str">
        <f>IF(SalesTbl[[#This Row],[RowIdx]]&lt;=ROUNDUP(COUNTA(SalesTbl[Customer ID])*0.8,0),"Train","Test")</f>
        <v>Train</v>
      </c>
    </row>
    <row r="45" spans="1:20" x14ac:dyDescent="0.25">
      <c r="A45" t="s">
        <v>50</v>
      </c>
      <c r="B45" t="s">
        <v>13</v>
      </c>
      <c r="C45" t="s">
        <v>320</v>
      </c>
      <c r="D45" t="s">
        <v>29</v>
      </c>
      <c r="E45" t="s">
        <v>18</v>
      </c>
      <c r="F45">
        <v>31</v>
      </c>
      <c r="G45">
        <v>50</v>
      </c>
      <c r="H45">
        <v>3</v>
      </c>
      <c r="I45">
        <v>150</v>
      </c>
      <c r="J45">
        <v>7.46</v>
      </c>
      <c r="K45" s="2">
        <v>44984</v>
      </c>
      <c r="L45" t="s">
        <v>318</v>
      </c>
      <c r="M45" s="6">
        <f>SalesTbl[[#This Row],[Unit Price]]*SalesTbl[[#This Row],[Quantity]]</f>
        <v>150</v>
      </c>
      <c r="N45" s="6">
        <f>YEAR(SalesTbl[[#This Row],[Order Date]])</f>
        <v>2023</v>
      </c>
      <c r="O45" s="6" t="str">
        <f>TEXT(SalesTbl[[#This Row],[Order Date]],"yyyy-mm")</f>
        <v>2023-02</v>
      </c>
      <c r="P45" s="13">
        <f>WEEKNUM(SalesTbl[[#This Row],[Order Date]],2)</f>
        <v>10</v>
      </c>
      <c r="Q45" s="14">
        <f>MEDIAN(SalesTbl[Quantity])</f>
        <v>3</v>
      </c>
      <c r="R45" s="14">
        <f>IF(ISBLANK(SalesTbl[[#This Row],[Quantity]]),$H$2,SalesTbl[[#This Row],[Quantity]])</f>
        <v>3</v>
      </c>
      <c r="S45">
        <f>ROW()-ROW(SalesTbl[[#Headers],[Customer ID]])</f>
        <v>44</v>
      </c>
      <c r="T45" s="9" t="str">
        <f>IF(SalesTbl[[#This Row],[RowIdx]]&lt;=ROUNDUP(COUNTA(SalesTbl[Customer ID])*0.8,0),"Train","Test")</f>
        <v>Train</v>
      </c>
    </row>
    <row r="46" spans="1:20" x14ac:dyDescent="0.25">
      <c r="A46" t="s">
        <v>65</v>
      </c>
      <c r="B46" t="s">
        <v>13</v>
      </c>
      <c r="C46" t="s">
        <v>320</v>
      </c>
      <c r="D46" t="s">
        <v>14</v>
      </c>
      <c r="E46" t="s">
        <v>15</v>
      </c>
      <c r="F46">
        <v>38</v>
      </c>
      <c r="G46">
        <v>300</v>
      </c>
      <c r="H46">
        <v>1</v>
      </c>
      <c r="I46">
        <v>300</v>
      </c>
      <c r="J46">
        <v>17.22</v>
      </c>
      <c r="K46" s="2">
        <v>45151</v>
      </c>
      <c r="L46" t="s">
        <v>316</v>
      </c>
      <c r="M46" s="6">
        <f>SalesTbl[[#This Row],[Unit Price]]*SalesTbl[[#This Row],[Quantity]]</f>
        <v>300</v>
      </c>
      <c r="N46" s="6">
        <f>YEAR(SalesTbl[[#This Row],[Order Date]])</f>
        <v>2023</v>
      </c>
      <c r="O46" s="6" t="str">
        <f>TEXT(SalesTbl[[#This Row],[Order Date]],"yyyy-mm")</f>
        <v>2023-08</v>
      </c>
      <c r="P46" s="13">
        <f>WEEKNUM(SalesTbl[[#This Row],[Order Date]],2)</f>
        <v>33</v>
      </c>
      <c r="Q46" s="14">
        <f>MEDIAN(SalesTbl[Quantity])</f>
        <v>3</v>
      </c>
      <c r="R46" s="14">
        <f>IF(ISBLANK(SalesTbl[[#This Row],[Quantity]]),$H$2,SalesTbl[[#This Row],[Quantity]])</f>
        <v>1</v>
      </c>
      <c r="S46">
        <f>ROW()-ROW(SalesTbl[[#Headers],[Customer ID]])</f>
        <v>45</v>
      </c>
      <c r="T46" s="9" t="str">
        <f>IF(SalesTbl[[#This Row],[RowIdx]]&lt;=ROUNDUP(COUNTA(SalesTbl[Customer ID])*0.8,0),"Train","Test")</f>
        <v>Train</v>
      </c>
    </row>
    <row r="47" spans="1:20" x14ac:dyDescent="0.25">
      <c r="A47" t="s">
        <v>66</v>
      </c>
      <c r="B47" t="s">
        <v>13</v>
      </c>
      <c r="C47" t="s">
        <v>323</v>
      </c>
      <c r="D47" t="s">
        <v>17</v>
      </c>
      <c r="E47" t="s">
        <v>18</v>
      </c>
      <c r="F47">
        <v>44</v>
      </c>
      <c r="G47">
        <v>100</v>
      </c>
      <c r="H47">
        <v>2</v>
      </c>
      <c r="I47">
        <v>200</v>
      </c>
      <c r="J47">
        <v>8.15</v>
      </c>
      <c r="K47" s="2">
        <v>45055</v>
      </c>
      <c r="L47" t="s">
        <v>317</v>
      </c>
      <c r="M47" s="6">
        <f>SalesTbl[[#This Row],[Unit Price]]*SalesTbl[[#This Row],[Quantity]]</f>
        <v>200</v>
      </c>
      <c r="N47" s="6">
        <f>YEAR(SalesTbl[[#This Row],[Order Date]])</f>
        <v>2023</v>
      </c>
      <c r="O47" s="6" t="str">
        <f>TEXT(SalesTbl[[#This Row],[Order Date]],"yyyy-mm")</f>
        <v>2023-05</v>
      </c>
      <c r="P47" s="13">
        <f>WEEKNUM(SalesTbl[[#This Row],[Order Date]],2)</f>
        <v>20</v>
      </c>
      <c r="Q47" s="14">
        <f>MEDIAN(SalesTbl[Quantity])</f>
        <v>3</v>
      </c>
      <c r="R47" s="14">
        <f>IF(ISBLANK(SalesTbl[[#This Row],[Quantity]]),$H$2,SalesTbl[[#This Row],[Quantity]])</f>
        <v>2</v>
      </c>
      <c r="S47">
        <f>ROW()-ROW(SalesTbl[[#Headers],[Customer ID]])</f>
        <v>46</v>
      </c>
      <c r="T47" s="9" t="str">
        <f>IF(SalesTbl[[#This Row],[RowIdx]]&lt;=ROUNDUP(COUNTA(SalesTbl[Customer ID])*0.8,0),"Train","Test")</f>
        <v>Train</v>
      </c>
    </row>
    <row r="48" spans="1:20" x14ac:dyDescent="0.25">
      <c r="A48" t="s">
        <v>67</v>
      </c>
      <c r="B48" t="s">
        <v>13</v>
      </c>
      <c r="C48" t="s">
        <v>323</v>
      </c>
      <c r="D48" t="s">
        <v>14</v>
      </c>
      <c r="E48" t="s">
        <v>15</v>
      </c>
      <c r="F48">
        <v>68</v>
      </c>
      <c r="G48">
        <v>300</v>
      </c>
      <c r="H48">
        <v>2</v>
      </c>
      <c r="I48">
        <v>600</v>
      </c>
      <c r="J48">
        <v>9.56</v>
      </c>
      <c r="K48" s="2">
        <v>45283</v>
      </c>
      <c r="L48" t="s">
        <v>319</v>
      </c>
      <c r="M48" s="6">
        <f>SalesTbl[[#This Row],[Unit Price]]*SalesTbl[[#This Row],[Quantity]]</f>
        <v>600</v>
      </c>
      <c r="N48" s="6">
        <f>YEAR(SalesTbl[[#This Row],[Order Date]])</f>
        <v>2023</v>
      </c>
      <c r="O48" s="6" t="str">
        <f>TEXT(SalesTbl[[#This Row],[Order Date]],"yyyy-mm")</f>
        <v>2023-12</v>
      </c>
      <c r="P48" s="13">
        <f>WEEKNUM(SalesTbl[[#This Row],[Order Date]],2)</f>
        <v>52</v>
      </c>
      <c r="Q48" s="14">
        <f>MEDIAN(SalesTbl[Quantity])</f>
        <v>3</v>
      </c>
      <c r="R48" s="14">
        <f>IF(ISBLANK(SalesTbl[[#This Row],[Quantity]]),$H$2,SalesTbl[[#This Row],[Quantity]])</f>
        <v>2</v>
      </c>
      <c r="S48">
        <f>ROW()-ROW(SalesTbl[[#Headers],[Customer ID]])</f>
        <v>47</v>
      </c>
      <c r="T48" s="9" t="str">
        <f>IF(SalesTbl[[#This Row],[RowIdx]]&lt;=ROUNDUP(COUNTA(SalesTbl[Customer ID])*0.8,0),"Train","Test")</f>
        <v>Train</v>
      </c>
    </row>
    <row r="49" spans="1:20" x14ac:dyDescent="0.25">
      <c r="A49" t="s">
        <v>68</v>
      </c>
      <c r="B49" t="s">
        <v>13</v>
      </c>
      <c r="C49" t="s">
        <v>321</v>
      </c>
      <c r="D49" t="s">
        <v>25</v>
      </c>
      <c r="E49" t="s">
        <v>26</v>
      </c>
      <c r="F49">
        <v>44</v>
      </c>
      <c r="G49">
        <v>200</v>
      </c>
      <c r="H49">
        <v>3</v>
      </c>
      <c r="I49">
        <v>600</v>
      </c>
      <c r="J49">
        <v>18.09</v>
      </c>
      <c r="K49" s="2">
        <v>45227</v>
      </c>
      <c r="L49" t="s">
        <v>317</v>
      </c>
      <c r="M49" s="6">
        <f>SalesTbl[[#This Row],[Unit Price]]*SalesTbl[[#This Row],[Quantity]]</f>
        <v>600</v>
      </c>
      <c r="N49" s="6">
        <f>YEAR(SalesTbl[[#This Row],[Order Date]])</f>
        <v>2023</v>
      </c>
      <c r="O49" s="6" t="str">
        <f>TEXT(SalesTbl[[#This Row],[Order Date]],"yyyy-mm")</f>
        <v>2023-10</v>
      </c>
      <c r="P49" s="13">
        <f>WEEKNUM(SalesTbl[[#This Row],[Order Date]],2)</f>
        <v>44</v>
      </c>
      <c r="Q49" s="14">
        <f>MEDIAN(SalesTbl[Quantity])</f>
        <v>3</v>
      </c>
      <c r="R49" s="14">
        <f>IF(ISBLANK(SalesTbl[[#This Row],[Quantity]]),$H$2,SalesTbl[[#This Row],[Quantity]])</f>
        <v>3</v>
      </c>
      <c r="S49">
        <f>ROW()-ROW(SalesTbl[[#Headers],[Customer ID]])</f>
        <v>48</v>
      </c>
      <c r="T49" s="9" t="str">
        <f>IF(SalesTbl[[#This Row],[RowIdx]]&lt;=ROUNDUP(COUNTA(SalesTbl[Customer ID])*0.8,0),"Train","Test")</f>
        <v>Train</v>
      </c>
    </row>
    <row r="50" spans="1:20" x14ac:dyDescent="0.25">
      <c r="A50" t="s">
        <v>69</v>
      </c>
      <c r="B50" t="s">
        <v>20</v>
      </c>
      <c r="C50" t="s">
        <v>321</v>
      </c>
      <c r="D50" t="s">
        <v>23</v>
      </c>
      <c r="E50" t="s">
        <v>15</v>
      </c>
      <c r="F50">
        <v>67</v>
      </c>
      <c r="G50">
        <v>1500</v>
      </c>
      <c r="H50">
        <v>4</v>
      </c>
      <c r="I50">
        <v>6000</v>
      </c>
      <c r="J50">
        <v>7.01</v>
      </c>
      <c r="K50" s="2">
        <v>45170</v>
      </c>
      <c r="L50" t="s">
        <v>318</v>
      </c>
      <c r="M50" s="6">
        <f>SalesTbl[[#This Row],[Unit Price]]*SalesTbl[[#This Row],[Quantity]]</f>
        <v>6000</v>
      </c>
      <c r="N50" s="6">
        <f>YEAR(SalesTbl[[#This Row],[Order Date]])</f>
        <v>2023</v>
      </c>
      <c r="O50" s="6" t="str">
        <f>TEXT(SalesTbl[[#This Row],[Order Date]],"yyyy-mm")</f>
        <v>2023-09</v>
      </c>
      <c r="P50" s="13">
        <f>WEEKNUM(SalesTbl[[#This Row],[Order Date]],2)</f>
        <v>36</v>
      </c>
      <c r="Q50" s="14">
        <f>MEDIAN(SalesTbl[Quantity])</f>
        <v>3</v>
      </c>
      <c r="R50" s="14">
        <f>IF(ISBLANK(SalesTbl[[#This Row],[Quantity]]),$H$2,SalesTbl[[#This Row],[Quantity]])</f>
        <v>4</v>
      </c>
      <c r="S50">
        <f>ROW()-ROW(SalesTbl[[#Headers],[Customer ID]])</f>
        <v>49</v>
      </c>
      <c r="T50" s="9" t="str">
        <f>IF(SalesTbl[[#This Row],[RowIdx]]&lt;=ROUNDUP(COUNTA(SalesTbl[Customer ID])*0.8,0),"Train","Test")</f>
        <v>Train</v>
      </c>
    </row>
    <row r="51" spans="1:20" x14ac:dyDescent="0.25">
      <c r="A51" t="s">
        <v>70</v>
      </c>
      <c r="B51" t="s">
        <v>13</v>
      </c>
      <c r="C51" t="s">
        <v>321</v>
      </c>
      <c r="D51" t="s">
        <v>14</v>
      </c>
      <c r="E51" t="s">
        <v>15</v>
      </c>
      <c r="F51">
        <v>23</v>
      </c>
      <c r="G51">
        <v>300</v>
      </c>
      <c r="H51">
        <v>3</v>
      </c>
      <c r="I51">
        <v>900</v>
      </c>
      <c r="J51">
        <v>12.58</v>
      </c>
      <c r="K51" s="2">
        <v>45032</v>
      </c>
      <c r="L51" t="s">
        <v>316</v>
      </c>
      <c r="M51" s="6">
        <f>SalesTbl[[#This Row],[Unit Price]]*SalesTbl[[#This Row],[Quantity]]</f>
        <v>900</v>
      </c>
      <c r="N51" s="6">
        <f>YEAR(SalesTbl[[#This Row],[Order Date]])</f>
        <v>2023</v>
      </c>
      <c r="O51" s="6" t="str">
        <f>TEXT(SalesTbl[[#This Row],[Order Date]],"yyyy-mm")</f>
        <v>2023-04</v>
      </c>
      <c r="P51" s="13">
        <f>WEEKNUM(SalesTbl[[#This Row],[Order Date]],2)</f>
        <v>16</v>
      </c>
      <c r="Q51" s="14">
        <f>MEDIAN(SalesTbl[Quantity])</f>
        <v>3</v>
      </c>
      <c r="R51" s="14">
        <f>IF(ISBLANK(SalesTbl[[#This Row],[Quantity]]),$H$2,SalesTbl[[#This Row],[Quantity]])</f>
        <v>3</v>
      </c>
      <c r="S51">
        <f>ROW()-ROW(SalesTbl[[#Headers],[Customer ID]])</f>
        <v>50</v>
      </c>
      <c r="T51" s="9" t="str">
        <f>IF(SalesTbl[[#This Row],[RowIdx]]&lt;=ROUNDUP(COUNTA(SalesTbl[Customer ID])*0.8,0),"Train","Test")</f>
        <v>Train</v>
      </c>
    </row>
    <row r="52" spans="1:20" x14ac:dyDescent="0.25">
      <c r="A52" t="s">
        <v>71</v>
      </c>
      <c r="B52" t="s">
        <v>13</v>
      </c>
      <c r="C52" t="s">
        <v>321</v>
      </c>
      <c r="D52" t="s">
        <v>17</v>
      </c>
      <c r="E52" t="s">
        <v>18</v>
      </c>
      <c r="F52">
        <v>68</v>
      </c>
      <c r="G52">
        <v>100</v>
      </c>
      <c r="H52">
        <v>2</v>
      </c>
      <c r="I52">
        <v>200</v>
      </c>
      <c r="J52">
        <v>13.49</v>
      </c>
      <c r="K52" s="2">
        <v>45273</v>
      </c>
      <c r="L52" t="s">
        <v>317</v>
      </c>
      <c r="M52" s="6">
        <f>SalesTbl[[#This Row],[Unit Price]]*SalesTbl[[#This Row],[Quantity]]</f>
        <v>200</v>
      </c>
      <c r="N52" s="6">
        <f>YEAR(SalesTbl[[#This Row],[Order Date]])</f>
        <v>2023</v>
      </c>
      <c r="O52" s="6" t="str">
        <f>TEXT(SalesTbl[[#This Row],[Order Date]],"yyyy-mm")</f>
        <v>2023-12</v>
      </c>
      <c r="P52" s="13">
        <f>WEEKNUM(SalesTbl[[#This Row],[Order Date]],2)</f>
        <v>51</v>
      </c>
      <c r="Q52" s="14">
        <f>MEDIAN(SalesTbl[Quantity])</f>
        <v>3</v>
      </c>
      <c r="R52" s="14">
        <f>IF(ISBLANK(SalesTbl[[#This Row],[Quantity]]),$H$2,SalesTbl[[#This Row],[Quantity]])</f>
        <v>2</v>
      </c>
      <c r="S52">
        <f>ROW()-ROW(SalesTbl[[#Headers],[Customer ID]])</f>
        <v>51</v>
      </c>
      <c r="T52" s="9" t="str">
        <f>IF(SalesTbl[[#This Row],[RowIdx]]&lt;=ROUNDUP(COUNTA(SalesTbl[Customer ID])*0.8,0),"Train","Test")</f>
        <v>Train</v>
      </c>
    </row>
    <row r="53" spans="1:20" x14ac:dyDescent="0.25">
      <c r="A53" t="s">
        <v>72</v>
      </c>
      <c r="B53" t="s">
        <v>20</v>
      </c>
      <c r="C53" t="s">
        <v>323</v>
      </c>
      <c r="D53" t="s">
        <v>14</v>
      </c>
      <c r="E53" t="s">
        <v>15</v>
      </c>
      <c r="F53">
        <v>42</v>
      </c>
      <c r="G53">
        <v>300</v>
      </c>
      <c r="H53">
        <v>4</v>
      </c>
      <c r="I53">
        <v>1200</v>
      </c>
      <c r="J53">
        <v>18.149999999999999</v>
      </c>
      <c r="K53" s="2">
        <v>45012</v>
      </c>
      <c r="L53" t="s">
        <v>317</v>
      </c>
      <c r="M53" s="6">
        <f>SalesTbl[[#This Row],[Unit Price]]*SalesTbl[[#This Row],[Quantity]]</f>
        <v>1200</v>
      </c>
      <c r="N53" s="6">
        <f>YEAR(SalesTbl[[#This Row],[Order Date]])</f>
        <v>2023</v>
      </c>
      <c r="O53" s="6" t="str">
        <f>TEXT(SalesTbl[[#This Row],[Order Date]],"yyyy-mm")</f>
        <v>2023-03</v>
      </c>
      <c r="P53" s="13">
        <f>WEEKNUM(SalesTbl[[#This Row],[Order Date]],2)</f>
        <v>14</v>
      </c>
      <c r="Q53" s="14">
        <f>MEDIAN(SalesTbl[Quantity])</f>
        <v>3</v>
      </c>
      <c r="R53" s="14">
        <f>IF(ISBLANK(SalesTbl[[#This Row],[Quantity]]),$H$2,SalesTbl[[#This Row],[Quantity]])</f>
        <v>4</v>
      </c>
      <c r="S53">
        <f>ROW()-ROW(SalesTbl[[#Headers],[Customer ID]])</f>
        <v>52</v>
      </c>
      <c r="T53" s="9" t="str">
        <f>IF(SalesTbl[[#This Row],[RowIdx]]&lt;=ROUNDUP(COUNTA(SalesTbl[Customer ID])*0.8,0),"Train","Test")</f>
        <v>Train</v>
      </c>
    </row>
    <row r="54" spans="1:20" x14ac:dyDescent="0.25">
      <c r="A54" t="s">
        <v>73</v>
      </c>
      <c r="B54" t="s">
        <v>13</v>
      </c>
      <c r="C54" t="s">
        <v>322</v>
      </c>
      <c r="D54" t="s">
        <v>23</v>
      </c>
      <c r="E54" t="s">
        <v>15</v>
      </c>
      <c r="F54">
        <v>51</v>
      </c>
      <c r="G54">
        <v>1500</v>
      </c>
      <c r="H54">
        <v>2</v>
      </c>
      <c r="I54">
        <v>3000</v>
      </c>
      <c r="J54">
        <v>7.43</v>
      </c>
      <c r="K54" s="2">
        <v>45246</v>
      </c>
      <c r="L54" t="s">
        <v>318</v>
      </c>
      <c r="M54" s="6">
        <f>SalesTbl[[#This Row],[Unit Price]]*SalesTbl[[#This Row],[Quantity]]</f>
        <v>3000</v>
      </c>
      <c r="N54" s="6">
        <f>YEAR(SalesTbl[[#This Row],[Order Date]])</f>
        <v>2023</v>
      </c>
      <c r="O54" s="6" t="str">
        <f>TEXT(SalesTbl[[#This Row],[Order Date]],"yyyy-mm")</f>
        <v>2023-11</v>
      </c>
      <c r="P54" s="13">
        <f>WEEKNUM(SalesTbl[[#This Row],[Order Date]],2)</f>
        <v>47</v>
      </c>
      <c r="Q54" s="14">
        <f>MEDIAN(SalesTbl[Quantity])</f>
        <v>3</v>
      </c>
      <c r="R54" s="14">
        <f>IF(ISBLANK(SalesTbl[[#This Row],[Quantity]]),$H$2,SalesTbl[[#This Row],[Quantity]])</f>
        <v>2</v>
      </c>
      <c r="S54">
        <f>ROW()-ROW(SalesTbl[[#Headers],[Customer ID]])</f>
        <v>53</v>
      </c>
      <c r="T54" s="9" t="str">
        <f>IF(SalesTbl[[#This Row],[RowIdx]]&lt;=ROUNDUP(COUNTA(SalesTbl[Customer ID])*0.8,0),"Train","Test")</f>
        <v>Train</v>
      </c>
    </row>
    <row r="55" spans="1:20" x14ac:dyDescent="0.25">
      <c r="A55" t="s">
        <v>63</v>
      </c>
      <c r="B55" t="s">
        <v>20</v>
      </c>
      <c r="C55" t="s">
        <v>321</v>
      </c>
      <c r="D55" t="s">
        <v>23</v>
      </c>
      <c r="E55" t="s">
        <v>15</v>
      </c>
      <c r="F55">
        <v>61</v>
      </c>
      <c r="G55">
        <v>1500</v>
      </c>
      <c r="H55">
        <v>2</v>
      </c>
      <c r="I55">
        <v>3000</v>
      </c>
      <c r="J55">
        <v>5.42</v>
      </c>
      <c r="K55" s="2">
        <v>45091</v>
      </c>
      <c r="L55" t="s">
        <v>316</v>
      </c>
      <c r="M55" s="6">
        <f>SalesTbl[[#This Row],[Unit Price]]*SalesTbl[[#This Row],[Quantity]]</f>
        <v>3000</v>
      </c>
      <c r="N55" s="6">
        <f>YEAR(SalesTbl[[#This Row],[Order Date]])</f>
        <v>2023</v>
      </c>
      <c r="O55" s="6" t="str">
        <f>TEXT(SalesTbl[[#This Row],[Order Date]],"yyyy-mm")</f>
        <v>2023-06</v>
      </c>
      <c r="P55" s="13">
        <f>WEEKNUM(SalesTbl[[#This Row],[Order Date]],2)</f>
        <v>25</v>
      </c>
      <c r="Q55" s="14">
        <f>MEDIAN(SalesTbl[Quantity])</f>
        <v>3</v>
      </c>
      <c r="R55" s="14">
        <f>IF(ISBLANK(SalesTbl[[#This Row],[Quantity]]),$H$2,SalesTbl[[#This Row],[Quantity]])</f>
        <v>2</v>
      </c>
      <c r="S55">
        <f>ROW()-ROW(SalesTbl[[#Headers],[Customer ID]])</f>
        <v>54</v>
      </c>
      <c r="T55" s="9" t="str">
        <f>IF(SalesTbl[[#This Row],[RowIdx]]&lt;=ROUNDUP(COUNTA(SalesTbl[Customer ID])*0.8,0),"Train","Test")</f>
        <v>Train</v>
      </c>
    </row>
    <row r="56" spans="1:20" x14ac:dyDescent="0.25">
      <c r="A56" t="s">
        <v>74</v>
      </c>
      <c r="B56" t="s">
        <v>20</v>
      </c>
      <c r="C56" t="s">
        <v>322</v>
      </c>
      <c r="D56" t="s">
        <v>40</v>
      </c>
      <c r="E56" t="s">
        <v>15</v>
      </c>
      <c r="F56">
        <v>46</v>
      </c>
      <c r="G56">
        <v>800</v>
      </c>
      <c r="H56">
        <v>5</v>
      </c>
      <c r="I56">
        <v>4000</v>
      </c>
      <c r="J56">
        <v>10.62</v>
      </c>
      <c r="K56" s="2">
        <v>44952</v>
      </c>
      <c r="L56" t="s">
        <v>316</v>
      </c>
      <c r="M56" s="6">
        <f>SalesTbl[[#This Row],[Unit Price]]*SalesTbl[[#This Row],[Quantity]]</f>
        <v>4000</v>
      </c>
      <c r="N56" s="6">
        <f>YEAR(SalesTbl[[#This Row],[Order Date]])</f>
        <v>2023</v>
      </c>
      <c r="O56" s="6" t="str">
        <f>TEXT(SalesTbl[[#This Row],[Order Date]],"yyyy-mm")</f>
        <v>2023-01</v>
      </c>
      <c r="P56" s="13">
        <f>WEEKNUM(SalesTbl[[#This Row],[Order Date]],2)</f>
        <v>5</v>
      </c>
      <c r="Q56" s="14">
        <f>MEDIAN(SalesTbl[Quantity])</f>
        <v>3</v>
      </c>
      <c r="R56" s="14">
        <f>IF(ISBLANK(SalesTbl[[#This Row],[Quantity]]),$H$2,SalesTbl[[#This Row],[Quantity]])</f>
        <v>5</v>
      </c>
      <c r="S56">
        <f>ROW()-ROW(SalesTbl[[#Headers],[Customer ID]])</f>
        <v>55</v>
      </c>
      <c r="T56" s="9" t="str">
        <f>IF(SalesTbl[[#This Row],[RowIdx]]&lt;=ROUNDUP(COUNTA(SalesTbl[Customer ID])*0.8,0),"Train","Test")</f>
        <v>Train</v>
      </c>
    </row>
    <row r="57" spans="1:20" x14ac:dyDescent="0.25">
      <c r="A57" t="s">
        <v>75</v>
      </c>
      <c r="B57" t="s">
        <v>20</v>
      </c>
      <c r="C57" t="s">
        <v>321</v>
      </c>
      <c r="D57" t="s">
        <v>29</v>
      </c>
      <c r="E57" t="s">
        <v>18</v>
      </c>
      <c r="F57">
        <v>49</v>
      </c>
      <c r="G57">
        <v>50</v>
      </c>
      <c r="H57">
        <v>4</v>
      </c>
      <c r="I57">
        <v>200</v>
      </c>
      <c r="J57">
        <v>19.72</v>
      </c>
      <c r="K57" s="2">
        <v>45285</v>
      </c>
      <c r="L57" t="s">
        <v>319</v>
      </c>
      <c r="M57" s="6">
        <f>SalesTbl[[#This Row],[Unit Price]]*SalesTbl[[#This Row],[Quantity]]</f>
        <v>200</v>
      </c>
      <c r="N57" s="6">
        <f>YEAR(SalesTbl[[#This Row],[Order Date]])</f>
        <v>2023</v>
      </c>
      <c r="O57" s="6" t="str">
        <f>TEXT(SalesTbl[[#This Row],[Order Date]],"yyyy-mm")</f>
        <v>2023-12</v>
      </c>
      <c r="P57" s="13">
        <f>WEEKNUM(SalesTbl[[#This Row],[Order Date]],2)</f>
        <v>53</v>
      </c>
      <c r="Q57" s="14">
        <f>MEDIAN(SalesTbl[Quantity])</f>
        <v>3</v>
      </c>
      <c r="R57" s="14">
        <f>IF(ISBLANK(SalesTbl[[#This Row],[Quantity]]),$H$2,SalesTbl[[#This Row],[Quantity]])</f>
        <v>4</v>
      </c>
      <c r="S57">
        <f>ROW()-ROW(SalesTbl[[#Headers],[Customer ID]])</f>
        <v>56</v>
      </c>
      <c r="T57" s="9" t="str">
        <f>IF(SalesTbl[[#This Row],[RowIdx]]&lt;=ROUNDUP(COUNTA(SalesTbl[Customer ID])*0.8,0),"Train","Test")</f>
        <v>Train</v>
      </c>
    </row>
    <row r="58" spans="1:20" x14ac:dyDescent="0.25">
      <c r="A58" t="s">
        <v>76</v>
      </c>
      <c r="B58" t="s">
        <v>13</v>
      </c>
      <c r="C58" t="s">
        <v>320</v>
      </c>
      <c r="D58" t="s">
        <v>29</v>
      </c>
      <c r="E58" t="s">
        <v>18</v>
      </c>
      <c r="F58">
        <v>62</v>
      </c>
      <c r="G58">
        <v>50</v>
      </c>
      <c r="H58">
        <v>4</v>
      </c>
      <c r="I58">
        <v>200</v>
      </c>
      <c r="J58">
        <v>12.79</v>
      </c>
      <c r="K58" s="2">
        <v>45198</v>
      </c>
      <c r="L58" t="s">
        <v>318</v>
      </c>
      <c r="M58" s="6">
        <f>SalesTbl[[#This Row],[Unit Price]]*SalesTbl[[#This Row],[Quantity]]</f>
        <v>200</v>
      </c>
      <c r="N58" s="6">
        <f>YEAR(SalesTbl[[#This Row],[Order Date]])</f>
        <v>2023</v>
      </c>
      <c r="O58" s="6" t="str">
        <f>TEXT(SalesTbl[[#This Row],[Order Date]],"yyyy-mm")</f>
        <v>2023-09</v>
      </c>
      <c r="P58" s="13">
        <f>WEEKNUM(SalesTbl[[#This Row],[Order Date]],2)</f>
        <v>40</v>
      </c>
      <c r="Q58" s="14">
        <f>MEDIAN(SalesTbl[Quantity])</f>
        <v>3</v>
      </c>
      <c r="R58" s="14">
        <f>IF(ISBLANK(SalesTbl[[#This Row],[Quantity]]),$H$2,SalesTbl[[#This Row],[Quantity]])</f>
        <v>4</v>
      </c>
      <c r="S58">
        <f>ROW()-ROW(SalesTbl[[#Headers],[Customer ID]])</f>
        <v>57</v>
      </c>
      <c r="T58" s="9" t="str">
        <f>IF(SalesTbl[[#This Row],[RowIdx]]&lt;=ROUNDUP(COUNTA(SalesTbl[Customer ID])*0.8,0),"Train","Test")</f>
        <v>Train</v>
      </c>
    </row>
    <row r="59" spans="1:20" x14ac:dyDescent="0.25">
      <c r="A59" t="s">
        <v>77</v>
      </c>
      <c r="B59" t="s">
        <v>13</v>
      </c>
      <c r="C59" t="s">
        <v>322</v>
      </c>
      <c r="D59" t="s">
        <v>23</v>
      </c>
      <c r="E59" t="s">
        <v>15</v>
      </c>
      <c r="F59">
        <v>54</v>
      </c>
      <c r="G59">
        <v>1500</v>
      </c>
      <c r="H59">
        <v>1</v>
      </c>
      <c r="I59">
        <v>1500</v>
      </c>
      <c r="J59">
        <v>5.16</v>
      </c>
      <c r="K59" s="2">
        <v>44999</v>
      </c>
      <c r="L59" t="s">
        <v>318</v>
      </c>
      <c r="M59" s="6">
        <f>SalesTbl[[#This Row],[Unit Price]]*SalesTbl[[#This Row],[Quantity]]</f>
        <v>1500</v>
      </c>
      <c r="N59" s="6">
        <f>YEAR(SalesTbl[[#This Row],[Order Date]])</f>
        <v>2023</v>
      </c>
      <c r="O59" s="6" t="str">
        <f>TEXT(SalesTbl[[#This Row],[Order Date]],"yyyy-mm")</f>
        <v>2023-03</v>
      </c>
      <c r="P59" s="13">
        <f>WEEKNUM(SalesTbl[[#This Row],[Order Date]],2)</f>
        <v>12</v>
      </c>
      <c r="Q59" s="14">
        <f>MEDIAN(SalesTbl[Quantity])</f>
        <v>3</v>
      </c>
      <c r="R59" s="14">
        <f>IF(ISBLANK(SalesTbl[[#This Row],[Quantity]]),$H$2,SalesTbl[[#This Row],[Quantity]])</f>
        <v>1</v>
      </c>
      <c r="S59">
        <f>ROW()-ROW(SalesTbl[[#Headers],[Customer ID]])</f>
        <v>58</v>
      </c>
      <c r="T59" s="9" t="str">
        <f>IF(SalesTbl[[#This Row],[RowIdx]]&lt;=ROUNDUP(COUNTA(SalesTbl[Customer ID])*0.8,0),"Train","Test")</f>
        <v>Train</v>
      </c>
    </row>
    <row r="60" spans="1:20" x14ac:dyDescent="0.25">
      <c r="A60" t="s">
        <v>78</v>
      </c>
      <c r="B60" t="s">
        <v>20</v>
      </c>
      <c r="C60" t="s">
        <v>320</v>
      </c>
      <c r="D60" t="s">
        <v>17</v>
      </c>
      <c r="E60" t="s">
        <v>18</v>
      </c>
      <c r="F60">
        <v>67</v>
      </c>
      <c r="G60">
        <v>100</v>
      </c>
      <c r="H60">
        <v>2</v>
      </c>
      <c r="I60">
        <v>200</v>
      </c>
      <c r="J60">
        <v>11.65</v>
      </c>
      <c r="K60" s="2">
        <v>45274</v>
      </c>
      <c r="L60" t="s">
        <v>316</v>
      </c>
      <c r="M60" s="6">
        <f>SalesTbl[[#This Row],[Unit Price]]*SalesTbl[[#This Row],[Quantity]]</f>
        <v>200</v>
      </c>
      <c r="N60" s="6">
        <f>YEAR(SalesTbl[[#This Row],[Order Date]])</f>
        <v>2023</v>
      </c>
      <c r="O60" s="6" t="str">
        <f>TEXT(SalesTbl[[#This Row],[Order Date]],"yyyy-mm")</f>
        <v>2023-12</v>
      </c>
      <c r="P60" s="13">
        <f>WEEKNUM(SalesTbl[[#This Row],[Order Date]],2)</f>
        <v>51</v>
      </c>
      <c r="Q60" s="14">
        <f>MEDIAN(SalesTbl[Quantity])</f>
        <v>3</v>
      </c>
      <c r="R60" s="14">
        <f>IF(ISBLANK(SalesTbl[[#This Row],[Quantity]]),$H$2,SalesTbl[[#This Row],[Quantity]])</f>
        <v>2</v>
      </c>
      <c r="S60">
        <f>ROW()-ROW(SalesTbl[[#Headers],[Customer ID]])</f>
        <v>59</v>
      </c>
      <c r="T60" s="9" t="str">
        <f>IF(SalesTbl[[#This Row],[RowIdx]]&lt;=ROUNDUP(COUNTA(SalesTbl[Customer ID])*0.8,0),"Train","Test")</f>
        <v>Train</v>
      </c>
    </row>
    <row r="61" spans="1:20" x14ac:dyDescent="0.25">
      <c r="A61" t="s">
        <v>79</v>
      </c>
      <c r="B61" t="s">
        <v>13</v>
      </c>
      <c r="C61" t="s">
        <v>322</v>
      </c>
      <c r="D61" t="s">
        <v>23</v>
      </c>
      <c r="E61" t="s">
        <v>15</v>
      </c>
      <c r="F61">
        <v>52</v>
      </c>
      <c r="G61">
        <v>1500</v>
      </c>
      <c r="H61">
        <v>5</v>
      </c>
      <c r="I61">
        <v>7500</v>
      </c>
      <c r="J61">
        <v>19.690000000000001</v>
      </c>
      <c r="K61" s="2">
        <v>45186</v>
      </c>
      <c r="L61" t="s">
        <v>317</v>
      </c>
      <c r="M61" s="6">
        <f>SalesTbl[[#This Row],[Unit Price]]*SalesTbl[[#This Row],[Quantity]]</f>
        <v>7500</v>
      </c>
      <c r="N61" s="6">
        <f>YEAR(SalesTbl[[#This Row],[Order Date]])</f>
        <v>2023</v>
      </c>
      <c r="O61" s="6" t="str">
        <f>TEXT(SalesTbl[[#This Row],[Order Date]],"yyyy-mm")</f>
        <v>2023-09</v>
      </c>
      <c r="P61" s="13">
        <f>WEEKNUM(SalesTbl[[#This Row],[Order Date]],2)</f>
        <v>38</v>
      </c>
      <c r="Q61" s="14">
        <f>MEDIAN(SalesTbl[Quantity])</f>
        <v>3</v>
      </c>
      <c r="R61" s="14">
        <f>IF(ISBLANK(SalesTbl[[#This Row],[Quantity]]),$H$2,SalesTbl[[#This Row],[Quantity]])</f>
        <v>5</v>
      </c>
      <c r="S61">
        <f>ROW()-ROW(SalesTbl[[#Headers],[Customer ID]])</f>
        <v>60</v>
      </c>
      <c r="T61" s="9" t="str">
        <f>IF(SalesTbl[[#This Row],[RowIdx]]&lt;=ROUNDUP(COUNTA(SalesTbl[Customer ID])*0.8,0),"Train","Test")</f>
        <v>Train</v>
      </c>
    </row>
    <row r="62" spans="1:20" x14ac:dyDescent="0.25">
      <c r="A62" t="s">
        <v>80</v>
      </c>
      <c r="B62" t="s">
        <v>13</v>
      </c>
      <c r="C62" t="s">
        <v>323</v>
      </c>
      <c r="D62" t="s">
        <v>40</v>
      </c>
      <c r="E62" t="s">
        <v>15</v>
      </c>
      <c r="F62">
        <v>64</v>
      </c>
      <c r="G62">
        <v>800</v>
      </c>
      <c r="H62">
        <v>4</v>
      </c>
      <c r="I62">
        <v>3200</v>
      </c>
      <c r="J62">
        <v>17.27</v>
      </c>
      <c r="K62" s="2">
        <v>45146</v>
      </c>
      <c r="L62" t="s">
        <v>317</v>
      </c>
      <c r="M62" s="6">
        <f>SalesTbl[[#This Row],[Unit Price]]*SalesTbl[[#This Row],[Quantity]]</f>
        <v>3200</v>
      </c>
      <c r="N62" s="6">
        <f>YEAR(SalesTbl[[#This Row],[Order Date]])</f>
        <v>2023</v>
      </c>
      <c r="O62" s="6" t="str">
        <f>TEXT(SalesTbl[[#This Row],[Order Date]],"yyyy-mm")</f>
        <v>2023-08</v>
      </c>
      <c r="P62" s="13">
        <f>WEEKNUM(SalesTbl[[#This Row],[Order Date]],2)</f>
        <v>33</v>
      </c>
      <c r="Q62" s="14">
        <f>MEDIAN(SalesTbl[Quantity])</f>
        <v>3</v>
      </c>
      <c r="R62" s="14">
        <f>IF(ISBLANK(SalesTbl[[#This Row],[Quantity]]),$H$2,SalesTbl[[#This Row],[Quantity]])</f>
        <v>4</v>
      </c>
      <c r="S62">
        <f>ROW()-ROW(SalesTbl[[#Headers],[Customer ID]])</f>
        <v>61</v>
      </c>
      <c r="T62" s="9" t="str">
        <f>IF(SalesTbl[[#This Row],[RowIdx]]&lt;=ROUNDUP(COUNTA(SalesTbl[Customer ID])*0.8,0),"Train","Test")</f>
        <v>Train</v>
      </c>
    </row>
    <row r="63" spans="1:20" x14ac:dyDescent="0.25">
      <c r="A63" t="s">
        <v>81</v>
      </c>
      <c r="B63" t="s">
        <v>13</v>
      </c>
      <c r="C63" t="s">
        <v>320</v>
      </c>
      <c r="D63" t="s">
        <v>14</v>
      </c>
      <c r="E63" t="s">
        <v>15</v>
      </c>
      <c r="F63">
        <v>33</v>
      </c>
      <c r="G63">
        <v>300</v>
      </c>
      <c r="H63">
        <v>4</v>
      </c>
      <c r="I63">
        <v>1200</v>
      </c>
      <c r="J63">
        <v>14.88</v>
      </c>
      <c r="K63" s="2">
        <v>45028</v>
      </c>
      <c r="L63" t="s">
        <v>318</v>
      </c>
      <c r="M63" s="6">
        <f>SalesTbl[[#This Row],[Unit Price]]*SalesTbl[[#This Row],[Quantity]]</f>
        <v>1200</v>
      </c>
      <c r="N63" s="6">
        <f>YEAR(SalesTbl[[#This Row],[Order Date]])</f>
        <v>2023</v>
      </c>
      <c r="O63" s="6" t="str">
        <f>TEXT(SalesTbl[[#This Row],[Order Date]],"yyyy-mm")</f>
        <v>2023-04</v>
      </c>
      <c r="P63" s="13">
        <f>WEEKNUM(SalesTbl[[#This Row],[Order Date]],2)</f>
        <v>16</v>
      </c>
      <c r="Q63" s="14">
        <f>MEDIAN(SalesTbl[Quantity])</f>
        <v>3</v>
      </c>
      <c r="R63" s="14">
        <f>IF(ISBLANK(SalesTbl[[#This Row],[Quantity]]),$H$2,SalesTbl[[#This Row],[Quantity]])</f>
        <v>4</v>
      </c>
      <c r="S63">
        <f>ROW()-ROW(SalesTbl[[#Headers],[Customer ID]])</f>
        <v>62</v>
      </c>
      <c r="T63" s="9" t="str">
        <f>IF(SalesTbl[[#This Row],[RowIdx]]&lt;=ROUNDUP(COUNTA(SalesTbl[Customer ID])*0.8,0),"Train","Test")</f>
        <v>Train</v>
      </c>
    </row>
    <row r="64" spans="1:20" x14ac:dyDescent="0.25">
      <c r="A64" t="s">
        <v>82</v>
      </c>
      <c r="B64" t="s">
        <v>20</v>
      </c>
      <c r="C64" t="s">
        <v>321</v>
      </c>
      <c r="D64" t="s">
        <v>17</v>
      </c>
      <c r="E64" t="s">
        <v>18</v>
      </c>
      <c r="F64">
        <v>24</v>
      </c>
      <c r="G64">
        <v>100</v>
      </c>
      <c r="H64">
        <v>3</v>
      </c>
      <c r="I64">
        <v>300</v>
      </c>
      <c r="J64">
        <v>8.49</v>
      </c>
      <c r="K64" s="2">
        <v>44978</v>
      </c>
      <c r="L64" t="s">
        <v>317</v>
      </c>
      <c r="M64" s="6">
        <f>SalesTbl[[#This Row],[Unit Price]]*SalesTbl[[#This Row],[Quantity]]</f>
        <v>300</v>
      </c>
      <c r="N64" s="6">
        <f>YEAR(SalesTbl[[#This Row],[Order Date]])</f>
        <v>2023</v>
      </c>
      <c r="O64" s="6" t="str">
        <f>TEXT(SalesTbl[[#This Row],[Order Date]],"yyyy-mm")</f>
        <v>2023-02</v>
      </c>
      <c r="P64" s="13">
        <f>WEEKNUM(SalesTbl[[#This Row],[Order Date]],2)</f>
        <v>9</v>
      </c>
      <c r="Q64" s="14">
        <f>MEDIAN(SalesTbl[Quantity])</f>
        <v>3</v>
      </c>
      <c r="R64" s="14">
        <f>IF(ISBLANK(SalesTbl[[#This Row],[Quantity]]),$H$2,SalesTbl[[#This Row],[Quantity]])</f>
        <v>3</v>
      </c>
      <c r="S64">
        <f>ROW()-ROW(SalesTbl[[#Headers],[Customer ID]])</f>
        <v>63</v>
      </c>
      <c r="T64" s="9" t="str">
        <f>IF(SalesTbl[[#This Row],[RowIdx]]&lt;=ROUNDUP(COUNTA(SalesTbl[Customer ID])*0.8,0),"Train","Test")</f>
        <v>Train</v>
      </c>
    </row>
    <row r="65" spans="1:20" x14ac:dyDescent="0.25">
      <c r="A65" t="s">
        <v>83</v>
      </c>
      <c r="B65" t="s">
        <v>13</v>
      </c>
      <c r="C65" t="s">
        <v>323</v>
      </c>
      <c r="D65" t="s">
        <v>17</v>
      </c>
      <c r="E65" t="s">
        <v>18</v>
      </c>
      <c r="F65">
        <v>36</v>
      </c>
      <c r="G65">
        <v>100</v>
      </c>
      <c r="H65">
        <v>2</v>
      </c>
      <c r="I65">
        <v>200</v>
      </c>
      <c r="J65">
        <v>7.71</v>
      </c>
      <c r="K65" s="2">
        <v>45233</v>
      </c>
      <c r="L65" t="s">
        <v>316</v>
      </c>
      <c r="M65" s="6">
        <f>SalesTbl[[#This Row],[Unit Price]]*SalesTbl[[#This Row],[Quantity]]</f>
        <v>200</v>
      </c>
      <c r="N65" s="6">
        <f>YEAR(SalesTbl[[#This Row],[Order Date]])</f>
        <v>2023</v>
      </c>
      <c r="O65" s="6" t="str">
        <f>TEXT(SalesTbl[[#This Row],[Order Date]],"yyyy-mm")</f>
        <v>2023-11</v>
      </c>
      <c r="P65" s="13">
        <f>WEEKNUM(SalesTbl[[#This Row],[Order Date]],2)</f>
        <v>45</v>
      </c>
      <c r="Q65" s="14">
        <f>MEDIAN(SalesTbl[Quantity])</f>
        <v>3</v>
      </c>
      <c r="R65" s="14">
        <f>IF(ISBLANK(SalesTbl[[#This Row],[Quantity]]),$H$2,SalesTbl[[#This Row],[Quantity]])</f>
        <v>2</v>
      </c>
      <c r="S65">
        <f>ROW()-ROW(SalesTbl[[#Headers],[Customer ID]])</f>
        <v>64</v>
      </c>
      <c r="T65" s="9" t="str">
        <f>IF(SalesTbl[[#This Row],[RowIdx]]&lt;=ROUNDUP(COUNTA(SalesTbl[Customer ID])*0.8,0),"Train","Test")</f>
        <v>Train</v>
      </c>
    </row>
    <row r="66" spans="1:20" x14ac:dyDescent="0.25">
      <c r="A66" t="s">
        <v>64</v>
      </c>
      <c r="B66" t="s">
        <v>13</v>
      </c>
      <c r="C66" t="s">
        <v>320</v>
      </c>
      <c r="D66" t="s">
        <v>14</v>
      </c>
      <c r="E66" t="s">
        <v>15</v>
      </c>
      <c r="F66">
        <v>19</v>
      </c>
      <c r="G66">
        <v>300</v>
      </c>
      <c r="H66">
        <v>5</v>
      </c>
      <c r="I66">
        <v>1500</v>
      </c>
      <c r="J66">
        <v>13.7</v>
      </c>
      <c r="K66" s="2">
        <v>44942</v>
      </c>
      <c r="L66" t="s">
        <v>317</v>
      </c>
      <c r="M66" s="6">
        <f>SalesTbl[[#This Row],[Unit Price]]*SalesTbl[[#This Row],[Quantity]]</f>
        <v>1500</v>
      </c>
      <c r="N66" s="6">
        <f>YEAR(SalesTbl[[#This Row],[Order Date]])</f>
        <v>2023</v>
      </c>
      <c r="O66" s="6" t="str">
        <f>TEXT(SalesTbl[[#This Row],[Order Date]],"yyyy-mm")</f>
        <v>2023-01</v>
      </c>
      <c r="P66" s="13">
        <f>WEEKNUM(SalesTbl[[#This Row],[Order Date]],2)</f>
        <v>4</v>
      </c>
      <c r="Q66" s="14">
        <f>MEDIAN(SalesTbl[Quantity])</f>
        <v>3</v>
      </c>
      <c r="R66" s="14">
        <f>IF(ISBLANK(SalesTbl[[#This Row],[Quantity]]),$H$2,SalesTbl[[#This Row],[Quantity]])</f>
        <v>5</v>
      </c>
      <c r="S66">
        <f>ROW()-ROW(SalesTbl[[#Headers],[Customer ID]])</f>
        <v>65</v>
      </c>
      <c r="T66" s="9" t="str">
        <f>IF(SalesTbl[[#This Row],[RowIdx]]&lt;=ROUNDUP(COUNTA(SalesTbl[Customer ID])*0.8,0),"Train","Test")</f>
        <v>Train</v>
      </c>
    </row>
    <row r="67" spans="1:20" x14ac:dyDescent="0.25">
      <c r="A67" t="s">
        <v>84</v>
      </c>
      <c r="B67" t="s">
        <v>13</v>
      </c>
      <c r="C67" t="s">
        <v>323</v>
      </c>
      <c r="D67" t="s">
        <v>14</v>
      </c>
      <c r="E67" t="s">
        <v>15</v>
      </c>
      <c r="F67">
        <v>28</v>
      </c>
      <c r="G67">
        <v>300</v>
      </c>
      <c r="H67">
        <v>1</v>
      </c>
      <c r="I67">
        <v>300</v>
      </c>
      <c r="J67">
        <v>17.98</v>
      </c>
      <c r="K67" s="2">
        <v>45294</v>
      </c>
      <c r="L67" t="s">
        <v>316</v>
      </c>
      <c r="M67" s="6">
        <f>SalesTbl[[#This Row],[Unit Price]]*SalesTbl[[#This Row],[Quantity]]</f>
        <v>300</v>
      </c>
      <c r="N67" s="6">
        <f>YEAR(SalesTbl[[#This Row],[Order Date]])</f>
        <v>2024</v>
      </c>
      <c r="O67" s="6" t="str">
        <f>TEXT(SalesTbl[[#This Row],[Order Date]],"yyyy-mm")</f>
        <v>2024-01</v>
      </c>
      <c r="P67" s="13">
        <f>WEEKNUM(SalesTbl[[#This Row],[Order Date]],2)</f>
        <v>1</v>
      </c>
      <c r="Q67" s="14">
        <f>MEDIAN(SalesTbl[Quantity])</f>
        <v>3</v>
      </c>
      <c r="R67" s="14">
        <f>IF(ISBLANK(SalesTbl[[#This Row],[Quantity]]),$H$2,SalesTbl[[#This Row],[Quantity]])</f>
        <v>1</v>
      </c>
      <c r="S67">
        <f>ROW()-ROW(SalesTbl[[#Headers],[Customer ID]])</f>
        <v>66</v>
      </c>
      <c r="T67" s="9" t="str">
        <f>IF(SalesTbl[[#This Row],[RowIdx]]&lt;=ROUNDUP(COUNTA(SalesTbl[Customer ID])*0.8,0),"Train","Test")</f>
        <v>Train</v>
      </c>
    </row>
    <row r="68" spans="1:20" x14ac:dyDescent="0.25">
      <c r="A68" t="s">
        <v>85</v>
      </c>
      <c r="B68" t="s">
        <v>20</v>
      </c>
      <c r="C68" t="s">
        <v>323</v>
      </c>
      <c r="D68" t="s">
        <v>17</v>
      </c>
      <c r="E68" t="s">
        <v>18</v>
      </c>
      <c r="F68">
        <v>49</v>
      </c>
      <c r="G68">
        <v>100</v>
      </c>
      <c r="H68">
        <v>2</v>
      </c>
      <c r="I68">
        <v>200</v>
      </c>
      <c r="J68">
        <v>13.06</v>
      </c>
      <c r="K68" s="2">
        <v>44962</v>
      </c>
      <c r="L68" t="s">
        <v>316</v>
      </c>
      <c r="M68" s="6">
        <f>SalesTbl[[#This Row],[Unit Price]]*SalesTbl[[#This Row],[Quantity]]</f>
        <v>200</v>
      </c>
      <c r="N68" s="6">
        <f>YEAR(SalesTbl[[#This Row],[Order Date]])</f>
        <v>2023</v>
      </c>
      <c r="O68" s="6" t="str">
        <f>TEXT(SalesTbl[[#This Row],[Order Date]],"yyyy-mm")</f>
        <v>2023-02</v>
      </c>
      <c r="P68" s="13">
        <f>WEEKNUM(SalesTbl[[#This Row],[Order Date]],2)</f>
        <v>6</v>
      </c>
      <c r="Q68" s="14">
        <f>MEDIAN(SalesTbl[Quantity])</f>
        <v>3</v>
      </c>
      <c r="R68" s="14">
        <f>IF(ISBLANK(SalesTbl[[#This Row],[Quantity]]),$H$2,SalesTbl[[#This Row],[Quantity]])</f>
        <v>2</v>
      </c>
      <c r="S68">
        <f>ROW()-ROW(SalesTbl[[#Headers],[Customer ID]])</f>
        <v>67</v>
      </c>
      <c r="T68" s="9" t="str">
        <f>IF(SalesTbl[[#This Row],[RowIdx]]&lt;=ROUNDUP(COUNTA(SalesTbl[Customer ID])*0.8,0),"Train","Test")</f>
        <v>Train</v>
      </c>
    </row>
    <row r="69" spans="1:20" x14ac:dyDescent="0.25">
      <c r="A69" t="s">
        <v>86</v>
      </c>
      <c r="B69" t="s">
        <v>20</v>
      </c>
      <c r="C69" t="s">
        <v>319</v>
      </c>
      <c r="D69" t="s">
        <v>40</v>
      </c>
      <c r="E69" t="s">
        <v>15</v>
      </c>
      <c r="F69">
        <v>61</v>
      </c>
      <c r="G69">
        <v>800</v>
      </c>
      <c r="H69">
        <v>4</v>
      </c>
      <c r="I69">
        <v>3200</v>
      </c>
      <c r="J69">
        <v>11.79</v>
      </c>
      <c r="K69" s="2">
        <v>44964</v>
      </c>
      <c r="L69" t="s">
        <v>317</v>
      </c>
      <c r="M69" s="6">
        <f>SalesTbl[[#This Row],[Unit Price]]*SalesTbl[[#This Row],[Quantity]]</f>
        <v>3200</v>
      </c>
      <c r="N69" s="6">
        <f>YEAR(SalesTbl[[#This Row],[Order Date]])</f>
        <v>2023</v>
      </c>
      <c r="O69" s="6" t="str">
        <f>TEXT(SalesTbl[[#This Row],[Order Date]],"yyyy-mm")</f>
        <v>2023-02</v>
      </c>
      <c r="P69" s="13">
        <f>WEEKNUM(SalesTbl[[#This Row],[Order Date]],2)</f>
        <v>7</v>
      </c>
      <c r="Q69" s="14">
        <f>MEDIAN(SalesTbl[Quantity])</f>
        <v>3</v>
      </c>
      <c r="R69" s="14">
        <f>IF(ISBLANK(SalesTbl[[#This Row],[Quantity]]),$H$2,SalesTbl[[#This Row],[Quantity]])</f>
        <v>4</v>
      </c>
      <c r="S69">
        <f>ROW()-ROW(SalesTbl[[#Headers],[Customer ID]])</f>
        <v>68</v>
      </c>
      <c r="T69" s="9" t="str">
        <f>IF(SalesTbl[[#This Row],[RowIdx]]&lt;=ROUNDUP(COUNTA(SalesTbl[Customer ID])*0.8,0),"Train","Test")</f>
        <v>Train</v>
      </c>
    </row>
    <row r="70" spans="1:20" x14ac:dyDescent="0.25">
      <c r="A70" t="s">
        <v>57</v>
      </c>
      <c r="B70" t="s">
        <v>13</v>
      </c>
      <c r="C70" t="s">
        <v>322</v>
      </c>
      <c r="D70" t="s">
        <v>29</v>
      </c>
      <c r="E70" t="s">
        <v>18</v>
      </c>
      <c r="F70">
        <v>41</v>
      </c>
      <c r="G70">
        <v>50</v>
      </c>
      <c r="H70">
        <v>4</v>
      </c>
      <c r="I70">
        <v>200</v>
      </c>
      <c r="J70">
        <v>19.12</v>
      </c>
      <c r="K70" s="2">
        <v>45019</v>
      </c>
      <c r="L70" t="s">
        <v>316</v>
      </c>
      <c r="M70" s="6">
        <f>SalesTbl[[#This Row],[Unit Price]]*SalesTbl[[#This Row],[Quantity]]</f>
        <v>200</v>
      </c>
      <c r="N70" s="6">
        <f>YEAR(SalesTbl[[#This Row],[Order Date]])</f>
        <v>2023</v>
      </c>
      <c r="O70" s="6" t="str">
        <f>TEXT(SalesTbl[[#This Row],[Order Date]],"yyyy-mm")</f>
        <v>2023-04</v>
      </c>
      <c r="P70" s="13">
        <f>WEEKNUM(SalesTbl[[#This Row],[Order Date]],2)</f>
        <v>15</v>
      </c>
      <c r="Q70" s="14">
        <f>MEDIAN(SalesTbl[Quantity])</f>
        <v>3</v>
      </c>
      <c r="R70" s="14">
        <f>IF(ISBLANK(SalesTbl[[#This Row],[Quantity]]),$H$2,SalesTbl[[#This Row],[Quantity]])</f>
        <v>4</v>
      </c>
      <c r="S70">
        <f>ROW()-ROW(SalesTbl[[#Headers],[Customer ID]])</f>
        <v>69</v>
      </c>
      <c r="T70" s="9" t="str">
        <f>IF(SalesTbl[[#This Row],[RowIdx]]&lt;=ROUNDUP(COUNTA(SalesTbl[Customer ID])*0.8,0),"Train","Test")</f>
        <v>Train</v>
      </c>
    </row>
    <row r="71" spans="1:20" x14ac:dyDescent="0.25">
      <c r="A71" t="s">
        <v>87</v>
      </c>
      <c r="B71" t="s">
        <v>13</v>
      </c>
      <c r="C71" t="s">
        <v>323</v>
      </c>
      <c r="D71" t="s">
        <v>30</v>
      </c>
      <c r="E71" t="s">
        <v>18</v>
      </c>
      <c r="F71">
        <v>21</v>
      </c>
      <c r="G71">
        <v>30</v>
      </c>
      <c r="H71">
        <v>1</v>
      </c>
      <c r="I71">
        <v>30</v>
      </c>
      <c r="J71">
        <v>6.17</v>
      </c>
      <c r="K71" s="2">
        <v>45222</v>
      </c>
      <c r="L71" t="s">
        <v>317</v>
      </c>
      <c r="M71" s="6">
        <f>SalesTbl[[#This Row],[Unit Price]]*SalesTbl[[#This Row],[Quantity]]</f>
        <v>30</v>
      </c>
      <c r="N71" s="6">
        <f>YEAR(SalesTbl[[#This Row],[Order Date]])</f>
        <v>2023</v>
      </c>
      <c r="O71" s="6" t="str">
        <f>TEXT(SalesTbl[[#This Row],[Order Date]],"yyyy-mm")</f>
        <v>2023-10</v>
      </c>
      <c r="P71" s="13">
        <f>WEEKNUM(SalesTbl[[#This Row],[Order Date]],2)</f>
        <v>44</v>
      </c>
      <c r="Q71" s="14">
        <f>MEDIAN(SalesTbl[Quantity])</f>
        <v>3</v>
      </c>
      <c r="R71" s="14">
        <f>IF(ISBLANK(SalesTbl[[#This Row],[Quantity]]),$H$2,SalesTbl[[#This Row],[Quantity]])</f>
        <v>1</v>
      </c>
      <c r="S71">
        <f>ROW()-ROW(SalesTbl[[#Headers],[Customer ID]])</f>
        <v>70</v>
      </c>
      <c r="T71" s="9" t="str">
        <f>IF(SalesTbl[[#This Row],[RowIdx]]&lt;=ROUNDUP(COUNTA(SalesTbl[Customer ID])*0.8,0),"Train","Test")</f>
        <v>Train</v>
      </c>
    </row>
    <row r="72" spans="1:20" x14ac:dyDescent="0.25">
      <c r="A72" t="s">
        <v>88</v>
      </c>
      <c r="B72" t="s">
        <v>20</v>
      </c>
      <c r="C72" t="s">
        <v>320</v>
      </c>
      <c r="D72" t="s">
        <v>29</v>
      </c>
      <c r="E72" t="s">
        <v>18</v>
      </c>
      <c r="F72">
        <v>50</v>
      </c>
      <c r="G72">
        <v>50</v>
      </c>
      <c r="H72">
        <v>2</v>
      </c>
      <c r="I72">
        <v>100</v>
      </c>
      <c r="J72">
        <v>13.82</v>
      </c>
      <c r="K72" s="2">
        <v>45132</v>
      </c>
      <c r="L72" t="s">
        <v>317</v>
      </c>
      <c r="M72" s="6">
        <f>SalesTbl[[#This Row],[Unit Price]]*SalesTbl[[#This Row],[Quantity]]</f>
        <v>100</v>
      </c>
      <c r="N72" s="6">
        <f>YEAR(SalesTbl[[#This Row],[Order Date]])</f>
        <v>2023</v>
      </c>
      <c r="O72" s="6" t="str">
        <f>TEXT(SalesTbl[[#This Row],[Order Date]],"yyyy-mm")</f>
        <v>2023-07</v>
      </c>
      <c r="P72" s="13">
        <f>WEEKNUM(SalesTbl[[#This Row],[Order Date]],2)</f>
        <v>31</v>
      </c>
      <c r="Q72" s="14">
        <f>MEDIAN(SalesTbl[Quantity])</f>
        <v>3</v>
      </c>
      <c r="R72" s="14">
        <f>IF(ISBLANK(SalesTbl[[#This Row],[Quantity]]),$H$2,SalesTbl[[#This Row],[Quantity]])</f>
        <v>2</v>
      </c>
      <c r="S72">
        <f>ROW()-ROW(SalesTbl[[#Headers],[Customer ID]])</f>
        <v>71</v>
      </c>
      <c r="T72" s="9" t="str">
        <f>IF(SalesTbl[[#This Row],[RowIdx]]&lt;=ROUNDUP(COUNTA(SalesTbl[Customer ID])*0.8,0),"Train","Test")</f>
        <v>Train</v>
      </c>
    </row>
    <row r="73" spans="1:20" x14ac:dyDescent="0.25">
      <c r="A73" t="s">
        <v>89</v>
      </c>
      <c r="B73" t="s">
        <v>13</v>
      </c>
      <c r="C73" t="s">
        <v>321</v>
      </c>
      <c r="D73" t="s">
        <v>23</v>
      </c>
      <c r="E73" t="s">
        <v>15</v>
      </c>
      <c r="F73">
        <v>48</v>
      </c>
      <c r="G73">
        <v>1500</v>
      </c>
      <c r="H73">
        <v>5</v>
      </c>
      <c r="I73">
        <v>7500</v>
      </c>
      <c r="J73">
        <v>15.95</v>
      </c>
      <c r="K73" s="2">
        <v>45200</v>
      </c>
      <c r="L73" t="s">
        <v>316</v>
      </c>
      <c r="M73" s="6">
        <f>SalesTbl[[#This Row],[Unit Price]]*SalesTbl[[#This Row],[Quantity]]</f>
        <v>7500</v>
      </c>
      <c r="N73" s="6">
        <f>YEAR(SalesTbl[[#This Row],[Order Date]])</f>
        <v>2023</v>
      </c>
      <c r="O73" s="6" t="str">
        <f>TEXT(SalesTbl[[#This Row],[Order Date]],"yyyy-mm")</f>
        <v>2023-10</v>
      </c>
      <c r="P73" s="13">
        <f>WEEKNUM(SalesTbl[[#This Row],[Order Date]],2)</f>
        <v>40</v>
      </c>
      <c r="Q73" s="14">
        <f>MEDIAN(SalesTbl[Quantity])</f>
        <v>3</v>
      </c>
      <c r="R73" s="14">
        <f>IF(ISBLANK(SalesTbl[[#This Row],[Quantity]]),$H$2,SalesTbl[[#This Row],[Quantity]])</f>
        <v>5</v>
      </c>
      <c r="S73">
        <f>ROW()-ROW(SalesTbl[[#Headers],[Customer ID]])</f>
        <v>72</v>
      </c>
      <c r="T73" s="9" t="str">
        <f>IF(SalesTbl[[#This Row],[RowIdx]]&lt;=ROUNDUP(COUNTA(SalesTbl[Customer ID])*0.8,0),"Train","Test")</f>
        <v>Train</v>
      </c>
    </row>
    <row r="74" spans="1:20" x14ac:dyDescent="0.25">
      <c r="A74" t="s">
        <v>90</v>
      </c>
      <c r="B74" t="s">
        <v>13</v>
      </c>
      <c r="C74" t="s">
        <v>322</v>
      </c>
      <c r="D74" t="s">
        <v>29</v>
      </c>
      <c r="E74" t="s">
        <v>18</v>
      </c>
      <c r="F74">
        <v>50</v>
      </c>
      <c r="G74">
        <v>50</v>
      </c>
      <c r="H74">
        <v>5</v>
      </c>
      <c r="I74">
        <v>250</v>
      </c>
      <c r="J74">
        <v>10.89</v>
      </c>
      <c r="K74" s="2">
        <v>45004</v>
      </c>
      <c r="L74" t="s">
        <v>318</v>
      </c>
      <c r="M74" s="6">
        <f>SalesTbl[[#This Row],[Unit Price]]*SalesTbl[[#This Row],[Quantity]]</f>
        <v>250</v>
      </c>
      <c r="N74" s="6">
        <f>YEAR(SalesTbl[[#This Row],[Order Date]])</f>
        <v>2023</v>
      </c>
      <c r="O74" s="6" t="str">
        <f>TEXT(SalesTbl[[#This Row],[Order Date]],"yyyy-mm")</f>
        <v>2023-03</v>
      </c>
      <c r="P74" s="13">
        <f>WEEKNUM(SalesTbl[[#This Row],[Order Date]],2)</f>
        <v>12</v>
      </c>
      <c r="Q74" s="14">
        <f>MEDIAN(SalesTbl[Quantity])</f>
        <v>3</v>
      </c>
      <c r="R74" s="14">
        <f>IF(ISBLANK(SalesTbl[[#This Row],[Quantity]]),$H$2,SalesTbl[[#This Row],[Quantity]])</f>
        <v>5</v>
      </c>
      <c r="S74">
        <f>ROW()-ROW(SalesTbl[[#Headers],[Customer ID]])</f>
        <v>73</v>
      </c>
      <c r="T74" s="9" t="str">
        <f>IF(SalesTbl[[#This Row],[RowIdx]]&lt;=ROUNDUP(COUNTA(SalesTbl[Customer ID])*0.8,0),"Train","Test")</f>
        <v>Train</v>
      </c>
    </row>
    <row r="75" spans="1:20" x14ac:dyDescent="0.25">
      <c r="A75" t="s">
        <v>91</v>
      </c>
      <c r="B75" t="s">
        <v>20</v>
      </c>
      <c r="C75" t="s">
        <v>321</v>
      </c>
      <c r="D75" t="s">
        <v>29</v>
      </c>
      <c r="E75" t="s">
        <v>18</v>
      </c>
      <c r="F75">
        <v>54</v>
      </c>
      <c r="G75">
        <v>50</v>
      </c>
      <c r="H75">
        <v>4</v>
      </c>
      <c r="I75">
        <v>200</v>
      </c>
      <c r="J75">
        <v>9.2200000000000006</v>
      </c>
      <c r="K75" s="2">
        <v>45204</v>
      </c>
      <c r="L75" t="s">
        <v>316</v>
      </c>
      <c r="M75" s="6">
        <f>SalesTbl[[#This Row],[Unit Price]]*SalesTbl[[#This Row],[Quantity]]</f>
        <v>200</v>
      </c>
      <c r="N75" s="6">
        <f>YEAR(SalesTbl[[#This Row],[Order Date]])</f>
        <v>2023</v>
      </c>
      <c r="O75" s="6" t="str">
        <f>TEXT(SalesTbl[[#This Row],[Order Date]],"yyyy-mm")</f>
        <v>2023-10</v>
      </c>
      <c r="P75" s="13">
        <f>WEEKNUM(SalesTbl[[#This Row],[Order Date]],2)</f>
        <v>41</v>
      </c>
      <c r="Q75" s="14">
        <f>MEDIAN(SalesTbl[Quantity])</f>
        <v>3</v>
      </c>
      <c r="R75" s="14">
        <f>IF(ISBLANK(SalesTbl[[#This Row],[Quantity]]),$H$2,SalesTbl[[#This Row],[Quantity]])</f>
        <v>4</v>
      </c>
      <c r="S75">
        <f>ROW()-ROW(SalesTbl[[#Headers],[Customer ID]])</f>
        <v>74</v>
      </c>
      <c r="T75" s="9" t="str">
        <f>IF(SalesTbl[[#This Row],[RowIdx]]&lt;=ROUNDUP(COUNTA(SalesTbl[Customer ID])*0.8,0),"Train","Test")</f>
        <v>Train</v>
      </c>
    </row>
    <row r="76" spans="1:20" x14ac:dyDescent="0.25">
      <c r="A76" t="s">
        <v>58</v>
      </c>
      <c r="B76" t="s">
        <v>20</v>
      </c>
      <c r="C76" t="s">
        <v>320</v>
      </c>
      <c r="D76" t="s">
        <v>29</v>
      </c>
      <c r="E76" t="s">
        <v>18</v>
      </c>
      <c r="F76">
        <v>64</v>
      </c>
      <c r="G76">
        <v>50</v>
      </c>
      <c r="H76">
        <v>3</v>
      </c>
      <c r="I76">
        <v>150</v>
      </c>
      <c r="J76">
        <v>17.760000000000002</v>
      </c>
      <c r="K76" s="2">
        <v>45027</v>
      </c>
      <c r="L76" t="s">
        <v>317</v>
      </c>
      <c r="M76" s="6">
        <f>SalesTbl[[#This Row],[Unit Price]]*SalesTbl[[#This Row],[Quantity]]</f>
        <v>150</v>
      </c>
      <c r="N76" s="6">
        <f>YEAR(SalesTbl[[#This Row],[Order Date]])</f>
        <v>2023</v>
      </c>
      <c r="O76" s="6" t="str">
        <f>TEXT(SalesTbl[[#This Row],[Order Date]],"yyyy-mm")</f>
        <v>2023-04</v>
      </c>
      <c r="P76" s="13">
        <f>WEEKNUM(SalesTbl[[#This Row],[Order Date]],2)</f>
        <v>16</v>
      </c>
      <c r="Q76" s="14">
        <f>MEDIAN(SalesTbl[Quantity])</f>
        <v>3</v>
      </c>
      <c r="R76" s="14">
        <f>IF(ISBLANK(SalesTbl[[#This Row],[Quantity]]),$H$2,SalesTbl[[#This Row],[Quantity]])</f>
        <v>3</v>
      </c>
      <c r="S76">
        <f>ROW()-ROW(SalesTbl[[#Headers],[Customer ID]])</f>
        <v>75</v>
      </c>
      <c r="T76" s="9" t="str">
        <f>IF(SalesTbl[[#This Row],[RowIdx]]&lt;=ROUNDUP(COUNTA(SalesTbl[Customer ID])*0.8,0),"Train","Test")</f>
        <v>Train</v>
      </c>
    </row>
    <row r="77" spans="1:20" x14ac:dyDescent="0.25">
      <c r="A77" t="s">
        <v>92</v>
      </c>
      <c r="B77" t="s">
        <v>13</v>
      </c>
      <c r="C77" t="s">
        <v>320</v>
      </c>
      <c r="D77" t="s">
        <v>30</v>
      </c>
      <c r="E77" t="s">
        <v>18</v>
      </c>
      <c r="F77">
        <v>63</v>
      </c>
      <c r="G77">
        <v>30</v>
      </c>
      <c r="H77">
        <v>1</v>
      </c>
      <c r="I77">
        <v>30</v>
      </c>
      <c r="J77">
        <v>13.28</v>
      </c>
      <c r="K77" s="2">
        <v>45180</v>
      </c>
      <c r="L77" t="s">
        <v>316</v>
      </c>
      <c r="M77" s="6">
        <f>SalesTbl[[#This Row],[Unit Price]]*SalesTbl[[#This Row],[Quantity]]</f>
        <v>30</v>
      </c>
      <c r="N77" s="6">
        <f>YEAR(SalesTbl[[#This Row],[Order Date]])</f>
        <v>2023</v>
      </c>
      <c r="O77" s="6" t="str">
        <f>TEXT(SalesTbl[[#This Row],[Order Date]],"yyyy-mm")</f>
        <v>2023-09</v>
      </c>
      <c r="P77" s="13">
        <f>WEEKNUM(SalesTbl[[#This Row],[Order Date]],2)</f>
        <v>38</v>
      </c>
      <c r="Q77" s="14">
        <f>MEDIAN(SalesTbl[Quantity])</f>
        <v>3</v>
      </c>
      <c r="R77" s="14">
        <f>IF(ISBLANK(SalesTbl[[#This Row],[Quantity]]),$H$2,SalesTbl[[#This Row],[Quantity]])</f>
        <v>1</v>
      </c>
      <c r="S77">
        <f>ROW()-ROW(SalesTbl[[#Headers],[Customer ID]])</f>
        <v>76</v>
      </c>
      <c r="T77" s="9" t="str">
        <f>IF(SalesTbl[[#This Row],[RowIdx]]&lt;=ROUNDUP(COUNTA(SalesTbl[Customer ID])*0.8,0),"Train","Test")</f>
        <v>Train</v>
      </c>
    </row>
    <row r="78" spans="1:20" x14ac:dyDescent="0.25">
      <c r="A78" t="s">
        <v>93</v>
      </c>
      <c r="B78" t="s">
        <v>20</v>
      </c>
      <c r="C78" t="s">
        <v>320</v>
      </c>
      <c r="D78" t="s">
        <v>40</v>
      </c>
      <c r="E78" t="s">
        <v>15</v>
      </c>
      <c r="F78">
        <v>47</v>
      </c>
      <c r="G78">
        <v>800</v>
      </c>
      <c r="H78">
        <v>1</v>
      </c>
      <c r="I78">
        <v>800</v>
      </c>
      <c r="J78">
        <v>11.29</v>
      </c>
      <c r="K78" s="2">
        <v>45227</v>
      </c>
      <c r="L78" t="s">
        <v>316</v>
      </c>
      <c r="M78" s="6">
        <f>SalesTbl[[#This Row],[Unit Price]]*SalesTbl[[#This Row],[Quantity]]</f>
        <v>800</v>
      </c>
      <c r="N78" s="6">
        <f>YEAR(SalesTbl[[#This Row],[Order Date]])</f>
        <v>2023</v>
      </c>
      <c r="O78" s="6" t="str">
        <f>TEXT(SalesTbl[[#This Row],[Order Date]],"yyyy-mm")</f>
        <v>2023-10</v>
      </c>
      <c r="P78" s="13">
        <f>WEEKNUM(SalesTbl[[#This Row],[Order Date]],2)</f>
        <v>44</v>
      </c>
      <c r="Q78" s="14">
        <f>MEDIAN(SalesTbl[Quantity])</f>
        <v>3</v>
      </c>
      <c r="R78" s="14">
        <f>IF(ISBLANK(SalesTbl[[#This Row],[Quantity]]),$H$2,SalesTbl[[#This Row],[Quantity]])</f>
        <v>1</v>
      </c>
      <c r="S78">
        <f>ROW()-ROW(SalesTbl[[#Headers],[Customer ID]])</f>
        <v>77</v>
      </c>
      <c r="T78" s="9" t="str">
        <f>IF(SalesTbl[[#This Row],[RowIdx]]&lt;=ROUNDUP(COUNTA(SalesTbl[Customer ID])*0.8,0),"Train","Test")</f>
        <v>Train</v>
      </c>
    </row>
    <row r="79" spans="1:20" x14ac:dyDescent="0.25">
      <c r="A79" t="s">
        <v>94</v>
      </c>
      <c r="B79" t="s">
        <v>13</v>
      </c>
      <c r="C79" t="s">
        <v>320</v>
      </c>
      <c r="D79" t="s">
        <v>29</v>
      </c>
      <c r="E79" t="s">
        <v>18</v>
      </c>
      <c r="F79">
        <v>45</v>
      </c>
      <c r="G79">
        <v>50</v>
      </c>
      <c r="H79">
        <v>2</v>
      </c>
      <c r="I79">
        <v>100</v>
      </c>
      <c r="J79">
        <v>19.04</v>
      </c>
      <c r="K79" s="2">
        <v>45001</v>
      </c>
      <c r="L79" t="s">
        <v>318</v>
      </c>
      <c r="M79" s="6">
        <f>SalesTbl[[#This Row],[Unit Price]]*SalesTbl[[#This Row],[Quantity]]</f>
        <v>100</v>
      </c>
      <c r="N79" s="6">
        <f>YEAR(SalesTbl[[#This Row],[Order Date]])</f>
        <v>2023</v>
      </c>
      <c r="O79" s="6" t="str">
        <f>TEXT(SalesTbl[[#This Row],[Order Date]],"yyyy-mm")</f>
        <v>2023-03</v>
      </c>
      <c r="P79" s="13">
        <f>WEEKNUM(SalesTbl[[#This Row],[Order Date]],2)</f>
        <v>12</v>
      </c>
      <c r="Q79" s="14">
        <f>MEDIAN(SalesTbl[Quantity])</f>
        <v>3</v>
      </c>
      <c r="R79" s="14">
        <f>IF(ISBLANK(SalesTbl[[#This Row],[Quantity]]),$H$2,SalesTbl[[#This Row],[Quantity]])</f>
        <v>2</v>
      </c>
      <c r="S79">
        <f>ROW()-ROW(SalesTbl[[#Headers],[Customer ID]])</f>
        <v>78</v>
      </c>
      <c r="T79" s="9" t="str">
        <f>IF(SalesTbl[[#This Row],[RowIdx]]&lt;=ROUNDUP(COUNTA(SalesTbl[Customer ID])*0.8,0),"Train","Test")</f>
        <v>Train</v>
      </c>
    </row>
    <row r="80" spans="1:20" x14ac:dyDescent="0.25">
      <c r="A80" t="s">
        <v>95</v>
      </c>
      <c r="B80" t="s">
        <v>20</v>
      </c>
      <c r="C80" t="s">
        <v>320</v>
      </c>
      <c r="D80" t="s">
        <v>25</v>
      </c>
      <c r="E80" t="s">
        <v>26</v>
      </c>
      <c r="F80">
        <v>33</v>
      </c>
      <c r="G80">
        <v>200</v>
      </c>
      <c r="H80">
        <v>2</v>
      </c>
      <c r="I80">
        <v>400</v>
      </c>
      <c r="J80">
        <v>10.07</v>
      </c>
      <c r="K80" s="2">
        <v>45251</v>
      </c>
      <c r="L80" t="s">
        <v>318</v>
      </c>
      <c r="M80" s="6">
        <f>SalesTbl[[#This Row],[Unit Price]]*SalesTbl[[#This Row],[Quantity]]</f>
        <v>400</v>
      </c>
      <c r="N80" s="6">
        <f>YEAR(SalesTbl[[#This Row],[Order Date]])</f>
        <v>2023</v>
      </c>
      <c r="O80" s="6" t="str">
        <f>TEXT(SalesTbl[[#This Row],[Order Date]],"yyyy-mm")</f>
        <v>2023-11</v>
      </c>
      <c r="P80" s="13">
        <f>WEEKNUM(SalesTbl[[#This Row],[Order Date]],2)</f>
        <v>48</v>
      </c>
      <c r="Q80" s="14">
        <f>MEDIAN(SalesTbl[Quantity])</f>
        <v>3</v>
      </c>
      <c r="R80" s="14">
        <f>IF(ISBLANK(SalesTbl[[#This Row],[Quantity]]),$H$2,SalesTbl[[#This Row],[Quantity]])</f>
        <v>2</v>
      </c>
      <c r="S80">
        <f>ROW()-ROW(SalesTbl[[#Headers],[Customer ID]])</f>
        <v>79</v>
      </c>
      <c r="T80" s="9" t="str">
        <f>IF(SalesTbl[[#This Row],[RowIdx]]&lt;=ROUNDUP(COUNTA(SalesTbl[Customer ID])*0.8,0),"Train","Test")</f>
        <v>Train</v>
      </c>
    </row>
    <row r="81" spans="1:20" x14ac:dyDescent="0.25">
      <c r="A81" t="s">
        <v>96</v>
      </c>
      <c r="B81" t="s">
        <v>20</v>
      </c>
      <c r="C81" t="s">
        <v>323</v>
      </c>
      <c r="D81" t="s">
        <v>23</v>
      </c>
      <c r="E81" t="s">
        <v>15</v>
      </c>
      <c r="F81">
        <v>64</v>
      </c>
      <c r="G81">
        <v>1500</v>
      </c>
      <c r="H81">
        <v>5</v>
      </c>
      <c r="I81">
        <v>7500</v>
      </c>
      <c r="J81">
        <v>6.53</v>
      </c>
      <c r="K81" s="2">
        <v>45263</v>
      </c>
      <c r="L81" t="s">
        <v>316</v>
      </c>
      <c r="M81" s="6">
        <f>SalesTbl[[#This Row],[Unit Price]]*SalesTbl[[#This Row],[Quantity]]</f>
        <v>7500</v>
      </c>
      <c r="N81" s="6">
        <f>YEAR(SalesTbl[[#This Row],[Order Date]])</f>
        <v>2023</v>
      </c>
      <c r="O81" s="6" t="str">
        <f>TEXT(SalesTbl[[#This Row],[Order Date]],"yyyy-mm")</f>
        <v>2023-12</v>
      </c>
      <c r="P81" s="13">
        <f>WEEKNUM(SalesTbl[[#This Row],[Order Date]],2)</f>
        <v>49</v>
      </c>
      <c r="Q81" s="14">
        <f>MEDIAN(SalesTbl[Quantity])</f>
        <v>3</v>
      </c>
      <c r="R81" s="14">
        <f>IF(ISBLANK(SalesTbl[[#This Row],[Quantity]]),$H$2,SalesTbl[[#This Row],[Quantity]])</f>
        <v>5</v>
      </c>
      <c r="S81">
        <f>ROW()-ROW(SalesTbl[[#Headers],[Customer ID]])</f>
        <v>80</v>
      </c>
      <c r="T81" s="9" t="str">
        <f>IF(SalesTbl[[#This Row],[RowIdx]]&lt;=ROUNDUP(COUNTA(SalesTbl[Customer ID])*0.8,0),"Train","Test")</f>
        <v>Train</v>
      </c>
    </row>
    <row r="82" spans="1:20" x14ac:dyDescent="0.25">
      <c r="A82" t="s">
        <v>97</v>
      </c>
      <c r="B82" t="s">
        <v>13</v>
      </c>
      <c r="C82" t="s">
        <v>323</v>
      </c>
      <c r="D82" t="s">
        <v>25</v>
      </c>
      <c r="E82" t="s">
        <v>26</v>
      </c>
      <c r="F82">
        <v>59</v>
      </c>
      <c r="G82">
        <v>200</v>
      </c>
      <c r="H82">
        <v>3</v>
      </c>
      <c r="I82">
        <v>600</v>
      </c>
      <c r="J82">
        <v>9.82</v>
      </c>
      <c r="K82" s="2">
        <v>44965</v>
      </c>
      <c r="L82" t="s">
        <v>317</v>
      </c>
      <c r="M82" s="6">
        <f>SalesTbl[[#This Row],[Unit Price]]*SalesTbl[[#This Row],[Quantity]]</f>
        <v>600</v>
      </c>
      <c r="N82" s="6">
        <f>YEAR(SalesTbl[[#This Row],[Order Date]])</f>
        <v>2023</v>
      </c>
      <c r="O82" s="6" t="str">
        <f>TEXT(SalesTbl[[#This Row],[Order Date]],"yyyy-mm")</f>
        <v>2023-02</v>
      </c>
      <c r="P82" s="13">
        <f>WEEKNUM(SalesTbl[[#This Row],[Order Date]],2)</f>
        <v>7</v>
      </c>
      <c r="Q82" s="14">
        <f>MEDIAN(SalesTbl[Quantity])</f>
        <v>3</v>
      </c>
      <c r="R82" s="14">
        <f>IF(ISBLANK(SalesTbl[[#This Row],[Quantity]]),$H$2,SalesTbl[[#This Row],[Quantity]])</f>
        <v>3</v>
      </c>
      <c r="S82">
        <f>ROW()-ROW(SalesTbl[[#Headers],[Customer ID]])</f>
        <v>81</v>
      </c>
      <c r="T82" s="9" t="str">
        <f>IF(SalesTbl[[#This Row],[RowIdx]]&lt;=ROUNDUP(COUNTA(SalesTbl[Customer ID])*0.8,0),"Train","Test")</f>
        <v>Train</v>
      </c>
    </row>
    <row r="83" spans="1:20" x14ac:dyDescent="0.25">
      <c r="A83" t="s">
        <v>98</v>
      </c>
      <c r="B83" t="s">
        <v>20</v>
      </c>
      <c r="C83" t="s">
        <v>322</v>
      </c>
      <c r="D83" t="s">
        <v>30</v>
      </c>
      <c r="E83" t="s">
        <v>18</v>
      </c>
      <c r="F83">
        <v>40</v>
      </c>
      <c r="G83">
        <v>30</v>
      </c>
      <c r="H83">
        <v>5</v>
      </c>
      <c r="I83">
        <v>150</v>
      </c>
      <c r="J83">
        <v>8.64</v>
      </c>
      <c r="K83" s="2">
        <v>45282</v>
      </c>
      <c r="L83" t="s">
        <v>318</v>
      </c>
      <c r="M83" s="6">
        <f>SalesTbl[[#This Row],[Unit Price]]*SalesTbl[[#This Row],[Quantity]]</f>
        <v>150</v>
      </c>
      <c r="N83" s="6">
        <f>YEAR(SalesTbl[[#This Row],[Order Date]])</f>
        <v>2023</v>
      </c>
      <c r="O83" s="6" t="str">
        <f>TEXT(SalesTbl[[#This Row],[Order Date]],"yyyy-mm")</f>
        <v>2023-12</v>
      </c>
      <c r="P83" s="13">
        <f>WEEKNUM(SalesTbl[[#This Row],[Order Date]],2)</f>
        <v>52</v>
      </c>
      <c r="Q83" s="14">
        <f>MEDIAN(SalesTbl[Quantity])</f>
        <v>3</v>
      </c>
      <c r="R83" s="14">
        <f>IF(ISBLANK(SalesTbl[[#This Row],[Quantity]]),$H$2,SalesTbl[[#This Row],[Quantity]])</f>
        <v>5</v>
      </c>
      <c r="S83">
        <f>ROW()-ROW(SalesTbl[[#Headers],[Customer ID]])</f>
        <v>82</v>
      </c>
      <c r="T83" s="9" t="str">
        <f>IF(SalesTbl[[#This Row],[RowIdx]]&lt;=ROUNDUP(COUNTA(SalesTbl[Customer ID])*0.8,0),"Train","Test")</f>
        <v>Train</v>
      </c>
    </row>
    <row r="84" spans="1:20" x14ac:dyDescent="0.25">
      <c r="A84" t="s">
        <v>99</v>
      </c>
      <c r="B84" t="s">
        <v>13</v>
      </c>
      <c r="C84" t="s">
        <v>321</v>
      </c>
      <c r="D84" t="s">
        <v>14</v>
      </c>
      <c r="E84" t="s">
        <v>15</v>
      </c>
      <c r="F84">
        <v>49</v>
      </c>
      <c r="G84">
        <v>300</v>
      </c>
      <c r="H84">
        <v>5</v>
      </c>
      <c r="I84">
        <v>1500</v>
      </c>
      <c r="J84">
        <v>7.77</v>
      </c>
      <c r="K84" s="2">
        <v>45223</v>
      </c>
      <c r="L84" t="s">
        <v>317</v>
      </c>
      <c r="M84" s="6">
        <f>SalesTbl[[#This Row],[Unit Price]]*SalesTbl[[#This Row],[Quantity]]</f>
        <v>1500</v>
      </c>
      <c r="N84" s="6">
        <f>YEAR(SalesTbl[[#This Row],[Order Date]])</f>
        <v>2023</v>
      </c>
      <c r="O84" s="6" t="str">
        <f>TEXT(SalesTbl[[#This Row],[Order Date]],"yyyy-mm")</f>
        <v>2023-10</v>
      </c>
      <c r="P84" s="13">
        <f>WEEKNUM(SalesTbl[[#This Row],[Order Date]],2)</f>
        <v>44</v>
      </c>
      <c r="Q84" s="14">
        <f>MEDIAN(SalesTbl[Quantity])</f>
        <v>3</v>
      </c>
      <c r="R84" s="14">
        <f>IF(ISBLANK(SalesTbl[[#This Row],[Quantity]]),$H$2,SalesTbl[[#This Row],[Quantity]])</f>
        <v>5</v>
      </c>
      <c r="S84">
        <f>ROW()-ROW(SalesTbl[[#Headers],[Customer ID]])</f>
        <v>83</v>
      </c>
      <c r="T84" s="9" t="str">
        <f>IF(SalesTbl[[#This Row],[RowIdx]]&lt;=ROUNDUP(COUNTA(SalesTbl[Customer ID])*0.8,0),"Train","Test")</f>
        <v>Train</v>
      </c>
    </row>
    <row r="85" spans="1:20" x14ac:dyDescent="0.25">
      <c r="A85" t="s">
        <v>100</v>
      </c>
      <c r="B85" t="s">
        <v>13</v>
      </c>
      <c r="C85" t="s">
        <v>319</v>
      </c>
      <c r="D85" t="s">
        <v>30</v>
      </c>
      <c r="E85" t="s">
        <v>18</v>
      </c>
      <c r="F85">
        <v>48</v>
      </c>
      <c r="G85">
        <v>62.191212249732999</v>
      </c>
      <c r="H85">
        <v>2</v>
      </c>
      <c r="I85">
        <v>60</v>
      </c>
      <c r="J85">
        <v>7.4</v>
      </c>
      <c r="K85" s="2">
        <v>45158</v>
      </c>
      <c r="L85" t="s">
        <v>316</v>
      </c>
      <c r="M85" s="6">
        <f>SalesTbl[[#This Row],[Unit Price]]*SalesTbl[[#This Row],[Quantity]]</f>
        <v>124.382424499466</v>
      </c>
      <c r="N85" s="6">
        <f>YEAR(SalesTbl[[#This Row],[Order Date]])</f>
        <v>2023</v>
      </c>
      <c r="O85" s="6" t="str">
        <f>TEXT(SalesTbl[[#This Row],[Order Date]],"yyyy-mm")</f>
        <v>2023-08</v>
      </c>
      <c r="P85" s="13">
        <f>WEEKNUM(SalesTbl[[#This Row],[Order Date]],2)</f>
        <v>34</v>
      </c>
      <c r="Q85" s="14">
        <f>MEDIAN(SalesTbl[Quantity])</f>
        <v>3</v>
      </c>
      <c r="R85" s="14">
        <f>IF(ISBLANK(SalesTbl[[#This Row],[Quantity]]),$H$2,SalesTbl[[#This Row],[Quantity]])</f>
        <v>2</v>
      </c>
      <c r="S85">
        <f>ROW()-ROW(SalesTbl[[#Headers],[Customer ID]])</f>
        <v>84</v>
      </c>
      <c r="T85" s="9" t="str">
        <f>IF(SalesTbl[[#This Row],[RowIdx]]&lt;=ROUNDUP(COUNTA(SalesTbl[Customer ID])*0.8,0),"Train","Test")</f>
        <v>Train</v>
      </c>
    </row>
    <row r="86" spans="1:20" x14ac:dyDescent="0.25">
      <c r="A86" t="s">
        <v>101</v>
      </c>
      <c r="B86" t="s">
        <v>13</v>
      </c>
      <c r="C86" t="s">
        <v>321</v>
      </c>
      <c r="D86" t="s">
        <v>29</v>
      </c>
      <c r="E86" t="s">
        <v>18</v>
      </c>
      <c r="F86">
        <v>51</v>
      </c>
      <c r="G86">
        <v>103.65202041622101</v>
      </c>
      <c r="H86">
        <v>4</v>
      </c>
      <c r="I86">
        <v>200</v>
      </c>
      <c r="J86">
        <v>11.41</v>
      </c>
      <c r="K86" s="2">
        <v>45066</v>
      </c>
      <c r="L86" t="s">
        <v>316</v>
      </c>
      <c r="M86" s="6">
        <f>SalesTbl[[#This Row],[Unit Price]]*SalesTbl[[#This Row],[Quantity]]</f>
        <v>414.60808166488403</v>
      </c>
      <c r="N86" s="6">
        <f>YEAR(SalesTbl[[#This Row],[Order Date]])</f>
        <v>2023</v>
      </c>
      <c r="O86" s="6" t="str">
        <f>TEXT(SalesTbl[[#This Row],[Order Date]],"yyyy-mm")</f>
        <v>2023-05</v>
      </c>
      <c r="P86" s="13">
        <f>WEEKNUM(SalesTbl[[#This Row],[Order Date]],2)</f>
        <v>21</v>
      </c>
      <c r="Q86" s="14">
        <f>MEDIAN(SalesTbl[Quantity])</f>
        <v>3</v>
      </c>
      <c r="R86" s="14">
        <f>IF(ISBLANK(SalesTbl[[#This Row],[Quantity]]),$H$2,SalesTbl[[#This Row],[Quantity]])</f>
        <v>4</v>
      </c>
      <c r="S86">
        <f>ROW()-ROW(SalesTbl[[#Headers],[Customer ID]])</f>
        <v>85</v>
      </c>
      <c r="T86" s="9" t="str">
        <f>IF(SalesTbl[[#This Row],[RowIdx]]&lt;=ROUNDUP(COUNTA(SalesTbl[Customer ID])*0.8,0),"Train","Test")</f>
        <v>Train</v>
      </c>
    </row>
    <row r="87" spans="1:20" x14ac:dyDescent="0.25">
      <c r="A87" t="s">
        <v>79</v>
      </c>
      <c r="B87" t="s">
        <v>20</v>
      </c>
      <c r="C87" t="s">
        <v>321</v>
      </c>
      <c r="D87" t="s">
        <v>14</v>
      </c>
      <c r="E87" t="s">
        <v>15</v>
      </c>
      <c r="F87">
        <v>52</v>
      </c>
      <c r="G87">
        <v>300</v>
      </c>
      <c r="H87">
        <v>3</v>
      </c>
      <c r="I87">
        <v>900</v>
      </c>
      <c r="J87">
        <v>5.66</v>
      </c>
      <c r="K87" s="2">
        <v>44975</v>
      </c>
      <c r="L87" t="s">
        <v>318</v>
      </c>
      <c r="M87" s="6">
        <f>SalesTbl[[#This Row],[Unit Price]]*SalesTbl[[#This Row],[Quantity]]</f>
        <v>900</v>
      </c>
      <c r="N87" s="6">
        <f>YEAR(SalesTbl[[#This Row],[Order Date]])</f>
        <v>2023</v>
      </c>
      <c r="O87" s="6" t="str">
        <f>TEXT(SalesTbl[[#This Row],[Order Date]],"yyyy-mm")</f>
        <v>2023-02</v>
      </c>
      <c r="P87" s="13">
        <f>WEEKNUM(SalesTbl[[#This Row],[Order Date]],2)</f>
        <v>8</v>
      </c>
      <c r="Q87" s="14">
        <f>MEDIAN(SalesTbl[Quantity])</f>
        <v>3</v>
      </c>
      <c r="R87" s="14">
        <f>IF(ISBLANK(SalesTbl[[#This Row],[Quantity]]),$H$2,SalesTbl[[#This Row],[Quantity]])</f>
        <v>3</v>
      </c>
      <c r="S87">
        <f>ROW()-ROW(SalesTbl[[#Headers],[Customer ID]])</f>
        <v>86</v>
      </c>
      <c r="T87" s="9" t="str">
        <f>IF(SalesTbl[[#This Row],[RowIdx]]&lt;=ROUNDUP(COUNTA(SalesTbl[Customer ID])*0.8,0),"Train","Test")</f>
        <v>Train</v>
      </c>
    </row>
    <row r="88" spans="1:20" x14ac:dyDescent="0.25">
      <c r="A88" t="s">
        <v>74</v>
      </c>
      <c r="B88" t="s">
        <v>20</v>
      </c>
      <c r="C88" t="s">
        <v>321</v>
      </c>
      <c r="D88" t="s">
        <v>30</v>
      </c>
      <c r="E88" t="s">
        <v>18</v>
      </c>
      <c r="F88">
        <v>46</v>
      </c>
      <c r="G88">
        <v>30</v>
      </c>
      <c r="H88">
        <v>4</v>
      </c>
      <c r="I88">
        <v>120</v>
      </c>
      <c r="J88">
        <v>5.71</v>
      </c>
      <c r="K88" s="2">
        <v>45294</v>
      </c>
      <c r="L88" t="s">
        <v>318</v>
      </c>
      <c r="M88" s="6">
        <f>SalesTbl[[#This Row],[Unit Price]]*SalesTbl[[#This Row],[Quantity]]</f>
        <v>120</v>
      </c>
      <c r="N88" s="6">
        <f>YEAR(SalesTbl[[#This Row],[Order Date]])</f>
        <v>2024</v>
      </c>
      <c r="O88" s="6" t="str">
        <f>TEXT(SalesTbl[[#This Row],[Order Date]],"yyyy-mm")</f>
        <v>2024-01</v>
      </c>
      <c r="P88" s="13">
        <f>WEEKNUM(SalesTbl[[#This Row],[Order Date]],2)</f>
        <v>1</v>
      </c>
      <c r="Q88" s="14">
        <f>MEDIAN(SalesTbl[Quantity])</f>
        <v>3</v>
      </c>
      <c r="R88" s="14">
        <f>IF(ISBLANK(SalesTbl[[#This Row],[Quantity]]),$H$2,SalesTbl[[#This Row],[Quantity]])</f>
        <v>4</v>
      </c>
      <c r="S88">
        <f>ROW()-ROW(SalesTbl[[#Headers],[Customer ID]])</f>
        <v>87</v>
      </c>
      <c r="T88" s="9" t="str">
        <f>IF(SalesTbl[[#This Row],[RowIdx]]&lt;=ROUNDUP(COUNTA(SalesTbl[Customer ID])*0.8,0),"Train","Test")</f>
        <v>Train</v>
      </c>
    </row>
    <row r="89" spans="1:20" x14ac:dyDescent="0.25">
      <c r="A89" t="s">
        <v>79</v>
      </c>
      <c r="B89" t="s">
        <v>13</v>
      </c>
      <c r="C89" t="s">
        <v>320</v>
      </c>
      <c r="D89" t="s">
        <v>25</v>
      </c>
      <c r="E89" t="s">
        <v>26</v>
      </c>
      <c r="F89">
        <v>52</v>
      </c>
      <c r="G89">
        <v>200</v>
      </c>
      <c r="H89">
        <v>1</v>
      </c>
      <c r="I89">
        <v>200</v>
      </c>
      <c r="J89">
        <v>13.68</v>
      </c>
      <c r="K89" s="2">
        <v>45140</v>
      </c>
      <c r="L89" t="s">
        <v>318</v>
      </c>
      <c r="M89" s="6">
        <f>SalesTbl[[#This Row],[Unit Price]]*SalesTbl[[#This Row],[Quantity]]</f>
        <v>200</v>
      </c>
      <c r="N89" s="6">
        <f>YEAR(SalesTbl[[#This Row],[Order Date]])</f>
        <v>2023</v>
      </c>
      <c r="O89" s="6" t="str">
        <f>TEXT(SalesTbl[[#This Row],[Order Date]],"yyyy-mm")</f>
        <v>2023-08</v>
      </c>
      <c r="P89" s="13">
        <f>WEEKNUM(SalesTbl[[#This Row],[Order Date]],2)</f>
        <v>32</v>
      </c>
      <c r="Q89" s="14">
        <f>MEDIAN(SalesTbl[Quantity])</f>
        <v>3</v>
      </c>
      <c r="R89" s="14">
        <f>IF(ISBLANK(SalesTbl[[#This Row],[Quantity]]),$H$2,SalesTbl[[#This Row],[Quantity]])</f>
        <v>1</v>
      </c>
      <c r="S89">
        <f>ROW()-ROW(SalesTbl[[#Headers],[Customer ID]])</f>
        <v>88</v>
      </c>
      <c r="T89" s="9" t="str">
        <f>IF(SalesTbl[[#This Row],[RowIdx]]&lt;=ROUNDUP(COUNTA(SalesTbl[Customer ID])*0.8,0),"Train","Test")</f>
        <v>Train</v>
      </c>
    </row>
    <row r="90" spans="1:20" x14ac:dyDescent="0.25">
      <c r="A90" t="s">
        <v>102</v>
      </c>
      <c r="B90" t="s">
        <v>20</v>
      </c>
      <c r="C90" t="s">
        <v>322</v>
      </c>
      <c r="D90" t="s">
        <v>30</v>
      </c>
      <c r="E90" t="s">
        <v>18</v>
      </c>
      <c r="F90">
        <v>30</v>
      </c>
      <c r="G90">
        <v>30</v>
      </c>
      <c r="H90">
        <v>1</v>
      </c>
      <c r="I90">
        <v>30</v>
      </c>
      <c r="J90">
        <v>18.29</v>
      </c>
      <c r="K90" s="2">
        <v>45035</v>
      </c>
      <c r="L90" t="s">
        <v>317</v>
      </c>
      <c r="M90" s="6">
        <f>SalesTbl[[#This Row],[Unit Price]]*SalesTbl[[#This Row],[Quantity]]</f>
        <v>30</v>
      </c>
      <c r="N90" s="6">
        <f>YEAR(SalesTbl[[#This Row],[Order Date]])</f>
        <v>2023</v>
      </c>
      <c r="O90" s="6" t="str">
        <f>TEXT(SalesTbl[[#This Row],[Order Date]],"yyyy-mm")</f>
        <v>2023-04</v>
      </c>
      <c r="P90" s="13">
        <f>WEEKNUM(SalesTbl[[#This Row],[Order Date]],2)</f>
        <v>17</v>
      </c>
      <c r="Q90" s="14">
        <f>MEDIAN(SalesTbl[Quantity])</f>
        <v>3</v>
      </c>
      <c r="R90" s="14">
        <f>IF(ISBLANK(SalesTbl[[#This Row],[Quantity]]),$H$2,SalesTbl[[#This Row],[Quantity]])</f>
        <v>1</v>
      </c>
      <c r="S90">
        <f>ROW()-ROW(SalesTbl[[#Headers],[Customer ID]])</f>
        <v>89</v>
      </c>
      <c r="T90" s="9" t="str">
        <f>IF(SalesTbl[[#This Row],[RowIdx]]&lt;=ROUNDUP(COUNTA(SalesTbl[Customer ID])*0.8,0),"Train","Test")</f>
        <v>Train</v>
      </c>
    </row>
    <row r="91" spans="1:20" x14ac:dyDescent="0.25">
      <c r="A91" t="s">
        <v>63</v>
      </c>
      <c r="B91" t="s">
        <v>13</v>
      </c>
      <c r="C91" t="s">
        <v>320</v>
      </c>
      <c r="D91" t="s">
        <v>40</v>
      </c>
      <c r="E91" t="s">
        <v>15</v>
      </c>
      <c r="F91">
        <v>61</v>
      </c>
      <c r="G91">
        <v>800</v>
      </c>
      <c r="H91">
        <v>5</v>
      </c>
      <c r="I91">
        <v>4000</v>
      </c>
      <c r="J91">
        <v>6.31</v>
      </c>
      <c r="K91" s="2">
        <v>45106</v>
      </c>
      <c r="L91" t="s">
        <v>318</v>
      </c>
      <c r="M91" s="6">
        <f>SalesTbl[[#This Row],[Unit Price]]*SalesTbl[[#This Row],[Quantity]]</f>
        <v>4000</v>
      </c>
      <c r="N91" s="6">
        <f>YEAR(SalesTbl[[#This Row],[Order Date]])</f>
        <v>2023</v>
      </c>
      <c r="O91" s="6" t="str">
        <f>TEXT(SalesTbl[[#This Row],[Order Date]],"yyyy-mm")</f>
        <v>2023-06</v>
      </c>
      <c r="P91" s="13">
        <f>WEEKNUM(SalesTbl[[#This Row],[Order Date]],2)</f>
        <v>27</v>
      </c>
      <c r="Q91" s="14">
        <f>MEDIAN(SalesTbl[Quantity])</f>
        <v>3</v>
      </c>
      <c r="R91" s="14">
        <f>IF(ISBLANK(SalesTbl[[#This Row],[Quantity]]),$H$2,SalesTbl[[#This Row],[Quantity]])</f>
        <v>5</v>
      </c>
      <c r="S91">
        <f>ROW()-ROW(SalesTbl[[#Headers],[Customer ID]])</f>
        <v>90</v>
      </c>
      <c r="T91" s="9" t="str">
        <f>IF(SalesTbl[[#This Row],[RowIdx]]&lt;=ROUNDUP(COUNTA(SalesTbl[Customer ID])*0.8,0),"Train","Test")</f>
        <v>Train</v>
      </c>
    </row>
    <row r="92" spans="1:20" x14ac:dyDescent="0.25">
      <c r="A92" t="s">
        <v>103</v>
      </c>
      <c r="B92" t="s">
        <v>20</v>
      </c>
      <c r="C92" t="s">
        <v>320</v>
      </c>
      <c r="D92" t="s">
        <v>23</v>
      </c>
      <c r="E92" t="s">
        <v>15</v>
      </c>
      <c r="F92">
        <v>63</v>
      </c>
      <c r="G92">
        <v>1500</v>
      </c>
      <c r="H92">
        <v>1</v>
      </c>
      <c r="I92">
        <v>1500</v>
      </c>
      <c r="J92">
        <v>13.15</v>
      </c>
      <c r="K92" s="2">
        <v>44993</v>
      </c>
      <c r="L92" t="s">
        <v>318</v>
      </c>
      <c r="M92" s="6">
        <f>SalesTbl[[#This Row],[Unit Price]]*SalesTbl[[#This Row],[Quantity]]</f>
        <v>1500</v>
      </c>
      <c r="N92" s="6">
        <f>YEAR(SalesTbl[[#This Row],[Order Date]])</f>
        <v>2023</v>
      </c>
      <c r="O92" s="6" t="str">
        <f>TEXT(SalesTbl[[#This Row],[Order Date]],"yyyy-mm")</f>
        <v>2023-03</v>
      </c>
      <c r="P92" s="13">
        <f>WEEKNUM(SalesTbl[[#This Row],[Order Date]],2)</f>
        <v>11</v>
      </c>
      <c r="Q92" s="14">
        <f>MEDIAN(SalesTbl[Quantity])</f>
        <v>3</v>
      </c>
      <c r="R92" s="14">
        <f>IF(ISBLANK(SalesTbl[[#This Row],[Quantity]]),$H$2,SalesTbl[[#This Row],[Quantity]])</f>
        <v>1</v>
      </c>
      <c r="S92">
        <f>ROW()-ROW(SalesTbl[[#Headers],[Customer ID]])</f>
        <v>91</v>
      </c>
      <c r="T92" s="9" t="str">
        <f>IF(SalesTbl[[#This Row],[RowIdx]]&lt;=ROUNDUP(COUNTA(SalesTbl[Customer ID])*0.8,0),"Train","Test")</f>
        <v>Train</v>
      </c>
    </row>
    <row r="93" spans="1:20" x14ac:dyDescent="0.25">
      <c r="A93" t="s">
        <v>53</v>
      </c>
      <c r="B93" t="s">
        <v>13</v>
      </c>
      <c r="C93" t="s">
        <v>321</v>
      </c>
      <c r="D93" t="s">
        <v>17</v>
      </c>
      <c r="E93" t="s">
        <v>18</v>
      </c>
      <c r="F93">
        <v>55</v>
      </c>
      <c r="G93">
        <v>100</v>
      </c>
      <c r="H93">
        <v>2</v>
      </c>
      <c r="I93">
        <v>200</v>
      </c>
      <c r="J93">
        <v>16.23</v>
      </c>
      <c r="K93" s="2">
        <v>45111</v>
      </c>
      <c r="L93" t="s">
        <v>316</v>
      </c>
      <c r="M93" s="6">
        <f>SalesTbl[[#This Row],[Unit Price]]*SalesTbl[[#This Row],[Quantity]]</f>
        <v>200</v>
      </c>
      <c r="N93" s="6">
        <f>YEAR(SalesTbl[[#This Row],[Order Date]])</f>
        <v>2023</v>
      </c>
      <c r="O93" s="6" t="str">
        <f>TEXT(SalesTbl[[#This Row],[Order Date]],"yyyy-mm")</f>
        <v>2023-07</v>
      </c>
      <c r="P93" s="13">
        <f>WEEKNUM(SalesTbl[[#This Row],[Order Date]],2)</f>
        <v>28</v>
      </c>
      <c r="Q93" s="14">
        <f>MEDIAN(SalesTbl[Quantity])</f>
        <v>3</v>
      </c>
      <c r="R93" s="14">
        <f>IF(ISBLANK(SalesTbl[[#This Row],[Quantity]]),$H$2,SalesTbl[[#This Row],[Quantity]])</f>
        <v>2</v>
      </c>
      <c r="S93">
        <f>ROW()-ROW(SalesTbl[[#Headers],[Customer ID]])</f>
        <v>92</v>
      </c>
      <c r="T93" s="9" t="str">
        <f>IF(SalesTbl[[#This Row],[RowIdx]]&lt;=ROUNDUP(COUNTA(SalesTbl[Customer ID])*0.8,0),"Train","Test")</f>
        <v>Train</v>
      </c>
    </row>
    <row r="94" spans="1:20" x14ac:dyDescent="0.25">
      <c r="A94" t="s">
        <v>104</v>
      </c>
      <c r="B94" t="s">
        <v>20</v>
      </c>
      <c r="C94" t="s">
        <v>323</v>
      </c>
      <c r="D94" t="s">
        <v>29</v>
      </c>
      <c r="E94" t="s">
        <v>18</v>
      </c>
      <c r="F94">
        <v>69</v>
      </c>
      <c r="G94">
        <v>50</v>
      </c>
      <c r="H94">
        <v>1</v>
      </c>
      <c r="I94">
        <v>50</v>
      </c>
      <c r="J94">
        <v>14.53</v>
      </c>
      <c r="K94" s="2">
        <v>45039</v>
      </c>
      <c r="L94" t="s">
        <v>316</v>
      </c>
      <c r="M94" s="6">
        <f>SalesTbl[[#This Row],[Unit Price]]*SalesTbl[[#This Row],[Quantity]]</f>
        <v>50</v>
      </c>
      <c r="N94" s="6">
        <f>YEAR(SalesTbl[[#This Row],[Order Date]])</f>
        <v>2023</v>
      </c>
      <c r="O94" s="6" t="str">
        <f>TEXT(SalesTbl[[#This Row],[Order Date]],"yyyy-mm")</f>
        <v>2023-04</v>
      </c>
      <c r="P94" s="13">
        <f>WEEKNUM(SalesTbl[[#This Row],[Order Date]],2)</f>
        <v>17</v>
      </c>
      <c r="Q94" s="14">
        <f>MEDIAN(SalesTbl[Quantity])</f>
        <v>3</v>
      </c>
      <c r="R94" s="14">
        <f>IF(ISBLANK(SalesTbl[[#This Row],[Quantity]]),$H$2,SalesTbl[[#This Row],[Quantity]])</f>
        <v>1</v>
      </c>
      <c r="S94">
        <f>ROW()-ROW(SalesTbl[[#Headers],[Customer ID]])</f>
        <v>93</v>
      </c>
      <c r="T94" s="9" t="str">
        <f>IF(SalesTbl[[#This Row],[RowIdx]]&lt;=ROUNDUP(COUNTA(SalesTbl[Customer ID])*0.8,0),"Train","Test")</f>
        <v>Train</v>
      </c>
    </row>
    <row r="95" spans="1:20" x14ac:dyDescent="0.25">
      <c r="A95" t="s">
        <v>105</v>
      </c>
      <c r="B95" t="s">
        <v>13</v>
      </c>
      <c r="C95" t="s">
        <v>323</v>
      </c>
      <c r="D95" t="s">
        <v>29</v>
      </c>
      <c r="E95" t="s">
        <v>18</v>
      </c>
      <c r="F95">
        <v>18</v>
      </c>
      <c r="G95">
        <v>50</v>
      </c>
      <c r="H95">
        <v>2</v>
      </c>
      <c r="I95">
        <v>100</v>
      </c>
      <c r="J95">
        <v>11.25</v>
      </c>
      <c r="K95" s="2">
        <v>45009</v>
      </c>
      <c r="L95" t="s">
        <v>316</v>
      </c>
      <c r="M95" s="6">
        <f>SalesTbl[[#This Row],[Unit Price]]*SalesTbl[[#This Row],[Quantity]]</f>
        <v>100</v>
      </c>
      <c r="N95" s="6">
        <f>YEAR(SalesTbl[[#This Row],[Order Date]])</f>
        <v>2023</v>
      </c>
      <c r="O95" s="6" t="str">
        <f>TEXT(SalesTbl[[#This Row],[Order Date]],"yyyy-mm")</f>
        <v>2023-03</v>
      </c>
      <c r="P95" s="13">
        <f>WEEKNUM(SalesTbl[[#This Row],[Order Date]],2)</f>
        <v>13</v>
      </c>
      <c r="Q95" s="14">
        <f>MEDIAN(SalesTbl[Quantity])</f>
        <v>3</v>
      </c>
      <c r="R95" s="14">
        <f>IF(ISBLANK(SalesTbl[[#This Row],[Quantity]]),$H$2,SalesTbl[[#This Row],[Quantity]])</f>
        <v>2</v>
      </c>
      <c r="S95">
        <f>ROW()-ROW(SalesTbl[[#Headers],[Customer ID]])</f>
        <v>94</v>
      </c>
      <c r="T95" s="9" t="str">
        <f>IF(SalesTbl[[#This Row],[RowIdx]]&lt;=ROUNDUP(COUNTA(SalesTbl[Customer ID])*0.8,0),"Train","Test")</f>
        <v>Train</v>
      </c>
    </row>
    <row r="96" spans="1:20" x14ac:dyDescent="0.25">
      <c r="A96" t="s">
        <v>28</v>
      </c>
      <c r="B96" t="s">
        <v>13</v>
      </c>
      <c r="C96" t="s">
        <v>321</v>
      </c>
      <c r="D96" t="s">
        <v>29</v>
      </c>
      <c r="E96" t="s">
        <v>18</v>
      </c>
      <c r="F96">
        <v>18</v>
      </c>
      <c r="G96">
        <v>50</v>
      </c>
      <c r="H96">
        <v>5</v>
      </c>
      <c r="I96">
        <v>250</v>
      </c>
      <c r="J96">
        <v>11.11</v>
      </c>
      <c r="K96" s="2">
        <v>45180</v>
      </c>
      <c r="L96" t="s">
        <v>316</v>
      </c>
      <c r="M96" s="6">
        <f>SalesTbl[[#This Row],[Unit Price]]*SalesTbl[[#This Row],[Quantity]]</f>
        <v>250</v>
      </c>
      <c r="N96" s="6">
        <f>YEAR(SalesTbl[[#This Row],[Order Date]])</f>
        <v>2023</v>
      </c>
      <c r="O96" s="6" t="str">
        <f>TEXT(SalesTbl[[#This Row],[Order Date]],"yyyy-mm")</f>
        <v>2023-09</v>
      </c>
      <c r="P96" s="13">
        <f>WEEKNUM(SalesTbl[[#This Row],[Order Date]],2)</f>
        <v>38</v>
      </c>
      <c r="Q96" s="14">
        <f>MEDIAN(SalesTbl[Quantity])</f>
        <v>3</v>
      </c>
      <c r="R96" s="14">
        <f>IF(ISBLANK(SalesTbl[[#This Row],[Quantity]]),$H$2,SalesTbl[[#This Row],[Quantity]])</f>
        <v>5</v>
      </c>
      <c r="S96">
        <f>ROW()-ROW(SalesTbl[[#Headers],[Customer ID]])</f>
        <v>95</v>
      </c>
      <c r="T96" s="9" t="str">
        <f>IF(SalesTbl[[#This Row],[RowIdx]]&lt;=ROUNDUP(COUNTA(SalesTbl[Customer ID])*0.8,0),"Train","Test")</f>
        <v>Train</v>
      </c>
    </row>
    <row r="97" spans="1:20" x14ac:dyDescent="0.25">
      <c r="A97" t="s">
        <v>106</v>
      </c>
      <c r="B97" t="s">
        <v>13</v>
      </c>
      <c r="C97" t="s">
        <v>320</v>
      </c>
      <c r="D97" t="s">
        <v>30</v>
      </c>
      <c r="E97" t="s">
        <v>18</v>
      </c>
      <c r="F97">
        <v>42</v>
      </c>
      <c r="G97">
        <v>30</v>
      </c>
      <c r="H97">
        <v>2</v>
      </c>
      <c r="I97">
        <v>60</v>
      </c>
      <c r="J97">
        <v>18.98</v>
      </c>
      <c r="K97" s="2">
        <v>44959</v>
      </c>
      <c r="L97" t="s">
        <v>317</v>
      </c>
      <c r="M97" s="6">
        <f>SalesTbl[[#This Row],[Unit Price]]*SalesTbl[[#This Row],[Quantity]]</f>
        <v>60</v>
      </c>
      <c r="N97" s="6">
        <f>YEAR(SalesTbl[[#This Row],[Order Date]])</f>
        <v>2023</v>
      </c>
      <c r="O97" s="6" t="str">
        <f>TEXT(SalesTbl[[#This Row],[Order Date]],"yyyy-mm")</f>
        <v>2023-02</v>
      </c>
      <c r="P97" s="13">
        <f>WEEKNUM(SalesTbl[[#This Row],[Order Date]],2)</f>
        <v>6</v>
      </c>
      <c r="Q97" s="14">
        <f>MEDIAN(SalesTbl[Quantity])</f>
        <v>3</v>
      </c>
      <c r="R97" s="14">
        <f>IF(ISBLANK(SalesTbl[[#This Row],[Quantity]]),$H$2,SalesTbl[[#This Row],[Quantity]])</f>
        <v>2</v>
      </c>
      <c r="S97">
        <f>ROW()-ROW(SalesTbl[[#Headers],[Customer ID]])</f>
        <v>96</v>
      </c>
      <c r="T97" s="9" t="str">
        <f>IF(SalesTbl[[#This Row],[RowIdx]]&lt;=ROUNDUP(COUNTA(SalesTbl[Customer ID])*0.8,0),"Train","Test")</f>
        <v>Train</v>
      </c>
    </row>
    <row r="98" spans="1:20" x14ac:dyDescent="0.25">
      <c r="A98" t="s">
        <v>28</v>
      </c>
      <c r="B98" t="s">
        <v>13</v>
      </c>
      <c r="C98" t="s">
        <v>320</v>
      </c>
      <c r="D98" t="s">
        <v>17</v>
      </c>
      <c r="E98" t="s">
        <v>18</v>
      </c>
      <c r="F98">
        <v>18</v>
      </c>
      <c r="G98">
        <v>100</v>
      </c>
      <c r="H98">
        <v>1</v>
      </c>
      <c r="I98">
        <v>100</v>
      </c>
      <c r="J98">
        <v>18.47</v>
      </c>
      <c r="K98" s="2">
        <v>45151</v>
      </c>
      <c r="L98" t="s">
        <v>318</v>
      </c>
      <c r="M98" s="6">
        <f>SalesTbl[[#This Row],[Unit Price]]*SalesTbl[[#This Row],[Quantity]]</f>
        <v>100</v>
      </c>
      <c r="N98" s="6">
        <f>YEAR(SalesTbl[[#This Row],[Order Date]])</f>
        <v>2023</v>
      </c>
      <c r="O98" s="6" t="str">
        <f>TEXT(SalesTbl[[#This Row],[Order Date]],"yyyy-mm")</f>
        <v>2023-08</v>
      </c>
      <c r="P98" s="13">
        <f>WEEKNUM(SalesTbl[[#This Row],[Order Date]],2)</f>
        <v>33</v>
      </c>
      <c r="Q98" s="14">
        <f>MEDIAN(SalesTbl[Quantity])</f>
        <v>3</v>
      </c>
      <c r="R98" s="14">
        <f>IF(ISBLANK(SalesTbl[[#This Row],[Quantity]]),$H$2,SalesTbl[[#This Row],[Quantity]])</f>
        <v>1</v>
      </c>
      <c r="S98">
        <f>ROW()-ROW(SalesTbl[[#Headers],[Customer ID]])</f>
        <v>97</v>
      </c>
      <c r="T98" s="9" t="str">
        <f>IF(SalesTbl[[#This Row],[RowIdx]]&lt;=ROUNDUP(COUNTA(SalesTbl[Customer ID])*0.8,0),"Train","Test")</f>
        <v>Train</v>
      </c>
    </row>
    <row r="99" spans="1:20" x14ac:dyDescent="0.25">
      <c r="A99" t="s">
        <v>63</v>
      </c>
      <c r="B99" t="s">
        <v>13</v>
      </c>
      <c r="C99" t="s">
        <v>321</v>
      </c>
      <c r="D99" t="s">
        <v>14</v>
      </c>
      <c r="E99" t="s">
        <v>15</v>
      </c>
      <c r="F99">
        <v>61</v>
      </c>
      <c r="G99">
        <v>300</v>
      </c>
      <c r="H99">
        <v>4</v>
      </c>
      <c r="I99">
        <v>1200</v>
      </c>
      <c r="J99">
        <v>18.5</v>
      </c>
      <c r="K99" s="2">
        <v>45069</v>
      </c>
      <c r="L99" t="s">
        <v>316</v>
      </c>
      <c r="M99" s="6">
        <f>SalesTbl[[#This Row],[Unit Price]]*SalesTbl[[#This Row],[Quantity]]</f>
        <v>1200</v>
      </c>
      <c r="N99" s="6">
        <f>YEAR(SalesTbl[[#This Row],[Order Date]])</f>
        <v>2023</v>
      </c>
      <c r="O99" s="6" t="str">
        <f>TEXT(SalesTbl[[#This Row],[Order Date]],"yyyy-mm")</f>
        <v>2023-05</v>
      </c>
      <c r="P99" s="13">
        <f>WEEKNUM(SalesTbl[[#This Row],[Order Date]],2)</f>
        <v>22</v>
      </c>
      <c r="Q99" s="14">
        <f>MEDIAN(SalesTbl[Quantity])</f>
        <v>3</v>
      </c>
      <c r="R99" s="14">
        <f>IF(ISBLANK(SalesTbl[[#This Row],[Quantity]]),$H$2,SalesTbl[[#This Row],[Quantity]])</f>
        <v>4</v>
      </c>
      <c r="S99">
        <f>ROW()-ROW(SalesTbl[[#Headers],[Customer ID]])</f>
        <v>98</v>
      </c>
      <c r="T99" s="9" t="str">
        <f>IF(SalesTbl[[#This Row],[RowIdx]]&lt;=ROUNDUP(COUNTA(SalesTbl[Customer ID])*0.8,0),"Train","Test")</f>
        <v>Train</v>
      </c>
    </row>
    <row r="100" spans="1:20" x14ac:dyDescent="0.25">
      <c r="A100" t="s">
        <v>107</v>
      </c>
      <c r="B100" t="s">
        <v>20</v>
      </c>
      <c r="C100" t="s">
        <v>322</v>
      </c>
      <c r="D100" t="s">
        <v>23</v>
      </c>
      <c r="E100" t="s">
        <v>15</v>
      </c>
      <c r="F100">
        <v>26</v>
      </c>
      <c r="G100">
        <v>1500</v>
      </c>
      <c r="H100">
        <v>4</v>
      </c>
      <c r="I100">
        <v>6000</v>
      </c>
      <c r="J100">
        <v>15.74</v>
      </c>
      <c r="K100" s="2">
        <v>45150</v>
      </c>
      <c r="L100" t="s">
        <v>316</v>
      </c>
      <c r="M100" s="6">
        <f>SalesTbl[[#This Row],[Unit Price]]*SalesTbl[[#This Row],[Quantity]]</f>
        <v>6000</v>
      </c>
      <c r="N100" s="6">
        <f>YEAR(SalesTbl[[#This Row],[Order Date]])</f>
        <v>2023</v>
      </c>
      <c r="O100" s="6" t="str">
        <f>TEXT(SalesTbl[[#This Row],[Order Date]],"yyyy-mm")</f>
        <v>2023-08</v>
      </c>
      <c r="P100" s="13">
        <f>WEEKNUM(SalesTbl[[#This Row],[Order Date]],2)</f>
        <v>33</v>
      </c>
      <c r="Q100" s="14">
        <f>MEDIAN(SalesTbl[Quantity])</f>
        <v>3</v>
      </c>
      <c r="R100" s="14">
        <f>IF(ISBLANK(SalesTbl[[#This Row],[Quantity]]),$H$2,SalesTbl[[#This Row],[Quantity]])</f>
        <v>4</v>
      </c>
      <c r="S100">
        <f>ROW()-ROW(SalesTbl[[#Headers],[Customer ID]])</f>
        <v>99</v>
      </c>
      <c r="T100" s="9" t="str">
        <f>IF(SalesTbl[[#This Row],[RowIdx]]&lt;=ROUNDUP(COUNTA(SalesTbl[Customer ID])*0.8,0),"Train","Test")</f>
        <v>Train</v>
      </c>
    </row>
    <row r="101" spans="1:20" x14ac:dyDescent="0.25">
      <c r="A101" t="s">
        <v>108</v>
      </c>
      <c r="B101" t="s">
        <v>13</v>
      </c>
      <c r="C101" t="s">
        <v>320</v>
      </c>
      <c r="D101" t="s">
        <v>40</v>
      </c>
      <c r="E101" t="s">
        <v>15</v>
      </c>
      <c r="F101">
        <v>25</v>
      </c>
      <c r="G101">
        <v>800</v>
      </c>
      <c r="H101">
        <v>4</v>
      </c>
      <c r="I101">
        <v>3200</v>
      </c>
      <c r="J101">
        <v>18.2</v>
      </c>
      <c r="K101" s="2">
        <v>44950</v>
      </c>
      <c r="L101" t="s">
        <v>317</v>
      </c>
      <c r="M101" s="6">
        <f>SalesTbl[[#This Row],[Unit Price]]*SalesTbl[[#This Row],[Quantity]]</f>
        <v>3200</v>
      </c>
      <c r="N101" s="6">
        <f>YEAR(SalesTbl[[#This Row],[Order Date]])</f>
        <v>2023</v>
      </c>
      <c r="O101" s="6" t="str">
        <f>TEXT(SalesTbl[[#This Row],[Order Date]],"yyyy-mm")</f>
        <v>2023-01</v>
      </c>
      <c r="P101" s="13">
        <f>WEEKNUM(SalesTbl[[#This Row],[Order Date]],2)</f>
        <v>5</v>
      </c>
      <c r="Q101" s="14">
        <f>MEDIAN(SalesTbl[Quantity])</f>
        <v>3</v>
      </c>
      <c r="R101" s="14">
        <f>IF(ISBLANK(SalesTbl[[#This Row],[Quantity]]),$H$2,SalesTbl[[#This Row],[Quantity]])</f>
        <v>4</v>
      </c>
      <c r="S101">
        <f>ROW()-ROW(SalesTbl[[#Headers],[Customer ID]])</f>
        <v>100</v>
      </c>
      <c r="T101" s="9" t="str">
        <f>IF(SalesTbl[[#This Row],[RowIdx]]&lt;=ROUNDUP(COUNTA(SalesTbl[Customer ID])*0.8,0),"Train","Test")</f>
        <v>Train</v>
      </c>
    </row>
    <row r="102" spans="1:20" x14ac:dyDescent="0.25">
      <c r="A102" t="s">
        <v>109</v>
      </c>
      <c r="B102" t="s">
        <v>20</v>
      </c>
      <c r="C102" t="s">
        <v>323</v>
      </c>
      <c r="D102" t="s">
        <v>25</v>
      </c>
      <c r="E102" t="s">
        <v>26</v>
      </c>
      <c r="F102">
        <v>57</v>
      </c>
      <c r="G102">
        <v>200</v>
      </c>
      <c r="H102">
        <v>2</v>
      </c>
      <c r="I102">
        <v>400</v>
      </c>
      <c r="J102">
        <v>17.940000000000001</v>
      </c>
      <c r="K102" s="2">
        <v>45268</v>
      </c>
      <c r="L102" t="s">
        <v>317</v>
      </c>
      <c r="M102" s="6">
        <f>SalesTbl[[#This Row],[Unit Price]]*SalesTbl[[#This Row],[Quantity]]</f>
        <v>400</v>
      </c>
      <c r="N102" s="6">
        <f>YEAR(SalesTbl[[#This Row],[Order Date]])</f>
        <v>2023</v>
      </c>
      <c r="O102" s="6" t="str">
        <f>TEXT(SalesTbl[[#This Row],[Order Date]],"yyyy-mm")</f>
        <v>2023-12</v>
      </c>
      <c r="P102" s="13">
        <f>WEEKNUM(SalesTbl[[#This Row],[Order Date]],2)</f>
        <v>50</v>
      </c>
      <c r="Q102" s="14">
        <f>MEDIAN(SalesTbl[Quantity])</f>
        <v>3</v>
      </c>
      <c r="R102" s="14">
        <f>IF(ISBLANK(SalesTbl[[#This Row],[Quantity]]),$H$2,SalesTbl[[#This Row],[Quantity]])</f>
        <v>2</v>
      </c>
      <c r="S102">
        <f>ROW()-ROW(SalesTbl[[#Headers],[Customer ID]])</f>
        <v>101</v>
      </c>
      <c r="T102" s="9" t="str">
        <f>IF(SalesTbl[[#This Row],[RowIdx]]&lt;=ROUNDUP(COUNTA(SalesTbl[Customer ID])*0.8,0),"Train","Test")</f>
        <v>Train</v>
      </c>
    </row>
    <row r="103" spans="1:20" x14ac:dyDescent="0.25">
      <c r="A103" t="s">
        <v>110</v>
      </c>
      <c r="B103" t="s">
        <v>13</v>
      </c>
      <c r="C103" t="s">
        <v>322</v>
      </c>
      <c r="D103" t="s">
        <v>40</v>
      </c>
      <c r="E103" t="s">
        <v>15</v>
      </c>
      <c r="F103">
        <v>38</v>
      </c>
      <c r="G103">
        <v>800</v>
      </c>
      <c r="H103">
        <v>2</v>
      </c>
      <c r="I103">
        <v>1600</v>
      </c>
      <c r="J103">
        <v>16.510000000000002</v>
      </c>
      <c r="K103" s="2">
        <v>45183</v>
      </c>
      <c r="L103" t="s">
        <v>317</v>
      </c>
      <c r="M103" s="6">
        <f>SalesTbl[[#This Row],[Unit Price]]*SalesTbl[[#This Row],[Quantity]]</f>
        <v>1600</v>
      </c>
      <c r="N103" s="6">
        <f>YEAR(SalesTbl[[#This Row],[Order Date]])</f>
        <v>2023</v>
      </c>
      <c r="O103" s="6" t="str">
        <f>TEXT(SalesTbl[[#This Row],[Order Date]],"yyyy-mm")</f>
        <v>2023-09</v>
      </c>
      <c r="P103" s="13">
        <f>WEEKNUM(SalesTbl[[#This Row],[Order Date]],2)</f>
        <v>38</v>
      </c>
      <c r="Q103" s="14">
        <f>MEDIAN(SalesTbl[Quantity])</f>
        <v>3</v>
      </c>
      <c r="R103" s="14">
        <f>IF(ISBLANK(SalesTbl[[#This Row],[Quantity]]),$H$2,SalesTbl[[#This Row],[Quantity]])</f>
        <v>2</v>
      </c>
      <c r="S103">
        <f>ROW()-ROW(SalesTbl[[#Headers],[Customer ID]])</f>
        <v>102</v>
      </c>
      <c r="T103" s="9" t="str">
        <f>IF(SalesTbl[[#This Row],[RowIdx]]&lt;=ROUNDUP(COUNTA(SalesTbl[Customer ID])*0.8,0),"Train","Test")</f>
        <v>Train</v>
      </c>
    </row>
    <row r="104" spans="1:20" x14ac:dyDescent="0.25">
      <c r="A104" t="s">
        <v>111</v>
      </c>
      <c r="B104" t="s">
        <v>20</v>
      </c>
      <c r="C104" t="s">
        <v>320</v>
      </c>
      <c r="D104" t="s">
        <v>25</v>
      </c>
      <c r="E104" t="s">
        <v>26</v>
      </c>
      <c r="F104">
        <v>58</v>
      </c>
      <c r="G104">
        <v>200</v>
      </c>
      <c r="H104">
        <v>4</v>
      </c>
      <c r="I104">
        <v>800</v>
      </c>
      <c r="J104">
        <v>9.9700000000000006</v>
      </c>
      <c r="K104" s="2">
        <v>45242</v>
      </c>
      <c r="L104" t="s">
        <v>318</v>
      </c>
      <c r="M104" s="6">
        <f>SalesTbl[[#This Row],[Unit Price]]*SalesTbl[[#This Row],[Quantity]]</f>
        <v>800</v>
      </c>
      <c r="N104" s="6">
        <f>YEAR(SalesTbl[[#This Row],[Order Date]])</f>
        <v>2023</v>
      </c>
      <c r="O104" s="6" t="str">
        <f>TEXT(SalesTbl[[#This Row],[Order Date]],"yyyy-mm")</f>
        <v>2023-11</v>
      </c>
      <c r="P104" s="13">
        <f>WEEKNUM(SalesTbl[[#This Row],[Order Date]],2)</f>
        <v>46</v>
      </c>
      <c r="Q104" s="14">
        <f>MEDIAN(SalesTbl[Quantity])</f>
        <v>3</v>
      </c>
      <c r="R104" s="14">
        <f>IF(ISBLANK(SalesTbl[[#This Row],[Quantity]]),$H$2,SalesTbl[[#This Row],[Quantity]])</f>
        <v>4</v>
      </c>
      <c r="S104">
        <f>ROW()-ROW(SalesTbl[[#Headers],[Customer ID]])</f>
        <v>103</v>
      </c>
      <c r="T104" s="9" t="str">
        <f>IF(SalesTbl[[#This Row],[RowIdx]]&lt;=ROUNDUP(COUNTA(SalesTbl[Customer ID])*0.8,0),"Train","Test")</f>
        <v>Train</v>
      </c>
    </row>
    <row r="105" spans="1:20" x14ac:dyDescent="0.25">
      <c r="A105" t="s">
        <v>112</v>
      </c>
      <c r="B105" t="s">
        <v>20</v>
      </c>
      <c r="C105" t="s">
        <v>323</v>
      </c>
      <c r="D105" t="s">
        <v>14</v>
      </c>
      <c r="E105" t="s">
        <v>15</v>
      </c>
      <c r="F105">
        <v>40</v>
      </c>
      <c r="G105">
        <v>300</v>
      </c>
      <c r="H105">
        <v>1</v>
      </c>
      <c r="I105">
        <v>300</v>
      </c>
      <c r="J105">
        <v>6.85</v>
      </c>
      <c r="K105" s="2">
        <v>45098</v>
      </c>
      <c r="L105" t="s">
        <v>316</v>
      </c>
      <c r="M105" s="6">
        <f>SalesTbl[[#This Row],[Unit Price]]*SalesTbl[[#This Row],[Quantity]]</f>
        <v>300</v>
      </c>
      <c r="N105" s="6">
        <f>YEAR(SalesTbl[[#This Row],[Order Date]])</f>
        <v>2023</v>
      </c>
      <c r="O105" s="6" t="str">
        <f>TEXT(SalesTbl[[#This Row],[Order Date]],"yyyy-mm")</f>
        <v>2023-06</v>
      </c>
      <c r="P105" s="13">
        <f>WEEKNUM(SalesTbl[[#This Row],[Order Date]],2)</f>
        <v>26</v>
      </c>
      <c r="Q105" s="14">
        <f>MEDIAN(SalesTbl[Quantity])</f>
        <v>3</v>
      </c>
      <c r="R105" s="14">
        <f>IF(ISBLANK(SalesTbl[[#This Row],[Quantity]]),$H$2,SalesTbl[[#This Row],[Quantity]])</f>
        <v>1</v>
      </c>
      <c r="S105">
        <f>ROW()-ROW(SalesTbl[[#Headers],[Customer ID]])</f>
        <v>104</v>
      </c>
      <c r="T105" s="9" t="str">
        <f>IF(SalesTbl[[#This Row],[RowIdx]]&lt;=ROUNDUP(COUNTA(SalesTbl[Customer ID])*0.8,0),"Train","Test")</f>
        <v>Train</v>
      </c>
    </row>
    <row r="106" spans="1:20" x14ac:dyDescent="0.25">
      <c r="A106" t="s">
        <v>76</v>
      </c>
      <c r="B106" t="s">
        <v>20</v>
      </c>
      <c r="C106" t="s">
        <v>323</v>
      </c>
      <c r="D106" t="s">
        <v>29</v>
      </c>
      <c r="E106" t="s">
        <v>18</v>
      </c>
      <c r="F106">
        <v>62</v>
      </c>
      <c r="G106">
        <v>50</v>
      </c>
      <c r="H106">
        <v>5</v>
      </c>
      <c r="I106">
        <v>250</v>
      </c>
      <c r="J106">
        <v>14.04</v>
      </c>
      <c r="K106" s="2">
        <v>45294</v>
      </c>
      <c r="L106" t="s">
        <v>319</v>
      </c>
      <c r="M106" s="6">
        <f>SalesTbl[[#This Row],[Unit Price]]*SalesTbl[[#This Row],[Quantity]]</f>
        <v>250</v>
      </c>
      <c r="N106" s="6">
        <f>YEAR(SalesTbl[[#This Row],[Order Date]])</f>
        <v>2024</v>
      </c>
      <c r="O106" s="6" t="str">
        <f>TEXT(SalesTbl[[#This Row],[Order Date]],"yyyy-mm")</f>
        <v>2024-01</v>
      </c>
      <c r="P106" s="13">
        <f>WEEKNUM(SalesTbl[[#This Row],[Order Date]],2)</f>
        <v>1</v>
      </c>
      <c r="Q106" s="14">
        <f>MEDIAN(SalesTbl[Quantity])</f>
        <v>3</v>
      </c>
      <c r="R106" s="14">
        <f>IF(ISBLANK(SalesTbl[[#This Row],[Quantity]]),$H$2,SalesTbl[[#This Row],[Quantity]])</f>
        <v>5</v>
      </c>
      <c r="S106">
        <f>ROW()-ROW(SalesTbl[[#Headers],[Customer ID]])</f>
        <v>105</v>
      </c>
      <c r="T106" s="9" t="str">
        <f>IF(SalesTbl[[#This Row],[RowIdx]]&lt;=ROUNDUP(COUNTA(SalesTbl[Customer ID])*0.8,0),"Train","Test")</f>
        <v>Train</v>
      </c>
    </row>
    <row r="107" spans="1:20" x14ac:dyDescent="0.25">
      <c r="A107" t="s">
        <v>111</v>
      </c>
      <c r="B107" t="s">
        <v>13</v>
      </c>
      <c r="C107" t="s">
        <v>319</v>
      </c>
      <c r="D107" t="s">
        <v>29</v>
      </c>
      <c r="E107" t="s">
        <v>18</v>
      </c>
      <c r="F107">
        <v>58</v>
      </c>
      <c r="G107">
        <v>50</v>
      </c>
      <c r="H107">
        <v>3</v>
      </c>
      <c r="I107">
        <v>150</v>
      </c>
      <c r="J107">
        <v>6.37</v>
      </c>
      <c r="K107" s="2">
        <v>45294</v>
      </c>
      <c r="L107" t="s">
        <v>317</v>
      </c>
      <c r="M107" s="6">
        <f>SalesTbl[[#This Row],[Unit Price]]*SalesTbl[[#This Row],[Quantity]]</f>
        <v>150</v>
      </c>
      <c r="N107" s="6">
        <f>YEAR(SalesTbl[[#This Row],[Order Date]])</f>
        <v>2024</v>
      </c>
      <c r="O107" s="6" t="str">
        <f>TEXT(SalesTbl[[#This Row],[Order Date]],"yyyy-mm")</f>
        <v>2024-01</v>
      </c>
      <c r="P107" s="13">
        <f>WEEKNUM(SalesTbl[[#This Row],[Order Date]],2)</f>
        <v>1</v>
      </c>
      <c r="Q107" s="14">
        <f>MEDIAN(SalesTbl[Quantity])</f>
        <v>3</v>
      </c>
      <c r="R107" s="14">
        <f>IF(ISBLANK(SalesTbl[[#This Row],[Quantity]]),$H$2,SalesTbl[[#This Row],[Quantity]])</f>
        <v>3</v>
      </c>
      <c r="S107">
        <f>ROW()-ROW(SalesTbl[[#Headers],[Customer ID]])</f>
        <v>106</v>
      </c>
      <c r="T107" s="9" t="str">
        <f>IF(SalesTbl[[#This Row],[RowIdx]]&lt;=ROUNDUP(COUNTA(SalesTbl[Customer ID])*0.8,0),"Train","Test")</f>
        <v>Train</v>
      </c>
    </row>
    <row r="108" spans="1:20" x14ac:dyDescent="0.25">
      <c r="A108" t="s">
        <v>113</v>
      </c>
      <c r="B108" t="s">
        <v>20</v>
      </c>
      <c r="C108" t="s">
        <v>320</v>
      </c>
      <c r="D108" t="s">
        <v>23</v>
      </c>
      <c r="E108" t="s">
        <v>15</v>
      </c>
      <c r="F108">
        <v>63</v>
      </c>
      <c r="G108">
        <v>1500</v>
      </c>
      <c r="H108">
        <v>3</v>
      </c>
      <c r="I108">
        <v>4500</v>
      </c>
      <c r="J108">
        <v>18.66</v>
      </c>
      <c r="K108" s="2">
        <v>45052</v>
      </c>
      <c r="L108" t="s">
        <v>316</v>
      </c>
      <c r="M108" s="6">
        <f>SalesTbl[[#This Row],[Unit Price]]*SalesTbl[[#This Row],[Quantity]]</f>
        <v>4500</v>
      </c>
      <c r="N108" s="6">
        <f>YEAR(SalesTbl[[#This Row],[Order Date]])</f>
        <v>2023</v>
      </c>
      <c r="O108" s="6" t="str">
        <f>TEXT(SalesTbl[[#This Row],[Order Date]],"yyyy-mm")</f>
        <v>2023-05</v>
      </c>
      <c r="P108" s="13">
        <f>WEEKNUM(SalesTbl[[#This Row],[Order Date]],2)</f>
        <v>19</v>
      </c>
      <c r="Q108" s="14">
        <f>MEDIAN(SalesTbl[Quantity])</f>
        <v>3</v>
      </c>
      <c r="R108" s="14">
        <f>IF(ISBLANK(SalesTbl[[#This Row],[Quantity]]),$H$2,SalesTbl[[#This Row],[Quantity]])</f>
        <v>3</v>
      </c>
      <c r="S108">
        <f>ROW()-ROW(SalesTbl[[#Headers],[Customer ID]])</f>
        <v>107</v>
      </c>
      <c r="T108" s="9" t="str">
        <f>IF(SalesTbl[[#This Row],[RowIdx]]&lt;=ROUNDUP(COUNTA(SalesTbl[Customer ID])*0.8,0),"Train","Test")</f>
        <v>Train</v>
      </c>
    </row>
    <row r="109" spans="1:20" x14ac:dyDescent="0.25">
      <c r="A109" t="s">
        <v>114</v>
      </c>
      <c r="B109" t="s">
        <v>13</v>
      </c>
      <c r="C109" t="s">
        <v>322</v>
      </c>
      <c r="D109" t="s">
        <v>30</v>
      </c>
      <c r="E109" t="s">
        <v>18</v>
      </c>
      <c r="F109">
        <v>33</v>
      </c>
      <c r="G109">
        <v>30</v>
      </c>
      <c r="H109">
        <v>1</v>
      </c>
      <c r="I109">
        <v>30</v>
      </c>
      <c r="J109">
        <v>7.78</v>
      </c>
      <c r="K109" s="2">
        <v>44929</v>
      </c>
      <c r="L109" t="s">
        <v>317</v>
      </c>
      <c r="M109" s="6">
        <f>SalesTbl[[#This Row],[Unit Price]]*SalesTbl[[#This Row],[Quantity]]</f>
        <v>30</v>
      </c>
      <c r="N109" s="6">
        <f>YEAR(SalesTbl[[#This Row],[Order Date]])</f>
        <v>2023</v>
      </c>
      <c r="O109" s="6" t="str">
        <f>TEXT(SalesTbl[[#This Row],[Order Date]],"yyyy-mm")</f>
        <v>2023-01</v>
      </c>
      <c r="P109" s="13">
        <f>WEEKNUM(SalesTbl[[#This Row],[Order Date]],2)</f>
        <v>2</v>
      </c>
      <c r="Q109" s="14">
        <f>MEDIAN(SalesTbl[Quantity])</f>
        <v>3</v>
      </c>
      <c r="R109" s="14">
        <f>IF(ISBLANK(SalesTbl[[#This Row],[Quantity]]),$H$2,SalesTbl[[#This Row],[Quantity]])</f>
        <v>1</v>
      </c>
      <c r="S109">
        <f>ROW()-ROW(SalesTbl[[#Headers],[Customer ID]])</f>
        <v>108</v>
      </c>
      <c r="T109" s="9" t="str">
        <f>IF(SalesTbl[[#This Row],[RowIdx]]&lt;=ROUNDUP(COUNTA(SalesTbl[Customer ID])*0.8,0),"Train","Test")</f>
        <v>Train</v>
      </c>
    </row>
    <row r="110" spans="1:20" x14ac:dyDescent="0.25">
      <c r="A110" t="s">
        <v>115</v>
      </c>
      <c r="B110" t="s">
        <v>20</v>
      </c>
      <c r="C110" t="s">
        <v>320</v>
      </c>
      <c r="D110" t="s">
        <v>17</v>
      </c>
      <c r="E110" t="s">
        <v>18</v>
      </c>
      <c r="F110">
        <v>22</v>
      </c>
      <c r="G110">
        <v>100</v>
      </c>
      <c r="H110">
        <v>3</v>
      </c>
      <c r="I110">
        <v>300</v>
      </c>
      <c r="J110">
        <v>6.16</v>
      </c>
      <c r="K110" s="2">
        <v>45211</v>
      </c>
      <c r="L110" t="s">
        <v>316</v>
      </c>
      <c r="M110" s="6">
        <f>SalesTbl[[#This Row],[Unit Price]]*SalesTbl[[#This Row],[Quantity]]</f>
        <v>300</v>
      </c>
      <c r="N110" s="6">
        <f>YEAR(SalesTbl[[#This Row],[Order Date]])</f>
        <v>2023</v>
      </c>
      <c r="O110" s="6" t="str">
        <f>TEXT(SalesTbl[[#This Row],[Order Date]],"yyyy-mm")</f>
        <v>2023-10</v>
      </c>
      <c r="P110" s="13">
        <f>WEEKNUM(SalesTbl[[#This Row],[Order Date]],2)</f>
        <v>42</v>
      </c>
      <c r="Q110" s="14">
        <f>MEDIAN(SalesTbl[Quantity])</f>
        <v>3</v>
      </c>
      <c r="R110" s="14">
        <f>IF(ISBLANK(SalesTbl[[#This Row],[Quantity]]),$H$2,SalesTbl[[#This Row],[Quantity]])</f>
        <v>3</v>
      </c>
      <c r="S110">
        <f>ROW()-ROW(SalesTbl[[#Headers],[Customer ID]])</f>
        <v>109</v>
      </c>
      <c r="T110" s="9" t="str">
        <f>IF(SalesTbl[[#This Row],[RowIdx]]&lt;=ROUNDUP(COUNTA(SalesTbl[Customer ID])*0.8,0),"Train","Test")</f>
        <v>Train</v>
      </c>
    </row>
    <row r="111" spans="1:20" x14ac:dyDescent="0.25">
      <c r="A111" t="s">
        <v>114</v>
      </c>
      <c r="B111" t="s">
        <v>20</v>
      </c>
      <c r="C111" t="s">
        <v>323</v>
      </c>
      <c r="D111" t="s">
        <v>23</v>
      </c>
      <c r="E111" t="s">
        <v>15</v>
      </c>
      <c r="F111">
        <v>33</v>
      </c>
      <c r="G111">
        <v>1500</v>
      </c>
      <c r="H111">
        <v>3</v>
      </c>
      <c r="I111">
        <v>4500</v>
      </c>
      <c r="J111">
        <v>6.92</v>
      </c>
      <c r="K111" s="2">
        <v>45103</v>
      </c>
      <c r="L111" t="s">
        <v>316</v>
      </c>
      <c r="M111" s="6">
        <f>SalesTbl[[#This Row],[Unit Price]]*SalesTbl[[#This Row],[Quantity]]</f>
        <v>4500</v>
      </c>
      <c r="N111" s="6">
        <f>YEAR(SalesTbl[[#This Row],[Order Date]])</f>
        <v>2023</v>
      </c>
      <c r="O111" s="6" t="str">
        <f>TEXT(SalesTbl[[#This Row],[Order Date]],"yyyy-mm")</f>
        <v>2023-06</v>
      </c>
      <c r="P111" s="13">
        <f>WEEKNUM(SalesTbl[[#This Row],[Order Date]],2)</f>
        <v>27</v>
      </c>
      <c r="Q111" s="14">
        <f>MEDIAN(SalesTbl[Quantity])</f>
        <v>3</v>
      </c>
      <c r="R111" s="14">
        <f>IF(ISBLANK(SalesTbl[[#This Row],[Quantity]]),$H$2,SalesTbl[[#This Row],[Quantity]])</f>
        <v>3</v>
      </c>
      <c r="S111">
        <f>ROW()-ROW(SalesTbl[[#Headers],[Customer ID]])</f>
        <v>110</v>
      </c>
      <c r="T111" s="9" t="str">
        <f>IF(SalesTbl[[#This Row],[RowIdx]]&lt;=ROUNDUP(COUNTA(SalesTbl[Customer ID])*0.8,0),"Train","Test")</f>
        <v>Train</v>
      </c>
    </row>
    <row r="112" spans="1:20" x14ac:dyDescent="0.25">
      <c r="A112" t="s">
        <v>116</v>
      </c>
      <c r="B112" t="s">
        <v>20</v>
      </c>
      <c r="C112" t="s">
        <v>319</v>
      </c>
      <c r="D112" t="s">
        <v>30</v>
      </c>
      <c r="E112" t="s">
        <v>18</v>
      </c>
      <c r="F112">
        <v>20</v>
      </c>
      <c r="G112">
        <v>62.191212249732999</v>
      </c>
      <c r="H112">
        <v>2</v>
      </c>
      <c r="I112">
        <v>60</v>
      </c>
      <c r="J112">
        <v>15.12</v>
      </c>
      <c r="K112" s="2">
        <v>45072</v>
      </c>
      <c r="L112" t="s">
        <v>317</v>
      </c>
      <c r="M112" s="6">
        <f>SalesTbl[[#This Row],[Unit Price]]*SalesTbl[[#This Row],[Quantity]]</f>
        <v>124.382424499466</v>
      </c>
      <c r="N112" s="6">
        <f>YEAR(SalesTbl[[#This Row],[Order Date]])</f>
        <v>2023</v>
      </c>
      <c r="O112" s="6" t="str">
        <f>TEXT(SalesTbl[[#This Row],[Order Date]],"yyyy-mm")</f>
        <v>2023-05</v>
      </c>
      <c r="P112" s="13">
        <f>WEEKNUM(SalesTbl[[#This Row],[Order Date]],2)</f>
        <v>22</v>
      </c>
      <c r="Q112" s="14">
        <f>MEDIAN(SalesTbl[Quantity])</f>
        <v>3</v>
      </c>
      <c r="R112" s="14">
        <f>IF(ISBLANK(SalesTbl[[#This Row],[Quantity]]),$H$2,SalesTbl[[#This Row],[Quantity]])</f>
        <v>2</v>
      </c>
      <c r="S112">
        <f>ROW()-ROW(SalesTbl[[#Headers],[Customer ID]])</f>
        <v>111</v>
      </c>
      <c r="T112" s="9" t="str">
        <f>IF(SalesTbl[[#This Row],[RowIdx]]&lt;=ROUNDUP(COUNTA(SalesTbl[Customer ID])*0.8,0),"Train","Test")</f>
        <v>Train</v>
      </c>
    </row>
    <row r="113" spans="1:20" x14ac:dyDescent="0.25">
      <c r="A113" t="s">
        <v>117</v>
      </c>
      <c r="B113" t="s">
        <v>13</v>
      </c>
      <c r="C113" t="s">
        <v>320</v>
      </c>
      <c r="D113" t="s">
        <v>30</v>
      </c>
      <c r="E113" t="s">
        <v>18</v>
      </c>
      <c r="F113">
        <v>49</v>
      </c>
      <c r="G113">
        <v>30</v>
      </c>
      <c r="H113">
        <v>5</v>
      </c>
      <c r="I113">
        <v>150</v>
      </c>
      <c r="J113">
        <v>16.86</v>
      </c>
      <c r="K113" s="2">
        <v>45238</v>
      </c>
      <c r="L113" t="s">
        <v>316</v>
      </c>
      <c r="M113" s="6">
        <f>SalesTbl[[#This Row],[Unit Price]]*SalesTbl[[#This Row],[Quantity]]</f>
        <v>150</v>
      </c>
      <c r="N113" s="6">
        <f>YEAR(SalesTbl[[#This Row],[Order Date]])</f>
        <v>2023</v>
      </c>
      <c r="O113" s="6" t="str">
        <f>TEXT(SalesTbl[[#This Row],[Order Date]],"yyyy-mm")</f>
        <v>2023-11</v>
      </c>
      <c r="P113" s="13">
        <f>WEEKNUM(SalesTbl[[#This Row],[Order Date]],2)</f>
        <v>46</v>
      </c>
      <c r="Q113" s="14">
        <f>MEDIAN(SalesTbl[Quantity])</f>
        <v>3</v>
      </c>
      <c r="R113" s="14">
        <f>IF(ISBLANK(SalesTbl[[#This Row],[Quantity]]),$H$2,SalesTbl[[#This Row],[Quantity]])</f>
        <v>5</v>
      </c>
      <c r="S113">
        <f>ROW()-ROW(SalesTbl[[#Headers],[Customer ID]])</f>
        <v>112</v>
      </c>
      <c r="T113" s="9" t="str">
        <f>IF(SalesTbl[[#This Row],[RowIdx]]&lt;=ROUNDUP(COUNTA(SalesTbl[Customer ID])*0.8,0),"Train","Test")</f>
        <v>Train</v>
      </c>
    </row>
    <row r="114" spans="1:20" x14ac:dyDescent="0.25">
      <c r="A114" t="s">
        <v>91</v>
      </c>
      <c r="B114" t="s">
        <v>13</v>
      </c>
      <c r="C114" t="s">
        <v>321</v>
      </c>
      <c r="D114" t="s">
        <v>40</v>
      </c>
      <c r="E114" t="s">
        <v>15</v>
      </c>
      <c r="F114">
        <v>54</v>
      </c>
      <c r="G114">
        <v>800</v>
      </c>
      <c r="H114">
        <v>3</v>
      </c>
      <c r="I114">
        <v>2400</v>
      </c>
      <c r="J114">
        <v>18.760000000000002</v>
      </c>
      <c r="K114" s="2">
        <v>45267</v>
      </c>
      <c r="L114" t="s">
        <v>317</v>
      </c>
      <c r="M114" s="6">
        <f>SalesTbl[[#This Row],[Unit Price]]*SalesTbl[[#This Row],[Quantity]]</f>
        <v>2400</v>
      </c>
      <c r="N114" s="6">
        <f>YEAR(SalesTbl[[#This Row],[Order Date]])</f>
        <v>2023</v>
      </c>
      <c r="O114" s="6" t="str">
        <f>TEXT(SalesTbl[[#This Row],[Order Date]],"yyyy-mm")</f>
        <v>2023-12</v>
      </c>
      <c r="P114" s="13">
        <f>WEEKNUM(SalesTbl[[#This Row],[Order Date]],2)</f>
        <v>50</v>
      </c>
      <c r="Q114" s="14">
        <f>MEDIAN(SalesTbl[Quantity])</f>
        <v>3</v>
      </c>
      <c r="R114" s="14">
        <f>IF(ISBLANK(SalesTbl[[#This Row],[Quantity]]),$H$2,SalesTbl[[#This Row],[Quantity]])</f>
        <v>3</v>
      </c>
      <c r="S114">
        <f>ROW()-ROW(SalesTbl[[#Headers],[Customer ID]])</f>
        <v>113</v>
      </c>
      <c r="T114" s="9" t="str">
        <f>IF(SalesTbl[[#This Row],[RowIdx]]&lt;=ROUNDUP(COUNTA(SalesTbl[Customer ID])*0.8,0),"Train","Test")</f>
        <v>Train</v>
      </c>
    </row>
    <row r="115" spans="1:20" x14ac:dyDescent="0.25">
      <c r="A115" t="s">
        <v>118</v>
      </c>
      <c r="B115" t="s">
        <v>13</v>
      </c>
      <c r="C115" t="s">
        <v>321</v>
      </c>
      <c r="D115" t="s">
        <v>23</v>
      </c>
      <c r="E115" t="s">
        <v>15</v>
      </c>
      <c r="F115">
        <v>37</v>
      </c>
      <c r="G115">
        <v>1500</v>
      </c>
      <c r="H115">
        <v>5</v>
      </c>
      <c r="I115">
        <v>7500</v>
      </c>
      <c r="J115">
        <v>6.68</v>
      </c>
      <c r="K115" s="2">
        <v>45113</v>
      </c>
      <c r="L115" t="s">
        <v>318</v>
      </c>
      <c r="M115" s="6">
        <f>SalesTbl[[#This Row],[Unit Price]]*SalesTbl[[#This Row],[Quantity]]</f>
        <v>7500</v>
      </c>
      <c r="N115" s="6">
        <f>YEAR(SalesTbl[[#This Row],[Order Date]])</f>
        <v>2023</v>
      </c>
      <c r="O115" s="6" t="str">
        <f>TEXT(SalesTbl[[#This Row],[Order Date]],"yyyy-mm")</f>
        <v>2023-07</v>
      </c>
      <c r="P115" s="13">
        <f>WEEKNUM(SalesTbl[[#This Row],[Order Date]],2)</f>
        <v>28</v>
      </c>
      <c r="Q115" s="14">
        <f>MEDIAN(SalesTbl[Quantity])</f>
        <v>3</v>
      </c>
      <c r="R115" s="14">
        <f>IF(ISBLANK(SalesTbl[[#This Row],[Quantity]]),$H$2,SalesTbl[[#This Row],[Quantity]])</f>
        <v>5</v>
      </c>
      <c r="S115">
        <f>ROW()-ROW(SalesTbl[[#Headers],[Customer ID]])</f>
        <v>114</v>
      </c>
      <c r="T115" s="9" t="str">
        <f>IF(SalesTbl[[#This Row],[RowIdx]]&lt;=ROUNDUP(COUNTA(SalesTbl[Customer ID])*0.8,0),"Train","Test")</f>
        <v>Train</v>
      </c>
    </row>
    <row r="116" spans="1:20" x14ac:dyDescent="0.25">
      <c r="A116" t="s">
        <v>16</v>
      </c>
      <c r="B116" t="s">
        <v>20</v>
      </c>
      <c r="C116" t="s">
        <v>322</v>
      </c>
      <c r="D116" t="s">
        <v>23</v>
      </c>
      <c r="E116" t="s">
        <v>15</v>
      </c>
      <c r="F116">
        <v>22</v>
      </c>
      <c r="G116">
        <v>1500</v>
      </c>
      <c r="H116">
        <v>3</v>
      </c>
      <c r="I116">
        <v>4500</v>
      </c>
      <c r="J116">
        <v>11.69</v>
      </c>
      <c r="K116" s="2">
        <v>45097</v>
      </c>
      <c r="L116" t="s">
        <v>318</v>
      </c>
      <c r="M116" s="6">
        <f>SalesTbl[[#This Row],[Unit Price]]*SalesTbl[[#This Row],[Quantity]]</f>
        <v>4500</v>
      </c>
      <c r="N116" s="6">
        <f>YEAR(SalesTbl[[#This Row],[Order Date]])</f>
        <v>2023</v>
      </c>
      <c r="O116" s="6" t="str">
        <f>TEXT(SalesTbl[[#This Row],[Order Date]],"yyyy-mm")</f>
        <v>2023-06</v>
      </c>
      <c r="P116" s="13">
        <f>WEEKNUM(SalesTbl[[#This Row],[Order Date]],2)</f>
        <v>26</v>
      </c>
      <c r="Q116" s="14">
        <f>MEDIAN(SalesTbl[Quantity])</f>
        <v>3</v>
      </c>
      <c r="R116" s="14">
        <f>IF(ISBLANK(SalesTbl[[#This Row],[Quantity]]),$H$2,SalesTbl[[#This Row],[Quantity]])</f>
        <v>3</v>
      </c>
      <c r="S116">
        <f>ROW()-ROW(SalesTbl[[#Headers],[Customer ID]])</f>
        <v>115</v>
      </c>
      <c r="T116" s="9" t="str">
        <f>IF(SalesTbl[[#This Row],[RowIdx]]&lt;=ROUNDUP(COUNTA(SalesTbl[Customer ID])*0.8,0),"Train","Test")</f>
        <v>Train</v>
      </c>
    </row>
    <row r="117" spans="1:20" x14ac:dyDescent="0.25">
      <c r="A117" t="s">
        <v>22</v>
      </c>
      <c r="B117" t="s">
        <v>13</v>
      </c>
      <c r="C117" t="s">
        <v>319</v>
      </c>
      <c r="D117" t="s">
        <v>17</v>
      </c>
      <c r="E117" t="s">
        <v>18</v>
      </c>
      <c r="F117">
        <v>65</v>
      </c>
      <c r="G117">
        <v>100</v>
      </c>
      <c r="H117">
        <v>1</v>
      </c>
      <c r="I117">
        <v>100</v>
      </c>
      <c r="J117">
        <v>19.28</v>
      </c>
      <c r="K117" s="2">
        <v>44968</v>
      </c>
      <c r="L117" t="s">
        <v>316</v>
      </c>
      <c r="M117" s="6">
        <f>SalesTbl[[#This Row],[Unit Price]]*SalesTbl[[#This Row],[Quantity]]</f>
        <v>100</v>
      </c>
      <c r="N117" s="6">
        <f>YEAR(SalesTbl[[#This Row],[Order Date]])</f>
        <v>2023</v>
      </c>
      <c r="O117" s="6" t="str">
        <f>TEXT(SalesTbl[[#This Row],[Order Date]],"yyyy-mm")</f>
        <v>2023-02</v>
      </c>
      <c r="P117" s="13">
        <f>WEEKNUM(SalesTbl[[#This Row],[Order Date]],2)</f>
        <v>7</v>
      </c>
      <c r="Q117" s="14">
        <f>MEDIAN(SalesTbl[Quantity])</f>
        <v>3</v>
      </c>
      <c r="R117" s="14">
        <f>IF(ISBLANK(SalesTbl[[#This Row],[Quantity]]),$H$2,SalesTbl[[#This Row],[Quantity]])</f>
        <v>1</v>
      </c>
      <c r="S117">
        <f>ROW()-ROW(SalesTbl[[#Headers],[Customer ID]])</f>
        <v>116</v>
      </c>
      <c r="T117" s="9" t="str">
        <f>IF(SalesTbl[[#This Row],[RowIdx]]&lt;=ROUNDUP(COUNTA(SalesTbl[Customer ID])*0.8,0),"Train","Test")</f>
        <v>Train</v>
      </c>
    </row>
    <row r="118" spans="1:20" x14ac:dyDescent="0.25">
      <c r="A118" t="s">
        <v>119</v>
      </c>
      <c r="B118" t="s">
        <v>20</v>
      </c>
      <c r="C118" t="s">
        <v>320</v>
      </c>
      <c r="D118" t="s">
        <v>17</v>
      </c>
      <c r="E118" t="s">
        <v>18</v>
      </c>
      <c r="F118">
        <v>49</v>
      </c>
      <c r="G118">
        <v>100</v>
      </c>
      <c r="H118">
        <v>5</v>
      </c>
      <c r="I118">
        <v>500</v>
      </c>
      <c r="J118">
        <v>16.04</v>
      </c>
      <c r="K118" s="2">
        <v>44959</v>
      </c>
      <c r="L118" t="s">
        <v>318</v>
      </c>
      <c r="M118" s="6">
        <f>SalesTbl[[#This Row],[Unit Price]]*SalesTbl[[#This Row],[Quantity]]</f>
        <v>500</v>
      </c>
      <c r="N118" s="6">
        <f>YEAR(SalesTbl[[#This Row],[Order Date]])</f>
        <v>2023</v>
      </c>
      <c r="O118" s="6" t="str">
        <f>TEXT(SalesTbl[[#This Row],[Order Date]],"yyyy-mm")</f>
        <v>2023-02</v>
      </c>
      <c r="P118" s="13">
        <f>WEEKNUM(SalesTbl[[#This Row],[Order Date]],2)</f>
        <v>6</v>
      </c>
      <c r="Q118" s="14">
        <f>MEDIAN(SalesTbl[Quantity])</f>
        <v>3</v>
      </c>
      <c r="R118" s="14">
        <f>IF(ISBLANK(SalesTbl[[#This Row],[Quantity]]),$H$2,SalesTbl[[#This Row],[Quantity]])</f>
        <v>5</v>
      </c>
      <c r="S118">
        <f>ROW()-ROW(SalesTbl[[#Headers],[Customer ID]])</f>
        <v>117</v>
      </c>
      <c r="T118" s="9" t="str">
        <f>IF(SalesTbl[[#This Row],[RowIdx]]&lt;=ROUNDUP(COUNTA(SalesTbl[Customer ID])*0.8,0),"Train","Test")</f>
        <v>Train</v>
      </c>
    </row>
    <row r="119" spans="1:20" x14ac:dyDescent="0.25">
      <c r="A119" t="s">
        <v>120</v>
      </c>
      <c r="B119" t="s">
        <v>13</v>
      </c>
      <c r="C119" t="s">
        <v>321</v>
      </c>
      <c r="D119" t="s">
        <v>17</v>
      </c>
      <c r="E119" t="s">
        <v>18</v>
      </c>
      <c r="F119">
        <v>58</v>
      </c>
      <c r="G119">
        <v>100</v>
      </c>
      <c r="H119">
        <v>3</v>
      </c>
      <c r="I119">
        <v>300</v>
      </c>
      <c r="J119">
        <v>6.08</v>
      </c>
      <c r="K119" s="2">
        <v>45007</v>
      </c>
      <c r="L119" t="s">
        <v>316</v>
      </c>
      <c r="M119" s="6">
        <f>SalesTbl[[#This Row],[Unit Price]]*SalesTbl[[#This Row],[Quantity]]</f>
        <v>300</v>
      </c>
      <c r="N119" s="6">
        <f>YEAR(SalesTbl[[#This Row],[Order Date]])</f>
        <v>2023</v>
      </c>
      <c r="O119" s="6" t="str">
        <f>TEXT(SalesTbl[[#This Row],[Order Date]],"yyyy-mm")</f>
        <v>2023-03</v>
      </c>
      <c r="P119" s="13">
        <f>WEEKNUM(SalesTbl[[#This Row],[Order Date]],2)</f>
        <v>13</v>
      </c>
      <c r="Q119" s="14">
        <f>MEDIAN(SalesTbl[Quantity])</f>
        <v>3</v>
      </c>
      <c r="R119" s="14">
        <f>IF(ISBLANK(SalesTbl[[#This Row],[Quantity]]),$H$2,SalesTbl[[#This Row],[Quantity]])</f>
        <v>3</v>
      </c>
      <c r="S119">
        <f>ROW()-ROW(SalesTbl[[#Headers],[Customer ID]])</f>
        <v>118</v>
      </c>
      <c r="T119" s="9" t="str">
        <f>IF(SalesTbl[[#This Row],[RowIdx]]&lt;=ROUNDUP(COUNTA(SalesTbl[Customer ID])*0.8,0),"Train","Test")</f>
        <v>Train</v>
      </c>
    </row>
    <row r="120" spans="1:20" x14ac:dyDescent="0.25">
      <c r="A120" t="s">
        <v>21</v>
      </c>
      <c r="B120" t="s">
        <v>13</v>
      </c>
      <c r="C120" t="s">
        <v>323</v>
      </c>
      <c r="D120" t="s">
        <v>40</v>
      </c>
      <c r="E120" t="s">
        <v>15</v>
      </c>
      <c r="F120">
        <v>23</v>
      </c>
      <c r="G120">
        <v>800</v>
      </c>
      <c r="H120">
        <v>1</v>
      </c>
      <c r="I120">
        <v>800</v>
      </c>
      <c r="J120">
        <v>12.64</v>
      </c>
      <c r="K120" s="2">
        <v>45179</v>
      </c>
      <c r="L120" t="s">
        <v>316</v>
      </c>
      <c r="M120" s="6">
        <f>SalesTbl[[#This Row],[Unit Price]]*SalesTbl[[#This Row],[Quantity]]</f>
        <v>800</v>
      </c>
      <c r="N120" s="6">
        <f>YEAR(SalesTbl[[#This Row],[Order Date]])</f>
        <v>2023</v>
      </c>
      <c r="O120" s="6" t="str">
        <f>TEXT(SalesTbl[[#This Row],[Order Date]],"yyyy-mm")</f>
        <v>2023-09</v>
      </c>
      <c r="P120" s="13">
        <f>WEEKNUM(SalesTbl[[#This Row],[Order Date]],2)</f>
        <v>37</v>
      </c>
      <c r="Q120" s="14">
        <f>MEDIAN(SalesTbl[Quantity])</f>
        <v>3</v>
      </c>
      <c r="R120" s="14">
        <f>IF(ISBLANK(SalesTbl[[#This Row],[Quantity]]),$H$2,SalesTbl[[#This Row],[Quantity]])</f>
        <v>1</v>
      </c>
      <c r="S120">
        <f>ROW()-ROW(SalesTbl[[#Headers],[Customer ID]])</f>
        <v>119</v>
      </c>
      <c r="T120" s="9" t="str">
        <f>IF(SalesTbl[[#This Row],[RowIdx]]&lt;=ROUNDUP(COUNTA(SalesTbl[Customer ID])*0.8,0),"Train","Test")</f>
        <v>Train</v>
      </c>
    </row>
    <row r="121" spans="1:20" x14ac:dyDescent="0.25">
      <c r="A121" t="s">
        <v>121</v>
      </c>
      <c r="B121" t="s">
        <v>20</v>
      </c>
      <c r="C121" t="s">
        <v>322</v>
      </c>
      <c r="D121" t="s">
        <v>30</v>
      </c>
      <c r="E121" t="s">
        <v>18</v>
      </c>
      <c r="F121">
        <v>38</v>
      </c>
      <c r="G121">
        <v>30</v>
      </c>
      <c r="H121">
        <v>1</v>
      </c>
      <c r="I121">
        <v>30</v>
      </c>
      <c r="J121">
        <v>10.92</v>
      </c>
      <c r="K121" s="2">
        <v>44979</v>
      </c>
      <c r="L121" t="s">
        <v>318</v>
      </c>
      <c r="M121" s="6">
        <f>SalesTbl[[#This Row],[Unit Price]]*SalesTbl[[#This Row],[Quantity]]</f>
        <v>30</v>
      </c>
      <c r="N121" s="6">
        <f>YEAR(SalesTbl[[#This Row],[Order Date]])</f>
        <v>2023</v>
      </c>
      <c r="O121" s="6" t="str">
        <f>TEXT(SalesTbl[[#This Row],[Order Date]],"yyyy-mm")</f>
        <v>2023-02</v>
      </c>
      <c r="P121" s="13">
        <f>WEEKNUM(SalesTbl[[#This Row],[Order Date]],2)</f>
        <v>9</v>
      </c>
      <c r="Q121" s="14">
        <f>MEDIAN(SalesTbl[Quantity])</f>
        <v>3</v>
      </c>
      <c r="R121" s="14">
        <f>IF(ISBLANK(SalesTbl[[#This Row],[Quantity]]),$H$2,SalesTbl[[#This Row],[Quantity]])</f>
        <v>1</v>
      </c>
      <c r="S121">
        <f>ROW()-ROW(SalesTbl[[#Headers],[Customer ID]])</f>
        <v>120</v>
      </c>
      <c r="T121" s="9" t="str">
        <f>IF(SalesTbl[[#This Row],[RowIdx]]&lt;=ROUNDUP(COUNTA(SalesTbl[Customer ID])*0.8,0),"Train","Test")</f>
        <v>Train</v>
      </c>
    </row>
    <row r="122" spans="1:20" x14ac:dyDescent="0.25">
      <c r="A122" t="s">
        <v>122</v>
      </c>
      <c r="B122" t="s">
        <v>13</v>
      </c>
      <c r="C122" t="s">
        <v>320</v>
      </c>
      <c r="D122" t="s">
        <v>40</v>
      </c>
      <c r="E122" t="s">
        <v>15</v>
      </c>
      <c r="F122">
        <v>19</v>
      </c>
      <c r="G122">
        <v>800</v>
      </c>
      <c r="H122">
        <v>3</v>
      </c>
      <c r="I122">
        <v>2400</v>
      </c>
      <c r="J122">
        <v>16.82</v>
      </c>
      <c r="K122" s="2">
        <v>45066</v>
      </c>
      <c r="L122" t="s">
        <v>317</v>
      </c>
      <c r="M122" s="6">
        <f>SalesTbl[[#This Row],[Unit Price]]*SalesTbl[[#This Row],[Quantity]]</f>
        <v>2400</v>
      </c>
      <c r="N122" s="6">
        <f>YEAR(SalesTbl[[#This Row],[Order Date]])</f>
        <v>2023</v>
      </c>
      <c r="O122" s="6" t="str">
        <f>TEXT(SalesTbl[[#This Row],[Order Date]],"yyyy-mm")</f>
        <v>2023-05</v>
      </c>
      <c r="P122" s="13">
        <f>WEEKNUM(SalesTbl[[#This Row],[Order Date]],2)</f>
        <v>21</v>
      </c>
      <c r="Q122" s="14">
        <f>MEDIAN(SalesTbl[Quantity])</f>
        <v>3</v>
      </c>
      <c r="R122" s="14">
        <f>IF(ISBLANK(SalesTbl[[#This Row],[Quantity]]),$H$2,SalesTbl[[#This Row],[Quantity]])</f>
        <v>3</v>
      </c>
      <c r="S122">
        <f>ROW()-ROW(SalesTbl[[#Headers],[Customer ID]])</f>
        <v>121</v>
      </c>
      <c r="T122" s="9" t="str">
        <f>IF(SalesTbl[[#This Row],[RowIdx]]&lt;=ROUNDUP(COUNTA(SalesTbl[Customer ID])*0.8,0),"Train","Test")</f>
        <v>Train</v>
      </c>
    </row>
    <row r="123" spans="1:20" x14ac:dyDescent="0.25">
      <c r="A123" t="s">
        <v>38</v>
      </c>
      <c r="B123" t="s">
        <v>13</v>
      </c>
      <c r="C123" t="s">
        <v>322</v>
      </c>
      <c r="D123" t="s">
        <v>25</v>
      </c>
      <c r="E123" t="s">
        <v>26</v>
      </c>
      <c r="F123">
        <v>49</v>
      </c>
      <c r="G123">
        <v>200</v>
      </c>
      <c r="H123">
        <v>2</v>
      </c>
      <c r="I123">
        <v>400</v>
      </c>
      <c r="J123">
        <v>9.18</v>
      </c>
      <c r="K123" s="2">
        <v>45103</v>
      </c>
      <c r="L123" t="s">
        <v>318</v>
      </c>
      <c r="M123" s="6">
        <f>SalesTbl[[#This Row],[Unit Price]]*SalesTbl[[#This Row],[Quantity]]</f>
        <v>400</v>
      </c>
      <c r="N123" s="6">
        <f>YEAR(SalesTbl[[#This Row],[Order Date]])</f>
        <v>2023</v>
      </c>
      <c r="O123" s="6" t="str">
        <f>TEXT(SalesTbl[[#This Row],[Order Date]],"yyyy-mm")</f>
        <v>2023-06</v>
      </c>
      <c r="P123" s="13">
        <f>WEEKNUM(SalesTbl[[#This Row],[Order Date]],2)</f>
        <v>27</v>
      </c>
      <c r="Q123" s="14">
        <f>MEDIAN(SalesTbl[Quantity])</f>
        <v>3</v>
      </c>
      <c r="R123" s="14">
        <f>IF(ISBLANK(SalesTbl[[#This Row],[Quantity]]),$H$2,SalesTbl[[#This Row],[Quantity]])</f>
        <v>2</v>
      </c>
      <c r="S123">
        <f>ROW()-ROW(SalesTbl[[#Headers],[Customer ID]])</f>
        <v>122</v>
      </c>
      <c r="T123" s="9" t="str">
        <f>IF(SalesTbl[[#This Row],[RowIdx]]&lt;=ROUNDUP(COUNTA(SalesTbl[Customer ID])*0.8,0),"Train","Test")</f>
        <v>Train</v>
      </c>
    </row>
    <row r="124" spans="1:20" x14ac:dyDescent="0.25">
      <c r="A124" t="s">
        <v>123</v>
      </c>
      <c r="B124" t="s">
        <v>20</v>
      </c>
      <c r="C124" t="s">
        <v>322</v>
      </c>
      <c r="D124" t="s">
        <v>14</v>
      </c>
      <c r="E124" t="s">
        <v>15</v>
      </c>
      <c r="F124">
        <v>49</v>
      </c>
      <c r="G124">
        <v>300</v>
      </c>
      <c r="H124">
        <v>2</v>
      </c>
      <c r="I124">
        <v>600</v>
      </c>
      <c r="J124">
        <v>15.3</v>
      </c>
      <c r="K124" s="2">
        <v>45028</v>
      </c>
      <c r="L124" t="s">
        <v>318</v>
      </c>
      <c r="M124" s="6">
        <f>SalesTbl[[#This Row],[Unit Price]]*SalesTbl[[#This Row],[Quantity]]</f>
        <v>600</v>
      </c>
      <c r="N124" s="6">
        <f>YEAR(SalesTbl[[#This Row],[Order Date]])</f>
        <v>2023</v>
      </c>
      <c r="O124" s="6" t="str">
        <f>TEXT(SalesTbl[[#This Row],[Order Date]],"yyyy-mm")</f>
        <v>2023-04</v>
      </c>
      <c r="P124" s="13">
        <f>WEEKNUM(SalesTbl[[#This Row],[Order Date]],2)</f>
        <v>16</v>
      </c>
      <c r="Q124" s="14">
        <f>MEDIAN(SalesTbl[Quantity])</f>
        <v>3</v>
      </c>
      <c r="R124" s="14">
        <f>IF(ISBLANK(SalesTbl[[#This Row],[Quantity]]),$H$2,SalesTbl[[#This Row],[Quantity]])</f>
        <v>2</v>
      </c>
      <c r="S124">
        <f>ROW()-ROW(SalesTbl[[#Headers],[Customer ID]])</f>
        <v>123</v>
      </c>
      <c r="T124" s="9" t="str">
        <f>IF(SalesTbl[[#This Row],[RowIdx]]&lt;=ROUNDUP(COUNTA(SalesTbl[Customer ID])*0.8,0),"Train","Test")</f>
        <v>Train</v>
      </c>
    </row>
    <row r="125" spans="1:20" x14ac:dyDescent="0.25">
      <c r="A125" t="s">
        <v>124</v>
      </c>
      <c r="B125" t="s">
        <v>13</v>
      </c>
      <c r="C125" t="s">
        <v>320</v>
      </c>
      <c r="D125" t="s">
        <v>14</v>
      </c>
      <c r="E125" t="s">
        <v>15</v>
      </c>
      <c r="F125">
        <v>61</v>
      </c>
      <c r="G125">
        <v>300</v>
      </c>
      <c r="H125">
        <v>2</v>
      </c>
      <c r="I125">
        <v>600</v>
      </c>
      <c r="J125">
        <v>13.84</v>
      </c>
      <c r="K125" s="2">
        <v>45209</v>
      </c>
      <c r="L125" t="s">
        <v>317</v>
      </c>
      <c r="M125" s="6">
        <f>SalesTbl[[#This Row],[Unit Price]]*SalesTbl[[#This Row],[Quantity]]</f>
        <v>600</v>
      </c>
      <c r="N125" s="6">
        <f>YEAR(SalesTbl[[#This Row],[Order Date]])</f>
        <v>2023</v>
      </c>
      <c r="O125" s="6" t="str">
        <f>TEXT(SalesTbl[[#This Row],[Order Date]],"yyyy-mm")</f>
        <v>2023-10</v>
      </c>
      <c r="P125" s="13">
        <f>WEEKNUM(SalesTbl[[#This Row],[Order Date]],2)</f>
        <v>42</v>
      </c>
      <c r="Q125" s="14">
        <f>MEDIAN(SalesTbl[Quantity])</f>
        <v>3</v>
      </c>
      <c r="R125" s="14">
        <f>IF(ISBLANK(SalesTbl[[#This Row],[Quantity]]),$H$2,SalesTbl[[#This Row],[Quantity]])</f>
        <v>2</v>
      </c>
      <c r="S125">
        <f>ROW()-ROW(SalesTbl[[#Headers],[Customer ID]])</f>
        <v>124</v>
      </c>
      <c r="T125" s="9" t="str">
        <f>IF(SalesTbl[[#This Row],[RowIdx]]&lt;=ROUNDUP(COUNTA(SalesTbl[Customer ID])*0.8,0),"Train","Test")</f>
        <v>Train</v>
      </c>
    </row>
    <row r="126" spans="1:20" x14ac:dyDescent="0.25">
      <c r="A126" t="s">
        <v>119</v>
      </c>
      <c r="B126" t="s">
        <v>20</v>
      </c>
      <c r="C126" t="s">
        <v>320</v>
      </c>
      <c r="D126" t="s">
        <v>29</v>
      </c>
      <c r="E126" t="s">
        <v>18</v>
      </c>
      <c r="F126">
        <v>18</v>
      </c>
      <c r="G126">
        <v>50</v>
      </c>
      <c r="H126">
        <v>3</v>
      </c>
      <c r="I126">
        <v>150</v>
      </c>
      <c r="J126">
        <v>13.86</v>
      </c>
      <c r="K126" s="2">
        <v>45075</v>
      </c>
      <c r="L126" t="s">
        <v>318</v>
      </c>
      <c r="M126" s="6">
        <f>SalesTbl[[#This Row],[Unit Price]]*SalesTbl[[#This Row],[Quantity]]</f>
        <v>150</v>
      </c>
      <c r="N126" s="6">
        <f>YEAR(SalesTbl[[#This Row],[Order Date]])</f>
        <v>2023</v>
      </c>
      <c r="O126" s="6" t="str">
        <f>TEXT(SalesTbl[[#This Row],[Order Date]],"yyyy-mm")</f>
        <v>2023-05</v>
      </c>
      <c r="P126" s="13">
        <f>WEEKNUM(SalesTbl[[#This Row],[Order Date]],2)</f>
        <v>23</v>
      </c>
      <c r="Q126" s="14">
        <f>MEDIAN(SalesTbl[Quantity])</f>
        <v>3</v>
      </c>
      <c r="R126" s="14">
        <f>IF(ISBLANK(SalesTbl[[#This Row],[Quantity]]),$H$2,SalesTbl[[#This Row],[Quantity]])</f>
        <v>3</v>
      </c>
      <c r="S126">
        <f>ROW()-ROW(SalesTbl[[#Headers],[Customer ID]])</f>
        <v>125</v>
      </c>
      <c r="T126" s="9" t="str">
        <f>IF(SalesTbl[[#This Row],[RowIdx]]&lt;=ROUNDUP(COUNTA(SalesTbl[Customer ID])*0.8,0),"Train","Test")</f>
        <v>Train</v>
      </c>
    </row>
    <row r="127" spans="1:20" x14ac:dyDescent="0.25">
      <c r="A127" t="s">
        <v>125</v>
      </c>
      <c r="B127" t="s">
        <v>13</v>
      </c>
      <c r="C127" t="s">
        <v>320</v>
      </c>
      <c r="D127" t="s">
        <v>23</v>
      </c>
      <c r="E127" t="s">
        <v>15</v>
      </c>
      <c r="F127">
        <v>29</v>
      </c>
      <c r="G127">
        <v>1500</v>
      </c>
      <c r="H127">
        <v>3</v>
      </c>
      <c r="I127">
        <v>4500</v>
      </c>
      <c r="J127">
        <v>14.23</v>
      </c>
      <c r="K127" s="2">
        <v>45078</v>
      </c>
      <c r="L127" t="s">
        <v>316</v>
      </c>
      <c r="M127" s="6">
        <f>SalesTbl[[#This Row],[Unit Price]]*SalesTbl[[#This Row],[Quantity]]</f>
        <v>4500</v>
      </c>
      <c r="N127" s="6">
        <f>YEAR(SalesTbl[[#This Row],[Order Date]])</f>
        <v>2023</v>
      </c>
      <c r="O127" s="6" t="str">
        <f>TEXT(SalesTbl[[#This Row],[Order Date]],"yyyy-mm")</f>
        <v>2023-06</v>
      </c>
      <c r="P127" s="13">
        <f>WEEKNUM(SalesTbl[[#This Row],[Order Date]],2)</f>
        <v>23</v>
      </c>
      <c r="Q127" s="14">
        <f>MEDIAN(SalesTbl[Quantity])</f>
        <v>3</v>
      </c>
      <c r="R127" s="14">
        <f>IF(ISBLANK(SalesTbl[[#This Row],[Quantity]]),$H$2,SalesTbl[[#This Row],[Quantity]])</f>
        <v>3</v>
      </c>
      <c r="S127">
        <f>ROW()-ROW(SalesTbl[[#Headers],[Customer ID]])</f>
        <v>126</v>
      </c>
      <c r="T127" s="9" t="str">
        <f>IF(SalesTbl[[#This Row],[RowIdx]]&lt;=ROUNDUP(COUNTA(SalesTbl[Customer ID])*0.8,0),"Train","Test")</f>
        <v>Train</v>
      </c>
    </row>
    <row r="128" spans="1:20" x14ac:dyDescent="0.25">
      <c r="A128" t="s">
        <v>126</v>
      </c>
      <c r="B128" t="s">
        <v>13</v>
      </c>
      <c r="C128" t="s">
        <v>319</v>
      </c>
      <c r="D128" t="s">
        <v>25</v>
      </c>
      <c r="E128" t="s">
        <v>26</v>
      </c>
      <c r="F128">
        <v>50</v>
      </c>
      <c r="G128">
        <v>200</v>
      </c>
      <c r="H128">
        <v>5</v>
      </c>
      <c r="I128">
        <v>1000</v>
      </c>
      <c r="J128">
        <v>6.09</v>
      </c>
      <c r="K128" s="2">
        <v>45160</v>
      </c>
      <c r="L128" t="s">
        <v>317</v>
      </c>
      <c r="M128" s="6">
        <f>SalesTbl[[#This Row],[Unit Price]]*SalesTbl[[#This Row],[Quantity]]</f>
        <v>1000</v>
      </c>
      <c r="N128" s="6">
        <f>YEAR(SalesTbl[[#This Row],[Order Date]])</f>
        <v>2023</v>
      </c>
      <c r="O128" s="6" t="str">
        <f>TEXT(SalesTbl[[#This Row],[Order Date]],"yyyy-mm")</f>
        <v>2023-08</v>
      </c>
      <c r="P128" s="13">
        <f>WEEKNUM(SalesTbl[[#This Row],[Order Date]],2)</f>
        <v>35</v>
      </c>
      <c r="Q128" s="14">
        <f>MEDIAN(SalesTbl[Quantity])</f>
        <v>3</v>
      </c>
      <c r="R128" s="14">
        <f>IF(ISBLANK(SalesTbl[[#This Row],[Quantity]]),$H$2,SalesTbl[[#This Row],[Quantity]])</f>
        <v>5</v>
      </c>
      <c r="S128">
        <f>ROW()-ROW(SalesTbl[[#Headers],[Customer ID]])</f>
        <v>127</v>
      </c>
      <c r="T128" s="9" t="str">
        <f>IF(SalesTbl[[#This Row],[RowIdx]]&lt;=ROUNDUP(COUNTA(SalesTbl[Customer ID])*0.8,0),"Train","Test")</f>
        <v>Train</v>
      </c>
    </row>
    <row r="129" spans="1:20" x14ac:dyDescent="0.25">
      <c r="A129" t="s">
        <v>127</v>
      </c>
      <c r="B129" t="s">
        <v>20</v>
      </c>
      <c r="C129" t="s">
        <v>320</v>
      </c>
      <c r="D129" t="s">
        <v>23</v>
      </c>
      <c r="E129" t="s">
        <v>15</v>
      </c>
      <c r="F129">
        <v>38</v>
      </c>
      <c r="G129">
        <v>1500</v>
      </c>
      <c r="H129">
        <v>3</v>
      </c>
      <c r="I129">
        <v>4500</v>
      </c>
      <c r="J129">
        <v>19.98</v>
      </c>
      <c r="K129" s="2">
        <v>45056</v>
      </c>
      <c r="L129" t="s">
        <v>317</v>
      </c>
      <c r="M129" s="6">
        <f>SalesTbl[[#This Row],[Unit Price]]*SalesTbl[[#This Row],[Quantity]]</f>
        <v>4500</v>
      </c>
      <c r="N129" s="6">
        <f>YEAR(SalesTbl[[#This Row],[Order Date]])</f>
        <v>2023</v>
      </c>
      <c r="O129" s="6" t="str">
        <f>TEXT(SalesTbl[[#This Row],[Order Date]],"yyyy-mm")</f>
        <v>2023-05</v>
      </c>
      <c r="P129" s="13">
        <f>WEEKNUM(SalesTbl[[#This Row],[Order Date]],2)</f>
        <v>20</v>
      </c>
      <c r="Q129" s="14">
        <f>MEDIAN(SalesTbl[Quantity])</f>
        <v>3</v>
      </c>
      <c r="R129" s="14">
        <f>IF(ISBLANK(SalesTbl[[#This Row],[Quantity]]),$H$2,SalesTbl[[#This Row],[Quantity]])</f>
        <v>3</v>
      </c>
      <c r="S129">
        <f>ROW()-ROW(SalesTbl[[#Headers],[Customer ID]])</f>
        <v>128</v>
      </c>
      <c r="T129" s="9" t="str">
        <f>IF(SalesTbl[[#This Row],[RowIdx]]&lt;=ROUNDUP(COUNTA(SalesTbl[Customer ID])*0.8,0),"Train","Test")</f>
        <v>Train</v>
      </c>
    </row>
    <row r="130" spans="1:20" x14ac:dyDescent="0.25">
      <c r="A130" t="s">
        <v>128</v>
      </c>
      <c r="B130" t="s">
        <v>13</v>
      </c>
      <c r="C130" t="s">
        <v>320</v>
      </c>
      <c r="D130" t="s">
        <v>40</v>
      </c>
      <c r="E130" t="s">
        <v>15</v>
      </c>
      <c r="F130">
        <v>63</v>
      </c>
      <c r="G130">
        <v>800</v>
      </c>
      <c r="H130">
        <v>5</v>
      </c>
      <c r="I130">
        <v>4000</v>
      </c>
      <c r="J130">
        <v>11.1</v>
      </c>
      <c r="K130" s="2">
        <v>45236</v>
      </c>
      <c r="L130" t="s">
        <v>317</v>
      </c>
      <c r="M130" s="6">
        <f>SalesTbl[[#This Row],[Unit Price]]*SalesTbl[[#This Row],[Quantity]]</f>
        <v>4000</v>
      </c>
      <c r="N130" s="6">
        <f>YEAR(SalesTbl[[#This Row],[Order Date]])</f>
        <v>2023</v>
      </c>
      <c r="O130" s="6" t="str">
        <f>TEXT(SalesTbl[[#This Row],[Order Date]],"yyyy-mm")</f>
        <v>2023-11</v>
      </c>
      <c r="P130" s="13">
        <f>WEEKNUM(SalesTbl[[#This Row],[Order Date]],2)</f>
        <v>46</v>
      </c>
      <c r="Q130" s="14">
        <f>MEDIAN(SalesTbl[Quantity])</f>
        <v>3</v>
      </c>
      <c r="R130" s="14">
        <f>IF(ISBLANK(SalesTbl[[#This Row],[Quantity]]),$H$2,SalesTbl[[#This Row],[Quantity]])</f>
        <v>5</v>
      </c>
      <c r="S130">
        <f>ROW()-ROW(SalesTbl[[#Headers],[Customer ID]])</f>
        <v>129</v>
      </c>
      <c r="T130" s="9" t="str">
        <f>IF(SalesTbl[[#This Row],[RowIdx]]&lt;=ROUNDUP(COUNTA(SalesTbl[Customer ID])*0.8,0),"Train","Test")</f>
        <v>Train</v>
      </c>
    </row>
    <row r="131" spans="1:20" x14ac:dyDescent="0.25">
      <c r="A131" t="s">
        <v>42</v>
      </c>
      <c r="B131" t="s">
        <v>20</v>
      </c>
      <c r="C131" t="s">
        <v>320</v>
      </c>
      <c r="D131" t="s">
        <v>23</v>
      </c>
      <c r="E131" t="s">
        <v>15</v>
      </c>
      <c r="F131">
        <v>59</v>
      </c>
      <c r="G131">
        <v>1500</v>
      </c>
      <c r="H131">
        <v>1</v>
      </c>
      <c r="I131">
        <v>1500</v>
      </c>
      <c r="J131">
        <v>12.63</v>
      </c>
      <c r="K131" s="2">
        <v>44963</v>
      </c>
      <c r="L131" t="s">
        <v>316</v>
      </c>
      <c r="M131" s="6">
        <f>SalesTbl[[#This Row],[Unit Price]]*SalesTbl[[#This Row],[Quantity]]</f>
        <v>1500</v>
      </c>
      <c r="N131" s="6">
        <f>YEAR(SalesTbl[[#This Row],[Order Date]])</f>
        <v>2023</v>
      </c>
      <c r="O131" s="6" t="str">
        <f>TEXT(SalesTbl[[#This Row],[Order Date]],"yyyy-mm")</f>
        <v>2023-02</v>
      </c>
      <c r="P131" s="13">
        <f>WEEKNUM(SalesTbl[[#This Row],[Order Date]],2)</f>
        <v>7</v>
      </c>
      <c r="Q131" s="14">
        <f>MEDIAN(SalesTbl[Quantity])</f>
        <v>3</v>
      </c>
      <c r="R131" s="14">
        <f>IF(ISBLANK(SalesTbl[[#This Row],[Quantity]]),$H$2,SalesTbl[[#This Row],[Quantity]])</f>
        <v>1</v>
      </c>
      <c r="S131">
        <f>ROW()-ROW(SalesTbl[[#Headers],[Customer ID]])</f>
        <v>130</v>
      </c>
      <c r="T131" s="9" t="str">
        <f>IF(SalesTbl[[#This Row],[RowIdx]]&lt;=ROUNDUP(COUNTA(SalesTbl[Customer ID])*0.8,0),"Train","Test")</f>
        <v>Train</v>
      </c>
    </row>
    <row r="132" spans="1:20" x14ac:dyDescent="0.25">
      <c r="A132" t="s">
        <v>129</v>
      </c>
      <c r="B132" t="s">
        <v>20</v>
      </c>
      <c r="C132" t="s">
        <v>320</v>
      </c>
      <c r="D132" t="s">
        <v>23</v>
      </c>
      <c r="E132" t="s">
        <v>15</v>
      </c>
      <c r="F132">
        <v>49</v>
      </c>
      <c r="G132">
        <v>1500</v>
      </c>
      <c r="H132">
        <v>5</v>
      </c>
      <c r="I132">
        <v>7500</v>
      </c>
      <c r="J132">
        <v>10.18</v>
      </c>
      <c r="K132" s="2">
        <v>45248</v>
      </c>
      <c r="L132" t="s">
        <v>317</v>
      </c>
      <c r="M132" s="6">
        <f>SalesTbl[[#This Row],[Unit Price]]*SalesTbl[[#This Row],[Quantity]]</f>
        <v>7500</v>
      </c>
      <c r="N132" s="6">
        <f>YEAR(SalesTbl[[#This Row],[Order Date]])</f>
        <v>2023</v>
      </c>
      <c r="O132" s="6" t="str">
        <f>TEXT(SalesTbl[[#This Row],[Order Date]],"yyyy-mm")</f>
        <v>2023-11</v>
      </c>
      <c r="P132" s="13">
        <f>WEEKNUM(SalesTbl[[#This Row],[Order Date]],2)</f>
        <v>47</v>
      </c>
      <c r="Q132" s="14">
        <f>MEDIAN(SalesTbl[Quantity])</f>
        <v>3</v>
      </c>
      <c r="R132" s="14">
        <f>IF(ISBLANK(SalesTbl[[#This Row],[Quantity]]),$H$2,SalesTbl[[#This Row],[Quantity]])</f>
        <v>5</v>
      </c>
      <c r="S132">
        <f>ROW()-ROW(SalesTbl[[#Headers],[Customer ID]])</f>
        <v>131</v>
      </c>
      <c r="T132" s="9" t="str">
        <f>IF(SalesTbl[[#This Row],[RowIdx]]&lt;=ROUNDUP(COUNTA(SalesTbl[Customer ID])*0.8,0),"Train","Test")</f>
        <v>Train</v>
      </c>
    </row>
    <row r="133" spans="1:20" x14ac:dyDescent="0.25">
      <c r="A133" t="s">
        <v>130</v>
      </c>
      <c r="B133" t="s">
        <v>13</v>
      </c>
      <c r="C133" t="s">
        <v>320</v>
      </c>
      <c r="D133" t="s">
        <v>40</v>
      </c>
      <c r="E133" t="s">
        <v>15</v>
      </c>
      <c r="F133">
        <v>47</v>
      </c>
      <c r="G133">
        <v>800</v>
      </c>
      <c r="H133">
        <v>1</v>
      </c>
      <c r="I133">
        <v>800</v>
      </c>
      <c r="J133">
        <v>10.16</v>
      </c>
      <c r="K133" s="2">
        <v>44939</v>
      </c>
      <c r="L133" t="s">
        <v>319</v>
      </c>
      <c r="M133" s="6">
        <f>SalesTbl[[#This Row],[Unit Price]]*SalesTbl[[#This Row],[Quantity]]</f>
        <v>800</v>
      </c>
      <c r="N133" s="6">
        <f>YEAR(SalesTbl[[#This Row],[Order Date]])</f>
        <v>2023</v>
      </c>
      <c r="O133" s="6" t="str">
        <f>TEXT(SalesTbl[[#This Row],[Order Date]],"yyyy-mm")</f>
        <v>2023-01</v>
      </c>
      <c r="P133" s="13">
        <f>WEEKNUM(SalesTbl[[#This Row],[Order Date]],2)</f>
        <v>3</v>
      </c>
      <c r="Q133" s="14">
        <f>MEDIAN(SalesTbl[Quantity])</f>
        <v>3</v>
      </c>
      <c r="R133" s="14">
        <f>IF(ISBLANK(SalesTbl[[#This Row],[Quantity]]),$H$2,SalesTbl[[#This Row],[Quantity]])</f>
        <v>1</v>
      </c>
      <c r="S133">
        <f>ROW()-ROW(SalesTbl[[#Headers],[Customer ID]])</f>
        <v>132</v>
      </c>
      <c r="T133" s="9" t="str">
        <f>IF(SalesTbl[[#This Row],[RowIdx]]&lt;=ROUNDUP(COUNTA(SalesTbl[Customer ID])*0.8,0),"Train","Test")</f>
        <v>Train</v>
      </c>
    </row>
    <row r="134" spans="1:20" x14ac:dyDescent="0.25">
      <c r="A134" t="s">
        <v>131</v>
      </c>
      <c r="B134" t="s">
        <v>20</v>
      </c>
      <c r="C134" t="s">
        <v>319</v>
      </c>
      <c r="D134" t="s">
        <v>25</v>
      </c>
      <c r="E134" t="s">
        <v>26</v>
      </c>
      <c r="F134">
        <v>49</v>
      </c>
      <c r="G134">
        <v>200</v>
      </c>
      <c r="H134">
        <v>1</v>
      </c>
      <c r="I134">
        <v>200</v>
      </c>
      <c r="J134">
        <v>6.03</v>
      </c>
      <c r="K134" s="2">
        <v>45037</v>
      </c>
      <c r="L134" t="s">
        <v>316</v>
      </c>
      <c r="M134" s="6">
        <f>SalesTbl[[#This Row],[Unit Price]]*SalesTbl[[#This Row],[Quantity]]</f>
        <v>200</v>
      </c>
      <c r="N134" s="6">
        <f>YEAR(SalesTbl[[#This Row],[Order Date]])</f>
        <v>2023</v>
      </c>
      <c r="O134" s="6" t="str">
        <f>TEXT(SalesTbl[[#This Row],[Order Date]],"yyyy-mm")</f>
        <v>2023-04</v>
      </c>
      <c r="P134" s="13">
        <f>WEEKNUM(SalesTbl[[#This Row],[Order Date]],2)</f>
        <v>17</v>
      </c>
      <c r="Q134" s="14">
        <f>MEDIAN(SalesTbl[Quantity])</f>
        <v>3</v>
      </c>
      <c r="R134" s="14">
        <f>IF(ISBLANK(SalesTbl[[#This Row],[Quantity]]),$H$2,SalesTbl[[#This Row],[Quantity]])</f>
        <v>1</v>
      </c>
      <c r="S134">
        <f>ROW()-ROW(SalesTbl[[#Headers],[Customer ID]])</f>
        <v>133</v>
      </c>
      <c r="T134" s="9" t="str">
        <f>IF(SalesTbl[[#This Row],[RowIdx]]&lt;=ROUNDUP(COUNTA(SalesTbl[Customer ID])*0.8,0),"Train","Test")</f>
        <v>Train</v>
      </c>
    </row>
    <row r="135" spans="1:20" x14ac:dyDescent="0.25">
      <c r="A135" t="s">
        <v>132</v>
      </c>
      <c r="B135" t="s">
        <v>20</v>
      </c>
      <c r="C135" t="s">
        <v>320</v>
      </c>
      <c r="D135" t="s">
        <v>29</v>
      </c>
      <c r="E135" t="s">
        <v>18</v>
      </c>
      <c r="F135">
        <v>33</v>
      </c>
      <c r="G135">
        <v>50</v>
      </c>
      <c r="H135">
        <v>1</v>
      </c>
      <c r="I135">
        <v>50</v>
      </c>
      <c r="J135">
        <v>6.06</v>
      </c>
      <c r="K135" s="2">
        <v>45140</v>
      </c>
      <c r="L135" t="s">
        <v>318</v>
      </c>
      <c r="M135" s="6">
        <f>SalesTbl[[#This Row],[Unit Price]]*SalesTbl[[#This Row],[Quantity]]</f>
        <v>50</v>
      </c>
      <c r="N135" s="6">
        <f>YEAR(SalesTbl[[#This Row],[Order Date]])</f>
        <v>2023</v>
      </c>
      <c r="O135" s="6" t="str">
        <f>TEXT(SalesTbl[[#This Row],[Order Date]],"yyyy-mm")</f>
        <v>2023-08</v>
      </c>
      <c r="P135" s="13">
        <f>WEEKNUM(SalesTbl[[#This Row],[Order Date]],2)</f>
        <v>32</v>
      </c>
      <c r="Q135" s="14">
        <f>MEDIAN(SalesTbl[Quantity])</f>
        <v>3</v>
      </c>
      <c r="R135" s="14">
        <f>IF(ISBLANK(SalesTbl[[#This Row],[Quantity]]),$H$2,SalesTbl[[#This Row],[Quantity]])</f>
        <v>1</v>
      </c>
      <c r="S135">
        <f>ROW()-ROW(SalesTbl[[#Headers],[Customer ID]])</f>
        <v>134</v>
      </c>
      <c r="T135" s="9" t="str">
        <f>IF(SalesTbl[[#This Row],[RowIdx]]&lt;=ROUNDUP(COUNTA(SalesTbl[Customer ID])*0.8,0),"Train","Test")</f>
        <v>Train</v>
      </c>
    </row>
    <row r="136" spans="1:20" x14ac:dyDescent="0.25">
      <c r="A136" t="s">
        <v>133</v>
      </c>
      <c r="B136" t="s">
        <v>20</v>
      </c>
      <c r="C136" t="s">
        <v>320</v>
      </c>
      <c r="D136" t="s">
        <v>23</v>
      </c>
      <c r="E136" t="s">
        <v>15</v>
      </c>
      <c r="F136">
        <v>41</v>
      </c>
      <c r="G136">
        <v>1500</v>
      </c>
      <c r="H136">
        <v>2</v>
      </c>
      <c r="I136">
        <v>3000</v>
      </c>
      <c r="J136">
        <v>9.2100000000000009</v>
      </c>
      <c r="K136" s="2">
        <v>44959</v>
      </c>
      <c r="L136" t="s">
        <v>316</v>
      </c>
      <c r="M136" s="6">
        <f>SalesTbl[[#This Row],[Unit Price]]*SalesTbl[[#This Row],[Quantity]]</f>
        <v>3000</v>
      </c>
      <c r="N136" s="6">
        <f>YEAR(SalesTbl[[#This Row],[Order Date]])</f>
        <v>2023</v>
      </c>
      <c r="O136" s="6" t="str">
        <f>TEXT(SalesTbl[[#This Row],[Order Date]],"yyyy-mm")</f>
        <v>2023-02</v>
      </c>
      <c r="P136" s="13">
        <f>WEEKNUM(SalesTbl[[#This Row],[Order Date]],2)</f>
        <v>6</v>
      </c>
      <c r="Q136" s="14">
        <f>MEDIAN(SalesTbl[Quantity])</f>
        <v>3</v>
      </c>
      <c r="R136" s="14">
        <f>IF(ISBLANK(SalesTbl[[#This Row],[Quantity]]),$H$2,SalesTbl[[#This Row],[Quantity]])</f>
        <v>2</v>
      </c>
      <c r="S136">
        <f>ROW()-ROW(SalesTbl[[#Headers],[Customer ID]])</f>
        <v>135</v>
      </c>
      <c r="T136" s="9" t="str">
        <f>IF(SalesTbl[[#This Row],[RowIdx]]&lt;=ROUNDUP(COUNTA(SalesTbl[Customer ID])*0.8,0),"Train","Test")</f>
        <v>Train</v>
      </c>
    </row>
    <row r="137" spans="1:20" x14ac:dyDescent="0.25">
      <c r="A137" t="s">
        <v>134</v>
      </c>
      <c r="B137" t="s">
        <v>13</v>
      </c>
      <c r="C137" t="s">
        <v>320</v>
      </c>
      <c r="D137" t="s">
        <v>29</v>
      </c>
      <c r="E137" t="s">
        <v>18</v>
      </c>
      <c r="F137">
        <v>46</v>
      </c>
      <c r="G137">
        <v>50</v>
      </c>
      <c r="H137">
        <v>3</v>
      </c>
      <c r="I137">
        <v>150</v>
      </c>
      <c r="J137">
        <v>5.09</v>
      </c>
      <c r="K137" s="2">
        <v>45001</v>
      </c>
      <c r="L137" t="s">
        <v>316</v>
      </c>
      <c r="M137" s="6">
        <f>SalesTbl[[#This Row],[Unit Price]]*SalesTbl[[#This Row],[Quantity]]</f>
        <v>150</v>
      </c>
      <c r="N137" s="6">
        <f>YEAR(SalesTbl[[#This Row],[Order Date]])</f>
        <v>2023</v>
      </c>
      <c r="O137" s="6" t="str">
        <f>TEXT(SalesTbl[[#This Row],[Order Date]],"yyyy-mm")</f>
        <v>2023-03</v>
      </c>
      <c r="P137" s="13">
        <f>WEEKNUM(SalesTbl[[#This Row],[Order Date]],2)</f>
        <v>12</v>
      </c>
      <c r="Q137" s="14">
        <f>MEDIAN(SalesTbl[Quantity])</f>
        <v>3</v>
      </c>
      <c r="R137" s="14">
        <f>IF(ISBLANK(SalesTbl[[#This Row],[Quantity]]),$H$2,SalesTbl[[#This Row],[Quantity]])</f>
        <v>3</v>
      </c>
      <c r="S137">
        <f>ROW()-ROW(SalesTbl[[#Headers],[Customer ID]])</f>
        <v>136</v>
      </c>
      <c r="T137" s="9" t="str">
        <f>IF(SalesTbl[[#This Row],[RowIdx]]&lt;=ROUNDUP(COUNTA(SalesTbl[Customer ID])*0.8,0),"Train","Test")</f>
        <v>Train</v>
      </c>
    </row>
    <row r="138" spans="1:20" x14ac:dyDescent="0.25">
      <c r="A138" t="s">
        <v>32</v>
      </c>
      <c r="B138" t="s">
        <v>20</v>
      </c>
      <c r="C138" t="s">
        <v>320</v>
      </c>
      <c r="D138" t="s">
        <v>30</v>
      </c>
      <c r="E138" t="s">
        <v>18</v>
      </c>
      <c r="F138">
        <v>49</v>
      </c>
      <c r="G138">
        <v>30</v>
      </c>
      <c r="H138">
        <v>2</v>
      </c>
      <c r="I138">
        <v>60</v>
      </c>
      <c r="J138">
        <v>8.39</v>
      </c>
      <c r="K138" s="2">
        <v>45233</v>
      </c>
      <c r="L138" t="s">
        <v>317</v>
      </c>
      <c r="M138" s="6">
        <f>SalesTbl[[#This Row],[Unit Price]]*SalesTbl[[#This Row],[Quantity]]</f>
        <v>60</v>
      </c>
      <c r="N138" s="6">
        <f>YEAR(SalesTbl[[#This Row],[Order Date]])</f>
        <v>2023</v>
      </c>
      <c r="O138" s="6" t="str">
        <f>TEXT(SalesTbl[[#This Row],[Order Date]],"yyyy-mm")</f>
        <v>2023-11</v>
      </c>
      <c r="P138" s="13">
        <f>WEEKNUM(SalesTbl[[#This Row],[Order Date]],2)</f>
        <v>45</v>
      </c>
      <c r="Q138" s="14">
        <f>MEDIAN(SalesTbl[Quantity])</f>
        <v>3</v>
      </c>
      <c r="R138" s="14">
        <f>IF(ISBLANK(SalesTbl[[#This Row],[Quantity]]),$H$2,SalesTbl[[#This Row],[Quantity]])</f>
        <v>2</v>
      </c>
      <c r="S138">
        <f>ROW()-ROW(SalesTbl[[#Headers],[Customer ID]])</f>
        <v>137</v>
      </c>
      <c r="T138" s="9" t="str">
        <f>IF(SalesTbl[[#This Row],[RowIdx]]&lt;=ROUNDUP(COUNTA(SalesTbl[Customer ID])*0.8,0),"Train","Test")</f>
        <v>Train</v>
      </c>
    </row>
    <row r="139" spans="1:20" x14ac:dyDescent="0.25">
      <c r="A139" t="s">
        <v>135</v>
      </c>
      <c r="B139" t="s">
        <v>20</v>
      </c>
      <c r="C139" t="s">
        <v>321</v>
      </c>
      <c r="D139" t="s">
        <v>30</v>
      </c>
      <c r="E139" t="s">
        <v>18</v>
      </c>
      <c r="F139">
        <v>54</v>
      </c>
      <c r="G139">
        <v>30</v>
      </c>
      <c r="H139">
        <v>2</v>
      </c>
      <c r="I139">
        <v>60</v>
      </c>
      <c r="J139">
        <v>8.59</v>
      </c>
      <c r="K139" s="2">
        <v>45081</v>
      </c>
      <c r="L139" t="s">
        <v>318</v>
      </c>
      <c r="M139" s="6">
        <f>SalesTbl[[#This Row],[Unit Price]]*SalesTbl[[#This Row],[Quantity]]</f>
        <v>60</v>
      </c>
      <c r="N139" s="6">
        <f>YEAR(SalesTbl[[#This Row],[Order Date]])</f>
        <v>2023</v>
      </c>
      <c r="O139" s="6" t="str">
        <f>TEXT(SalesTbl[[#This Row],[Order Date]],"yyyy-mm")</f>
        <v>2023-06</v>
      </c>
      <c r="P139" s="13">
        <f>WEEKNUM(SalesTbl[[#This Row],[Order Date]],2)</f>
        <v>23</v>
      </c>
      <c r="Q139" s="14">
        <f>MEDIAN(SalesTbl[Quantity])</f>
        <v>3</v>
      </c>
      <c r="R139" s="14">
        <f>IF(ISBLANK(SalesTbl[[#This Row],[Quantity]]),$H$2,SalesTbl[[#This Row],[Quantity]])</f>
        <v>2</v>
      </c>
      <c r="S139">
        <f>ROW()-ROW(SalesTbl[[#Headers],[Customer ID]])</f>
        <v>138</v>
      </c>
      <c r="T139" s="9" t="str">
        <f>IF(SalesTbl[[#This Row],[RowIdx]]&lt;=ROUNDUP(COUNTA(SalesTbl[Customer ID])*0.8,0),"Train","Test")</f>
        <v>Train</v>
      </c>
    </row>
    <row r="140" spans="1:20" x14ac:dyDescent="0.25">
      <c r="A140" t="s">
        <v>131</v>
      </c>
      <c r="B140" t="s">
        <v>13</v>
      </c>
      <c r="C140" t="s">
        <v>321</v>
      </c>
      <c r="D140" t="s">
        <v>23</v>
      </c>
      <c r="E140" t="s">
        <v>15</v>
      </c>
      <c r="F140">
        <v>30</v>
      </c>
      <c r="G140">
        <v>1500</v>
      </c>
      <c r="H140">
        <v>1</v>
      </c>
      <c r="I140">
        <v>1500</v>
      </c>
      <c r="J140">
        <v>9.98</v>
      </c>
      <c r="K140" s="2">
        <v>45264</v>
      </c>
      <c r="L140" t="s">
        <v>318</v>
      </c>
      <c r="M140" s="6">
        <f>SalesTbl[[#This Row],[Unit Price]]*SalesTbl[[#This Row],[Quantity]]</f>
        <v>1500</v>
      </c>
      <c r="N140" s="6">
        <f>YEAR(SalesTbl[[#This Row],[Order Date]])</f>
        <v>2023</v>
      </c>
      <c r="O140" s="6" t="str">
        <f>TEXT(SalesTbl[[#This Row],[Order Date]],"yyyy-mm")</f>
        <v>2023-12</v>
      </c>
      <c r="P140" s="13">
        <f>WEEKNUM(SalesTbl[[#This Row],[Order Date]],2)</f>
        <v>50</v>
      </c>
      <c r="Q140" s="14">
        <f>MEDIAN(SalesTbl[Quantity])</f>
        <v>3</v>
      </c>
      <c r="R140" s="14">
        <f>IF(ISBLANK(SalesTbl[[#This Row],[Quantity]]),$H$2,SalesTbl[[#This Row],[Quantity]])</f>
        <v>1</v>
      </c>
      <c r="S140">
        <f>ROW()-ROW(SalesTbl[[#Headers],[Customer ID]])</f>
        <v>139</v>
      </c>
      <c r="T140" s="9" t="str">
        <f>IF(SalesTbl[[#This Row],[RowIdx]]&lt;=ROUNDUP(COUNTA(SalesTbl[Customer ID])*0.8,0),"Train","Test")</f>
        <v>Train</v>
      </c>
    </row>
    <row r="141" spans="1:20" x14ac:dyDescent="0.25">
      <c r="A141" t="s">
        <v>102</v>
      </c>
      <c r="B141" t="s">
        <v>13</v>
      </c>
      <c r="C141" t="s">
        <v>323</v>
      </c>
      <c r="D141" t="s">
        <v>23</v>
      </c>
      <c r="E141" t="s">
        <v>15</v>
      </c>
      <c r="F141">
        <v>30</v>
      </c>
      <c r="G141">
        <v>1500</v>
      </c>
      <c r="H141">
        <v>5</v>
      </c>
      <c r="I141">
        <v>7500</v>
      </c>
      <c r="J141">
        <v>7.58</v>
      </c>
      <c r="K141" s="2">
        <v>45195</v>
      </c>
      <c r="L141" t="s">
        <v>318</v>
      </c>
      <c r="M141" s="6">
        <f>SalesTbl[[#This Row],[Unit Price]]*SalesTbl[[#This Row],[Quantity]]</f>
        <v>7500</v>
      </c>
      <c r="N141" s="6">
        <f>YEAR(SalesTbl[[#This Row],[Order Date]])</f>
        <v>2023</v>
      </c>
      <c r="O141" s="6" t="str">
        <f>TEXT(SalesTbl[[#This Row],[Order Date]],"yyyy-mm")</f>
        <v>2023-09</v>
      </c>
      <c r="P141" s="13">
        <f>WEEKNUM(SalesTbl[[#This Row],[Order Date]],2)</f>
        <v>40</v>
      </c>
      <c r="Q141" s="14">
        <f>MEDIAN(SalesTbl[Quantity])</f>
        <v>3</v>
      </c>
      <c r="R141" s="14">
        <f>IF(ISBLANK(SalesTbl[[#This Row],[Quantity]]),$H$2,SalesTbl[[#This Row],[Quantity]])</f>
        <v>5</v>
      </c>
      <c r="S141">
        <f>ROW()-ROW(SalesTbl[[#Headers],[Customer ID]])</f>
        <v>140</v>
      </c>
      <c r="T141" s="9" t="str">
        <f>IF(SalesTbl[[#This Row],[RowIdx]]&lt;=ROUNDUP(COUNTA(SalesTbl[Customer ID])*0.8,0),"Train","Test")</f>
        <v>Train</v>
      </c>
    </row>
    <row r="142" spans="1:20" x14ac:dyDescent="0.25">
      <c r="A142" t="s">
        <v>136</v>
      </c>
      <c r="B142" t="s">
        <v>13</v>
      </c>
      <c r="C142" t="s">
        <v>321</v>
      </c>
      <c r="D142" t="s">
        <v>23</v>
      </c>
      <c r="E142" t="s">
        <v>15</v>
      </c>
      <c r="F142">
        <v>37</v>
      </c>
      <c r="G142">
        <v>1500</v>
      </c>
      <c r="H142">
        <v>2</v>
      </c>
      <c r="I142">
        <v>3000</v>
      </c>
      <c r="J142">
        <v>5.69</v>
      </c>
      <c r="K142" s="2">
        <v>44944</v>
      </c>
      <c r="L142" t="s">
        <v>316</v>
      </c>
      <c r="M142" s="6">
        <f>SalesTbl[[#This Row],[Unit Price]]*SalesTbl[[#This Row],[Quantity]]</f>
        <v>3000</v>
      </c>
      <c r="N142" s="6">
        <f>YEAR(SalesTbl[[#This Row],[Order Date]])</f>
        <v>2023</v>
      </c>
      <c r="O142" s="6" t="str">
        <f>TEXT(SalesTbl[[#This Row],[Order Date]],"yyyy-mm")</f>
        <v>2023-01</v>
      </c>
      <c r="P142" s="13">
        <f>WEEKNUM(SalesTbl[[#This Row],[Order Date]],2)</f>
        <v>4</v>
      </c>
      <c r="Q142" s="14">
        <f>MEDIAN(SalesTbl[Quantity])</f>
        <v>3</v>
      </c>
      <c r="R142" s="14">
        <f>IF(ISBLANK(SalesTbl[[#This Row],[Quantity]]),$H$2,SalesTbl[[#This Row],[Quantity]])</f>
        <v>2</v>
      </c>
      <c r="S142">
        <f>ROW()-ROW(SalesTbl[[#Headers],[Customer ID]])</f>
        <v>141</v>
      </c>
      <c r="T142" s="9" t="str">
        <f>IF(SalesTbl[[#This Row],[RowIdx]]&lt;=ROUNDUP(COUNTA(SalesTbl[Customer ID])*0.8,0),"Train","Test")</f>
        <v>Train</v>
      </c>
    </row>
    <row r="143" spans="1:20" x14ac:dyDescent="0.25">
      <c r="A143" t="s">
        <v>137</v>
      </c>
      <c r="B143" t="s">
        <v>20</v>
      </c>
      <c r="C143" t="s">
        <v>323</v>
      </c>
      <c r="D143" t="s">
        <v>14</v>
      </c>
      <c r="E143" t="s">
        <v>15</v>
      </c>
      <c r="F143">
        <v>27</v>
      </c>
      <c r="G143">
        <v>300</v>
      </c>
      <c r="H143">
        <v>1</v>
      </c>
      <c r="I143">
        <v>300</v>
      </c>
      <c r="J143">
        <v>16.61</v>
      </c>
      <c r="K143" s="2">
        <v>45253</v>
      </c>
      <c r="L143" t="s">
        <v>317</v>
      </c>
      <c r="M143" s="6">
        <f>SalesTbl[[#This Row],[Unit Price]]*SalesTbl[[#This Row],[Quantity]]</f>
        <v>300</v>
      </c>
      <c r="N143" s="6">
        <f>YEAR(SalesTbl[[#This Row],[Order Date]])</f>
        <v>2023</v>
      </c>
      <c r="O143" s="6" t="str">
        <f>TEXT(SalesTbl[[#This Row],[Order Date]],"yyyy-mm")</f>
        <v>2023-11</v>
      </c>
      <c r="P143" s="13">
        <f>WEEKNUM(SalesTbl[[#This Row],[Order Date]],2)</f>
        <v>48</v>
      </c>
      <c r="Q143" s="14">
        <f>MEDIAN(SalesTbl[Quantity])</f>
        <v>3</v>
      </c>
      <c r="R143" s="14">
        <f>IF(ISBLANK(SalesTbl[[#This Row],[Quantity]]),$H$2,SalesTbl[[#This Row],[Quantity]])</f>
        <v>1</v>
      </c>
      <c r="S143">
        <f>ROW()-ROW(SalesTbl[[#Headers],[Customer ID]])</f>
        <v>142</v>
      </c>
      <c r="T143" s="9" t="str">
        <f>IF(SalesTbl[[#This Row],[RowIdx]]&lt;=ROUNDUP(COUNTA(SalesTbl[Customer ID])*0.8,0),"Train","Test")</f>
        <v>Train</v>
      </c>
    </row>
    <row r="144" spans="1:20" x14ac:dyDescent="0.25">
      <c r="A144" t="s">
        <v>127</v>
      </c>
      <c r="B144" t="s">
        <v>20</v>
      </c>
      <c r="C144" t="s">
        <v>321</v>
      </c>
      <c r="D144" t="s">
        <v>25</v>
      </c>
      <c r="E144" t="s">
        <v>26</v>
      </c>
      <c r="F144">
        <v>38</v>
      </c>
      <c r="G144">
        <v>200</v>
      </c>
      <c r="H144">
        <v>4</v>
      </c>
      <c r="I144">
        <v>800</v>
      </c>
      <c r="J144">
        <v>18.89</v>
      </c>
      <c r="K144" s="2">
        <v>45049</v>
      </c>
      <c r="L144" t="s">
        <v>316</v>
      </c>
      <c r="M144" s="6">
        <f>SalesTbl[[#This Row],[Unit Price]]*SalesTbl[[#This Row],[Quantity]]</f>
        <v>800</v>
      </c>
      <c r="N144" s="6">
        <f>YEAR(SalesTbl[[#This Row],[Order Date]])</f>
        <v>2023</v>
      </c>
      <c r="O144" s="6" t="str">
        <f>TEXT(SalesTbl[[#This Row],[Order Date]],"yyyy-mm")</f>
        <v>2023-05</v>
      </c>
      <c r="P144" s="13">
        <f>WEEKNUM(SalesTbl[[#This Row],[Order Date]],2)</f>
        <v>19</v>
      </c>
      <c r="Q144" s="14">
        <f>MEDIAN(SalesTbl[Quantity])</f>
        <v>3</v>
      </c>
      <c r="R144" s="14">
        <f>IF(ISBLANK(SalesTbl[[#This Row],[Quantity]]),$H$2,SalesTbl[[#This Row],[Quantity]])</f>
        <v>4</v>
      </c>
      <c r="S144">
        <f>ROW()-ROW(SalesTbl[[#Headers],[Customer ID]])</f>
        <v>143</v>
      </c>
      <c r="T144" s="9" t="str">
        <f>IF(SalesTbl[[#This Row],[RowIdx]]&lt;=ROUNDUP(COUNTA(SalesTbl[Customer ID])*0.8,0),"Train","Test")</f>
        <v>Train</v>
      </c>
    </row>
    <row r="145" spans="1:20" x14ac:dyDescent="0.25">
      <c r="A145" t="s">
        <v>138</v>
      </c>
      <c r="B145" t="s">
        <v>13</v>
      </c>
      <c r="C145" t="s">
        <v>321</v>
      </c>
      <c r="D145" t="s">
        <v>29</v>
      </c>
      <c r="E145" t="s">
        <v>18</v>
      </c>
      <c r="F145">
        <v>44</v>
      </c>
      <c r="G145">
        <v>50</v>
      </c>
      <c r="H145">
        <v>4</v>
      </c>
      <c r="I145">
        <v>200</v>
      </c>
      <c r="J145">
        <v>19.809999999999999</v>
      </c>
      <c r="K145" s="2">
        <v>45165</v>
      </c>
      <c r="L145" t="s">
        <v>317</v>
      </c>
      <c r="M145" s="6">
        <f>SalesTbl[[#This Row],[Unit Price]]*SalesTbl[[#This Row],[Quantity]]</f>
        <v>200</v>
      </c>
      <c r="N145" s="6">
        <f>YEAR(SalesTbl[[#This Row],[Order Date]])</f>
        <v>2023</v>
      </c>
      <c r="O145" s="6" t="str">
        <f>TEXT(SalesTbl[[#This Row],[Order Date]],"yyyy-mm")</f>
        <v>2023-08</v>
      </c>
      <c r="P145" s="13">
        <f>WEEKNUM(SalesTbl[[#This Row],[Order Date]],2)</f>
        <v>35</v>
      </c>
      <c r="Q145" s="14">
        <f>MEDIAN(SalesTbl[Quantity])</f>
        <v>3</v>
      </c>
      <c r="R145" s="14">
        <f>IF(ISBLANK(SalesTbl[[#This Row],[Quantity]]),$H$2,SalesTbl[[#This Row],[Quantity]])</f>
        <v>4</v>
      </c>
      <c r="S145">
        <f>ROW()-ROW(SalesTbl[[#Headers],[Customer ID]])</f>
        <v>144</v>
      </c>
      <c r="T145" s="9" t="str">
        <f>IF(SalesTbl[[#This Row],[RowIdx]]&lt;=ROUNDUP(COUNTA(SalesTbl[Customer ID])*0.8,0),"Train","Test")</f>
        <v>Train</v>
      </c>
    </row>
    <row r="146" spans="1:20" x14ac:dyDescent="0.25">
      <c r="A146" t="s">
        <v>62</v>
      </c>
      <c r="B146" t="s">
        <v>13</v>
      </c>
      <c r="C146" t="s">
        <v>321</v>
      </c>
      <c r="D146" t="s">
        <v>17</v>
      </c>
      <c r="E146" t="s">
        <v>18</v>
      </c>
      <c r="F146">
        <v>58</v>
      </c>
      <c r="G146">
        <v>100</v>
      </c>
      <c r="H146">
        <v>5</v>
      </c>
      <c r="I146">
        <v>500</v>
      </c>
      <c r="J146">
        <v>14.5</v>
      </c>
      <c r="K146" s="2">
        <v>44942</v>
      </c>
      <c r="L146" t="s">
        <v>316</v>
      </c>
      <c r="M146" s="6">
        <f>SalesTbl[[#This Row],[Unit Price]]*SalesTbl[[#This Row],[Quantity]]</f>
        <v>500</v>
      </c>
      <c r="N146" s="6">
        <f>YEAR(SalesTbl[[#This Row],[Order Date]])</f>
        <v>2023</v>
      </c>
      <c r="O146" s="6" t="str">
        <f>TEXT(SalesTbl[[#This Row],[Order Date]],"yyyy-mm")</f>
        <v>2023-01</v>
      </c>
      <c r="P146" s="13">
        <f>WEEKNUM(SalesTbl[[#This Row],[Order Date]],2)</f>
        <v>4</v>
      </c>
      <c r="Q146" s="14">
        <f>MEDIAN(SalesTbl[Quantity])</f>
        <v>3</v>
      </c>
      <c r="R146" s="14">
        <f>IF(ISBLANK(SalesTbl[[#This Row],[Quantity]]),$H$2,SalesTbl[[#This Row],[Quantity]])</f>
        <v>5</v>
      </c>
      <c r="S146">
        <f>ROW()-ROW(SalesTbl[[#Headers],[Customer ID]])</f>
        <v>145</v>
      </c>
      <c r="T146" s="9" t="str">
        <f>IF(SalesTbl[[#This Row],[RowIdx]]&lt;=ROUNDUP(COUNTA(SalesTbl[Customer ID])*0.8,0),"Train","Test")</f>
        <v>Train</v>
      </c>
    </row>
    <row r="147" spans="1:20" x14ac:dyDescent="0.25">
      <c r="A147" t="s">
        <v>49</v>
      </c>
      <c r="B147" t="s">
        <v>20</v>
      </c>
      <c r="C147" t="s">
        <v>323</v>
      </c>
      <c r="D147" t="s">
        <v>25</v>
      </c>
      <c r="E147" t="s">
        <v>26</v>
      </c>
      <c r="F147">
        <v>25</v>
      </c>
      <c r="G147">
        <v>200</v>
      </c>
      <c r="H147">
        <v>5</v>
      </c>
      <c r="I147">
        <v>1000</v>
      </c>
      <c r="J147">
        <v>16.41</v>
      </c>
      <c r="K147" s="2">
        <v>45132</v>
      </c>
      <c r="L147" t="s">
        <v>317</v>
      </c>
      <c r="M147" s="6">
        <f>SalesTbl[[#This Row],[Unit Price]]*SalesTbl[[#This Row],[Quantity]]</f>
        <v>1000</v>
      </c>
      <c r="N147" s="6">
        <f>YEAR(SalesTbl[[#This Row],[Order Date]])</f>
        <v>2023</v>
      </c>
      <c r="O147" s="6" t="str">
        <f>TEXT(SalesTbl[[#This Row],[Order Date]],"yyyy-mm")</f>
        <v>2023-07</v>
      </c>
      <c r="P147" s="13">
        <f>WEEKNUM(SalesTbl[[#This Row],[Order Date]],2)</f>
        <v>31</v>
      </c>
      <c r="Q147" s="14">
        <f>MEDIAN(SalesTbl[Quantity])</f>
        <v>3</v>
      </c>
      <c r="R147" s="14">
        <f>IF(ISBLANK(SalesTbl[[#This Row],[Quantity]]),$H$2,SalesTbl[[#This Row],[Quantity]])</f>
        <v>5</v>
      </c>
      <c r="S147">
        <f>ROW()-ROW(SalesTbl[[#Headers],[Customer ID]])</f>
        <v>146</v>
      </c>
      <c r="T147" s="9" t="str">
        <f>IF(SalesTbl[[#This Row],[RowIdx]]&lt;=ROUNDUP(COUNTA(SalesTbl[Customer ID])*0.8,0),"Train","Test")</f>
        <v>Train</v>
      </c>
    </row>
    <row r="148" spans="1:20" x14ac:dyDescent="0.25">
      <c r="A148" t="s">
        <v>139</v>
      </c>
      <c r="B148" t="s">
        <v>13</v>
      </c>
      <c r="C148" t="s">
        <v>320</v>
      </c>
      <c r="D148" t="s">
        <v>25</v>
      </c>
      <c r="E148" t="s">
        <v>26</v>
      </c>
      <c r="F148">
        <v>35</v>
      </c>
      <c r="G148">
        <v>200</v>
      </c>
      <c r="H148">
        <v>1</v>
      </c>
      <c r="I148">
        <v>200</v>
      </c>
      <c r="J148">
        <v>7.32</v>
      </c>
      <c r="K148" s="2">
        <v>45248</v>
      </c>
      <c r="L148" t="s">
        <v>318</v>
      </c>
      <c r="M148" s="6">
        <f>SalesTbl[[#This Row],[Unit Price]]*SalesTbl[[#This Row],[Quantity]]</f>
        <v>200</v>
      </c>
      <c r="N148" s="6">
        <f>YEAR(SalesTbl[[#This Row],[Order Date]])</f>
        <v>2023</v>
      </c>
      <c r="O148" s="6" t="str">
        <f>TEXT(SalesTbl[[#This Row],[Order Date]],"yyyy-mm")</f>
        <v>2023-11</v>
      </c>
      <c r="P148" s="13">
        <f>WEEKNUM(SalesTbl[[#This Row],[Order Date]],2)</f>
        <v>47</v>
      </c>
      <c r="Q148" s="14">
        <f>MEDIAN(SalesTbl[Quantity])</f>
        <v>3</v>
      </c>
      <c r="R148" s="14">
        <f>IF(ISBLANK(SalesTbl[[#This Row],[Quantity]]),$H$2,SalesTbl[[#This Row],[Quantity]])</f>
        <v>1</v>
      </c>
      <c r="S148">
        <f>ROW()-ROW(SalesTbl[[#Headers],[Customer ID]])</f>
        <v>147</v>
      </c>
      <c r="T148" s="9" t="str">
        <f>IF(SalesTbl[[#This Row],[RowIdx]]&lt;=ROUNDUP(COUNTA(SalesTbl[Customer ID])*0.8,0),"Train","Test")</f>
        <v>Train</v>
      </c>
    </row>
    <row r="149" spans="1:20" x14ac:dyDescent="0.25">
      <c r="A149" t="s">
        <v>140</v>
      </c>
      <c r="B149" t="s">
        <v>13</v>
      </c>
      <c r="C149" t="s">
        <v>323</v>
      </c>
      <c r="D149" t="s">
        <v>17</v>
      </c>
      <c r="E149" t="s">
        <v>18</v>
      </c>
      <c r="F149">
        <v>49</v>
      </c>
      <c r="G149">
        <v>100</v>
      </c>
      <c r="H149">
        <v>3</v>
      </c>
      <c r="I149">
        <v>300</v>
      </c>
      <c r="J149">
        <v>10.81</v>
      </c>
      <c r="K149" s="2">
        <v>45267</v>
      </c>
      <c r="L149" t="s">
        <v>316</v>
      </c>
      <c r="M149" s="6">
        <f>SalesTbl[[#This Row],[Unit Price]]*SalesTbl[[#This Row],[Quantity]]</f>
        <v>300</v>
      </c>
      <c r="N149" s="6">
        <f>YEAR(SalesTbl[[#This Row],[Order Date]])</f>
        <v>2023</v>
      </c>
      <c r="O149" s="6" t="str">
        <f>TEXT(SalesTbl[[#This Row],[Order Date]],"yyyy-mm")</f>
        <v>2023-12</v>
      </c>
      <c r="P149" s="13">
        <f>WEEKNUM(SalesTbl[[#This Row],[Order Date]],2)</f>
        <v>50</v>
      </c>
      <c r="Q149" s="14">
        <f>MEDIAN(SalesTbl[Quantity])</f>
        <v>3</v>
      </c>
      <c r="R149" s="14">
        <f>IF(ISBLANK(SalesTbl[[#This Row],[Quantity]]),$H$2,SalesTbl[[#This Row],[Quantity]])</f>
        <v>3</v>
      </c>
      <c r="S149">
        <f>ROW()-ROW(SalesTbl[[#Headers],[Customer ID]])</f>
        <v>148</v>
      </c>
      <c r="T149" s="9" t="str">
        <f>IF(SalesTbl[[#This Row],[RowIdx]]&lt;=ROUNDUP(COUNTA(SalesTbl[Customer ID])*0.8,0),"Train","Test")</f>
        <v>Train</v>
      </c>
    </row>
    <row r="150" spans="1:20" x14ac:dyDescent="0.25">
      <c r="A150" t="s">
        <v>92</v>
      </c>
      <c r="B150" t="s">
        <v>13</v>
      </c>
      <c r="C150" t="s">
        <v>321</v>
      </c>
      <c r="D150" t="s">
        <v>30</v>
      </c>
      <c r="E150" t="s">
        <v>18</v>
      </c>
      <c r="F150">
        <v>63</v>
      </c>
      <c r="G150">
        <v>30</v>
      </c>
      <c r="H150">
        <v>3</v>
      </c>
      <c r="I150">
        <v>90</v>
      </c>
      <c r="J150">
        <v>13.95</v>
      </c>
      <c r="K150" s="2">
        <v>45061</v>
      </c>
      <c r="L150" t="s">
        <v>316</v>
      </c>
      <c r="M150" s="6">
        <f>SalesTbl[[#This Row],[Unit Price]]*SalesTbl[[#This Row],[Quantity]]</f>
        <v>90</v>
      </c>
      <c r="N150" s="6">
        <f>YEAR(SalesTbl[[#This Row],[Order Date]])</f>
        <v>2023</v>
      </c>
      <c r="O150" s="6" t="str">
        <f>TEXT(SalesTbl[[#This Row],[Order Date]],"yyyy-mm")</f>
        <v>2023-05</v>
      </c>
      <c r="P150" s="13">
        <f>WEEKNUM(SalesTbl[[#This Row],[Order Date]],2)</f>
        <v>21</v>
      </c>
      <c r="Q150" s="14">
        <f>MEDIAN(SalesTbl[Quantity])</f>
        <v>3</v>
      </c>
      <c r="R150" s="14">
        <f>IF(ISBLANK(SalesTbl[[#This Row],[Quantity]]),$H$2,SalesTbl[[#This Row],[Quantity]])</f>
        <v>3</v>
      </c>
      <c r="S150">
        <f>ROW()-ROW(SalesTbl[[#Headers],[Customer ID]])</f>
        <v>149</v>
      </c>
      <c r="T150" s="9" t="str">
        <f>IF(SalesTbl[[#This Row],[RowIdx]]&lt;=ROUNDUP(COUNTA(SalesTbl[Customer ID])*0.8,0),"Train","Test")</f>
        <v>Train</v>
      </c>
    </row>
    <row r="151" spans="1:20" x14ac:dyDescent="0.25">
      <c r="A151" t="s">
        <v>141</v>
      </c>
      <c r="B151" t="s">
        <v>20</v>
      </c>
      <c r="C151" t="s">
        <v>322</v>
      </c>
      <c r="D151" t="s">
        <v>14</v>
      </c>
      <c r="E151" t="s">
        <v>15</v>
      </c>
      <c r="F151">
        <v>39</v>
      </c>
      <c r="G151">
        <v>300</v>
      </c>
      <c r="H151">
        <v>4</v>
      </c>
      <c r="I151">
        <v>1200</v>
      </c>
      <c r="J151">
        <v>9.5500000000000007</v>
      </c>
      <c r="K151" s="2">
        <v>45062</v>
      </c>
      <c r="L151" t="s">
        <v>317</v>
      </c>
      <c r="M151" s="6">
        <f>SalesTbl[[#This Row],[Unit Price]]*SalesTbl[[#This Row],[Quantity]]</f>
        <v>1200</v>
      </c>
      <c r="N151" s="6">
        <f>YEAR(SalesTbl[[#This Row],[Order Date]])</f>
        <v>2023</v>
      </c>
      <c r="O151" s="6" t="str">
        <f>TEXT(SalesTbl[[#This Row],[Order Date]],"yyyy-mm")</f>
        <v>2023-05</v>
      </c>
      <c r="P151" s="13">
        <f>WEEKNUM(SalesTbl[[#This Row],[Order Date]],2)</f>
        <v>21</v>
      </c>
      <c r="Q151" s="14">
        <f>MEDIAN(SalesTbl[Quantity])</f>
        <v>3</v>
      </c>
      <c r="R151" s="14">
        <f>IF(ISBLANK(SalesTbl[[#This Row],[Quantity]]),$H$2,SalesTbl[[#This Row],[Quantity]])</f>
        <v>4</v>
      </c>
      <c r="S151">
        <f>ROW()-ROW(SalesTbl[[#Headers],[Customer ID]])</f>
        <v>150</v>
      </c>
      <c r="T151" s="9" t="str">
        <f>IF(SalesTbl[[#This Row],[RowIdx]]&lt;=ROUNDUP(COUNTA(SalesTbl[Customer ID])*0.8,0),"Train","Test")</f>
        <v>Train</v>
      </c>
    </row>
    <row r="152" spans="1:20" x14ac:dyDescent="0.25">
      <c r="A152" t="s">
        <v>142</v>
      </c>
      <c r="B152" t="s">
        <v>13</v>
      </c>
      <c r="C152" t="s">
        <v>322</v>
      </c>
      <c r="D152" t="s">
        <v>25</v>
      </c>
      <c r="E152" t="s">
        <v>26</v>
      </c>
      <c r="F152">
        <v>29</v>
      </c>
      <c r="G152">
        <v>200</v>
      </c>
      <c r="H152">
        <v>3</v>
      </c>
      <c r="I152">
        <v>600</v>
      </c>
      <c r="J152">
        <v>13.87</v>
      </c>
      <c r="K152" s="2">
        <v>45003</v>
      </c>
      <c r="L152" t="s">
        <v>317</v>
      </c>
      <c r="M152" s="6">
        <f>SalesTbl[[#This Row],[Unit Price]]*SalesTbl[[#This Row],[Quantity]]</f>
        <v>600</v>
      </c>
      <c r="N152" s="6">
        <f>YEAR(SalesTbl[[#This Row],[Order Date]])</f>
        <v>2023</v>
      </c>
      <c r="O152" s="6" t="str">
        <f>TEXT(SalesTbl[[#This Row],[Order Date]],"yyyy-mm")</f>
        <v>2023-03</v>
      </c>
      <c r="P152" s="13">
        <f>WEEKNUM(SalesTbl[[#This Row],[Order Date]],2)</f>
        <v>12</v>
      </c>
      <c r="Q152" s="14">
        <f>MEDIAN(SalesTbl[Quantity])</f>
        <v>3</v>
      </c>
      <c r="R152" s="14">
        <f>IF(ISBLANK(SalesTbl[[#This Row],[Quantity]]),$H$2,SalesTbl[[#This Row],[Quantity]])</f>
        <v>3</v>
      </c>
      <c r="S152">
        <f>ROW()-ROW(SalesTbl[[#Headers],[Customer ID]])</f>
        <v>151</v>
      </c>
      <c r="T152" s="9" t="str">
        <f>IF(SalesTbl[[#This Row],[RowIdx]]&lt;=ROUNDUP(COUNTA(SalesTbl[Customer ID])*0.8,0),"Train","Test")</f>
        <v>Train</v>
      </c>
    </row>
    <row r="153" spans="1:20" x14ac:dyDescent="0.25">
      <c r="A153" t="s">
        <v>143</v>
      </c>
      <c r="B153" t="s">
        <v>13</v>
      </c>
      <c r="C153" t="s">
        <v>323</v>
      </c>
      <c r="D153" t="s">
        <v>17</v>
      </c>
      <c r="E153" t="s">
        <v>18</v>
      </c>
      <c r="F153">
        <v>49</v>
      </c>
      <c r="G153">
        <v>100</v>
      </c>
      <c r="H153">
        <v>2</v>
      </c>
      <c r="I153">
        <v>200</v>
      </c>
      <c r="J153">
        <v>10.96</v>
      </c>
      <c r="K153" s="2">
        <v>44993</v>
      </c>
      <c r="L153" t="s">
        <v>318</v>
      </c>
      <c r="M153" s="6">
        <f>SalesTbl[[#This Row],[Unit Price]]*SalesTbl[[#This Row],[Quantity]]</f>
        <v>200</v>
      </c>
      <c r="N153" s="6">
        <f>YEAR(SalesTbl[[#This Row],[Order Date]])</f>
        <v>2023</v>
      </c>
      <c r="O153" s="6" t="str">
        <f>TEXT(SalesTbl[[#This Row],[Order Date]],"yyyy-mm")</f>
        <v>2023-03</v>
      </c>
      <c r="P153" s="13">
        <f>WEEKNUM(SalesTbl[[#This Row],[Order Date]],2)</f>
        <v>11</v>
      </c>
      <c r="Q153" s="14">
        <f>MEDIAN(SalesTbl[Quantity])</f>
        <v>3</v>
      </c>
      <c r="R153" s="14">
        <f>IF(ISBLANK(SalesTbl[[#This Row],[Quantity]]),$H$2,SalesTbl[[#This Row],[Quantity]])</f>
        <v>2</v>
      </c>
      <c r="S153">
        <f>ROW()-ROW(SalesTbl[[#Headers],[Customer ID]])</f>
        <v>152</v>
      </c>
      <c r="T153" s="9" t="str">
        <f>IF(SalesTbl[[#This Row],[RowIdx]]&lt;=ROUNDUP(COUNTA(SalesTbl[Customer ID])*0.8,0),"Train","Test")</f>
        <v>Train</v>
      </c>
    </row>
    <row r="154" spans="1:20" x14ac:dyDescent="0.25">
      <c r="A154" t="s">
        <v>144</v>
      </c>
      <c r="B154" t="s">
        <v>20</v>
      </c>
      <c r="C154" t="s">
        <v>320</v>
      </c>
      <c r="D154" t="s">
        <v>30</v>
      </c>
      <c r="E154" t="s">
        <v>18</v>
      </c>
      <c r="F154">
        <v>27</v>
      </c>
      <c r="G154">
        <v>30</v>
      </c>
      <c r="H154">
        <v>3</v>
      </c>
      <c r="I154">
        <v>90</v>
      </c>
      <c r="J154">
        <v>6.45</v>
      </c>
      <c r="K154" s="2">
        <v>45188</v>
      </c>
      <c r="L154" t="s">
        <v>317</v>
      </c>
      <c r="M154" s="6">
        <f>SalesTbl[[#This Row],[Unit Price]]*SalesTbl[[#This Row],[Quantity]]</f>
        <v>90</v>
      </c>
      <c r="N154" s="6">
        <f>YEAR(SalesTbl[[#This Row],[Order Date]])</f>
        <v>2023</v>
      </c>
      <c r="O154" s="6" t="str">
        <f>TEXT(SalesTbl[[#This Row],[Order Date]],"yyyy-mm")</f>
        <v>2023-09</v>
      </c>
      <c r="P154" s="13">
        <f>WEEKNUM(SalesTbl[[#This Row],[Order Date]],2)</f>
        <v>39</v>
      </c>
      <c r="Q154" s="14">
        <f>MEDIAN(SalesTbl[Quantity])</f>
        <v>3</v>
      </c>
      <c r="R154" s="14">
        <f>IF(ISBLANK(SalesTbl[[#This Row],[Quantity]]),$H$2,SalesTbl[[#This Row],[Quantity]])</f>
        <v>3</v>
      </c>
      <c r="S154">
        <f>ROW()-ROW(SalesTbl[[#Headers],[Customer ID]])</f>
        <v>153</v>
      </c>
      <c r="T154" s="9" t="str">
        <f>IF(SalesTbl[[#This Row],[RowIdx]]&lt;=ROUNDUP(COUNTA(SalesTbl[Customer ID])*0.8,0),"Train","Test")</f>
        <v>Train</v>
      </c>
    </row>
    <row r="155" spans="1:20" x14ac:dyDescent="0.25">
      <c r="A155" t="s">
        <v>72</v>
      </c>
      <c r="B155" t="s">
        <v>20</v>
      </c>
      <c r="C155" t="s">
        <v>321</v>
      </c>
      <c r="D155" t="s">
        <v>40</v>
      </c>
      <c r="E155" t="s">
        <v>15</v>
      </c>
      <c r="F155">
        <v>42</v>
      </c>
      <c r="G155">
        <v>800</v>
      </c>
      <c r="H155">
        <v>2</v>
      </c>
      <c r="I155">
        <v>1600</v>
      </c>
      <c r="J155">
        <v>13.79</v>
      </c>
      <c r="K155" s="2">
        <v>45194</v>
      </c>
      <c r="L155" t="s">
        <v>317</v>
      </c>
      <c r="M155" s="6">
        <f>SalesTbl[[#This Row],[Unit Price]]*SalesTbl[[#This Row],[Quantity]]</f>
        <v>1600</v>
      </c>
      <c r="N155" s="6">
        <f>YEAR(SalesTbl[[#This Row],[Order Date]])</f>
        <v>2023</v>
      </c>
      <c r="O155" s="6" t="str">
        <f>TEXT(SalesTbl[[#This Row],[Order Date]],"yyyy-mm")</f>
        <v>2023-09</v>
      </c>
      <c r="P155" s="13">
        <f>WEEKNUM(SalesTbl[[#This Row],[Order Date]],2)</f>
        <v>40</v>
      </c>
      <c r="Q155" s="14">
        <f>MEDIAN(SalesTbl[Quantity])</f>
        <v>3</v>
      </c>
      <c r="R155" s="14">
        <f>IF(ISBLANK(SalesTbl[[#This Row],[Quantity]]),$H$2,SalesTbl[[#This Row],[Quantity]])</f>
        <v>2</v>
      </c>
      <c r="S155">
        <f>ROW()-ROW(SalesTbl[[#Headers],[Customer ID]])</f>
        <v>154</v>
      </c>
      <c r="T155" s="9" t="str">
        <f>IF(SalesTbl[[#This Row],[RowIdx]]&lt;=ROUNDUP(COUNTA(SalesTbl[Customer ID])*0.8,0),"Train","Test")</f>
        <v>Train</v>
      </c>
    </row>
    <row r="156" spans="1:20" x14ac:dyDescent="0.25">
      <c r="A156" t="s">
        <v>73</v>
      </c>
      <c r="B156" t="s">
        <v>13</v>
      </c>
      <c r="C156" t="s">
        <v>323</v>
      </c>
      <c r="D156" t="s">
        <v>23</v>
      </c>
      <c r="E156" t="s">
        <v>15</v>
      </c>
      <c r="F156">
        <v>51</v>
      </c>
      <c r="G156">
        <v>1500</v>
      </c>
      <c r="H156">
        <v>3</v>
      </c>
      <c r="I156">
        <v>4500</v>
      </c>
      <c r="J156">
        <v>16.420000000000002</v>
      </c>
      <c r="K156" s="2">
        <v>45227</v>
      </c>
      <c r="L156" t="s">
        <v>317</v>
      </c>
      <c r="M156" s="6">
        <f>SalesTbl[[#This Row],[Unit Price]]*SalesTbl[[#This Row],[Quantity]]</f>
        <v>4500</v>
      </c>
      <c r="N156" s="6">
        <f>YEAR(SalesTbl[[#This Row],[Order Date]])</f>
        <v>2023</v>
      </c>
      <c r="O156" s="6" t="str">
        <f>TEXT(SalesTbl[[#This Row],[Order Date]],"yyyy-mm")</f>
        <v>2023-10</v>
      </c>
      <c r="P156" s="13">
        <f>WEEKNUM(SalesTbl[[#This Row],[Order Date]],2)</f>
        <v>44</v>
      </c>
      <c r="Q156" s="14">
        <f>MEDIAN(SalesTbl[Quantity])</f>
        <v>3</v>
      </c>
      <c r="R156" s="14">
        <f>IF(ISBLANK(SalesTbl[[#This Row],[Quantity]]),$H$2,SalesTbl[[#This Row],[Quantity]])</f>
        <v>3</v>
      </c>
      <c r="S156">
        <f>ROW()-ROW(SalesTbl[[#Headers],[Customer ID]])</f>
        <v>155</v>
      </c>
      <c r="T156" s="9" t="str">
        <f>IF(SalesTbl[[#This Row],[RowIdx]]&lt;=ROUNDUP(COUNTA(SalesTbl[Customer ID])*0.8,0),"Train","Test")</f>
        <v>Train</v>
      </c>
    </row>
    <row r="157" spans="1:20" x14ac:dyDescent="0.25">
      <c r="A157" t="s">
        <v>144</v>
      </c>
      <c r="B157" t="s">
        <v>20</v>
      </c>
      <c r="C157" t="s">
        <v>322</v>
      </c>
      <c r="D157" t="s">
        <v>14</v>
      </c>
      <c r="E157" t="s">
        <v>15</v>
      </c>
      <c r="F157">
        <v>27</v>
      </c>
      <c r="G157">
        <v>300</v>
      </c>
      <c r="H157">
        <v>3</v>
      </c>
      <c r="I157">
        <v>900</v>
      </c>
      <c r="J157">
        <v>7.99</v>
      </c>
      <c r="K157" s="2">
        <v>44978</v>
      </c>
      <c r="L157" t="s">
        <v>317</v>
      </c>
      <c r="M157" s="6">
        <f>SalesTbl[[#This Row],[Unit Price]]*SalesTbl[[#This Row],[Quantity]]</f>
        <v>900</v>
      </c>
      <c r="N157" s="6">
        <f>YEAR(SalesTbl[[#This Row],[Order Date]])</f>
        <v>2023</v>
      </c>
      <c r="O157" s="6" t="str">
        <f>TEXT(SalesTbl[[#This Row],[Order Date]],"yyyy-mm")</f>
        <v>2023-02</v>
      </c>
      <c r="P157" s="13">
        <f>WEEKNUM(SalesTbl[[#This Row],[Order Date]],2)</f>
        <v>9</v>
      </c>
      <c r="Q157" s="14">
        <f>MEDIAN(SalesTbl[Quantity])</f>
        <v>3</v>
      </c>
      <c r="R157" s="14">
        <f>IF(ISBLANK(SalesTbl[[#This Row],[Quantity]]),$H$2,SalesTbl[[#This Row],[Quantity]])</f>
        <v>3</v>
      </c>
      <c r="S157">
        <f>ROW()-ROW(SalesTbl[[#Headers],[Customer ID]])</f>
        <v>156</v>
      </c>
      <c r="T157" s="9" t="str">
        <f>IF(SalesTbl[[#This Row],[RowIdx]]&lt;=ROUNDUP(COUNTA(SalesTbl[Customer ID])*0.8,0),"Train","Test")</f>
        <v>Train</v>
      </c>
    </row>
    <row r="158" spans="1:20" x14ac:dyDescent="0.25">
      <c r="A158" t="s">
        <v>138</v>
      </c>
      <c r="B158" t="s">
        <v>20</v>
      </c>
      <c r="C158" t="s">
        <v>321</v>
      </c>
      <c r="D158" t="s">
        <v>29</v>
      </c>
      <c r="E158" t="s">
        <v>18</v>
      </c>
      <c r="F158">
        <v>44</v>
      </c>
      <c r="G158">
        <v>50</v>
      </c>
      <c r="H158">
        <v>2</v>
      </c>
      <c r="I158">
        <v>100</v>
      </c>
      <c r="J158">
        <v>6.45</v>
      </c>
      <c r="K158" s="2">
        <v>45166</v>
      </c>
      <c r="L158" t="s">
        <v>316</v>
      </c>
      <c r="M158" s="6">
        <f>SalesTbl[[#This Row],[Unit Price]]*SalesTbl[[#This Row],[Quantity]]</f>
        <v>100</v>
      </c>
      <c r="N158" s="6">
        <f>YEAR(SalesTbl[[#This Row],[Order Date]])</f>
        <v>2023</v>
      </c>
      <c r="O158" s="6" t="str">
        <f>TEXT(SalesTbl[[#This Row],[Order Date]],"yyyy-mm")</f>
        <v>2023-08</v>
      </c>
      <c r="P158" s="13">
        <f>WEEKNUM(SalesTbl[[#This Row],[Order Date]],2)</f>
        <v>36</v>
      </c>
      <c r="Q158" s="14">
        <f>MEDIAN(SalesTbl[Quantity])</f>
        <v>3</v>
      </c>
      <c r="R158" s="14">
        <f>IF(ISBLANK(SalesTbl[[#This Row],[Quantity]]),$H$2,SalesTbl[[#This Row],[Quantity]])</f>
        <v>2</v>
      </c>
      <c r="S158">
        <f>ROW()-ROW(SalesTbl[[#Headers],[Customer ID]])</f>
        <v>157</v>
      </c>
      <c r="T158" s="9" t="str">
        <f>IF(SalesTbl[[#This Row],[RowIdx]]&lt;=ROUNDUP(COUNTA(SalesTbl[Customer ID])*0.8,0),"Train","Test")</f>
        <v>Train</v>
      </c>
    </row>
    <row r="159" spans="1:20" x14ac:dyDescent="0.25">
      <c r="A159" t="s">
        <v>145</v>
      </c>
      <c r="B159" t="s">
        <v>13</v>
      </c>
      <c r="C159" t="s">
        <v>323</v>
      </c>
      <c r="D159" t="s">
        <v>30</v>
      </c>
      <c r="E159" t="s">
        <v>18</v>
      </c>
      <c r="F159">
        <v>30</v>
      </c>
      <c r="G159">
        <v>30</v>
      </c>
      <c r="H159">
        <v>5</v>
      </c>
      <c r="I159">
        <v>150</v>
      </c>
      <c r="J159">
        <v>16.62</v>
      </c>
      <c r="K159" s="2">
        <v>45227</v>
      </c>
      <c r="L159" t="s">
        <v>316</v>
      </c>
      <c r="M159" s="6">
        <f>SalesTbl[[#This Row],[Unit Price]]*SalesTbl[[#This Row],[Quantity]]</f>
        <v>150</v>
      </c>
      <c r="N159" s="6">
        <f>YEAR(SalesTbl[[#This Row],[Order Date]])</f>
        <v>2023</v>
      </c>
      <c r="O159" s="6" t="str">
        <f>TEXT(SalesTbl[[#This Row],[Order Date]],"yyyy-mm")</f>
        <v>2023-10</v>
      </c>
      <c r="P159" s="13">
        <f>WEEKNUM(SalesTbl[[#This Row],[Order Date]],2)</f>
        <v>44</v>
      </c>
      <c r="Q159" s="14">
        <f>MEDIAN(SalesTbl[Quantity])</f>
        <v>3</v>
      </c>
      <c r="R159" s="14">
        <f>IF(ISBLANK(SalesTbl[[#This Row],[Quantity]]),$H$2,SalesTbl[[#This Row],[Quantity]])</f>
        <v>5</v>
      </c>
      <c r="S159">
        <f>ROW()-ROW(SalesTbl[[#Headers],[Customer ID]])</f>
        <v>158</v>
      </c>
      <c r="T159" s="9" t="str">
        <f>IF(SalesTbl[[#This Row],[RowIdx]]&lt;=ROUNDUP(COUNTA(SalesTbl[Customer ID])*0.8,0),"Train","Test")</f>
        <v>Train</v>
      </c>
    </row>
    <row r="160" spans="1:20" x14ac:dyDescent="0.25">
      <c r="A160" t="s">
        <v>122</v>
      </c>
      <c r="B160" t="s">
        <v>20</v>
      </c>
      <c r="C160" t="s">
        <v>322</v>
      </c>
      <c r="D160" t="s">
        <v>14</v>
      </c>
      <c r="E160" t="s">
        <v>15</v>
      </c>
      <c r="F160">
        <v>49</v>
      </c>
      <c r="G160">
        <v>300</v>
      </c>
      <c r="H160">
        <v>5</v>
      </c>
      <c r="I160">
        <v>1500</v>
      </c>
      <c r="J160">
        <v>6</v>
      </c>
      <c r="K160" s="2">
        <v>45238</v>
      </c>
      <c r="L160" t="s">
        <v>318</v>
      </c>
      <c r="M160" s="6">
        <f>SalesTbl[[#This Row],[Unit Price]]*SalesTbl[[#This Row],[Quantity]]</f>
        <v>1500</v>
      </c>
      <c r="N160" s="6">
        <f>YEAR(SalesTbl[[#This Row],[Order Date]])</f>
        <v>2023</v>
      </c>
      <c r="O160" s="6" t="str">
        <f>TEXT(SalesTbl[[#This Row],[Order Date]],"yyyy-mm")</f>
        <v>2023-11</v>
      </c>
      <c r="P160" s="13">
        <f>WEEKNUM(SalesTbl[[#This Row],[Order Date]],2)</f>
        <v>46</v>
      </c>
      <c r="Q160" s="14">
        <f>MEDIAN(SalesTbl[Quantity])</f>
        <v>3</v>
      </c>
      <c r="R160" s="14">
        <f>IF(ISBLANK(SalesTbl[[#This Row],[Quantity]]),$H$2,SalesTbl[[#This Row],[Quantity]])</f>
        <v>5</v>
      </c>
      <c r="S160">
        <f>ROW()-ROW(SalesTbl[[#Headers],[Customer ID]])</f>
        <v>159</v>
      </c>
      <c r="T160" s="9" t="str">
        <f>IF(SalesTbl[[#This Row],[RowIdx]]&lt;=ROUNDUP(COUNTA(SalesTbl[Customer ID])*0.8,0),"Train","Test")</f>
        <v>Train</v>
      </c>
    </row>
    <row r="161" spans="1:20" x14ac:dyDescent="0.25">
      <c r="A161" t="s">
        <v>146</v>
      </c>
      <c r="B161" t="s">
        <v>20</v>
      </c>
      <c r="C161" t="s">
        <v>323</v>
      </c>
      <c r="D161" t="s">
        <v>23</v>
      </c>
      <c r="E161" t="s">
        <v>15</v>
      </c>
      <c r="F161">
        <v>68</v>
      </c>
      <c r="G161">
        <v>1500</v>
      </c>
      <c r="H161">
        <v>1</v>
      </c>
      <c r="I161">
        <v>1500</v>
      </c>
      <c r="J161">
        <v>16.34</v>
      </c>
      <c r="K161" s="2">
        <v>45053</v>
      </c>
      <c r="L161" t="s">
        <v>318</v>
      </c>
      <c r="M161" s="6">
        <f>SalesTbl[[#This Row],[Unit Price]]*SalesTbl[[#This Row],[Quantity]]</f>
        <v>1500</v>
      </c>
      <c r="N161" s="6">
        <f>YEAR(SalesTbl[[#This Row],[Order Date]])</f>
        <v>2023</v>
      </c>
      <c r="O161" s="6" t="str">
        <f>TEXT(SalesTbl[[#This Row],[Order Date]],"yyyy-mm")</f>
        <v>2023-05</v>
      </c>
      <c r="P161" s="13">
        <f>WEEKNUM(SalesTbl[[#This Row],[Order Date]],2)</f>
        <v>19</v>
      </c>
      <c r="Q161" s="14">
        <f>MEDIAN(SalesTbl[Quantity])</f>
        <v>3</v>
      </c>
      <c r="R161" s="14">
        <f>IF(ISBLANK(SalesTbl[[#This Row],[Quantity]]),$H$2,SalesTbl[[#This Row],[Quantity]])</f>
        <v>1</v>
      </c>
      <c r="S161">
        <f>ROW()-ROW(SalesTbl[[#Headers],[Customer ID]])</f>
        <v>160</v>
      </c>
      <c r="T161" s="9" t="str">
        <f>IF(SalesTbl[[#This Row],[RowIdx]]&lt;=ROUNDUP(COUNTA(SalesTbl[Customer ID])*0.8,0),"Train","Test")</f>
        <v>Train</v>
      </c>
    </row>
    <row r="162" spans="1:20" x14ac:dyDescent="0.25">
      <c r="A162" t="s">
        <v>147</v>
      </c>
      <c r="B162" t="s">
        <v>20</v>
      </c>
      <c r="C162" t="s">
        <v>323</v>
      </c>
      <c r="D162" t="s">
        <v>30</v>
      </c>
      <c r="E162" t="s">
        <v>18</v>
      </c>
      <c r="F162">
        <v>58</v>
      </c>
      <c r="G162">
        <v>30</v>
      </c>
      <c r="H162">
        <v>1</v>
      </c>
      <c r="I162">
        <v>30</v>
      </c>
      <c r="J162">
        <v>12.22</v>
      </c>
      <c r="K162" s="2">
        <v>45202</v>
      </c>
      <c r="L162" t="s">
        <v>317</v>
      </c>
      <c r="M162" s="6">
        <f>SalesTbl[[#This Row],[Unit Price]]*SalesTbl[[#This Row],[Quantity]]</f>
        <v>30</v>
      </c>
      <c r="N162" s="6">
        <f>YEAR(SalesTbl[[#This Row],[Order Date]])</f>
        <v>2023</v>
      </c>
      <c r="O162" s="6" t="str">
        <f>TEXT(SalesTbl[[#This Row],[Order Date]],"yyyy-mm")</f>
        <v>2023-10</v>
      </c>
      <c r="P162" s="13">
        <f>WEEKNUM(SalesTbl[[#This Row],[Order Date]],2)</f>
        <v>41</v>
      </c>
      <c r="Q162" s="14">
        <f>MEDIAN(SalesTbl[Quantity])</f>
        <v>3</v>
      </c>
      <c r="R162" s="14">
        <f>IF(ISBLANK(SalesTbl[[#This Row],[Quantity]]),$H$2,SalesTbl[[#This Row],[Quantity]])</f>
        <v>1</v>
      </c>
      <c r="S162">
        <f>ROW()-ROW(SalesTbl[[#Headers],[Customer ID]])</f>
        <v>161</v>
      </c>
      <c r="T162" s="9" t="str">
        <f>IF(SalesTbl[[#This Row],[RowIdx]]&lt;=ROUNDUP(COUNTA(SalesTbl[Customer ID])*0.8,0),"Train","Test")</f>
        <v>Train</v>
      </c>
    </row>
    <row r="163" spans="1:20" x14ac:dyDescent="0.25">
      <c r="A163" t="s">
        <v>148</v>
      </c>
      <c r="B163" t="s">
        <v>13</v>
      </c>
      <c r="C163" t="s">
        <v>322</v>
      </c>
      <c r="D163" t="s">
        <v>30</v>
      </c>
      <c r="E163" t="s">
        <v>18</v>
      </c>
      <c r="F163">
        <v>56</v>
      </c>
      <c r="G163">
        <v>30</v>
      </c>
      <c r="H163">
        <v>3</v>
      </c>
      <c r="I163">
        <v>90</v>
      </c>
      <c r="J163">
        <v>5.07</v>
      </c>
      <c r="K163" s="2">
        <v>44931</v>
      </c>
      <c r="L163" t="s">
        <v>318</v>
      </c>
      <c r="M163" s="6">
        <f>SalesTbl[[#This Row],[Unit Price]]*SalesTbl[[#This Row],[Quantity]]</f>
        <v>90</v>
      </c>
      <c r="N163" s="6">
        <f>YEAR(SalesTbl[[#This Row],[Order Date]])</f>
        <v>2023</v>
      </c>
      <c r="O163" s="6" t="str">
        <f>TEXT(SalesTbl[[#This Row],[Order Date]],"yyyy-mm")</f>
        <v>2023-01</v>
      </c>
      <c r="P163" s="13">
        <f>WEEKNUM(SalesTbl[[#This Row],[Order Date]],2)</f>
        <v>2</v>
      </c>
      <c r="Q163" s="14">
        <f>MEDIAN(SalesTbl[Quantity])</f>
        <v>3</v>
      </c>
      <c r="R163" s="14">
        <f>IF(ISBLANK(SalesTbl[[#This Row],[Quantity]]),$H$2,SalesTbl[[#This Row],[Quantity]])</f>
        <v>3</v>
      </c>
      <c r="S163">
        <f>ROW()-ROW(SalesTbl[[#Headers],[Customer ID]])</f>
        <v>162</v>
      </c>
      <c r="T163" s="9" t="str">
        <f>IF(SalesTbl[[#This Row],[RowIdx]]&lt;=ROUNDUP(COUNTA(SalesTbl[Customer ID])*0.8,0),"Train","Test")</f>
        <v>Train</v>
      </c>
    </row>
    <row r="164" spans="1:20" x14ac:dyDescent="0.25">
      <c r="A164" t="s">
        <v>149</v>
      </c>
      <c r="B164" t="s">
        <v>13</v>
      </c>
      <c r="C164" t="s">
        <v>321</v>
      </c>
      <c r="D164" t="s">
        <v>23</v>
      </c>
      <c r="E164" t="s">
        <v>15</v>
      </c>
      <c r="F164">
        <v>59</v>
      </c>
      <c r="G164">
        <v>1500</v>
      </c>
      <c r="H164">
        <v>2</v>
      </c>
      <c r="I164">
        <v>3000</v>
      </c>
      <c r="J164">
        <v>7.5</v>
      </c>
      <c r="K164" s="2">
        <v>45160</v>
      </c>
      <c r="L164" t="s">
        <v>318</v>
      </c>
      <c r="M164" s="6">
        <f>SalesTbl[[#This Row],[Unit Price]]*SalesTbl[[#This Row],[Quantity]]</f>
        <v>3000</v>
      </c>
      <c r="N164" s="6">
        <f>YEAR(SalesTbl[[#This Row],[Order Date]])</f>
        <v>2023</v>
      </c>
      <c r="O164" s="6" t="str">
        <f>TEXT(SalesTbl[[#This Row],[Order Date]],"yyyy-mm")</f>
        <v>2023-08</v>
      </c>
      <c r="P164" s="13">
        <f>WEEKNUM(SalesTbl[[#This Row],[Order Date]],2)</f>
        <v>35</v>
      </c>
      <c r="Q164" s="14">
        <f>MEDIAN(SalesTbl[Quantity])</f>
        <v>3</v>
      </c>
      <c r="R164" s="14">
        <f>IF(ISBLANK(SalesTbl[[#This Row],[Quantity]]),$H$2,SalesTbl[[#This Row],[Quantity]])</f>
        <v>2</v>
      </c>
      <c r="S164">
        <f>ROW()-ROW(SalesTbl[[#Headers],[Customer ID]])</f>
        <v>163</v>
      </c>
      <c r="T164" s="9" t="str">
        <f>IF(SalesTbl[[#This Row],[RowIdx]]&lt;=ROUNDUP(COUNTA(SalesTbl[Customer ID])*0.8,0),"Train","Test")</f>
        <v>Train</v>
      </c>
    </row>
    <row r="165" spans="1:20" x14ac:dyDescent="0.25">
      <c r="A165" t="s">
        <v>87</v>
      </c>
      <c r="B165" t="s">
        <v>20</v>
      </c>
      <c r="C165" t="s">
        <v>323</v>
      </c>
      <c r="D165" t="s">
        <v>40</v>
      </c>
      <c r="E165" t="s">
        <v>15</v>
      </c>
      <c r="F165">
        <v>21</v>
      </c>
      <c r="G165">
        <v>800</v>
      </c>
      <c r="H165">
        <v>3</v>
      </c>
      <c r="I165">
        <v>2400</v>
      </c>
      <c r="J165">
        <v>15.78</v>
      </c>
      <c r="K165" s="2">
        <v>45237</v>
      </c>
      <c r="L165" t="s">
        <v>318</v>
      </c>
      <c r="M165" s="6">
        <f>SalesTbl[[#This Row],[Unit Price]]*SalesTbl[[#This Row],[Quantity]]</f>
        <v>2400</v>
      </c>
      <c r="N165" s="6">
        <f>YEAR(SalesTbl[[#This Row],[Order Date]])</f>
        <v>2023</v>
      </c>
      <c r="O165" s="6" t="str">
        <f>TEXT(SalesTbl[[#This Row],[Order Date]],"yyyy-mm")</f>
        <v>2023-11</v>
      </c>
      <c r="P165" s="13">
        <f>WEEKNUM(SalesTbl[[#This Row],[Order Date]],2)</f>
        <v>46</v>
      </c>
      <c r="Q165" s="14">
        <f>MEDIAN(SalesTbl[Quantity])</f>
        <v>3</v>
      </c>
      <c r="R165" s="14">
        <f>IF(ISBLANK(SalesTbl[[#This Row],[Quantity]]),$H$2,SalesTbl[[#This Row],[Quantity]])</f>
        <v>3</v>
      </c>
      <c r="S165">
        <f>ROW()-ROW(SalesTbl[[#Headers],[Customer ID]])</f>
        <v>164</v>
      </c>
      <c r="T165" s="9" t="str">
        <f>IF(SalesTbl[[#This Row],[RowIdx]]&lt;=ROUNDUP(COUNTA(SalesTbl[Customer ID])*0.8,0),"Train","Test")</f>
        <v>Train</v>
      </c>
    </row>
    <row r="166" spans="1:20" x14ac:dyDescent="0.25">
      <c r="A166" t="s">
        <v>72</v>
      </c>
      <c r="B166" t="s">
        <v>20</v>
      </c>
      <c r="C166" t="s">
        <v>321</v>
      </c>
      <c r="D166" t="s">
        <v>29</v>
      </c>
      <c r="E166" t="s">
        <v>18</v>
      </c>
      <c r="F166">
        <v>42</v>
      </c>
      <c r="G166">
        <v>50</v>
      </c>
      <c r="H166">
        <v>1</v>
      </c>
      <c r="I166">
        <v>50</v>
      </c>
      <c r="J166">
        <v>15.92</v>
      </c>
      <c r="K166" s="2">
        <v>45101</v>
      </c>
      <c r="L166" t="s">
        <v>318</v>
      </c>
      <c r="M166" s="6">
        <f>SalesTbl[[#This Row],[Unit Price]]*SalesTbl[[#This Row],[Quantity]]</f>
        <v>50</v>
      </c>
      <c r="N166" s="6">
        <f>YEAR(SalesTbl[[#This Row],[Order Date]])</f>
        <v>2023</v>
      </c>
      <c r="O166" s="6" t="str">
        <f>TEXT(SalesTbl[[#This Row],[Order Date]],"yyyy-mm")</f>
        <v>2023-06</v>
      </c>
      <c r="P166" s="13">
        <f>WEEKNUM(SalesTbl[[#This Row],[Order Date]],2)</f>
        <v>26</v>
      </c>
      <c r="Q166" s="14">
        <f>MEDIAN(SalesTbl[Quantity])</f>
        <v>3</v>
      </c>
      <c r="R166" s="14">
        <f>IF(ISBLANK(SalesTbl[[#This Row],[Quantity]]),$H$2,SalesTbl[[#This Row],[Quantity]])</f>
        <v>1</v>
      </c>
      <c r="S166">
        <f>ROW()-ROW(SalesTbl[[#Headers],[Customer ID]])</f>
        <v>165</v>
      </c>
      <c r="T166" s="9" t="str">
        <f>IF(SalesTbl[[#This Row],[RowIdx]]&lt;=ROUNDUP(COUNTA(SalesTbl[Customer ID])*0.8,0),"Train","Test")</f>
        <v>Train</v>
      </c>
    </row>
    <row r="167" spans="1:20" x14ac:dyDescent="0.25">
      <c r="A167" t="s">
        <v>150</v>
      </c>
      <c r="B167" t="s">
        <v>20</v>
      </c>
      <c r="C167" t="s">
        <v>319</v>
      </c>
      <c r="D167" t="s">
        <v>29</v>
      </c>
      <c r="E167" t="s">
        <v>18</v>
      </c>
      <c r="F167">
        <v>36</v>
      </c>
      <c r="G167">
        <v>50</v>
      </c>
      <c r="H167">
        <v>5</v>
      </c>
      <c r="I167">
        <v>250</v>
      </c>
      <c r="J167">
        <v>11.09</v>
      </c>
      <c r="K167" s="2">
        <v>45083</v>
      </c>
      <c r="L167" t="s">
        <v>316</v>
      </c>
      <c r="M167" s="6">
        <f>SalesTbl[[#This Row],[Unit Price]]*SalesTbl[[#This Row],[Quantity]]</f>
        <v>250</v>
      </c>
      <c r="N167" s="6">
        <f>YEAR(SalesTbl[[#This Row],[Order Date]])</f>
        <v>2023</v>
      </c>
      <c r="O167" s="6" t="str">
        <f>TEXT(SalesTbl[[#This Row],[Order Date]],"yyyy-mm")</f>
        <v>2023-06</v>
      </c>
      <c r="P167" s="13">
        <f>WEEKNUM(SalesTbl[[#This Row],[Order Date]],2)</f>
        <v>24</v>
      </c>
      <c r="Q167" s="14">
        <f>MEDIAN(SalesTbl[Quantity])</f>
        <v>3</v>
      </c>
      <c r="R167" s="14">
        <f>IF(ISBLANK(SalesTbl[[#This Row],[Quantity]]),$H$2,SalesTbl[[#This Row],[Quantity]])</f>
        <v>5</v>
      </c>
      <c r="S167">
        <f>ROW()-ROW(SalesTbl[[#Headers],[Customer ID]])</f>
        <v>166</v>
      </c>
      <c r="T167" s="9" t="str">
        <f>IF(SalesTbl[[#This Row],[RowIdx]]&lt;=ROUNDUP(COUNTA(SalesTbl[Customer ID])*0.8,0),"Train","Test")</f>
        <v>Train</v>
      </c>
    </row>
    <row r="168" spans="1:20" x14ac:dyDescent="0.25">
      <c r="A168" t="s">
        <v>108</v>
      </c>
      <c r="B168" t="s">
        <v>13</v>
      </c>
      <c r="C168" t="s">
        <v>322</v>
      </c>
      <c r="D168" t="s">
        <v>30</v>
      </c>
      <c r="E168" t="s">
        <v>18</v>
      </c>
      <c r="F168">
        <v>25</v>
      </c>
      <c r="G168">
        <v>30</v>
      </c>
      <c r="H168">
        <v>4</v>
      </c>
      <c r="I168">
        <v>120</v>
      </c>
      <c r="J168">
        <v>18.600000000000001</v>
      </c>
      <c r="K168" s="2">
        <v>45106</v>
      </c>
      <c r="L168" t="s">
        <v>316</v>
      </c>
      <c r="M168" s="6">
        <f>SalesTbl[[#This Row],[Unit Price]]*SalesTbl[[#This Row],[Quantity]]</f>
        <v>120</v>
      </c>
      <c r="N168" s="6">
        <f>YEAR(SalesTbl[[#This Row],[Order Date]])</f>
        <v>2023</v>
      </c>
      <c r="O168" s="6" t="str">
        <f>TEXT(SalesTbl[[#This Row],[Order Date]],"yyyy-mm")</f>
        <v>2023-06</v>
      </c>
      <c r="P168" s="13">
        <f>WEEKNUM(SalesTbl[[#This Row],[Order Date]],2)</f>
        <v>27</v>
      </c>
      <c r="Q168" s="14">
        <f>MEDIAN(SalesTbl[Quantity])</f>
        <v>3</v>
      </c>
      <c r="R168" s="14">
        <f>IF(ISBLANK(SalesTbl[[#This Row],[Quantity]]),$H$2,SalesTbl[[#This Row],[Quantity]])</f>
        <v>4</v>
      </c>
      <c r="S168">
        <f>ROW()-ROW(SalesTbl[[#Headers],[Customer ID]])</f>
        <v>167</v>
      </c>
      <c r="T168" s="9" t="str">
        <f>IF(SalesTbl[[#This Row],[RowIdx]]&lt;=ROUNDUP(COUNTA(SalesTbl[Customer ID])*0.8,0),"Train","Test")</f>
        <v>Train</v>
      </c>
    </row>
    <row r="169" spans="1:20" x14ac:dyDescent="0.25">
      <c r="A169" t="s">
        <v>34</v>
      </c>
      <c r="B169" t="s">
        <v>20</v>
      </c>
      <c r="C169" t="s">
        <v>322</v>
      </c>
      <c r="D169" t="s">
        <v>40</v>
      </c>
      <c r="E169" t="s">
        <v>15</v>
      </c>
      <c r="F169">
        <v>41</v>
      </c>
      <c r="G169">
        <v>800</v>
      </c>
      <c r="H169">
        <v>4</v>
      </c>
      <c r="I169">
        <v>3200</v>
      </c>
      <c r="J169">
        <v>16.45</v>
      </c>
      <c r="K169" s="2">
        <v>44944</v>
      </c>
      <c r="L169" t="s">
        <v>317</v>
      </c>
      <c r="M169" s="6">
        <f>SalesTbl[[#This Row],[Unit Price]]*SalesTbl[[#This Row],[Quantity]]</f>
        <v>3200</v>
      </c>
      <c r="N169" s="6">
        <f>YEAR(SalesTbl[[#This Row],[Order Date]])</f>
        <v>2023</v>
      </c>
      <c r="O169" s="6" t="str">
        <f>TEXT(SalesTbl[[#This Row],[Order Date]],"yyyy-mm")</f>
        <v>2023-01</v>
      </c>
      <c r="P169" s="13">
        <f>WEEKNUM(SalesTbl[[#This Row],[Order Date]],2)</f>
        <v>4</v>
      </c>
      <c r="Q169" s="14">
        <f>MEDIAN(SalesTbl[Quantity])</f>
        <v>3</v>
      </c>
      <c r="R169" s="14">
        <f>IF(ISBLANK(SalesTbl[[#This Row],[Quantity]]),$H$2,SalesTbl[[#This Row],[Quantity]])</f>
        <v>4</v>
      </c>
      <c r="S169">
        <f>ROW()-ROW(SalesTbl[[#Headers],[Customer ID]])</f>
        <v>168</v>
      </c>
      <c r="T169" s="9" t="str">
        <f>IF(SalesTbl[[#This Row],[RowIdx]]&lt;=ROUNDUP(COUNTA(SalesTbl[Customer ID])*0.8,0),"Train","Test")</f>
        <v>Train</v>
      </c>
    </row>
    <row r="170" spans="1:20" x14ac:dyDescent="0.25">
      <c r="A170" t="s">
        <v>85</v>
      </c>
      <c r="B170" t="s">
        <v>13</v>
      </c>
      <c r="C170" t="s">
        <v>320</v>
      </c>
      <c r="D170" t="s">
        <v>17</v>
      </c>
      <c r="E170" t="s">
        <v>18</v>
      </c>
      <c r="F170">
        <v>41</v>
      </c>
      <c r="G170">
        <v>100</v>
      </c>
      <c r="H170">
        <v>5</v>
      </c>
      <c r="I170">
        <v>500</v>
      </c>
      <c r="J170">
        <v>19.62</v>
      </c>
      <c r="K170" s="2">
        <v>44989</v>
      </c>
      <c r="L170" t="s">
        <v>318</v>
      </c>
      <c r="M170" s="6">
        <f>SalesTbl[[#This Row],[Unit Price]]*SalesTbl[[#This Row],[Quantity]]</f>
        <v>500</v>
      </c>
      <c r="N170" s="6">
        <f>YEAR(SalesTbl[[#This Row],[Order Date]])</f>
        <v>2023</v>
      </c>
      <c r="O170" s="6" t="str">
        <f>TEXT(SalesTbl[[#This Row],[Order Date]],"yyyy-mm")</f>
        <v>2023-03</v>
      </c>
      <c r="P170" s="13">
        <f>WEEKNUM(SalesTbl[[#This Row],[Order Date]],2)</f>
        <v>10</v>
      </c>
      <c r="Q170" s="14">
        <f>MEDIAN(SalesTbl[Quantity])</f>
        <v>3</v>
      </c>
      <c r="R170" s="14">
        <f>IF(ISBLANK(SalesTbl[[#This Row],[Quantity]]),$H$2,SalesTbl[[#This Row],[Quantity]])</f>
        <v>5</v>
      </c>
      <c r="S170">
        <f>ROW()-ROW(SalesTbl[[#Headers],[Customer ID]])</f>
        <v>169</v>
      </c>
      <c r="T170" s="9" t="str">
        <f>IF(SalesTbl[[#This Row],[RowIdx]]&lt;=ROUNDUP(COUNTA(SalesTbl[Customer ID])*0.8,0),"Train","Test")</f>
        <v>Train</v>
      </c>
    </row>
    <row r="171" spans="1:20" x14ac:dyDescent="0.25">
      <c r="A171" t="s">
        <v>130</v>
      </c>
      <c r="B171" t="s">
        <v>20</v>
      </c>
      <c r="C171" t="s">
        <v>323</v>
      </c>
      <c r="D171" t="s">
        <v>23</v>
      </c>
      <c r="E171" t="s">
        <v>15</v>
      </c>
      <c r="F171">
        <v>47</v>
      </c>
      <c r="G171">
        <v>1500</v>
      </c>
      <c r="H171">
        <v>3</v>
      </c>
      <c r="I171">
        <v>4500</v>
      </c>
      <c r="J171">
        <v>8.8699999999999992</v>
      </c>
      <c r="K171" s="2">
        <v>45180</v>
      </c>
      <c r="L171" t="s">
        <v>318</v>
      </c>
      <c r="M171" s="6">
        <f>SalesTbl[[#This Row],[Unit Price]]*SalesTbl[[#This Row],[Quantity]]</f>
        <v>4500</v>
      </c>
      <c r="N171" s="6">
        <f>YEAR(SalesTbl[[#This Row],[Order Date]])</f>
        <v>2023</v>
      </c>
      <c r="O171" s="6" t="str">
        <f>TEXT(SalesTbl[[#This Row],[Order Date]],"yyyy-mm")</f>
        <v>2023-09</v>
      </c>
      <c r="P171" s="13">
        <f>WEEKNUM(SalesTbl[[#This Row],[Order Date]],2)</f>
        <v>38</v>
      </c>
      <c r="Q171" s="14">
        <f>MEDIAN(SalesTbl[Quantity])</f>
        <v>3</v>
      </c>
      <c r="R171" s="14">
        <f>IF(ISBLANK(SalesTbl[[#This Row],[Quantity]]),$H$2,SalesTbl[[#This Row],[Quantity]])</f>
        <v>3</v>
      </c>
      <c r="S171">
        <f>ROW()-ROW(SalesTbl[[#Headers],[Customer ID]])</f>
        <v>170</v>
      </c>
      <c r="T171" s="9" t="str">
        <f>IF(SalesTbl[[#This Row],[RowIdx]]&lt;=ROUNDUP(COUNTA(SalesTbl[Customer ID])*0.8,0),"Train","Test")</f>
        <v>Train</v>
      </c>
    </row>
    <row r="172" spans="1:20" x14ac:dyDescent="0.25">
      <c r="A172" t="s">
        <v>151</v>
      </c>
      <c r="B172" t="s">
        <v>13</v>
      </c>
      <c r="C172" t="s">
        <v>320</v>
      </c>
      <c r="D172" t="s">
        <v>14</v>
      </c>
      <c r="E172" t="s">
        <v>15</v>
      </c>
      <c r="F172">
        <v>66</v>
      </c>
      <c r="G172">
        <v>300</v>
      </c>
      <c r="H172">
        <v>1</v>
      </c>
      <c r="I172">
        <v>300</v>
      </c>
      <c r="J172">
        <v>16.579999999999998</v>
      </c>
      <c r="K172" s="2">
        <v>44984</v>
      </c>
      <c r="L172" t="s">
        <v>318</v>
      </c>
      <c r="M172" s="6">
        <f>SalesTbl[[#This Row],[Unit Price]]*SalesTbl[[#This Row],[Quantity]]</f>
        <v>300</v>
      </c>
      <c r="N172" s="6">
        <f>YEAR(SalesTbl[[#This Row],[Order Date]])</f>
        <v>2023</v>
      </c>
      <c r="O172" s="6" t="str">
        <f>TEXT(SalesTbl[[#This Row],[Order Date]],"yyyy-mm")</f>
        <v>2023-02</v>
      </c>
      <c r="P172" s="13">
        <f>WEEKNUM(SalesTbl[[#This Row],[Order Date]],2)</f>
        <v>10</v>
      </c>
      <c r="Q172" s="14">
        <f>MEDIAN(SalesTbl[Quantity])</f>
        <v>3</v>
      </c>
      <c r="R172" s="14">
        <f>IF(ISBLANK(SalesTbl[[#This Row],[Quantity]]),$H$2,SalesTbl[[#This Row],[Quantity]])</f>
        <v>1</v>
      </c>
      <c r="S172">
        <f>ROW()-ROW(SalesTbl[[#Headers],[Customer ID]])</f>
        <v>171</v>
      </c>
      <c r="T172" s="9" t="str">
        <f>IF(SalesTbl[[#This Row],[RowIdx]]&lt;=ROUNDUP(COUNTA(SalesTbl[Customer ID])*0.8,0),"Train","Test")</f>
        <v>Train</v>
      </c>
    </row>
    <row r="173" spans="1:20" x14ac:dyDescent="0.25">
      <c r="A173" t="s">
        <v>72</v>
      </c>
      <c r="B173" t="s">
        <v>20</v>
      </c>
      <c r="C173" t="s">
        <v>322</v>
      </c>
      <c r="D173" t="s">
        <v>14</v>
      </c>
      <c r="E173" t="s">
        <v>15</v>
      </c>
      <c r="F173">
        <v>42</v>
      </c>
      <c r="G173">
        <v>300</v>
      </c>
      <c r="H173">
        <v>1</v>
      </c>
      <c r="I173">
        <v>300</v>
      </c>
      <c r="J173">
        <v>14.7</v>
      </c>
      <c r="K173" s="2">
        <v>45246</v>
      </c>
      <c r="L173" t="s">
        <v>318</v>
      </c>
      <c r="M173" s="6">
        <f>SalesTbl[[#This Row],[Unit Price]]*SalesTbl[[#This Row],[Quantity]]</f>
        <v>300</v>
      </c>
      <c r="N173" s="6">
        <f>YEAR(SalesTbl[[#This Row],[Order Date]])</f>
        <v>2023</v>
      </c>
      <c r="O173" s="6" t="str">
        <f>TEXT(SalesTbl[[#This Row],[Order Date]],"yyyy-mm")</f>
        <v>2023-11</v>
      </c>
      <c r="P173" s="13">
        <f>WEEKNUM(SalesTbl[[#This Row],[Order Date]],2)</f>
        <v>47</v>
      </c>
      <c r="Q173" s="14">
        <f>MEDIAN(SalesTbl[Quantity])</f>
        <v>3</v>
      </c>
      <c r="R173" s="14">
        <f>IF(ISBLANK(SalesTbl[[#This Row],[Quantity]]),$H$2,SalesTbl[[#This Row],[Quantity]])</f>
        <v>1</v>
      </c>
      <c r="S173">
        <f>ROW()-ROW(SalesTbl[[#Headers],[Customer ID]])</f>
        <v>172</v>
      </c>
      <c r="T173" s="9" t="str">
        <f>IF(SalesTbl[[#This Row],[RowIdx]]&lt;=ROUNDUP(COUNTA(SalesTbl[Customer ID])*0.8,0),"Train","Test")</f>
        <v>Train</v>
      </c>
    </row>
    <row r="174" spans="1:20" x14ac:dyDescent="0.25">
      <c r="A174" t="s">
        <v>152</v>
      </c>
      <c r="B174" t="s">
        <v>13</v>
      </c>
      <c r="C174" t="s">
        <v>322</v>
      </c>
      <c r="D174" t="s">
        <v>40</v>
      </c>
      <c r="E174" t="s">
        <v>15</v>
      </c>
      <c r="F174">
        <v>53</v>
      </c>
      <c r="G174">
        <v>800</v>
      </c>
      <c r="H174">
        <v>2</v>
      </c>
      <c r="I174">
        <v>1600</v>
      </c>
      <c r="J174">
        <v>16.23</v>
      </c>
      <c r="K174" s="2">
        <v>45126</v>
      </c>
      <c r="L174" t="s">
        <v>317</v>
      </c>
      <c r="M174" s="6">
        <f>SalesTbl[[#This Row],[Unit Price]]*SalesTbl[[#This Row],[Quantity]]</f>
        <v>1600</v>
      </c>
      <c r="N174" s="6">
        <f>YEAR(SalesTbl[[#This Row],[Order Date]])</f>
        <v>2023</v>
      </c>
      <c r="O174" s="6" t="str">
        <f>TEXT(SalesTbl[[#This Row],[Order Date]],"yyyy-mm")</f>
        <v>2023-07</v>
      </c>
      <c r="P174" s="13">
        <f>WEEKNUM(SalesTbl[[#This Row],[Order Date]],2)</f>
        <v>30</v>
      </c>
      <c r="Q174" s="14">
        <f>MEDIAN(SalesTbl[Quantity])</f>
        <v>3</v>
      </c>
      <c r="R174" s="14">
        <f>IF(ISBLANK(SalesTbl[[#This Row],[Quantity]]),$H$2,SalesTbl[[#This Row],[Quantity]])</f>
        <v>2</v>
      </c>
      <c r="S174">
        <f>ROW()-ROW(SalesTbl[[#Headers],[Customer ID]])</f>
        <v>173</v>
      </c>
      <c r="T174" s="9" t="str">
        <f>IF(SalesTbl[[#This Row],[RowIdx]]&lt;=ROUNDUP(COUNTA(SalesTbl[Customer ID])*0.8,0),"Train","Test")</f>
        <v>Train</v>
      </c>
    </row>
    <row r="175" spans="1:20" x14ac:dyDescent="0.25">
      <c r="A175" t="s">
        <v>153</v>
      </c>
      <c r="B175" t="s">
        <v>13</v>
      </c>
      <c r="C175" t="s">
        <v>321</v>
      </c>
      <c r="D175" t="s">
        <v>17</v>
      </c>
      <c r="E175" t="s">
        <v>18</v>
      </c>
      <c r="F175">
        <v>43</v>
      </c>
      <c r="G175">
        <v>100</v>
      </c>
      <c r="H175">
        <v>4</v>
      </c>
      <c r="I175">
        <v>400</v>
      </c>
      <c r="J175">
        <v>11.4</v>
      </c>
      <c r="K175" s="2">
        <v>45040</v>
      </c>
      <c r="L175" t="s">
        <v>316</v>
      </c>
      <c r="M175" s="6">
        <f>SalesTbl[[#This Row],[Unit Price]]*SalesTbl[[#This Row],[Quantity]]</f>
        <v>400</v>
      </c>
      <c r="N175" s="6">
        <f>YEAR(SalesTbl[[#This Row],[Order Date]])</f>
        <v>2023</v>
      </c>
      <c r="O175" s="6" t="str">
        <f>TEXT(SalesTbl[[#This Row],[Order Date]],"yyyy-mm")</f>
        <v>2023-04</v>
      </c>
      <c r="P175" s="13">
        <f>WEEKNUM(SalesTbl[[#This Row],[Order Date]],2)</f>
        <v>18</v>
      </c>
      <c r="Q175" s="14">
        <f>MEDIAN(SalesTbl[Quantity])</f>
        <v>3</v>
      </c>
      <c r="R175" s="14">
        <f>IF(ISBLANK(SalesTbl[[#This Row],[Quantity]]),$H$2,SalesTbl[[#This Row],[Quantity]])</f>
        <v>4</v>
      </c>
      <c r="S175">
        <f>ROW()-ROW(SalesTbl[[#Headers],[Customer ID]])</f>
        <v>174</v>
      </c>
      <c r="T175" s="9" t="str">
        <f>IF(SalesTbl[[#This Row],[RowIdx]]&lt;=ROUNDUP(COUNTA(SalesTbl[Customer ID])*0.8,0),"Train","Test")</f>
        <v>Train</v>
      </c>
    </row>
    <row r="176" spans="1:20" x14ac:dyDescent="0.25">
      <c r="A176" t="s">
        <v>74</v>
      </c>
      <c r="B176" t="s">
        <v>13</v>
      </c>
      <c r="C176" t="s">
        <v>321</v>
      </c>
      <c r="D176" t="s">
        <v>40</v>
      </c>
      <c r="E176" t="s">
        <v>15</v>
      </c>
      <c r="F176">
        <v>46</v>
      </c>
      <c r="G176">
        <v>800</v>
      </c>
      <c r="H176">
        <v>5</v>
      </c>
      <c r="I176">
        <v>4000</v>
      </c>
      <c r="J176">
        <v>19.079999999999998</v>
      </c>
      <c r="K176" s="2">
        <v>45047</v>
      </c>
      <c r="L176" t="s">
        <v>317</v>
      </c>
      <c r="M176" s="6">
        <f>SalesTbl[[#This Row],[Unit Price]]*SalesTbl[[#This Row],[Quantity]]</f>
        <v>4000</v>
      </c>
      <c r="N176" s="6">
        <f>YEAR(SalesTbl[[#This Row],[Order Date]])</f>
        <v>2023</v>
      </c>
      <c r="O176" s="6" t="str">
        <f>TEXT(SalesTbl[[#This Row],[Order Date]],"yyyy-mm")</f>
        <v>2023-05</v>
      </c>
      <c r="P176" s="13">
        <f>WEEKNUM(SalesTbl[[#This Row],[Order Date]],2)</f>
        <v>19</v>
      </c>
      <c r="Q176" s="14">
        <f>MEDIAN(SalesTbl[Quantity])</f>
        <v>3</v>
      </c>
      <c r="R176" s="14">
        <f>IF(ISBLANK(SalesTbl[[#This Row],[Quantity]]),$H$2,SalesTbl[[#This Row],[Quantity]])</f>
        <v>5</v>
      </c>
      <c r="S176">
        <f>ROW()-ROW(SalesTbl[[#Headers],[Customer ID]])</f>
        <v>175</v>
      </c>
      <c r="T176" s="9" t="str">
        <f>IF(SalesTbl[[#This Row],[RowIdx]]&lt;=ROUNDUP(COUNTA(SalesTbl[Customer ID])*0.8,0),"Train","Test")</f>
        <v>Train</v>
      </c>
    </row>
    <row r="177" spans="1:20" x14ac:dyDescent="0.25">
      <c r="A177" t="s">
        <v>57</v>
      </c>
      <c r="B177" t="s">
        <v>13</v>
      </c>
      <c r="C177" t="s">
        <v>319</v>
      </c>
      <c r="D177" t="s">
        <v>29</v>
      </c>
      <c r="E177" t="s">
        <v>18</v>
      </c>
      <c r="F177">
        <v>41</v>
      </c>
      <c r="G177">
        <v>50</v>
      </c>
      <c r="H177">
        <v>1</v>
      </c>
      <c r="I177">
        <v>50</v>
      </c>
      <c r="J177">
        <v>5.56</v>
      </c>
      <c r="K177" s="2">
        <v>45103</v>
      </c>
      <c r="L177" t="s">
        <v>318</v>
      </c>
      <c r="M177" s="6">
        <f>SalesTbl[[#This Row],[Unit Price]]*SalesTbl[[#This Row],[Quantity]]</f>
        <v>50</v>
      </c>
      <c r="N177" s="6">
        <f>YEAR(SalesTbl[[#This Row],[Order Date]])</f>
        <v>2023</v>
      </c>
      <c r="O177" s="6" t="str">
        <f>TEXT(SalesTbl[[#This Row],[Order Date]],"yyyy-mm")</f>
        <v>2023-06</v>
      </c>
      <c r="P177" s="13">
        <f>WEEKNUM(SalesTbl[[#This Row],[Order Date]],2)</f>
        <v>27</v>
      </c>
      <c r="Q177" s="14">
        <f>MEDIAN(SalesTbl[Quantity])</f>
        <v>3</v>
      </c>
      <c r="R177" s="14">
        <f>IF(ISBLANK(SalesTbl[[#This Row],[Quantity]]),$H$2,SalesTbl[[#This Row],[Quantity]])</f>
        <v>1</v>
      </c>
      <c r="S177">
        <f>ROW()-ROW(SalesTbl[[#Headers],[Customer ID]])</f>
        <v>176</v>
      </c>
      <c r="T177" s="9" t="str">
        <f>IF(SalesTbl[[#This Row],[RowIdx]]&lt;=ROUNDUP(COUNTA(SalesTbl[Customer ID])*0.8,0),"Train","Test")</f>
        <v>Train</v>
      </c>
    </row>
    <row r="178" spans="1:20" x14ac:dyDescent="0.25">
      <c r="A178" t="s">
        <v>154</v>
      </c>
      <c r="B178" t="s">
        <v>20</v>
      </c>
      <c r="C178" t="s">
        <v>322</v>
      </c>
      <c r="D178" t="s">
        <v>25</v>
      </c>
      <c r="E178" t="s">
        <v>26</v>
      </c>
      <c r="F178">
        <v>23</v>
      </c>
      <c r="G178">
        <v>200</v>
      </c>
      <c r="H178">
        <v>2</v>
      </c>
      <c r="I178">
        <v>400</v>
      </c>
      <c r="J178">
        <v>5.73</v>
      </c>
      <c r="K178" s="2">
        <v>45294</v>
      </c>
      <c r="L178" t="s">
        <v>316</v>
      </c>
      <c r="M178" s="6">
        <f>SalesTbl[[#This Row],[Unit Price]]*SalesTbl[[#This Row],[Quantity]]</f>
        <v>400</v>
      </c>
      <c r="N178" s="6">
        <f>YEAR(SalesTbl[[#This Row],[Order Date]])</f>
        <v>2024</v>
      </c>
      <c r="O178" s="6" t="str">
        <f>TEXT(SalesTbl[[#This Row],[Order Date]],"yyyy-mm")</f>
        <v>2024-01</v>
      </c>
      <c r="P178" s="13">
        <f>WEEKNUM(SalesTbl[[#This Row],[Order Date]],2)</f>
        <v>1</v>
      </c>
      <c r="Q178" s="14">
        <f>MEDIAN(SalesTbl[Quantity])</f>
        <v>3</v>
      </c>
      <c r="R178" s="14">
        <f>IF(ISBLANK(SalesTbl[[#This Row],[Quantity]]),$H$2,SalesTbl[[#This Row],[Quantity]])</f>
        <v>2</v>
      </c>
      <c r="S178">
        <f>ROW()-ROW(SalesTbl[[#Headers],[Customer ID]])</f>
        <v>177</v>
      </c>
      <c r="T178" s="9" t="str">
        <f>IF(SalesTbl[[#This Row],[RowIdx]]&lt;=ROUNDUP(COUNTA(SalesTbl[Customer ID])*0.8,0),"Train","Test")</f>
        <v>Train</v>
      </c>
    </row>
    <row r="179" spans="1:20" x14ac:dyDescent="0.25">
      <c r="A179" t="s">
        <v>66</v>
      </c>
      <c r="B179" t="s">
        <v>13</v>
      </c>
      <c r="C179" t="s">
        <v>322</v>
      </c>
      <c r="D179" t="s">
        <v>40</v>
      </c>
      <c r="E179" t="s">
        <v>15</v>
      </c>
      <c r="F179">
        <v>44</v>
      </c>
      <c r="G179">
        <v>800</v>
      </c>
      <c r="H179">
        <v>1</v>
      </c>
      <c r="I179">
        <v>800</v>
      </c>
      <c r="J179">
        <v>7.11</v>
      </c>
      <c r="K179" s="2">
        <v>44945</v>
      </c>
      <c r="L179" t="s">
        <v>317</v>
      </c>
      <c r="M179" s="6">
        <f>SalesTbl[[#This Row],[Unit Price]]*SalesTbl[[#This Row],[Quantity]]</f>
        <v>800</v>
      </c>
      <c r="N179" s="6">
        <f>YEAR(SalesTbl[[#This Row],[Order Date]])</f>
        <v>2023</v>
      </c>
      <c r="O179" s="6" t="str">
        <f>TEXT(SalesTbl[[#This Row],[Order Date]],"yyyy-mm")</f>
        <v>2023-01</v>
      </c>
      <c r="P179" s="13">
        <f>WEEKNUM(SalesTbl[[#This Row],[Order Date]],2)</f>
        <v>4</v>
      </c>
      <c r="Q179" s="14">
        <f>MEDIAN(SalesTbl[Quantity])</f>
        <v>3</v>
      </c>
      <c r="R179" s="14">
        <f>IF(ISBLANK(SalesTbl[[#This Row],[Quantity]]),$H$2,SalesTbl[[#This Row],[Quantity]])</f>
        <v>1</v>
      </c>
      <c r="S179">
        <f>ROW()-ROW(SalesTbl[[#Headers],[Customer ID]])</f>
        <v>178</v>
      </c>
      <c r="T179" s="9" t="str">
        <f>IF(SalesTbl[[#This Row],[RowIdx]]&lt;=ROUNDUP(COUNTA(SalesTbl[Customer ID])*0.8,0),"Train","Test")</f>
        <v>Train</v>
      </c>
    </row>
    <row r="180" spans="1:20" x14ac:dyDescent="0.25">
      <c r="A180" t="s">
        <v>69</v>
      </c>
      <c r="B180" t="s">
        <v>20</v>
      </c>
      <c r="C180" t="s">
        <v>323</v>
      </c>
      <c r="D180" t="s">
        <v>14</v>
      </c>
      <c r="E180" t="s">
        <v>15</v>
      </c>
      <c r="F180">
        <v>67</v>
      </c>
      <c r="G180">
        <v>300</v>
      </c>
      <c r="H180">
        <v>1</v>
      </c>
      <c r="I180">
        <v>300</v>
      </c>
      <c r="J180">
        <v>15.92</v>
      </c>
      <c r="K180" s="2">
        <v>45049</v>
      </c>
      <c r="L180" t="s">
        <v>319</v>
      </c>
      <c r="M180" s="6">
        <f>SalesTbl[[#This Row],[Unit Price]]*SalesTbl[[#This Row],[Quantity]]</f>
        <v>300</v>
      </c>
      <c r="N180" s="6">
        <f>YEAR(SalesTbl[[#This Row],[Order Date]])</f>
        <v>2023</v>
      </c>
      <c r="O180" s="6" t="str">
        <f>TEXT(SalesTbl[[#This Row],[Order Date]],"yyyy-mm")</f>
        <v>2023-05</v>
      </c>
      <c r="P180" s="13">
        <f>WEEKNUM(SalesTbl[[#This Row],[Order Date]],2)</f>
        <v>19</v>
      </c>
      <c r="Q180" s="14">
        <f>MEDIAN(SalesTbl[Quantity])</f>
        <v>3</v>
      </c>
      <c r="R180" s="14">
        <f>IF(ISBLANK(SalesTbl[[#This Row],[Quantity]]),$H$2,SalesTbl[[#This Row],[Quantity]])</f>
        <v>1</v>
      </c>
      <c r="S180">
        <f>ROW()-ROW(SalesTbl[[#Headers],[Customer ID]])</f>
        <v>179</v>
      </c>
      <c r="T180" s="9" t="str">
        <f>IF(SalesTbl[[#This Row],[RowIdx]]&lt;=ROUNDUP(COUNTA(SalesTbl[Customer ID])*0.8,0),"Train","Test")</f>
        <v>Train</v>
      </c>
    </row>
    <row r="181" spans="1:20" x14ac:dyDescent="0.25">
      <c r="A181" t="s">
        <v>155</v>
      </c>
      <c r="B181" t="s">
        <v>20</v>
      </c>
      <c r="C181" t="s">
        <v>321</v>
      </c>
      <c r="D181" t="s">
        <v>14</v>
      </c>
      <c r="E181" t="s">
        <v>15</v>
      </c>
      <c r="F181">
        <v>60</v>
      </c>
      <c r="G181">
        <v>300</v>
      </c>
      <c r="H181">
        <v>3</v>
      </c>
      <c r="I181">
        <v>900</v>
      </c>
      <c r="J181">
        <v>18.61</v>
      </c>
      <c r="K181" s="2">
        <v>45128</v>
      </c>
      <c r="L181" t="s">
        <v>317</v>
      </c>
      <c r="M181" s="6">
        <f>SalesTbl[[#This Row],[Unit Price]]*SalesTbl[[#This Row],[Quantity]]</f>
        <v>900</v>
      </c>
      <c r="N181" s="6">
        <f>YEAR(SalesTbl[[#This Row],[Order Date]])</f>
        <v>2023</v>
      </c>
      <c r="O181" s="6" t="str">
        <f>TEXT(SalesTbl[[#This Row],[Order Date]],"yyyy-mm")</f>
        <v>2023-07</v>
      </c>
      <c r="P181" s="13">
        <f>WEEKNUM(SalesTbl[[#This Row],[Order Date]],2)</f>
        <v>30</v>
      </c>
      <c r="Q181" s="14">
        <f>MEDIAN(SalesTbl[Quantity])</f>
        <v>3</v>
      </c>
      <c r="R181" s="14">
        <f>IF(ISBLANK(SalesTbl[[#This Row],[Quantity]]),$H$2,SalesTbl[[#This Row],[Quantity]])</f>
        <v>3</v>
      </c>
      <c r="S181">
        <f>ROW()-ROW(SalesTbl[[#Headers],[Customer ID]])</f>
        <v>180</v>
      </c>
      <c r="T181" s="9" t="str">
        <f>IF(SalesTbl[[#This Row],[RowIdx]]&lt;=ROUNDUP(COUNTA(SalesTbl[Customer ID])*0.8,0),"Train","Test")</f>
        <v>Train</v>
      </c>
    </row>
    <row r="182" spans="1:20" x14ac:dyDescent="0.25">
      <c r="A182" t="s">
        <v>131</v>
      </c>
      <c r="B182" t="s">
        <v>20</v>
      </c>
      <c r="C182" t="s">
        <v>319</v>
      </c>
      <c r="D182" t="s">
        <v>40</v>
      </c>
      <c r="E182" t="s">
        <v>15</v>
      </c>
      <c r="F182">
        <v>49</v>
      </c>
      <c r="G182">
        <v>800</v>
      </c>
      <c r="H182">
        <v>4</v>
      </c>
      <c r="I182">
        <v>3200</v>
      </c>
      <c r="J182">
        <v>13.77</v>
      </c>
      <c r="K182" s="2">
        <v>45210</v>
      </c>
      <c r="L182" t="s">
        <v>318</v>
      </c>
      <c r="M182" s="6">
        <f>SalesTbl[[#This Row],[Unit Price]]*SalesTbl[[#This Row],[Quantity]]</f>
        <v>3200</v>
      </c>
      <c r="N182" s="6">
        <f>YEAR(SalesTbl[[#This Row],[Order Date]])</f>
        <v>2023</v>
      </c>
      <c r="O182" s="6" t="str">
        <f>TEXT(SalesTbl[[#This Row],[Order Date]],"yyyy-mm")</f>
        <v>2023-10</v>
      </c>
      <c r="P182" s="13">
        <f>WEEKNUM(SalesTbl[[#This Row],[Order Date]],2)</f>
        <v>42</v>
      </c>
      <c r="Q182" s="14">
        <f>MEDIAN(SalesTbl[Quantity])</f>
        <v>3</v>
      </c>
      <c r="R182" s="14">
        <f>IF(ISBLANK(SalesTbl[[#This Row],[Quantity]]),$H$2,SalesTbl[[#This Row],[Quantity]])</f>
        <v>4</v>
      </c>
      <c r="S182">
        <f>ROW()-ROW(SalesTbl[[#Headers],[Customer ID]])</f>
        <v>181</v>
      </c>
      <c r="T182" s="9" t="str">
        <f>IF(SalesTbl[[#This Row],[RowIdx]]&lt;=ROUNDUP(COUNTA(SalesTbl[Customer ID])*0.8,0),"Train","Test")</f>
        <v>Train</v>
      </c>
    </row>
    <row r="183" spans="1:20" x14ac:dyDescent="0.25">
      <c r="A183" t="s">
        <v>156</v>
      </c>
      <c r="B183" t="s">
        <v>20</v>
      </c>
      <c r="C183" t="s">
        <v>321</v>
      </c>
      <c r="D183" t="s">
        <v>30</v>
      </c>
      <c r="E183" t="s">
        <v>18</v>
      </c>
      <c r="F183">
        <v>54</v>
      </c>
      <c r="G183">
        <v>30</v>
      </c>
      <c r="H183">
        <v>3</v>
      </c>
      <c r="I183">
        <v>90</v>
      </c>
      <c r="J183">
        <v>14.78</v>
      </c>
      <c r="K183" s="2">
        <v>45092</v>
      </c>
      <c r="L183" t="s">
        <v>316</v>
      </c>
      <c r="M183" s="6">
        <f>SalesTbl[[#This Row],[Unit Price]]*SalesTbl[[#This Row],[Quantity]]</f>
        <v>90</v>
      </c>
      <c r="N183" s="6">
        <f>YEAR(SalesTbl[[#This Row],[Order Date]])</f>
        <v>2023</v>
      </c>
      <c r="O183" s="6" t="str">
        <f>TEXT(SalesTbl[[#This Row],[Order Date]],"yyyy-mm")</f>
        <v>2023-06</v>
      </c>
      <c r="P183" s="13">
        <f>WEEKNUM(SalesTbl[[#This Row],[Order Date]],2)</f>
        <v>25</v>
      </c>
      <c r="Q183" s="14">
        <f>MEDIAN(SalesTbl[Quantity])</f>
        <v>3</v>
      </c>
      <c r="R183" s="14">
        <f>IF(ISBLANK(SalesTbl[[#This Row],[Quantity]]),$H$2,SalesTbl[[#This Row],[Quantity]])</f>
        <v>3</v>
      </c>
      <c r="S183">
        <f>ROW()-ROW(SalesTbl[[#Headers],[Customer ID]])</f>
        <v>182</v>
      </c>
      <c r="T183" s="9" t="str">
        <f>IF(SalesTbl[[#This Row],[RowIdx]]&lt;=ROUNDUP(COUNTA(SalesTbl[Customer ID])*0.8,0),"Train","Test")</f>
        <v>Train</v>
      </c>
    </row>
    <row r="184" spans="1:20" x14ac:dyDescent="0.25">
      <c r="A184" t="s">
        <v>157</v>
      </c>
      <c r="B184" t="s">
        <v>20</v>
      </c>
      <c r="C184" t="s">
        <v>322</v>
      </c>
      <c r="D184" t="s">
        <v>14</v>
      </c>
      <c r="E184" t="s">
        <v>15</v>
      </c>
      <c r="F184">
        <v>56</v>
      </c>
      <c r="G184">
        <v>300</v>
      </c>
      <c r="H184">
        <v>2</v>
      </c>
      <c r="I184">
        <v>600</v>
      </c>
      <c r="J184">
        <v>13.6</v>
      </c>
      <c r="K184" s="2">
        <v>45154</v>
      </c>
      <c r="L184" t="s">
        <v>318</v>
      </c>
      <c r="M184" s="6">
        <f>SalesTbl[[#This Row],[Unit Price]]*SalesTbl[[#This Row],[Quantity]]</f>
        <v>600</v>
      </c>
      <c r="N184" s="6">
        <f>YEAR(SalesTbl[[#This Row],[Order Date]])</f>
        <v>2023</v>
      </c>
      <c r="O184" s="6" t="str">
        <f>TEXT(SalesTbl[[#This Row],[Order Date]],"yyyy-mm")</f>
        <v>2023-08</v>
      </c>
      <c r="P184" s="13">
        <f>WEEKNUM(SalesTbl[[#This Row],[Order Date]],2)</f>
        <v>34</v>
      </c>
      <c r="Q184" s="14">
        <f>MEDIAN(SalesTbl[Quantity])</f>
        <v>3</v>
      </c>
      <c r="R184" s="14">
        <f>IF(ISBLANK(SalesTbl[[#This Row],[Quantity]]),$H$2,SalesTbl[[#This Row],[Quantity]])</f>
        <v>2</v>
      </c>
      <c r="S184">
        <f>ROW()-ROW(SalesTbl[[#Headers],[Customer ID]])</f>
        <v>183</v>
      </c>
      <c r="T184" s="9" t="str">
        <f>IF(SalesTbl[[#This Row],[RowIdx]]&lt;=ROUNDUP(COUNTA(SalesTbl[Customer ID])*0.8,0),"Train","Test")</f>
        <v>Train</v>
      </c>
    </row>
    <row r="185" spans="1:20" x14ac:dyDescent="0.25">
      <c r="A185" t="s">
        <v>158</v>
      </c>
      <c r="B185" t="s">
        <v>13</v>
      </c>
      <c r="C185" t="s">
        <v>323</v>
      </c>
      <c r="D185" t="s">
        <v>14</v>
      </c>
      <c r="E185" t="s">
        <v>15</v>
      </c>
      <c r="F185">
        <v>32</v>
      </c>
      <c r="G185">
        <v>300</v>
      </c>
      <c r="H185">
        <v>1</v>
      </c>
      <c r="I185">
        <v>300</v>
      </c>
      <c r="J185">
        <v>15.5</v>
      </c>
      <c r="K185" s="2">
        <v>45030</v>
      </c>
      <c r="L185" t="s">
        <v>318</v>
      </c>
      <c r="M185" s="6">
        <f>SalesTbl[[#This Row],[Unit Price]]*SalesTbl[[#This Row],[Quantity]]</f>
        <v>300</v>
      </c>
      <c r="N185" s="6">
        <f>YEAR(SalesTbl[[#This Row],[Order Date]])</f>
        <v>2023</v>
      </c>
      <c r="O185" s="6" t="str">
        <f>TEXT(SalesTbl[[#This Row],[Order Date]],"yyyy-mm")</f>
        <v>2023-04</v>
      </c>
      <c r="P185" s="13">
        <f>WEEKNUM(SalesTbl[[#This Row],[Order Date]],2)</f>
        <v>16</v>
      </c>
      <c r="Q185" s="14">
        <f>MEDIAN(SalesTbl[Quantity])</f>
        <v>3</v>
      </c>
      <c r="R185" s="14">
        <f>IF(ISBLANK(SalesTbl[[#This Row],[Quantity]]),$H$2,SalesTbl[[#This Row],[Quantity]])</f>
        <v>1</v>
      </c>
      <c r="S185">
        <f>ROW()-ROW(SalesTbl[[#Headers],[Customer ID]])</f>
        <v>184</v>
      </c>
      <c r="T185" s="9" t="str">
        <f>IF(SalesTbl[[#This Row],[RowIdx]]&lt;=ROUNDUP(COUNTA(SalesTbl[Customer ID])*0.8,0),"Train","Test")</f>
        <v>Train</v>
      </c>
    </row>
    <row r="186" spans="1:20" x14ac:dyDescent="0.25">
      <c r="A186" t="s">
        <v>159</v>
      </c>
      <c r="B186" t="s">
        <v>13</v>
      </c>
      <c r="C186" t="s">
        <v>323</v>
      </c>
      <c r="D186" t="s">
        <v>17</v>
      </c>
      <c r="E186" t="s">
        <v>18</v>
      </c>
      <c r="F186">
        <v>26</v>
      </c>
      <c r="G186">
        <v>100</v>
      </c>
      <c r="H186">
        <v>5</v>
      </c>
      <c r="I186">
        <v>500</v>
      </c>
      <c r="J186">
        <v>16.96</v>
      </c>
      <c r="K186" s="2">
        <v>45223</v>
      </c>
      <c r="L186" t="s">
        <v>318</v>
      </c>
      <c r="M186" s="6">
        <f>SalesTbl[[#This Row],[Unit Price]]*SalesTbl[[#This Row],[Quantity]]</f>
        <v>500</v>
      </c>
      <c r="N186" s="6">
        <f>YEAR(SalesTbl[[#This Row],[Order Date]])</f>
        <v>2023</v>
      </c>
      <c r="O186" s="6" t="str">
        <f>TEXT(SalesTbl[[#This Row],[Order Date]],"yyyy-mm")</f>
        <v>2023-10</v>
      </c>
      <c r="P186" s="13">
        <f>WEEKNUM(SalesTbl[[#This Row],[Order Date]],2)</f>
        <v>44</v>
      </c>
      <c r="Q186" s="14">
        <f>MEDIAN(SalesTbl[Quantity])</f>
        <v>3</v>
      </c>
      <c r="R186" s="14">
        <f>IF(ISBLANK(SalesTbl[[#This Row],[Quantity]]),$H$2,SalesTbl[[#This Row],[Quantity]])</f>
        <v>5</v>
      </c>
      <c r="S186">
        <f>ROW()-ROW(SalesTbl[[#Headers],[Customer ID]])</f>
        <v>185</v>
      </c>
      <c r="T186" s="9" t="str">
        <f>IF(SalesTbl[[#This Row],[RowIdx]]&lt;=ROUNDUP(COUNTA(SalesTbl[Customer ID])*0.8,0),"Train","Test")</f>
        <v>Train</v>
      </c>
    </row>
    <row r="187" spans="1:20" x14ac:dyDescent="0.25">
      <c r="A187" t="s">
        <v>160</v>
      </c>
      <c r="B187" t="s">
        <v>13</v>
      </c>
      <c r="C187" t="s">
        <v>323</v>
      </c>
      <c r="D187" t="s">
        <v>25</v>
      </c>
      <c r="E187" t="s">
        <v>26</v>
      </c>
      <c r="F187">
        <v>27</v>
      </c>
      <c r="G187">
        <v>200</v>
      </c>
      <c r="H187">
        <v>5</v>
      </c>
      <c r="I187">
        <v>1000</v>
      </c>
      <c r="J187">
        <v>12</v>
      </c>
      <c r="K187" s="2">
        <v>45121</v>
      </c>
      <c r="L187" t="s">
        <v>317</v>
      </c>
      <c r="M187" s="6">
        <f>SalesTbl[[#This Row],[Unit Price]]*SalesTbl[[#This Row],[Quantity]]</f>
        <v>1000</v>
      </c>
      <c r="N187" s="6">
        <f>YEAR(SalesTbl[[#This Row],[Order Date]])</f>
        <v>2023</v>
      </c>
      <c r="O187" s="6" t="str">
        <f>TEXT(SalesTbl[[#This Row],[Order Date]],"yyyy-mm")</f>
        <v>2023-07</v>
      </c>
      <c r="P187" s="13">
        <f>WEEKNUM(SalesTbl[[#This Row],[Order Date]],2)</f>
        <v>29</v>
      </c>
      <c r="Q187" s="14">
        <f>MEDIAN(SalesTbl[Quantity])</f>
        <v>3</v>
      </c>
      <c r="R187" s="14">
        <f>IF(ISBLANK(SalesTbl[[#This Row],[Quantity]]),$H$2,SalesTbl[[#This Row],[Quantity]])</f>
        <v>5</v>
      </c>
      <c r="S187">
        <f>ROW()-ROW(SalesTbl[[#Headers],[Customer ID]])</f>
        <v>186</v>
      </c>
      <c r="T187" s="9" t="str">
        <f>IF(SalesTbl[[#This Row],[RowIdx]]&lt;=ROUNDUP(COUNTA(SalesTbl[Customer ID])*0.8,0),"Train","Test")</f>
        <v>Train</v>
      </c>
    </row>
    <row r="188" spans="1:20" x14ac:dyDescent="0.25">
      <c r="A188" t="s">
        <v>161</v>
      </c>
      <c r="B188" t="s">
        <v>20</v>
      </c>
      <c r="C188" t="s">
        <v>321</v>
      </c>
      <c r="D188" t="s">
        <v>29</v>
      </c>
      <c r="E188" t="s">
        <v>18</v>
      </c>
      <c r="F188">
        <v>65</v>
      </c>
      <c r="G188">
        <v>50</v>
      </c>
      <c r="H188">
        <v>3</v>
      </c>
      <c r="I188">
        <v>150</v>
      </c>
      <c r="J188">
        <v>19.62</v>
      </c>
      <c r="K188" s="2">
        <v>45266</v>
      </c>
      <c r="L188" t="s">
        <v>317</v>
      </c>
      <c r="M188" s="6">
        <f>SalesTbl[[#This Row],[Unit Price]]*SalesTbl[[#This Row],[Quantity]]</f>
        <v>150</v>
      </c>
      <c r="N188" s="6">
        <f>YEAR(SalesTbl[[#This Row],[Order Date]])</f>
        <v>2023</v>
      </c>
      <c r="O188" s="6" t="str">
        <f>TEXT(SalesTbl[[#This Row],[Order Date]],"yyyy-mm")</f>
        <v>2023-12</v>
      </c>
      <c r="P188" s="13">
        <f>WEEKNUM(SalesTbl[[#This Row],[Order Date]],2)</f>
        <v>50</v>
      </c>
      <c r="Q188" s="14">
        <f>MEDIAN(SalesTbl[Quantity])</f>
        <v>3</v>
      </c>
      <c r="R188" s="14">
        <f>IF(ISBLANK(SalesTbl[[#This Row],[Quantity]]),$H$2,SalesTbl[[#This Row],[Quantity]])</f>
        <v>3</v>
      </c>
      <c r="S188">
        <f>ROW()-ROW(SalesTbl[[#Headers],[Customer ID]])</f>
        <v>187</v>
      </c>
      <c r="T188" s="9" t="str">
        <f>IF(SalesTbl[[#This Row],[RowIdx]]&lt;=ROUNDUP(COUNTA(SalesTbl[Customer ID])*0.8,0),"Train","Test")</f>
        <v>Train</v>
      </c>
    </row>
    <row r="189" spans="1:20" x14ac:dyDescent="0.25">
      <c r="A189" t="s">
        <v>162</v>
      </c>
      <c r="B189" t="s">
        <v>13</v>
      </c>
      <c r="C189" t="s">
        <v>320</v>
      </c>
      <c r="D189" t="s">
        <v>25</v>
      </c>
      <c r="E189" t="s">
        <v>26</v>
      </c>
      <c r="F189">
        <v>62</v>
      </c>
      <c r="G189">
        <v>200</v>
      </c>
      <c r="H189">
        <v>2</v>
      </c>
      <c r="I189">
        <v>400</v>
      </c>
      <c r="J189">
        <v>11.66</v>
      </c>
      <c r="K189" s="2">
        <v>45169</v>
      </c>
      <c r="L189" t="s">
        <v>318</v>
      </c>
      <c r="M189" s="6">
        <f>SalesTbl[[#This Row],[Unit Price]]*SalesTbl[[#This Row],[Quantity]]</f>
        <v>400</v>
      </c>
      <c r="N189" s="6">
        <f>YEAR(SalesTbl[[#This Row],[Order Date]])</f>
        <v>2023</v>
      </c>
      <c r="O189" s="6" t="str">
        <f>TEXT(SalesTbl[[#This Row],[Order Date]],"yyyy-mm")</f>
        <v>2023-08</v>
      </c>
      <c r="P189" s="13">
        <f>WEEKNUM(SalesTbl[[#This Row],[Order Date]],2)</f>
        <v>36</v>
      </c>
      <c r="Q189" s="14">
        <f>MEDIAN(SalesTbl[Quantity])</f>
        <v>3</v>
      </c>
      <c r="R189" s="14">
        <f>IF(ISBLANK(SalesTbl[[#This Row],[Quantity]]),$H$2,SalesTbl[[#This Row],[Quantity]])</f>
        <v>2</v>
      </c>
      <c r="S189">
        <f>ROW()-ROW(SalesTbl[[#Headers],[Customer ID]])</f>
        <v>188</v>
      </c>
      <c r="T189" s="9" t="str">
        <f>IF(SalesTbl[[#This Row],[RowIdx]]&lt;=ROUNDUP(COUNTA(SalesTbl[Customer ID])*0.8,0),"Train","Test")</f>
        <v>Train</v>
      </c>
    </row>
    <row r="190" spans="1:20" x14ac:dyDescent="0.25">
      <c r="A190" t="s">
        <v>163</v>
      </c>
      <c r="B190" t="s">
        <v>13</v>
      </c>
      <c r="C190" t="s">
        <v>322</v>
      </c>
      <c r="D190" t="s">
        <v>17</v>
      </c>
      <c r="E190" t="s">
        <v>18</v>
      </c>
      <c r="F190">
        <v>21</v>
      </c>
      <c r="G190">
        <v>100</v>
      </c>
      <c r="H190">
        <v>1</v>
      </c>
      <c r="I190">
        <v>100</v>
      </c>
      <c r="J190">
        <v>11.24</v>
      </c>
      <c r="K190" s="2">
        <v>45171</v>
      </c>
      <c r="L190" t="s">
        <v>318</v>
      </c>
      <c r="M190" s="6">
        <f>SalesTbl[[#This Row],[Unit Price]]*SalesTbl[[#This Row],[Quantity]]</f>
        <v>100</v>
      </c>
      <c r="N190" s="6">
        <f>YEAR(SalesTbl[[#This Row],[Order Date]])</f>
        <v>2023</v>
      </c>
      <c r="O190" s="6" t="str">
        <f>TEXT(SalesTbl[[#This Row],[Order Date]],"yyyy-mm")</f>
        <v>2023-09</v>
      </c>
      <c r="P190" s="13">
        <f>WEEKNUM(SalesTbl[[#This Row],[Order Date]],2)</f>
        <v>36</v>
      </c>
      <c r="Q190" s="14">
        <f>MEDIAN(SalesTbl[Quantity])</f>
        <v>3</v>
      </c>
      <c r="R190" s="14">
        <f>IF(ISBLANK(SalesTbl[[#This Row],[Quantity]]),$H$2,SalesTbl[[#This Row],[Quantity]])</f>
        <v>1</v>
      </c>
      <c r="S190">
        <f>ROW()-ROW(SalesTbl[[#Headers],[Customer ID]])</f>
        <v>189</v>
      </c>
      <c r="T190" s="9" t="str">
        <f>IF(SalesTbl[[#This Row],[RowIdx]]&lt;=ROUNDUP(COUNTA(SalesTbl[Customer ID])*0.8,0),"Train","Test")</f>
        <v>Train</v>
      </c>
    </row>
    <row r="191" spans="1:20" x14ac:dyDescent="0.25">
      <c r="A191" t="s">
        <v>152</v>
      </c>
      <c r="B191" t="s">
        <v>13</v>
      </c>
      <c r="C191" t="s">
        <v>320</v>
      </c>
      <c r="D191" t="s">
        <v>40</v>
      </c>
      <c r="E191" t="s">
        <v>15</v>
      </c>
      <c r="F191">
        <v>53</v>
      </c>
      <c r="G191">
        <v>800</v>
      </c>
      <c r="H191">
        <v>4</v>
      </c>
      <c r="I191">
        <v>3200</v>
      </c>
      <c r="J191">
        <v>6.27</v>
      </c>
      <c r="K191" s="2">
        <v>45022</v>
      </c>
      <c r="L191" t="s">
        <v>316</v>
      </c>
      <c r="M191" s="6">
        <f>SalesTbl[[#This Row],[Unit Price]]*SalesTbl[[#This Row],[Quantity]]</f>
        <v>3200</v>
      </c>
      <c r="N191" s="6">
        <f>YEAR(SalesTbl[[#This Row],[Order Date]])</f>
        <v>2023</v>
      </c>
      <c r="O191" s="6" t="str">
        <f>TEXT(SalesTbl[[#This Row],[Order Date]],"yyyy-mm")</f>
        <v>2023-04</v>
      </c>
      <c r="P191" s="13">
        <f>WEEKNUM(SalesTbl[[#This Row],[Order Date]],2)</f>
        <v>15</v>
      </c>
      <c r="Q191" s="14">
        <f>MEDIAN(SalesTbl[Quantity])</f>
        <v>3</v>
      </c>
      <c r="R191" s="14">
        <f>IF(ISBLANK(SalesTbl[[#This Row],[Quantity]]),$H$2,SalesTbl[[#This Row],[Quantity]])</f>
        <v>4</v>
      </c>
      <c r="S191">
        <f>ROW()-ROW(SalesTbl[[#Headers],[Customer ID]])</f>
        <v>190</v>
      </c>
      <c r="T191" s="9" t="str">
        <f>IF(SalesTbl[[#This Row],[RowIdx]]&lt;=ROUNDUP(COUNTA(SalesTbl[Customer ID])*0.8,0),"Train","Test")</f>
        <v>Train</v>
      </c>
    </row>
    <row r="192" spans="1:20" x14ac:dyDescent="0.25">
      <c r="A192" t="s">
        <v>164</v>
      </c>
      <c r="B192" t="s">
        <v>20</v>
      </c>
      <c r="C192" t="s">
        <v>322</v>
      </c>
      <c r="D192" t="s">
        <v>40</v>
      </c>
      <c r="E192" t="s">
        <v>15</v>
      </c>
      <c r="F192">
        <v>57</v>
      </c>
      <c r="G192">
        <v>800</v>
      </c>
      <c r="H192">
        <v>4</v>
      </c>
      <c r="I192">
        <v>3200</v>
      </c>
      <c r="J192">
        <v>16.09</v>
      </c>
      <c r="K192" s="2">
        <v>45289</v>
      </c>
      <c r="L192" t="s">
        <v>317</v>
      </c>
      <c r="M192" s="6">
        <f>SalesTbl[[#This Row],[Unit Price]]*SalesTbl[[#This Row],[Quantity]]</f>
        <v>3200</v>
      </c>
      <c r="N192" s="6">
        <f>YEAR(SalesTbl[[#This Row],[Order Date]])</f>
        <v>2023</v>
      </c>
      <c r="O192" s="6" t="str">
        <f>TEXT(SalesTbl[[#This Row],[Order Date]],"yyyy-mm")</f>
        <v>2023-12</v>
      </c>
      <c r="P192" s="13">
        <f>WEEKNUM(SalesTbl[[#This Row],[Order Date]],2)</f>
        <v>53</v>
      </c>
      <c r="Q192" s="14">
        <f>MEDIAN(SalesTbl[Quantity])</f>
        <v>3</v>
      </c>
      <c r="R192" s="14">
        <f>IF(ISBLANK(SalesTbl[[#This Row],[Quantity]]),$H$2,SalesTbl[[#This Row],[Quantity]])</f>
        <v>4</v>
      </c>
      <c r="S192">
        <f>ROW()-ROW(SalesTbl[[#Headers],[Customer ID]])</f>
        <v>191</v>
      </c>
      <c r="T192" s="9" t="str">
        <f>IF(SalesTbl[[#This Row],[RowIdx]]&lt;=ROUNDUP(COUNTA(SalesTbl[Customer ID])*0.8,0),"Train","Test")</f>
        <v>Train</v>
      </c>
    </row>
    <row r="193" spans="1:20" x14ac:dyDescent="0.25">
      <c r="A193" t="s">
        <v>165</v>
      </c>
      <c r="B193" t="s">
        <v>13</v>
      </c>
      <c r="C193" t="s">
        <v>320</v>
      </c>
      <c r="D193" t="s">
        <v>30</v>
      </c>
      <c r="E193" t="s">
        <v>18</v>
      </c>
      <c r="F193">
        <v>66</v>
      </c>
      <c r="G193">
        <v>30</v>
      </c>
      <c r="H193">
        <v>4</v>
      </c>
      <c r="I193">
        <v>120</v>
      </c>
      <c r="J193">
        <v>8.24</v>
      </c>
      <c r="K193" s="2">
        <v>45086</v>
      </c>
      <c r="L193" t="s">
        <v>316</v>
      </c>
      <c r="M193" s="6">
        <f>SalesTbl[[#This Row],[Unit Price]]*SalesTbl[[#This Row],[Quantity]]</f>
        <v>120</v>
      </c>
      <c r="N193" s="6">
        <f>YEAR(SalesTbl[[#This Row],[Order Date]])</f>
        <v>2023</v>
      </c>
      <c r="O193" s="6" t="str">
        <f>TEXT(SalesTbl[[#This Row],[Order Date]],"yyyy-mm")</f>
        <v>2023-06</v>
      </c>
      <c r="P193" s="13">
        <f>WEEKNUM(SalesTbl[[#This Row],[Order Date]],2)</f>
        <v>24</v>
      </c>
      <c r="Q193" s="14">
        <f>MEDIAN(SalesTbl[Quantity])</f>
        <v>3</v>
      </c>
      <c r="R193" s="14">
        <f>IF(ISBLANK(SalesTbl[[#This Row],[Quantity]]),$H$2,SalesTbl[[#This Row],[Quantity]])</f>
        <v>4</v>
      </c>
      <c r="S193">
        <f>ROW()-ROW(SalesTbl[[#Headers],[Customer ID]])</f>
        <v>192</v>
      </c>
      <c r="T193" s="9" t="str">
        <f>IF(SalesTbl[[#This Row],[RowIdx]]&lt;=ROUNDUP(COUNTA(SalesTbl[Customer ID])*0.8,0),"Train","Test")</f>
        <v>Train</v>
      </c>
    </row>
    <row r="194" spans="1:20" x14ac:dyDescent="0.25">
      <c r="A194" t="s">
        <v>166</v>
      </c>
      <c r="B194" t="s">
        <v>20</v>
      </c>
      <c r="C194" t="s">
        <v>321</v>
      </c>
      <c r="D194" t="s">
        <v>40</v>
      </c>
      <c r="E194" t="s">
        <v>15</v>
      </c>
      <c r="F194">
        <v>49</v>
      </c>
      <c r="G194">
        <v>800</v>
      </c>
      <c r="H194">
        <v>4</v>
      </c>
      <c r="I194">
        <v>3200</v>
      </c>
      <c r="J194">
        <v>17.91</v>
      </c>
      <c r="K194" s="2">
        <v>45091</v>
      </c>
      <c r="L194" t="s">
        <v>317</v>
      </c>
      <c r="M194" s="6">
        <f>SalesTbl[[#This Row],[Unit Price]]*SalesTbl[[#This Row],[Quantity]]</f>
        <v>3200</v>
      </c>
      <c r="N194" s="6">
        <f>YEAR(SalesTbl[[#This Row],[Order Date]])</f>
        <v>2023</v>
      </c>
      <c r="O194" s="6" t="str">
        <f>TEXT(SalesTbl[[#This Row],[Order Date]],"yyyy-mm")</f>
        <v>2023-06</v>
      </c>
      <c r="P194" s="13">
        <f>WEEKNUM(SalesTbl[[#This Row],[Order Date]],2)</f>
        <v>25</v>
      </c>
      <c r="Q194" s="14">
        <f>MEDIAN(SalesTbl[Quantity])</f>
        <v>3</v>
      </c>
      <c r="R194" s="14">
        <f>IF(ISBLANK(SalesTbl[[#This Row],[Quantity]]),$H$2,SalesTbl[[#This Row],[Quantity]])</f>
        <v>4</v>
      </c>
      <c r="S194">
        <f>ROW()-ROW(SalesTbl[[#Headers],[Customer ID]])</f>
        <v>193</v>
      </c>
      <c r="T194" s="9" t="str">
        <f>IF(SalesTbl[[#This Row],[RowIdx]]&lt;=ROUNDUP(COUNTA(SalesTbl[Customer ID])*0.8,0),"Train","Test")</f>
        <v>Train</v>
      </c>
    </row>
    <row r="195" spans="1:20" x14ac:dyDescent="0.25">
      <c r="A195" t="s">
        <v>167</v>
      </c>
      <c r="B195" t="s">
        <v>20</v>
      </c>
      <c r="C195" t="s">
        <v>321</v>
      </c>
      <c r="D195" t="s">
        <v>23</v>
      </c>
      <c r="E195" t="s">
        <v>15</v>
      </c>
      <c r="F195">
        <v>64</v>
      </c>
      <c r="G195">
        <v>1500</v>
      </c>
      <c r="H195">
        <v>1</v>
      </c>
      <c r="I195">
        <v>1500</v>
      </c>
      <c r="J195">
        <v>18.88</v>
      </c>
      <c r="K195" s="2">
        <v>45121</v>
      </c>
      <c r="L195" t="s">
        <v>316</v>
      </c>
      <c r="M195" s="6">
        <f>SalesTbl[[#This Row],[Unit Price]]*SalesTbl[[#This Row],[Quantity]]</f>
        <v>1500</v>
      </c>
      <c r="N195" s="6">
        <f>YEAR(SalesTbl[[#This Row],[Order Date]])</f>
        <v>2023</v>
      </c>
      <c r="O195" s="6" t="str">
        <f>TEXT(SalesTbl[[#This Row],[Order Date]],"yyyy-mm")</f>
        <v>2023-07</v>
      </c>
      <c r="P195" s="13">
        <f>WEEKNUM(SalesTbl[[#This Row],[Order Date]],2)</f>
        <v>29</v>
      </c>
      <c r="Q195" s="14">
        <f>MEDIAN(SalesTbl[Quantity])</f>
        <v>3</v>
      </c>
      <c r="R195" s="14">
        <f>IF(ISBLANK(SalesTbl[[#This Row],[Quantity]]),$H$2,SalesTbl[[#This Row],[Quantity]])</f>
        <v>1</v>
      </c>
      <c r="S195">
        <f>ROW()-ROW(SalesTbl[[#Headers],[Customer ID]])</f>
        <v>194</v>
      </c>
      <c r="T195" s="9" t="str">
        <f>IF(SalesTbl[[#This Row],[RowIdx]]&lt;=ROUNDUP(COUNTA(SalesTbl[Customer ID])*0.8,0),"Train","Test")</f>
        <v>Train</v>
      </c>
    </row>
    <row r="196" spans="1:20" x14ac:dyDescent="0.25">
      <c r="A196" t="s">
        <v>96</v>
      </c>
      <c r="B196" t="s">
        <v>13</v>
      </c>
      <c r="C196" t="s">
        <v>320</v>
      </c>
      <c r="D196" t="s">
        <v>14</v>
      </c>
      <c r="E196" t="s">
        <v>15</v>
      </c>
      <c r="F196">
        <v>64</v>
      </c>
      <c r="G196">
        <v>621.91212249732996</v>
      </c>
      <c r="H196">
        <v>5</v>
      </c>
      <c r="I196">
        <v>1500</v>
      </c>
      <c r="J196">
        <v>6.93</v>
      </c>
      <c r="K196" s="2">
        <v>45039</v>
      </c>
      <c r="L196" t="s">
        <v>318</v>
      </c>
      <c r="M196" s="6">
        <f>SalesTbl[[#This Row],[Unit Price]]*SalesTbl[[#This Row],[Quantity]]</f>
        <v>3109.5606124866499</v>
      </c>
      <c r="N196" s="6">
        <f>YEAR(SalesTbl[[#This Row],[Order Date]])</f>
        <v>2023</v>
      </c>
      <c r="O196" s="6" t="str">
        <f>TEXT(SalesTbl[[#This Row],[Order Date]],"yyyy-mm")</f>
        <v>2023-04</v>
      </c>
      <c r="P196" s="13">
        <f>WEEKNUM(SalesTbl[[#This Row],[Order Date]],2)</f>
        <v>17</v>
      </c>
      <c r="Q196" s="14">
        <f>MEDIAN(SalesTbl[Quantity])</f>
        <v>3</v>
      </c>
      <c r="R196" s="14">
        <f>IF(ISBLANK(SalesTbl[[#This Row],[Quantity]]),$H$2,SalesTbl[[#This Row],[Quantity]])</f>
        <v>5</v>
      </c>
      <c r="S196">
        <f>ROW()-ROW(SalesTbl[[#Headers],[Customer ID]])</f>
        <v>195</v>
      </c>
      <c r="T196" s="9" t="str">
        <f>IF(SalesTbl[[#This Row],[RowIdx]]&lt;=ROUNDUP(COUNTA(SalesTbl[Customer ID])*0.8,0),"Train","Test")</f>
        <v>Train</v>
      </c>
    </row>
    <row r="197" spans="1:20" x14ac:dyDescent="0.25">
      <c r="A197" t="s">
        <v>168</v>
      </c>
      <c r="B197" t="s">
        <v>20</v>
      </c>
      <c r="C197" t="s">
        <v>321</v>
      </c>
      <c r="D197" t="s">
        <v>40</v>
      </c>
      <c r="E197" t="s">
        <v>15</v>
      </c>
      <c r="F197">
        <v>42</v>
      </c>
      <c r="G197">
        <v>800</v>
      </c>
      <c r="H197">
        <v>3</v>
      </c>
      <c r="I197">
        <v>2400</v>
      </c>
      <c r="J197">
        <v>7.22</v>
      </c>
      <c r="K197" s="2">
        <v>45220</v>
      </c>
      <c r="L197" t="s">
        <v>318</v>
      </c>
      <c r="M197" s="6">
        <f>SalesTbl[[#This Row],[Unit Price]]*SalesTbl[[#This Row],[Quantity]]</f>
        <v>2400</v>
      </c>
      <c r="N197" s="6">
        <f>YEAR(SalesTbl[[#This Row],[Order Date]])</f>
        <v>2023</v>
      </c>
      <c r="O197" s="6" t="str">
        <f>TEXT(SalesTbl[[#This Row],[Order Date]],"yyyy-mm")</f>
        <v>2023-10</v>
      </c>
      <c r="P197" s="13">
        <f>WEEKNUM(SalesTbl[[#This Row],[Order Date]],2)</f>
        <v>43</v>
      </c>
      <c r="Q197" s="14">
        <f>MEDIAN(SalesTbl[Quantity])</f>
        <v>3</v>
      </c>
      <c r="R197" s="14">
        <f>IF(ISBLANK(SalesTbl[[#This Row],[Quantity]]),$H$2,SalesTbl[[#This Row],[Quantity]])</f>
        <v>3</v>
      </c>
      <c r="S197">
        <f>ROW()-ROW(SalesTbl[[#Headers],[Customer ID]])</f>
        <v>196</v>
      </c>
      <c r="T197" s="9" t="str">
        <f>IF(SalesTbl[[#This Row],[RowIdx]]&lt;=ROUNDUP(COUNTA(SalesTbl[Customer ID])*0.8,0),"Train","Test")</f>
        <v>Train</v>
      </c>
    </row>
    <row r="198" spans="1:20" x14ac:dyDescent="0.25">
      <c r="A198" t="s">
        <v>60</v>
      </c>
      <c r="B198" t="s">
        <v>13</v>
      </c>
      <c r="C198" t="s">
        <v>322</v>
      </c>
      <c r="D198" t="s">
        <v>29</v>
      </c>
      <c r="E198" t="s">
        <v>18</v>
      </c>
      <c r="F198">
        <v>43</v>
      </c>
      <c r="G198">
        <v>50</v>
      </c>
      <c r="H198">
        <v>2</v>
      </c>
      <c r="I198">
        <v>100</v>
      </c>
      <c r="J198">
        <v>5.05</v>
      </c>
      <c r="K198" s="2">
        <v>45208</v>
      </c>
      <c r="L198" t="s">
        <v>318</v>
      </c>
      <c r="M198" s="6">
        <f>SalesTbl[[#This Row],[Unit Price]]*SalesTbl[[#This Row],[Quantity]]</f>
        <v>100</v>
      </c>
      <c r="N198" s="6">
        <f>YEAR(SalesTbl[[#This Row],[Order Date]])</f>
        <v>2023</v>
      </c>
      <c r="O198" s="6" t="str">
        <f>TEXT(SalesTbl[[#This Row],[Order Date]],"yyyy-mm")</f>
        <v>2023-10</v>
      </c>
      <c r="P198" s="13">
        <f>WEEKNUM(SalesTbl[[#This Row],[Order Date]],2)</f>
        <v>42</v>
      </c>
      <c r="Q198" s="14">
        <f>MEDIAN(SalesTbl[Quantity])</f>
        <v>3</v>
      </c>
      <c r="R198" s="14">
        <f>IF(ISBLANK(SalesTbl[[#This Row],[Quantity]]),$H$2,SalesTbl[[#This Row],[Quantity]])</f>
        <v>2</v>
      </c>
      <c r="S198">
        <f>ROW()-ROW(SalesTbl[[#Headers],[Customer ID]])</f>
        <v>197</v>
      </c>
      <c r="T198" s="9" t="str">
        <f>IF(SalesTbl[[#This Row],[RowIdx]]&lt;=ROUNDUP(COUNTA(SalesTbl[Customer ID])*0.8,0),"Train","Test")</f>
        <v>Train</v>
      </c>
    </row>
    <row r="199" spans="1:20" x14ac:dyDescent="0.25">
      <c r="A199" t="s">
        <v>169</v>
      </c>
      <c r="B199" t="s">
        <v>20</v>
      </c>
      <c r="C199" t="s">
        <v>323</v>
      </c>
      <c r="D199" t="s">
        <v>17</v>
      </c>
      <c r="E199" t="s">
        <v>18</v>
      </c>
      <c r="F199">
        <v>51</v>
      </c>
      <c r="G199">
        <v>100</v>
      </c>
      <c r="H199">
        <v>1</v>
      </c>
      <c r="I199">
        <v>100</v>
      </c>
      <c r="J199">
        <v>19.84</v>
      </c>
      <c r="K199" s="2">
        <v>45073</v>
      </c>
      <c r="L199" t="s">
        <v>318</v>
      </c>
      <c r="M199" s="6">
        <f>SalesTbl[[#This Row],[Unit Price]]*SalesTbl[[#This Row],[Quantity]]</f>
        <v>100</v>
      </c>
      <c r="N199" s="6">
        <f>YEAR(SalesTbl[[#This Row],[Order Date]])</f>
        <v>2023</v>
      </c>
      <c r="O199" s="6" t="str">
        <f>TEXT(SalesTbl[[#This Row],[Order Date]],"yyyy-mm")</f>
        <v>2023-05</v>
      </c>
      <c r="P199" s="13">
        <f>WEEKNUM(SalesTbl[[#This Row],[Order Date]],2)</f>
        <v>22</v>
      </c>
      <c r="Q199" s="14">
        <f>MEDIAN(SalesTbl[Quantity])</f>
        <v>3</v>
      </c>
      <c r="R199" s="14">
        <f>IF(ISBLANK(SalesTbl[[#This Row],[Quantity]]),$H$2,SalesTbl[[#This Row],[Quantity]])</f>
        <v>1</v>
      </c>
      <c r="S199">
        <f>ROW()-ROW(SalesTbl[[#Headers],[Customer ID]])</f>
        <v>198</v>
      </c>
      <c r="T199" s="9" t="str">
        <f>IF(SalesTbl[[#This Row],[RowIdx]]&lt;=ROUNDUP(COUNTA(SalesTbl[Customer ID])*0.8,0),"Train","Test")</f>
        <v>Train</v>
      </c>
    </row>
    <row r="200" spans="1:20" x14ac:dyDescent="0.25">
      <c r="A200" t="s">
        <v>170</v>
      </c>
      <c r="B200" t="s">
        <v>20</v>
      </c>
      <c r="C200" t="s">
        <v>321</v>
      </c>
      <c r="D200" t="s">
        <v>23</v>
      </c>
      <c r="E200" t="s">
        <v>15</v>
      </c>
      <c r="F200">
        <v>57</v>
      </c>
      <c r="G200">
        <v>1500</v>
      </c>
      <c r="H200">
        <v>1</v>
      </c>
      <c r="I200">
        <v>1500</v>
      </c>
      <c r="J200">
        <v>16.28</v>
      </c>
      <c r="K200" s="2">
        <v>44958</v>
      </c>
      <c r="L200" t="s">
        <v>316</v>
      </c>
      <c r="M200" s="6">
        <f>SalesTbl[[#This Row],[Unit Price]]*SalesTbl[[#This Row],[Quantity]]</f>
        <v>1500</v>
      </c>
      <c r="N200" s="6">
        <f>YEAR(SalesTbl[[#This Row],[Order Date]])</f>
        <v>2023</v>
      </c>
      <c r="O200" s="6" t="str">
        <f>TEXT(SalesTbl[[#This Row],[Order Date]],"yyyy-mm")</f>
        <v>2023-02</v>
      </c>
      <c r="P200" s="13">
        <f>WEEKNUM(SalesTbl[[#This Row],[Order Date]],2)</f>
        <v>6</v>
      </c>
      <c r="Q200" s="14">
        <f>MEDIAN(SalesTbl[Quantity])</f>
        <v>3</v>
      </c>
      <c r="R200" s="14">
        <f>IF(ISBLANK(SalesTbl[[#This Row],[Quantity]]),$H$2,SalesTbl[[#This Row],[Quantity]])</f>
        <v>1</v>
      </c>
      <c r="S200">
        <f>ROW()-ROW(SalesTbl[[#Headers],[Customer ID]])</f>
        <v>199</v>
      </c>
      <c r="T200" s="9" t="str">
        <f>IF(SalesTbl[[#This Row],[RowIdx]]&lt;=ROUNDUP(COUNTA(SalesTbl[Customer ID])*0.8,0),"Train","Test")</f>
        <v>Train</v>
      </c>
    </row>
    <row r="201" spans="1:20" x14ac:dyDescent="0.25">
      <c r="A201" t="s">
        <v>171</v>
      </c>
      <c r="B201" t="s">
        <v>20</v>
      </c>
      <c r="C201" t="s">
        <v>321</v>
      </c>
      <c r="D201" t="s">
        <v>30</v>
      </c>
      <c r="E201" t="s">
        <v>18</v>
      </c>
      <c r="F201">
        <v>55</v>
      </c>
      <c r="G201">
        <v>30</v>
      </c>
      <c r="H201">
        <v>5</v>
      </c>
      <c r="I201">
        <v>150</v>
      </c>
      <c r="J201">
        <v>17.36</v>
      </c>
      <c r="K201" s="2">
        <v>45053</v>
      </c>
      <c r="L201" t="s">
        <v>317</v>
      </c>
      <c r="M201" s="6">
        <f>SalesTbl[[#This Row],[Unit Price]]*SalesTbl[[#This Row],[Quantity]]</f>
        <v>150</v>
      </c>
      <c r="N201" s="6">
        <f>YEAR(SalesTbl[[#This Row],[Order Date]])</f>
        <v>2023</v>
      </c>
      <c r="O201" s="6" t="str">
        <f>TEXT(SalesTbl[[#This Row],[Order Date]],"yyyy-mm")</f>
        <v>2023-05</v>
      </c>
      <c r="P201" s="13">
        <f>WEEKNUM(SalesTbl[[#This Row],[Order Date]],2)</f>
        <v>19</v>
      </c>
      <c r="Q201" s="14">
        <f>MEDIAN(SalesTbl[Quantity])</f>
        <v>3</v>
      </c>
      <c r="R201" s="14">
        <f>IF(ISBLANK(SalesTbl[[#This Row],[Quantity]]),$H$2,SalesTbl[[#This Row],[Quantity]])</f>
        <v>5</v>
      </c>
      <c r="S201">
        <f>ROW()-ROW(SalesTbl[[#Headers],[Customer ID]])</f>
        <v>200</v>
      </c>
      <c r="T201" s="9" t="str">
        <f>IF(SalesTbl[[#This Row],[RowIdx]]&lt;=ROUNDUP(COUNTA(SalesTbl[Customer ID])*0.8,0),"Train","Test")</f>
        <v>Train</v>
      </c>
    </row>
    <row r="202" spans="1:20" x14ac:dyDescent="0.25">
      <c r="A202" t="s">
        <v>172</v>
      </c>
      <c r="B202" t="s">
        <v>20</v>
      </c>
      <c r="C202" t="s">
        <v>319</v>
      </c>
      <c r="D202" t="s">
        <v>30</v>
      </c>
      <c r="E202" t="s">
        <v>18</v>
      </c>
      <c r="F202">
        <v>57</v>
      </c>
      <c r="G202">
        <v>30</v>
      </c>
      <c r="H202">
        <v>1</v>
      </c>
      <c r="I202">
        <v>30</v>
      </c>
      <c r="J202">
        <v>9.59</v>
      </c>
      <c r="K202" s="2">
        <v>44997</v>
      </c>
      <c r="L202" t="s">
        <v>317</v>
      </c>
      <c r="M202" s="6">
        <f>SalesTbl[[#This Row],[Unit Price]]*SalesTbl[[#This Row],[Quantity]]</f>
        <v>30</v>
      </c>
      <c r="N202" s="6">
        <f>YEAR(SalesTbl[[#This Row],[Order Date]])</f>
        <v>2023</v>
      </c>
      <c r="O202" s="6" t="str">
        <f>TEXT(SalesTbl[[#This Row],[Order Date]],"yyyy-mm")</f>
        <v>2023-03</v>
      </c>
      <c r="P202" s="13">
        <f>WEEKNUM(SalesTbl[[#This Row],[Order Date]],2)</f>
        <v>11</v>
      </c>
      <c r="Q202" s="14">
        <f>MEDIAN(SalesTbl[Quantity])</f>
        <v>3</v>
      </c>
      <c r="R202" s="14">
        <f>IF(ISBLANK(SalesTbl[[#This Row],[Quantity]]),$H$2,SalesTbl[[#This Row],[Quantity]])</f>
        <v>1</v>
      </c>
      <c r="S202">
        <f>ROW()-ROW(SalesTbl[[#Headers],[Customer ID]])</f>
        <v>201</v>
      </c>
      <c r="T202" s="9" t="str">
        <f>IF(SalesTbl[[#This Row],[RowIdx]]&lt;=ROUNDUP(COUNTA(SalesTbl[Customer ID])*0.8,0),"Train","Test")</f>
        <v>Train</v>
      </c>
    </row>
    <row r="203" spans="1:20" x14ac:dyDescent="0.25">
      <c r="A203" t="s">
        <v>126</v>
      </c>
      <c r="B203" t="s">
        <v>20</v>
      </c>
      <c r="C203" t="s">
        <v>323</v>
      </c>
      <c r="D203" t="s">
        <v>17</v>
      </c>
      <c r="E203" t="s">
        <v>18</v>
      </c>
      <c r="F203">
        <v>50</v>
      </c>
      <c r="G203">
        <v>100</v>
      </c>
      <c r="H203">
        <v>5</v>
      </c>
      <c r="I203">
        <v>500</v>
      </c>
      <c r="J203">
        <v>16.11</v>
      </c>
      <c r="K203" s="2">
        <v>45237</v>
      </c>
      <c r="L203" t="s">
        <v>317</v>
      </c>
      <c r="M203" s="6">
        <f>SalesTbl[[#This Row],[Unit Price]]*SalesTbl[[#This Row],[Quantity]]</f>
        <v>500</v>
      </c>
      <c r="N203" s="6">
        <f>YEAR(SalesTbl[[#This Row],[Order Date]])</f>
        <v>2023</v>
      </c>
      <c r="O203" s="6" t="str">
        <f>TEXT(SalesTbl[[#This Row],[Order Date]],"yyyy-mm")</f>
        <v>2023-11</v>
      </c>
      <c r="P203" s="13">
        <f>WEEKNUM(SalesTbl[[#This Row],[Order Date]],2)</f>
        <v>46</v>
      </c>
      <c r="Q203" s="14">
        <f>MEDIAN(SalesTbl[Quantity])</f>
        <v>3</v>
      </c>
      <c r="R203" s="14">
        <f>IF(ISBLANK(SalesTbl[[#This Row],[Quantity]]),$H$2,SalesTbl[[#This Row],[Quantity]])</f>
        <v>5</v>
      </c>
      <c r="S203">
        <f>ROW()-ROW(SalesTbl[[#Headers],[Customer ID]])</f>
        <v>202</v>
      </c>
      <c r="T203" s="9" t="str">
        <f>IF(SalesTbl[[#This Row],[RowIdx]]&lt;=ROUNDUP(COUNTA(SalesTbl[Customer ID])*0.8,0),"Train","Test")</f>
        <v>Train</v>
      </c>
    </row>
    <row r="204" spans="1:20" x14ac:dyDescent="0.25">
      <c r="A204" t="s">
        <v>84</v>
      </c>
      <c r="B204" t="s">
        <v>13</v>
      </c>
      <c r="C204" t="s">
        <v>321</v>
      </c>
      <c r="D204" t="s">
        <v>29</v>
      </c>
      <c r="E204" t="s">
        <v>18</v>
      </c>
      <c r="F204">
        <v>28</v>
      </c>
      <c r="G204">
        <v>50</v>
      </c>
      <c r="H204">
        <v>2</v>
      </c>
      <c r="I204">
        <v>100</v>
      </c>
      <c r="J204">
        <v>9.48</v>
      </c>
      <c r="K204" s="2">
        <v>45183</v>
      </c>
      <c r="L204" t="s">
        <v>316</v>
      </c>
      <c r="M204" s="6">
        <f>SalesTbl[[#This Row],[Unit Price]]*SalesTbl[[#This Row],[Quantity]]</f>
        <v>100</v>
      </c>
      <c r="N204" s="6">
        <f>YEAR(SalesTbl[[#This Row],[Order Date]])</f>
        <v>2023</v>
      </c>
      <c r="O204" s="6" t="str">
        <f>TEXT(SalesTbl[[#This Row],[Order Date]],"yyyy-mm")</f>
        <v>2023-09</v>
      </c>
      <c r="P204" s="13">
        <f>WEEKNUM(SalesTbl[[#This Row],[Order Date]],2)</f>
        <v>38</v>
      </c>
      <c r="Q204" s="14">
        <f>MEDIAN(SalesTbl[Quantity])</f>
        <v>3</v>
      </c>
      <c r="R204" s="14">
        <f>IF(ISBLANK(SalesTbl[[#This Row],[Quantity]]),$H$2,SalesTbl[[#This Row],[Quantity]])</f>
        <v>2</v>
      </c>
      <c r="S204">
        <f>ROW()-ROW(SalesTbl[[#Headers],[Customer ID]])</f>
        <v>203</v>
      </c>
      <c r="T204" s="9" t="str">
        <f>IF(SalesTbl[[#This Row],[RowIdx]]&lt;=ROUNDUP(COUNTA(SalesTbl[Customer ID])*0.8,0),"Train","Test")</f>
        <v>Train</v>
      </c>
    </row>
    <row r="205" spans="1:20" x14ac:dyDescent="0.25">
      <c r="A205" t="s">
        <v>150</v>
      </c>
      <c r="B205" t="s">
        <v>20</v>
      </c>
      <c r="C205" t="s">
        <v>322</v>
      </c>
      <c r="D205" t="s">
        <v>14</v>
      </c>
      <c r="E205" t="s">
        <v>15</v>
      </c>
      <c r="F205">
        <v>36</v>
      </c>
      <c r="G205">
        <v>300</v>
      </c>
      <c r="H205">
        <v>2</v>
      </c>
      <c r="I205">
        <v>600</v>
      </c>
      <c r="J205">
        <v>18.440000000000001</v>
      </c>
      <c r="K205" s="2">
        <v>45004</v>
      </c>
      <c r="L205" t="s">
        <v>316</v>
      </c>
      <c r="M205" s="6">
        <f>SalesTbl[[#This Row],[Unit Price]]*SalesTbl[[#This Row],[Quantity]]</f>
        <v>600</v>
      </c>
      <c r="N205" s="6">
        <f>YEAR(SalesTbl[[#This Row],[Order Date]])</f>
        <v>2023</v>
      </c>
      <c r="O205" s="6" t="str">
        <f>TEXT(SalesTbl[[#This Row],[Order Date]],"yyyy-mm")</f>
        <v>2023-03</v>
      </c>
      <c r="P205" s="13">
        <f>WEEKNUM(SalesTbl[[#This Row],[Order Date]],2)</f>
        <v>12</v>
      </c>
      <c r="Q205" s="14">
        <f>MEDIAN(SalesTbl[Quantity])</f>
        <v>3</v>
      </c>
      <c r="R205" s="14">
        <f>IF(ISBLANK(SalesTbl[[#This Row],[Quantity]]),$H$2,SalesTbl[[#This Row],[Quantity]])</f>
        <v>2</v>
      </c>
      <c r="S205">
        <f>ROW()-ROW(SalesTbl[[#Headers],[Customer ID]])</f>
        <v>204</v>
      </c>
      <c r="T205" s="9" t="str">
        <f>IF(SalesTbl[[#This Row],[RowIdx]]&lt;=ROUNDUP(COUNTA(SalesTbl[Customer ID])*0.8,0),"Train","Test")</f>
        <v>Train</v>
      </c>
    </row>
    <row r="206" spans="1:20" x14ac:dyDescent="0.25">
      <c r="A206" t="s">
        <v>114</v>
      </c>
      <c r="B206" t="s">
        <v>20</v>
      </c>
      <c r="C206" t="s">
        <v>322</v>
      </c>
      <c r="D206" t="s">
        <v>29</v>
      </c>
      <c r="E206" t="s">
        <v>18</v>
      </c>
      <c r="F206">
        <v>33</v>
      </c>
      <c r="G206">
        <v>50</v>
      </c>
      <c r="H206">
        <v>5</v>
      </c>
      <c r="I206">
        <v>250</v>
      </c>
      <c r="J206">
        <v>8.43</v>
      </c>
      <c r="K206" s="2">
        <v>45204</v>
      </c>
      <c r="L206" t="s">
        <v>317</v>
      </c>
      <c r="M206" s="6">
        <f>SalesTbl[[#This Row],[Unit Price]]*SalesTbl[[#This Row],[Quantity]]</f>
        <v>250</v>
      </c>
      <c r="N206" s="6">
        <f>YEAR(SalesTbl[[#This Row],[Order Date]])</f>
        <v>2023</v>
      </c>
      <c r="O206" s="6" t="str">
        <f>TEXT(SalesTbl[[#This Row],[Order Date]],"yyyy-mm")</f>
        <v>2023-10</v>
      </c>
      <c r="P206" s="13">
        <f>WEEKNUM(SalesTbl[[#This Row],[Order Date]],2)</f>
        <v>41</v>
      </c>
      <c r="Q206" s="14">
        <f>MEDIAN(SalesTbl[Quantity])</f>
        <v>3</v>
      </c>
      <c r="R206" s="14">
        <f>IF(ISBLANK(SalesTbl[[#This Row],[Quantity]]),$H$2,SalesTbl[[#This Row],[Quantity]])</f>
        <v>5</v>
      </c>
      <c r="S206">
        <f>ROW()-ROW(SalesTbl[[#Headers],[Customer ID]])</f>
        <v>205</v>
      </c>
      <c r="T206" s="9" t="str">
        <f>IF(SalesTbl[[#This Row],[RowIdx]]&lt;=ROUNDUP(COUNTA(SalesTbl[Customer ID])*0.8,0),"Train","Test")</f>
        <v>Train</v>
      </c>
    </row>
    <row r="207" spans="1:20" x14ac:dyDescent="0.25">
      <c r="A207" t="s">
        <v>173</v>
      </c>
      <c r="B207" t="s">
        <v>20</v>
      </c>
      <c r="C207" t="s">
        <v>323</v>
      </c>
      <c r="D207" t="s">
        <v>23</v>
      </c>
      <c r="E207" t="s">
        <v>15</v>
      </c>
      <c r="F207">
        <v>49</v>
      </c>
      <c r="G207">
        <v>1500</v>
      </c>
      <c r="H207">
        <v>5</v>
      </c>
      <c r="I207">
        <v>7500</v>
      </c>
      <c r="J207">
        <v>7.38</v>
      </c>
      <c r="K207" s="2">
        <v>45095</v>
      </c>
      <c r="L207" t="s">
        <v>316</v>
      </c>
      <c r="M207" s="6">
        <f>SalesTbl[[#This Row],[Unit Price]]*SalesTbl[[#This Row],[Quantity]]</f>
        <v>7500</v>
      </c>
      <c r="N207" s="6">
        <f>YEAR(SalesTbl[[#This Row],[Order Date]])</f>
        <v>2023</v>
      </c>
      <c r="O207" s="6" t="str">
        <f>TEXT(SalesTbl[[#This Row],[Order Date]],"yyyy-mm")</f>
        <v>2023-06</v>
      </c>
      <c r="P207" s="13">
        <f>WEEKNUM(SalesTbl[[#This Row],[Order Date]],2)</f>
        <v>25</v>
      </c>
      <c r="Q207" s="14">
        <f>MEDIAN(SalesTbl[Quantity])</f>
        <v>3</v>
      </c>
      <c r="R207" s="14">
        <f>IF(ISBLANK(SalesTbl[[#This Row],[Quantity]]),$H$2,SalesTbl[[#This Row],[Quantity]])</f>
        <v>5</v>
      </c>
      <c r="S207">
        <f>ROW()-ROW(SalesTbl[[#Headers],[Customer ID]])</f>
        <v>206</v>
      </c>
      <c r="T207" s="9" t="str">
        <f>IF(SalesTbl[[#This Row],[RowIdx]]&lt;=ROUNDUP(COUNTA(SalesTbl[Customer ID])*0.8,0),"Train","Test")</f>
        <v>Train</v>
      </c>
    </row>
    <row r="208" spans="1:20" x14ac:dyDescent="0.25">
      <c r="A208" t="s">
        <v>174</v>
      </c>
      <c r="B208" t="s">
        <v>13</v>
      </c>
      <c r="C208" t="s">
        <v>320</v>
      </c>
      <c r="D208" t="s">
        <v>40</v>
      </c>
      <c r="E208" t="s">
        <v>15</v>
      </c>
      <c r="F208">
        <v>54</v>
      </c>
      <c r="G208">
        <v>800</v>
      </c>
      <c r="H208">
        <v>2</v>
      </c>
      <c r="I208">
        <v>1600</v>
      </c>
      <c r="J208">
        <v>6.45</v>
      </c>
      <c r="K208" s="2">
        <v>45001</v>
      </c>
      <c r="L208" t="s">
        <v>318</v>
      </c>
      <c r="M208" s="6">
        <f>SalesTbl[[#This Row],[Unit Price]]*SalesTbl[[#This Row],[Quantity]]</f>
        <v>1600</v>
      </c>
      <c r="N208" s="6">
        <f>YEAR(SalesTbl[[#This Row],[Order Date]])</f>
        <v>2023</v>
      </c>
      <c r="O208" s="6" t="str">
        <f>TEXT(SalesTbl[[#This Row],[Order Date]],"yyyy-mm")</f>
        <v>2023-03</v>
      </c>
      <c r="P208" s="13">
        <f>WEEKNUM(SalesTbl[[#This Row],[Order Date]],2)</f>
        <v>12</v>
      </c>
      <c r="Q208" s="14">
        <f>MEDIAN(SalesTbl[Quantity])</f>
        <v>3</v>
      </c>
      <c r="R208" s="14">
        <f>IF(ISBLANK(SalesTbl[[#This Row],[Quantity]]),$H$2,SalesTbl[[#This Row],[Quantity]])</f>
        <v>2</v>
      </c>
      <c r="S208">
        <f>ROW()-ROW(SalesTbl[[#Headers],[Customer ID]])</f>
        <v>207</v>
      </c>
      <c r="T208" s="9" t="str">
        <f>IF(SalesTbl[[#This Row],[RowIdx]]&lt;=ROUNDUP(COUNTA(SalesTbl[Customer ID])*0.8,0),"Train","Test")</f>
        <v>Train</v>
      </c>
    </row>
    <row r="209" spans="1:20" x14ac:dyDescent="0.25">
      <c r="A209" t="s">
        <v>75</v>
      </c>
      <c r="B209" t="s">
        <v>13</v>
      </c>
      <c r="C209" t="s">
        <v>321</v>
      </c>
      <c r="D209" t="s">
        <v>29</v>
      </c>
      <c r="E209" t="s">
        <v>18</v>
      </c>
      <c r="F209">
        <v>49</v>
      </c>
      <c r="G209">
        <v>50</v>
      </c>
      <c r="H209">
        <v>1</v>
      </c>
      <c r="I209">
        <v>50</v>
      </c>
      <c r="J209">
        <v>8.9700000000000006</v>
      </c>
      <c r="K209" s="2">
        <v>45069</v>
      </c>
      <c r="L209" t="s">
        <v>316</v>
      </c>
      <c r="M209" s="6">
        <f>SalesTbl[[#This Row],[Unit Price]]*SalesTbl[[#This Row],[Quantity]]</f>
        <v>50</v>
      </c>
      <c r="N209" s="6">
        <f>YEAR(SalesTbl[[#This Row],[Order Date]])</f>
        <v>2023</v>
      </c>
      <c r="O209" s="6" t="str">
        <f>TEXT(SalesTbl[[#This Row],[Order Date]],"yyyy-mm")</f>
        <v>2023-05</v>
      </c>
      <c r="P209" s="13">
        <f>WEEKNUM(SalesTbl[[#This Row],[Order Date]],2)</f>
        <v>22</v>
      </c>
      <c r="Q209" s="14">
        <f>MEDIAN(SalesTbl[Quantity])</f>
        <v>3</v>
      </c>
      <c r="R209" s="14">
        <f>IF(ISBLANK(SalesTbl[[#This Row],[Quantity]]),$H$2,SalesTbl[[#This Row],[Quantity]])</f>
        <v>1</v>
      </c>
      <c r="S209">
        <f>ROW()-ROW(SalesTbl[[#Headers],[Customer ID]])</f>
        <v>208</v>
      </c>
      <c r="T209" s="9" t="str">
        <f>IF(SalesTbl[[#This Row],[RowIdx]]&lt;=ROUNDUP(COUNTA(SalesTbl[Customer ID])*0.8,0),"Train","Test")</f>
        <v>Train</v>
      </c>
    </row>
    <row r="210" spans="1:20" x14ac:dyDescent="0.25">
      <c r="A210" t="s">
        <v>96</v>
      </c>
      <c r="B210" t="s">
        <v>13</v>
      </c>
      <c r="C210" t="s">
        <v>320</v>
      </c>
      <c r="D210" t="s">
        <v>17</v>
      </c>
      <c r="E210" t="s">
        <v>18</v>
      </c>
      <c r="F210">
        <v>64</v>
      </c>
      <c r="G210">
        <v>100</v>
      </c>
      <c r="H210">
        <v>3</v>
      </c>
      <c r="I210">
        <v>300</v>
      </c>
      <c r="J210">
        <v>11.64</v>
      </c>
      <c r="K210" s="2">
        <v>45254</v>
      </c>
      <c r="L210" t="s">
        <v>316</v>
      </c>
      <c r="M210" s="6">
        <f>SalesTbl[[#This Row],[Unit Price]]*SalesTbl[[#This Row],[Quantity]]</f>
        <v>300</v>
      </c>
      <c r="N210" s="6">
        <f>YEAR(SalesTbl[[#This Row],[Order Date]])</f>
        <v>2023</v>
      </c>
      <c r="O210" s="6" t="str">
        <f>TEXT(SalesTbl[[#This Row],[Order Date]],"yyyy-mm")</f>
        <v>2023-11</v>
      </c>
      <c r="P210" s="13">
        <f>WEEKNUM(SalesTbl[[#This Row],[Order Date]],2)</f>
        <v>48</v>
      </c>
      <c r="Q210" s="14">
        <f>MEDIAN(SalesTbl[Quantity])</f>
        <v>3</v>
      </c>
      <c r="R210" s="14">
        <f>IF(ISBLANK(SalesTbl[[#This Row],[Quantity]]),$H$2,SalesTbl[[#This Row],[Quantity]])</f>
        <v>3</v>
      </c>
      <c r="S210">
        <f>ROW()-ROW(SalesTbl[[#Headers],[Customer ID]])</f>
        <v>209</v>
      </c>
      <c r="T210" s="9" t="str">
        <f>IF(SalesTbl[[#This Row],[RowIdx]]&lt;=ROUNDUP(COUNTA(SalesTbl[Customer ID])*0.8,0),"Train","Test")</f>
        <v>Train</v>
      </c>
    </row>
    <row r="211" spans="1:20" x14ac:dyDescent="0.25">
      <c r="A211" t="s">
        <v>175</v>
      </c>
      <c r="B211" t="s">
        <v>13</v>
      </c>
      <c r="C211" t="s">
        <v>320</v>
      </c>
      <c r="D211" t="s">
        <v>14</v>
      </c>
      <c r="E211" t="s">
        <v>15</v>
      </c>
      <c r="F211">
        <v>49</v>
      </c>
      <c r="G211">
        <v>621.91212249732996</v>
      </c>
      <c r="H211">
        <v>5</v>
      </c>
      <c r="I211">
        <v>1500</v>
      </c>
      <c r="J211">
        <v>7.22</v>
      </c>
      <c r="K211" s="2">
        <v>45143</v>
      </c>
      <c r="L211" t="s">
        <v>316</v>
      </c>
      <c r="M211" s="6">
        <f>SalesTbl[[#This Row],[Unit Price]]*SalesTbl[[#This Row],[Quantity]]</f>
        <v>3109.5606124866499</v>
      </c>
      <c r="N211" s="6">
        <f>YEAR(SalesTbl[[#This Row],[Order Date]])</f>
        <v>2023</v>
      </c>
      <c r="O211" s="6" t="str">
        <f>TEXT(SalesTbl[[#This Row],[Order Date]],"yyyy-mm")</f>
        <v>2023-08</v>
      </c>
      <c r="P211" s="13">
        <f>WEEKNUM(SalesTbl[[#This Row],[Order Date]],2)</f>
        <v>32</v>
      </c>
      <c r="Q211" s="14">
        <f>MEDIAN(SalesTbl[Quantity])</f>
        <v>3</v>
      </c>
      <c r="R211" s="14">
        <f>IF(ISBLANK(SalesTbl[[#This Row],[Quantity]]),$H$2,SalesTbl[[#This Row],[Quantity]])</f>
        <v>5</v>
      </c>
      <c r="S211">
        <f>ROW()-ROW(SalesTbl[[#Headers],[Customer ID]])</f>
        <v>210</v>
      </c>
      <c r="T211" s="9" t="str">
        <f>IF(SalesTbl[[#This Row],[RowIdx]]&lt;=ROUNDUP(COUNTA(SalesTbl[Customer ID])*0.8,0),"Train","Test")</f>
        <v>Train</v>
      </c>
    </row>
    <row r="212" spans="1:20" x14ac:dyDescent="0.25">
      <c r="A212" t="s">
        <v>176</v>
      </c>
      <c r="B212" t="s">
        <v>20</v>
      </c>
      <c r="C212" t="s">
        <v>323</v>
      </c>
      <c r="D212" t="s">
        <v>17</v>
      </c>
      <c r="E212" t="s">
        <v>18</v>
      </c>
      <c r="F212">
        <v>49</v>
      </c>
      <c r="G212">
        <v>100</v>
      </c>
      <c r="H212">
        <v>2</v>
      </c>
      <c r="I212">
        <v>200</v>
      </c>
      <c r="J212">
        <v>15.13</v>
      </c>
      <c r="K212" s="2">
        <v>44949</v>
      </c>
      <c r="L212" t="s">
        <v>318</v>
      </c>
      <c r="M212" s="6">
        <f>SalesTbl[[#This Row],[Unit Price]]*SalesTbl[[#This Row],[Quantity]]</f>
        <v>200</v>
      </c>
      <c r="N212" s="6">
        <f>YEAR(SalesTbl[[#This Row],[Order Date]])</f>
        <v>2023</v>
      </c>
      <c r="O212" s="6" t="str">
        <f>TEXT(SalesTbl[[#This Row],[Order Date]],"yyyy-mm")</f>
        <v>2023-01</v>
      </c>
      <c r="P212" s="13">
        <f>WEEKNUM(SalesTbl[[#This Row],[Order Date]],2)</f>
        <v>5</v>
      </c>
      <c r="Q212" s="14">
        <f>MEDIAN(SalesTbl[Quantity])</f>
        <v>3</v>
      </c>
      <c r="R212" s="14">
        <f>IF(ISBLANK(SalesTbl[[#This Row],[Quantity]]),$H$2,SalesTbl[[#This Row],[Quantity]])</f>
        <v>2</v>
      </c>
      <c r="S212">
        <f>ROW()-ROW(SalesTbl[[#Headers],[Customer ID]])</f>
        <v>211</v>
      </c>
      <c r="T212" s="9" t="str">
        <f>IF(SalesTbl[[#This Row],[RowIdx]]&lt;=ROUNDUP(COUNTA(SalesTbl[Customer ID])*0.8,0),"Train","Test")</f>
        <v>Train</v>
      </c>
    </row>
    <row r="213" spans="1:20" x14ac:dyDescent="0.25">
      <c r="A213" t="s">
        <v>122</v>
      </c>
      <c r="B213" t="s">
        <v>20</v>
      </c>
      <c r="C213" t="s">
        <v>321</v>
      </c>
      <c r="D213" t="s">
        <v>40</v>
      </c>
      <c r="E213" t="s">
        <v>15</v>
      </c>
      <c r="F213">
        <v>19</v>
      </c>
      <c r="G213">
        <v>800</v>
      </c>
      <c r="H213">
        <v>3</v>
      </c>
      <c r="I213">
        <v>2400</v>
      </c>
      <c r="J213">
        <v>11.21</v>
      </c>
      <c r="K213" s="2">
        <v>45139</v>
      </c>
      <c r="L213" t="s">
        <v>316</v>
      </c>
      <c r="M213" s="6">
        <f>SalesTbl[[#This Row],[Unit Price]]*SalesTbl[[#This Row],[Quantity]]</f>
        <v>2400</v>
      </c>
      <c r="N213" s="6">
        <f>YEAR(SalesTbl[[#This Row],[Order Date]])</f>
        <v>2023</v>
      </c>
      <c r="O213" s="6" t="str">
        <f>TEXT(SalesTbl[[#This Row],[Order Date]],"yyyy-mm")</f>
        <v>2023-08</v>
      </c>
      <c r="P213" s="13">
        <f>WEEKNUM(SalesTbl[[#This Row],[Order Date]],2)</f>
        <v>32</v>
      </c>
      <c r="Q213" s="14">
        <f>MEDIAN(SalesTbl[Quantity])</f>
        <v>3</v>
      </c>
      <c r="R213" s="14">
        <f>IF(ISBLANK(SalesTbl[[#This Row],[Quantity]]),$H$2,SalesTbl[[#This Row],[Quantity]])</f>
        <v>3</v>
      </c>
      <c r="S213">
        <f>ROW()-ROW(SalesTbl[[#Headers],[Customer ID]])</f>
        <v>212</v>
      </c>
      <c r="T213" s="9" t="str">
        <f>IF(SalesTbl[[#This Row],[RowIdx]]&lt;=ROUNDUP(COUNTA(SalesTbl[Customer ID])*0.8,0),"Train","Test")</f>
        <v>Train</v>
      </c>
    </row>
    <row r="214" spans="1:20" x14ac:dyDescent="0.25">
      <c r="A214" t="s">
        <v>177</v>
      </c>
      <c r="B214" t="s">
        <v>13</v>
      </c>
      <c r="C214" t="s">
        <v>321</v>
      </c>
      <c r="D214" t="s">
        <v>29</v>
      </c>
      <c r="E214" t="s">
        <v>18</v>
      </c>
      <c r="F214">
        <v>29</v>
      </c>
      <c r="G214">
        <v>50</v>
      </c>
      <c r="H214">
        <v>2</v>
      </c>
      <c r="I214">
        <v>100</v>
      </c>
      <c r="J214">
        <v>5.18</v>
      </c>
      <c r="K214" s="2">
        <v>45030</v>
      </c>
      <c r="L214" t="s">
        <v>316</v>
      </c>
      <c r="M214" s="6">
        <f>SalesTbl[[#This Row],[Unit Price]]*SalesTbl[[#This Row],[Quantity]]</f>
        <v>100</v>
      </c>
      <c r="N214" s="6">
        <f>YEAR(SalesTbl[[#This Row],[Order Date]])</f>
        <v>2023</v>
      </c>
      <c r="O214" s="6" t="str">
        <f>TEXT(SalesTbl[[#This Row],[Order Date]],"yyyy-mm")</f>
        <v>2023-04</v>
      </c>
      <c r="P214" s="13">
        <f>WEEKNUM(SalesTbl[[#This Row],[Order Date]],2)</f>
        <v>16</v>
      </c>
      <c r="Q214" s="14">
        <f>MEDIAN(SalesTbl[Quantity])</f>
        <v>3</v>
      </c>
      <c r="R214" s="14">
        <f>IF(ISBLANK(SalesTbl[[#This Row],[Quantity]]),$H$2,SalesTbl[[#This Row],[Quantity]])</f>
        <v>2</v>
      </c>
      <c r="S214">
        <f>ROW()-ROW(SalesTbl[[#Headers],[Customer ID]])</f>
        <v>213</v>
      </c>
      <c r="T214" s="9" t="str">
        <f>IF(SalesTbl[[#This Row],[RowIdx]]&lt;=ROUNDUP(COUNTA(SalesTbl[Customer ID])*0.8,0),"Train","Test")</f>
        <v>Train</v>
      </c>
    </row>
    <row r="215" spans="1:20" x14ac:dyDescent="0.25">
      <c r="A215" t="s">
        <v>59</v>
      </c>
      <c r="B215" t="s">
        <v>13</v>
      </c>
      <c r="C215" t="s">
        <v>320</v>
      </c>
      <c r="D215" t="s">
        <v>25</v>
      </c>
      <c r="E215" t="s">
        <v>26</v>
      </c>
      <c r="F215">
        <v>68</v>
      </c>
      <c r="G215">
        <v>200</v>
      </c>
      <c r="H215">
        <v>3</v>
      </c>
      <c r="I215">
        <v>600</v>
      </c>
      <c r="J215">
        <v>7.93</v>
      </c>
      <c r="K215" s="2">
        <v>45099</v>
      </c>
      <c r="L215" t="s">
        <v>317</v>
      </c>
      <c r="M215" s="6">
        <f>SalesTbl[[#This Row],[Unit Price]]*SalesTbl[[#This Row],[Quantity]]</f>
        <v>600</v>
      </c>
      <c r="N215" s="6">
        <f>YEAR(SalesTbl[[#This Row],[Order Date]])</f>
        <v>2023</v>
      </c>
      <c r="O215" s="6" t="str">
        <f>TEXT(SalesTbl[[#This Row],[Order Date]],"yyyy-mm")</f>
        <v>2023-06</v>
      </c>
      <c r="P215" s="13">
        <f>WEEKNUM(SalesTbl[[#This Row],[Order Date]],2)</f>
        <v>26</v>
      </c>
      <c r="Q215" s="14">
        <f>MEDIAN(SalesTbl[Quantity])</f>
        <v>3</v>
      </c>
      <c r="R215" s="14">
        <f>IF(ISBLANK(SalesTbl[[#This Row],[Quantity]]),$H$2,SalesTbl[[#This Row],[Quantity]])</f>
        <v>3</v>
      </c>
      <c r="S215">
        <f>ROW()-ROW(SalesTbl[[#Headers],[Customer ID]])</f>
        <v>214</v>
      </c>
      <c r="T215" s="9" t="str">
        <f>IF(SalesTbl[[#This Row],[RowIdx]]&lt;=ROUNDUP(COUNTA(SalesTbl[Customer ID])*0.8,0),"Train","Test")</f>
        <v>Train</v>
      </c>
    </row>
    <row r="216" spans="1:20" x14ac:dyDescent="0.25">
      <c r="A216" t="s">
        <v>178</v>
      </c>
      <c r="B216" t="s">
        <v>13</v>
      </c>
      <c r="C216" t="s">
        <v>320</v>
      </c>
      <c r="D216" t="s">
        <v>23</v>
      </c>
      <c r="E216" t="s">
        <v>15</v>
      </c>
      <c r="F216">
        <v>30</v>
      </c>
      <c r="G216">
        <v>1500</v>
      </c>
      <c r="H216">
        <v>1</v>
      </c>
      <c r="I216">
        <v>1500</v>
      </c>
      <c r="J216">
        <v>14.53</v>
      </c>
      <c r="K216" s="2">
        <v>45034</v>
      </c>
      <c r="L216" t="s">
        <v>317</v>
      </c>
      <c r="M216" s="6">
        <f>SalesTbl[[#This Row],[Unit Price]]*SalesTbl[[#This Row],[Quantity]]</f>
        <v>1500</v>
      </c>
      <c r="N216" s="6">
        <f>YEAR(SalesTbl[[#This Row],[Order Date]])</f>
        <v>2023</v>
      </c>
      <c r="O216" s="6" t="str">
        <f>TEXT(SalesTbl[[#This Row],[Order Date]],"yyyy-mm")</f>
        <v>2023-04</v>
      </c>
      <c r="P216" s="13">
        <f>WEEKNUM(SalesTbl[[#This Row],[Order Date]],2)</f>
        <v>17</v>
      </c>
      <c r="Q216" s="14">
        <f>MEDIAN(SalesTbl[Quantity])</f>
        <v>3</v>
      </c>
      <c r="R216" s="14">
        <f>IF(ISBLANK(SalesTbl[[#This Row],[Quantity]]),$H$2,SalesTbl[[#This Row],[Quantity]])</f>
        <v>1</v>
      </c>
      <c r="S216">
        <f>ROW()-ROW(SalesTbl[[#Headers],[Customer ID]])</f>
        <v>215</v>
      </c>
      <c r="T216" s="9" t="str">
        <f>IF(SalesTbl[[#This Row],[RowIdx]]&lt;=ROUNDUP(COUNTA(SalesTbl[Customer ID])*0.8,0),"Train","Test")</f>
        <v>Train</v>
      </c>
    </row>
    <row r="217" spans="1:20" x14ac:dyDescent="0.25">
      <c r="A217" t="s">
        <v>179</v>
      </c>
      <c r="B217" t="s">
        <v>20</v>
      </c>
      <c r="C217" t="s">
        <v>321</v>
      </c>
      <c r="D217" t="s">
        <v>30</v>
      </c>
      <c r="E217" t="s">
        <v>18</v>
      </c>
      <c r="F217">
        <v>61</v>
      </c>
      <c r="G217">
        <v>62.191212249732999</v>
      </c>
      <c r="H217">
        <v>1</v>
      </c>
      <c r="I217">
        <v>30</v>
      </c>
      <c r="J217">
        <v>10.41</v>
      </c>
      <c r="K217" s="2">
        <v>44954</v>
      </c>
      <c r="L217" t="s">
        <v>316</v>
      </c>
      <c r="M217" s="6">
        <f>SalesTbl[[#This Row],[Unit Price]]*SalesTbl[[#This Row],[Quantity]]</f>
        <v>62.191212249732999</v>
      </c>
      <c r="N217" s="6">
        <f>YEAR(SalesTbl[[#This Row],[Order Date]])</f>
        <v>2023</v>
      </c>
      <c r="O217" s="6" t="str">
        <f>TEXT(SalesTbl[[#This Row],[Order Date]],"yyyy-mm")</f>
        <v>2023-01</v>
      </c>
      <c r="P217" s="13">
        <f>WEEKNUM(SalesTbl[[#This Row],[Order Date]],2)</f>
        <v>5</v>
      </c>
      <c r="Q217" s="14">
        <f>MEDIAN(SalesTbl[Quantity])</f>
        <v>3</v>
      </c>
      <c r="R217" s="14">
        <f>IF(ISBLANK(SalesTbl[[#This Row],[Quantity]]),$H$2,SalesTbl[[#This Row],[Quantity]])</f>
        <v>1</v>
      </c>
      <c r="S217">
        <f>ROW()-ROW(SalesTbl[[#Headers],[Customer ID]])</f>
        <v>216</v>
      </c>
      <c r="T217" s="9" t="str">
        <f>IF(SalesTbl[[#This Row],[RowIdx]]&lt;=ROUNDUP(COUNTA(SalesTbl[Customer ID])*0.8,0),"Train","Test")</f>
        <v>Train</v>
      </c>
    </row>
    <row r="218" spans="1:20" x14ac:dyDescent="0.25">
      <c r="A218" t="s">
        <v>146</v>
      </c>
      <c r="B218" t="s">
        <v>20</v>
      </c>
      <c r="C218" t="s">
        <v>320</v>
      </c>
      <c r="D218" t="s">
        <v>40</v>
      </c>
      <c r="E218" t="s">
        <v>15</v>
      </c>
      <c r="F218">
        <v>49</v>
      </c>
      <c r="G218">
        <v>800</v>
      </c>
      <c r="H218">
        <v>4</v>
      </c>
      <c r="I218">
        <v>3200</v>
      </c>
      <c r="J218">
        <v>9.4499999999999993</v>
      </c>
      <c r="K218" s="2">
        <v>45054</v>
      </c>
      <c r="L218" t="s">
        <v>316</v>
      </c>
      <c r="M218" s="6">
        <f>SalesTbl[[#This Row],[Unit Price]]*SalesTbl[[#This Row],[Quantity]]</f>
        <v>3200</v>
      </c>
      <c r="N218" s="6">
        <f>YEAR(SalesTbl[[#This Row],[Order Date]])</f>
        <v>2023</v>
      </c>
      <c r="O218" s="6" t="str">
        <f>TEXT(SalesTbl[[#This Row],[Order Date]],"yyyy-mm")</f>
        <v>2023-05</v>
      </c>
      <c r="P218" s="13">
        <f>WEEKNUM(SalesTbl[[#This Row],[Order Date]],2)</f>
        <v>20</v>
      </c>
      <c r="Q218" s="14">
        <f>MEDIAN(SalesTbl[Quantity])</f>
        <v>3</v>
      </c>
      <c r="R218" s="14">
        <f>IF(ISBLANK(SalesTbl[[#This Row],[Quantity]]),$H$2,SalesTbl[[#This Row],[Quantity]])</f>
        <v>4</v>
      </c>
      <c r="S218">
        <f>ROW()-ROW(SalesTbl[[#Headers],[Customer ID]])</f>
        <v>217</v>
      </c>
      <c r="T218" s="9" t="str">
        <f>IF(SalesTbl[[#This Row],[RowIdx]]&lt;=ROUNDUP(COUNTA(SalesTbl[Customer ID])*0.8,0),"Train","Test")</f>
        <v>Train</v>
      </c>
    </row>
    <row r="219" spans="1:20" x14ac:dyDescent="0.25">
      <c r="A219" t="s">
        <v>180</v>
      </c>
      <c r="B219" t="s">
        <v>20</v>
      </c>
      <c r="C219" t="s">
        <v>322</v>
      </c>
      <c r="D219" t="s">
        <v>23</v>
      </c>
      <c r="E219" t="s">
        <v>15</v>
      </c>
      <c r="F219">
        <v>49</v>
      </c>
      <c r="G219">
        <v>1500</v>
      </c>
      <c r="H219">
        <v>2</v>
      </c>
      <c r="I219">
        <v>3000</v>
      </c>
      <c r="J219">
        <v>9.01</v>
      </c>
      <c r="K219" s="2">
        <v>45084</v>
      </c>
      <c r="L219" t="s">
        <v>317</v>
      </c>
      <c r="M219" s="6">
        <f>SalesTbl[[#This Row],[Unit Price]]*SalesTbl[[#This Row],[Quantity]]</f>
        <v>3000</v>
      </c>
      <c r="N219" s="6">
        <f>YEAR(SalesTbl[[#This Row],[Order Date]])</f>
        <v>2023</v>
      </c>
      <c r="O219" s="6" t="str">
        <f>TEXT(SalesTbl[[#This Row],[Order Date]],"yyyy-mm")</f>
        <v>2023-06</v>
      </c>
      <c r="P219" s="13">
        <f>WEEKNUM(SalesTbl[[#This Row],[Order Date]],2)</f>
        <v>24</v>
      </c>
      <c r="Q219" s="14">
        <f>MEDIAN(SalesTbl[Quantity])</f>
        <v>3</v>
      </c>
      <c r="R219" s="14">
        <f>IF(ISBLANK(SalesTbl[[#This Row],[Quantity]]),$H$2,SalesTbl[[#This Row],[Quantity]])</f>
        <v>2</v>
      </c>
      <c r="S219">
        <f>ROW()-ROW(SalesTbl[[#Headers],[Customer ID]])</f>
        <v>218</v>
      </c>
      <c r="T219" s="9" t="str">
        <f>IF(SalesTbl[[#This Row],[RowIdx]]&lt;=ROUNDUP(COUNTA(SalesTbl[Customer ID])*0.8,0),"Train","Test")</f>
        <v>Train</v>
      </c>
    </row>
    <row r="220" spans="1:20" x14ac:dyDescent="0.25">
      <c r="A220" t="s">
        <v>181</v>
      </c>
      <c r="B220" t="s">
        <v>13</v>
      </c>
      <c r="C220" t="s">
        <v>320</v>
      </c>
      <c r="D220" t="s">
        <v>40</v>
      </c>
      <c r="E220" t="s">
        <v>15</v>
      </c>
      <c r="F220">
        <v>29</v>
      </c>
      <c r="G220">
        <v>800</v>
      </c>
      <c r="H220">
        <v>5</v>
      </c>
      <c r="I220">
        <v>4000</v>
      </c>
      <c r="J220">
        <v>6.06</v>
      </c>
      <c r="K220" s="2">
        <v>44981</v>
      </c>
      <c r="L220" t="s">
        <v>318</v>
      </c>
      <c r="M220" s="6">
        <f>SalesTbl[[#This Row],[Unit Price]]*SalesTbl[[#This Row],[Quantity]]</f>
        <v>4000</v>
      </c>
      <c r="N220" s="6">
        <f>YEAR(SalesTbl[[#This Row],[Order Date]])</f>
        <v>2023</v>
      </c>
      <c r="O220" s="6" t="str">
        <f>TEXT(SalesTbl[[#This Row],[Order Date]],"yyyy-mm")</f>
        <v>2023-02</v>
      </c>
      <c r="P220" s="13">
        <f>WEEKNUM(SalesTbl[[#This Row],[Order Date]],2)</f>
        <v>9</v>
      </c>
      <c r="Q220" s="14">
        <f>MEDIAN(SalesTbl[Quantity])</f>
        <v>3</v>
      </c>
      <c r="R220" s="14">
        <f>IF(ISBLANK(SalesTbl[[#This Row],[Quantity]]),$H$2,SalesTbl[[#This Row],[Quantity]])</f>
        <v>5</v>
      </c>
      <c r="S220">
        <f>ROW()-ROW(SalesTbl[[#Headers],[Customer ID]])</f>
        <v>219</v>
      </c>
      <c r="T220" s="9" t="str">
        <f>IF(SalesTbl[[#This Row],[RowIdx]]&lt;=ROUNDUP(COUNTA(SalesTbl[Customer ID])*0.8,0),"Train","Test")</f>
        <v>Train</v>
      </c>
    </row>
    <row r="221" spans="1:20" x14ac:dyDescent="0.25">
      <c r="A221" t="s">
        <v>172</v>
      </c>
      <c r="B221" t="s">
        <v>13</v>
      </c>
      <c r="C221" t="s">
        <v>321</v>
      </c>
      <c r="D221" t="s">
        <v>29</v>
      </c>
      <c r="E221" t="s">
        <v>18</v>
      </c>
      <c r="F221">
        <v>57</v>
      </c>
      <c r="G221">
        <v>50</v>
      </c>
      <c r="H221">
        <v>3</v>
      </c>
      <c r="I221">
        <v>150</v>
      </c>
      <c r="J221">
        <v>11.12</v>
      </c>
      <c r="K221" s="2">
        <v>44973</v>
      </c>
      <c r="L221" t="s">
        <v>317</v>
      </c>
      <c r="M221" s="6">
        <f>SalesTbl[[#This Row],[Unit Price]]*SalesTbl[[#This Row],[Quantity]]</f>
        <v>150</v>
      </c>
      <c r="N221" s="6">
        <f>YEAR(SalesTbl[[#This Row],[Order Date]])</f>
        <v>2023</v>
      </c>
      <c r="O221" s="6" t="str">
        <f>TEXT(SalesTbl[[#This Row],[Order Date]],"yyyy-mm")</f>
        <v>2023-02</v>
      </c>
      <c r="P221" s="13">
        <f>WEEKNUM(SalesTbl[[#This Row],[Order Date]],2)</f>
        <v>8</v>
      </c>
      <c r="Q221" s="14">
        <f>MEDIAN(SalesTbl[Quantity])</f>
        <v>3</v>
      </c>
      <c r="R221" s="14">
        <f>IF(ISBLANK(SalesTbl[[#This Row],[Quantity]]),$H$2,SalesTbl[[#This Row],[Quantity]])</f>
        <v>3</v>
      </c>
      <c r="S221">
        <f>ROW()-ROW(SalesTbl[[#Headers],[Customer ID]])</f>
        <v>220</v>
      </c>
      <c r="T221" s="9" t="str">
        <f>IF(SalesTbl[[#This Row],[RowIdx]]&lt;=ROUNDUP(COUNTA(SalesTbl[Customer ID])*0.8,0),"Train","Test")</f>
        <v>Train</v>
      </c>
    </row>
    <row r="222" spans="1:20" x14ac:dyDescent="0.25">
      <c r="A222" t="s">
        <v>65</v>
      </c>
      <c r="B222" t="s">
        <v>13</v>
      </c>
      <c r="C222" t="s">
        <v>321</v>
      </c>
      <c r="D222" t="s">
        <v>25</v>
      </c>
      <c r="E222" t="s">
        <v>26</v>
      </c>
      <c r="F222">
        <v>38</v>
      </c>
      <c r="G222">
        <v>200</v>
      </c>
      <c r="H222">
        <v>3</v>
      </c>
      <c r="I222">
        <v>600</v>
      </c>
      <c r="J222">
        <v>19.89</v>
      </c>
      <c r="K222" s="2">
        <v>45145</v>
      </c>
      <c r="L222" t="s">
        <v>316</v>
      </c>
      <c r="M222" s="6">
        <f>SalesTbl[[#This Row],[Unit Price]]*SalesTbl[[#This Row],[Quantity]]</f>
        <v>600</v>
      </c>
      <c r="N222" s="6">
        <f>YEAR(SalesTbl[[#This Row],[Order Date]])</f>
        <v>2023</v>
      </c>
      <c r="O222" s="6" t="str">
        <f>TEXT(SalesTbl[[#This Row],[Order Date]],"yyyy-mm")</f>
        <v>2023-08</v>
      </c>
      <c r="P222" s="13">
        <f>WEEKNUM(SalesTbl[[#This Row],[Order Date]],2)</f>
        <v>33</v>
      </c>
      <c r="Q222" s="14">
        <f>MEDIAN(SalesTbl[Quantity])</f>
        <v>3</v>
      </c>
      <c r="R222" s="14">
        <f>IF(ISBLANK(SalesTbl[[#This Row],[Quantity]]),$H$2,SalesTbl[[#This Row],[Quantity]])</f>
        <v>3</v>
      </c>
      <c r="S222">
        <f>ROW()-ROW(SalesTbl[[#Headers],[Customer ID]])</f>
        <v>221</v>
      </c>
      <c r="T222" s="9" t="str">
        <f>IF(SalesTbl[[#This Row],[RowIdx]]&lt;=ROUNDUP(COUNTA(SalesTbl[Customer ID])*0.8,0),"Train","Test")</f>
        <v>Train</v>
      </c>
    </row>
    <row r="223" spans="1:20" x14ac:dyDescent="0.25">
      <c r="A223" t="s">
        <v>55</v>
      </c>
      <c r="B223" t="s">
        <v>13</v>
      </c>
      <c r="C223" t="s">
        <v>320</v>
      </c>
      <c r="D223" t="s">
        <v>40</v>
      </c>
      <c r="E223" t="s">
        <v>15</v>
      </c>
      <c r="F223">
        <v>58</v>
      </c>
      <c r="G223">
        <v>800</v>
      </c>
      <c r="H223">
        <v>4</v>
      </c>
      <c r="I223">
        <v>3200</v>
      </c>
      <c r="J223">
        <v>18.55</v>
      </c>
      <c r="K223" s="2">
        <v>45020</v>
      </c>
      <c r="L223" t="s">
        <v>319</v>
      </c>
      <c r="M223" s="6">
        <f>SalesTbl[[#This Row],[Unit Price]]*SalesTbl[[#This Row],[Quantity]]</f>
        <v>3200</v>
      </c>
      <c r="N223" s="6">
        <f>YEAR(SalesTbl[[#This Row],[Order Date]])</f>
        <v>2023</v>
      </c>
      <c r="O223" s="6" t="str">
        <f>TEXT(SalesTbl[[#This Row],[Order Date]],"yyyy-mm")</f>
        <v>2023-04</v>
      </c>
      <c r="P223" s="13">
        <f>WEEKNUM(SalesTbl[[#This Row],[Order Date]],2)</f>
        <v>15</v>
      </c>
      <c r="Q223" s="14">
        <f>MEDIAN(SalesTbl[Quantity])</f>
        <v>3</v>
      </c>
      <c r="R223" s="14">
        <f>IF(ISBLANK(SalesTbl[[#This Row],[Quantity]]),$H$2,SalesTbl[[#This Row],[Quantity]])</f>
        <v>4</v>
      </c>
      <c r="S223">
        <f>ROW()-ROW(SalesTbl[[#Headers],[Customer ID]])</f>
        <v>222</v>
      </c>
      <c r="T223" s="9" t="str">
        <f>IF(SalesTbl[[#This Row],[RowIdx]]&lt;=ROUNDUP(COUNTA(SalesTbl[Customer ID])*0.8,0),"Train","Test")</f>
        <v>Train</v>
      </c>
    </row>
    <row r="224" spans="1:20" x14ac:dyDescent="0.25">
      <c r="A224" t="s">
        <v>121</v>
      </c>
      <c r="B224" t="s">
        <v>20</v>
      </c>
      <c r="C224" t="s">
        <v>323</v>
      </c>
      <c r="D224" t="s">
        <v>14</v>
      </c>
      <c r="E224" t="s">
        <v>15</v>
      </c>
      <c r="F224">
        <v>38</v>
      </c>
      <c r="G224">
        <v>300</v>
      </c>
      <c r="H224">
        <v>1</v>
      </c>
      <c r="I224">
        <v>300</v>
      </c>
      <c r="J224">
        <v>11.89</v>
      </c>
      <c r="K224" s="2">
        <v>45047</v>
      </c>
      <c r="L224" t="s">
        <v>317</v>
      </c>
      <c r="M224" s="6">
        <f>SalesTbl[[#This Row],[Unit Price]]*SalesTbl[[#This Row],[Quantity]]</f>
        <v>300</v>
      </c>
      <c r="N224" s="6">
        <f>YEAR(SalesTbl[[#This Row],[Order Date]])</f>
        <v>2023</v>
      </c>
      <c r="O224" s="6" t="str">
        <f>TEXT(SalesTbl[[#This Row],[Order Date]],"yyyy-mm")</f>
        <v>2023-05</v>
      </c>
      <c r="P224" s="13">
        <f>WEEKNUM(SalesTbl[[#This Row],[Order Date]],2)</f>
        <v>19</v>
      </c>
      <c r="Q224" s="14">
        <f>MEDIAN(SalesTbl[Quantity])</f>
        <v>3</v>
      </c>
      <c r="R224" s="14">
        <f>IF(ISBLANK(SalesTbl[[#This Row],[Quantity]]),$H$2,SalesTbl[[#This Row],[Quantity]])</f>
        <v>1</v>
      </c>
      <c r="S224">
        <f>ROW()-ROW(SalesTbl[[#Headers],[Customer ID]])</f>
        <v>223</v>
      </c>
      <c r="T224" s="9" t="str">
        <f>IF(SalesTbl[[#This Row],[RowIdx]]&lt;=ROUNDUP(COUNTA(SalesTbl[Customer ID])*0.8,0),"Train","Test")</f>
        <v>Train</v>
      </c>
    </row>
    <row r="225" spans="1:20" x14ac:dyDescent="0.25">
      <c r="A225" t="s">
        <v>182</v>
      </c>
      <c r="B225" t="s">
        <v>20</v>
      </c>
      <c r="C225" t="s">
        <v>323</v>
      </c>
      <c r="D225" t="s">
        <v>40</v>
      </c>
      <c r="E225" t="s">
        <v>15</v>
      </c>
      <c r="F225">
        <v>32</v>
      </c>
      <c r="G225">
        <v>800</v>
      </c>
      <c r="H225">
        <v>3</v>
      </c>
      <c r="I225">
        <v>2400</v>
      </c>
      <c r="J225">
        <v>14.12</v>
      </c>
      <c r="K225" s="2">
        <v>45197</v>
      </c>
      <c r="L225" t="s">
        <v>317</v>
      </c>
      <c r="M225" s="6">
        <f>SalesTbl[[#This Row],[Unit Price]]*SalesTbl[[#This Row],[Quantity]]</f>
        <v>2400</v>
      </c>
      <c r="N225" s="6">
        <f>YEAR(SalesTbl[[#This Row],[Order Date]])</f>
        <v>2023</v>
      </c>
      <c r="O225" s="6" t="str">
        <f>TEXT(SalesTbl[[#This Row],[Order Date]],"yyyy-mm")</f>
        <v>2023-09</v>
      </c>
      <c r="P225" s="13">
        <f>WEEKNUM(SalesTbl[[#This Row],[Order Date]],2)</f>
        <v>40</v>
      </c>
      <c r="Q225" s="14">
        <f>MEDIAN(SalesTbl[Quantity])</f>
        <v>3</v>
      </c>
      <c r="R225" s="14">
        <f>IF(ISBLANK(SalesTbl[[#This Row],[Quantity]]),$H$2,SalesTbl[[#This Row],[Quantity]])</f>
        <v>3</v>
      </c>
      <c r="S225">
        <f>ROW()-ROW(SalesTbl[[#Headers],[Customer ID]])</f>
        <v>224</v>
      </c>
      <c r="T225" s="9" t="str">
        <f>IF(SalesTbl[[#This Row],[RowIdx]]&lt;=ROUNDUP(COUNTA(SalesTbl[Customer ID])*0.8,0),"Train","Test")</f>
        <v>Train</v>
      </c>
    </row>
    <row r="226" spans="1:20" x14ac:dyDescent="0.25">
      <c r="A226" t="s">
        <v>183</v>
      </c>
      <c r="B226" t="s">
        <v>20</v>
      </c>
      <c r="C226" t="s">
        <v>321</v>
      </c>
      <c r="D226" t="s">
        <v>30</v>
      </c>
      <c r="E226" t="s">
        <v>18</v>
      </c>
      <c r="F226">
        <v>49</v>
      </c>
      <c r="G226">
        <v>30</v>
      </c>
      <c r="H226">
        <v>2</v>
      </c>
      <c r="I226">
        <v>60</v>
      </c>
      <c r="J226">
        <v>7.56</v>
      </c>
      <c r="K226" s="2">
        <v>45285</v>
      </c>
      <c r="L226" t="s">
        <v>318</v>
      </c>
      <c r="M226" s="6">
        <f>SalesTbl[[#This Row],[Unit Price]]*SalesTbl[[#This Row],[Quantity]]</f>
        <v>60</v>
      </c>
      <c r="N226" s="6">
        <f>YEAR(SalesTbl[[#This Row],[Order Date]])</f>
        <v>2023</v>
      </c>
      <c r="O226" s="6" t="str">
        <f>TEXT(SalesTbl[[#This Row],[Order Date]],"yyyy-mm")</f>
        <v>2023-12</v>
      </c>
      <c r="P226" s="13">
        <f>WEEKNUM(SalesTbl[[#This Row],[Order Date]],2)</f>
        <v>53</v>
      </c>
      <c r="Q226" s="14">
        <f>MEDIAN(SalesTbl[Quantity])</f>
        <v>3</v>
      </c>
      <c r="R226" s="14">
        <f>IF(ISBLANK(SalesTbl[[#This Row],[Quantity]]),$H$2,SalesTbl[[#This Row],[Quantity]])</f>
        <v>2</v>
      </c>
      <c r="S226">
        <f>ROW()-ROW(SalesTbl[[#Headers],[Customer ID]])</f>
        <v>225</v>
      </c>
      <c r="T226" s="9" t="str">
        <f>IF(SalesTbl[[#This Row],[RowIdx]]&lt;=ROUNDUP(COUNTA(SalesTbl[Customer ID])*0.8,0),"Train","Test")</f>
        <v>Train</v>
      </c>
    </row>
    <row r="227" spans="1:20" x14ac:dyDescent="0.25">
      <c r="A227" t="s">
        <v>113</v>
      </c>
      <c r="B227" t="s">
        <v>13</v>
      </c>
      <c r="C227" t="s">
        <v>322</v>
      </c>
      <c r="D227" t="s">
        <v>17</v>
      </c>
      <c r="E227" t="s">
        <v>18</v>
      </c>
      <c r="F227">
        <v>63</v>
      </c>
      <c r="G227">
        <v>100</v>
      </c>
      <c r="H227">
        <v>4</v>
      </c>
      <c r="I227">
        <v>400</v>
      </c>
      <c r="J227">
        <v>11.39</v>
      </c>
      <c r="K227" s="2">
        <v>45052</v>
      </c>
      <c r="L227" t="s">
        <v>318</v>
      </c>
      <c r="M227" s="6">
        <f>SalesTbl[[#This Row],[Unit Price]]*SalesTbl[[#This Row],[Quantity]]</f>
        <v>400</v>
      </c>
      <c r="N227" s="6">
        <f>YEAR(SalesTbl[[#This Row],[Order Date]])</f>
        <v>2023</v>
      </c>
      <c r="O227" s="6" t="str">
        <f>TEXT(SalesTbl[[#This Row],[Order Date]],"yyyy-mm")</f>
        <v>2023-05</v>
      </c>
      <c r="P227" s="13">
        <f>WEEKNUM(SalesTbl[[#This Row],[Order Date]],2)</f>
        <v>19</v>
      </c>
      <c r="Q227" s="14">
        <f>MEDIAN(SalesTbl[Quantity])</f>
        <v>3</v>
      </c>
      <c r="R227" s="14">
        <f>IF(ISBLANK(SalesTbl[[#This Row],[Quantity]]),$H$2,SalesTbl[[#This Row],[Quantity]])</f>
        <v>4</v>
      </c>
      <c r="S227">
        <f>ROW()-ROW(SalesTbl[[#Headers],[Customer ID]])</f>
        <v>226</v>
      </c>
      <c r="T227" s="9" t="str">
        <f>IF(SalesTbl[[#This Row],[RowIdx]]&lt;=ROUNDUP(COUNTA(SalesTbl[Customer ID])*0.8,0),"Train","Test")</f>
        <v>Train</v>
      </c>
    </row>
    <row r="228" spans="1:20" x14ac:dyDescent="0.25">
      <c r="A228" t="s">
        <v>48</v>
      </c>
      <c r="B228" t="s">
        <v>20</v>
      </c>
      <c r="C228" t="s">
        <v>321</v>
      </c>
      <c r="D228" t="s">
        <v>29</v>
      </c>
      <c r="E228" t="s">
        <v>18</v>
      </c>
      <c r="F228">
        <v>59</v>
      </c>
      <c r="G228">
        <v>103.65202041622101</v>
      </c>
      <c r="H228">
        <v>4</v>
      </c>
      <c r="I228">
        <v>200</v>
      </c>
      <c r="J228">
        <v>10.49</v>
      </c>
      <c r="K228" s="2">
        <v>45159</v>
      </c>
      <c r="L228" t="s">
        <v>318</v>
      </c>
      <c r="M228" s="6">
        <f>SalesTbl[[#This Row],[Unit Price]]*SalesTbl[[#This Row],[Quantity]]</f>
        <v>414.60808166488403</v>
      </c>
      <c r="N228" s="6">
        <f>YEAR(SalesTbl[[#This Row],[Order Date]])</f>
        <v>2023</v>
      </c>
      <c r="O228" s="6" t="str">
        <f>TEXT(SalesTbl[[#This Row],[Order Date]],"yyyy-mm")</f>
        <v>2023-08</v>
      </c>
      <c r="P228" s="13">
        <f>WEEKNUM(SalesTbl[[#This Row],[Order Date]],2)</f>
        <v>35</v>
      </c>
      <c r="Q228" s="14">
        <f>MEDIAN(SalesTbl[Quantity])</f>
        <v>3</v>
      </c>
      <c r="R228" s="14">
        <f>IF(ISBLANK(SalesTbl[[#This Row],[Quantity]]),$H$2,SalesTbl[[#This Row],[Quantity]])</f>
        <v>4</v>
      </c>
      <c r="S228">
        <f>ROW()-ROW(SalesTbl[[#Headers],[Customer ID]])</f>
        <v>227</v>
      </c>
      <c r="T228" s="9" t="str">
        <f>IF(SalesTbl[[#This Row],[RowIdx]]&lt;=ROUNDUP(COUNTA(SalesTbl[Customer ID])*0.8,0),"Train","Test")</f>
        <v>Train</v>
      </c>
    </row>
    <row r="229" spans="1:20" x14ac:dyDescent="0.25">
      <c r="A229" t="s">
        <v>160</v>
      </c>
      <c r="B229" t="s">
        <v>13</v>
      </c>
      <c r="C229" t="s">
        <v>321</v>
      </c>
      <c r="D229" t="s">
        <v>17</v>
      </c>
      <c r="E229" t="s">
        <v>18</v>
      </c>
      <c r="F229">
        <v>27</v>
      </c>
      <c r="G229">
        <v>100</v>
      </c>
      <c r="H229">
        <v>3</v>
      </c>
      <c r="I229">
        <v>300</v>
      </c>
      <c r="J229">
        <v>17.920000000000002</v>
      </c>
      <c r="K229" s="2">
        <v>44998</v>
      </c>
      <c r="L229" t="s">
        <v>316</v>
      </c>
      <c r="M229" s="6">
        <f>SalesTbl[[#This Row],[Unit Price]]*SalesTbl[[#This Row],[Quantity]]</f>
        <v>300</v>
      </c>
      <c r="N229" s="6">
        <f>YEAR(SalesTbl[[#This Row],[Order Date]])</f>
        <v>2023</v>
      </c>
      <c r="O229" s="6" t="str">
        <f>TEXT(SalesTbl[[#This Row],[Order Date]],"yyyy-mm")</f>
        <v>2023-03</v>
      </c>
      <c r="P229" s="13">
        <f>WEEKNUM(SalesTbl[[#This Row],[Order Date]],2)</f>
        <v>12</v>
      </c>
      <c r="Q229" s="14">
        <f>MEDIAN(SalesTbl[Quantity])</f>
        <v>3</v>
      </c>
      <c r="R229" s="14">
        <f>IF(ISBLANK(SalesTbl[[#This Row],[Quantity]]),$H$2,SalesTbl[[#This Row],[Quantity]])</f>
        <v>3</v>
      </c>
      <c r="S229">
        <f>ROW()-ROW(SalesTbl[[#Headers],[Customer ID]])</f>
        <v>228</v>
      </c>
      <c r="T229" s="9" t="str">
        <f>IF(SalesTbl[[#This Row],[RowIdx]]&lt;=ROUNDUP(COUNTA(SalesTbl[Customer ID])*0.8,0),"Train","Test")</f>
        <v>Train</v>
      </c>
    </row>
    <row r="230" spans="1:20" x14ac:dyDescent="0.25">
      <c r="A230" t="s">
        <v>184</v>
      </c>
      <c r="B230" t="s">
        <v>20</v>
      </c>
      <c r="C230" t="s">
        <v>321</v>
      </c>
      <c r="D230" t="s">
        <v>23</v>
      </c>
      <c r="E230" t="s">
        <v>15</v>
      </c>
      <c r="F230">
        <v>51</v>
      </c>
      <c r="G230">
        <v>1500</v>
      </c>
      <c r="H230">
        <v>1</v>
      </c>
      <c r="I230">
        <v>1500</v>
      </c>
      <c r="J230">
        <v>12.36</v>
      </c>
      <c r="K230" s="2">
        <v>44985</v>
      </c>
      <c r="L230" t="s">
        <v>316</v>
      </c>
      <c r="M230" s="6">
        <f>SalesTbl[[#This Row],[Unit Price]]*SalesTbl[[#This Row],[Quantity]]</f>
        <v>1500</v>
      </c>
      <c r="N230" s="6">
        <f>YEAR(SalesTbl[[#This Row],[Order Date]])</f>
        <v>2023</v>
      </c>
      <c r="O230" s="6" t="str">
        <f>TEXT(SalesTbl[[#This Row],[Order Date]],"yyyy-mm")</f>
        <v>2023-02</v>
      </c>
      <c r="P230" s="13">
        <f>WEEKNUM(SalesTbl[[#This Row],[Order Date]],2)</f>
        <v>10</v>
      </c>
      <c r="Q230" s="14">
        <f>MEDIAN(SalesTbl[Quantity])</f>
        <v>3</v>
      </c>
      <c r="R230" s="14">
        <f>IF(ISBLANK(SalesTbl[[#This Row],[Quantity]]),$H$2,SalesTbl[[#This Row],[Quantity]])</f>
        <v>1</v>
      </c>
      <c r="S230">
        <f>ROW()-ROW(SalesTbl[[#Headers],[Customer ID]])</f>
        <v>229</v>
      </c>
      <c r="T230" s="9" t="str">
        <f>IF(SalesTbl[[#This Row],[RowIdx]]&lt;=ROUNDUP(COUNTA(SalesTbl[Customer ID])*0.8,0),"Train","Test")</f>
        <v>Train</v>
      </c>
    </row>
    <row r="231" spans="1:20" x14ac:dyDescent="0.25">
      <c r="A231" t="s">
        <v>181</v>
      </c>
      <c r="B231" t="s">
        <v>13</v>
      </c>
      <c r="C231" t="s">
        <v>321</v>
      </c>
      <c r="D231" t="s">
        <v>14</v>
      </c>
      <c r="E231" t="s">
        <v>15</v>
      </c>
      <c r="F231">
        <v>29</v>
      </c>
      <c r="G231">
        <v>300</v>
      </c>
      <c r="H231">
        <v>4</v>
      </c>
      <c r="I231">
        <v>1200</v>
      </c>
      <c r="J231">
        <v>8.15</v>
      </c>
      <c r="K231" s="2">
        <v>45133</v>
      </c>
      <c r="L231" t="s">
        <v>318</v>
      </c>
      <c r="M231" s="6">
        <f>SalesTbl[[#This Row],[Unit Price]]*SalesTbl[[#This Row],[Quantity]]</f>
        <v>1200</v>
      </c>
      <c r="N231" s="6">
        <f>YEAR(SalesTbl[[#This Row],[Order Date]])</f>
        <v>2023</v>
      </c>
      <c r="O231" s="6" t="str">
        <f>TEXT(SalesTbl[[#This Row],[Order Date]],"yyyy-mm")</f>
        <v>2023-07</v>
      </c>
      <c r="P231" s="13">
        <f>WEEKNUM(SalesTbl[[#This Row],[Order Date]],2)</f>
        <v>31</v>
      </c>
      <c r="Q231" s="14">
        <f>MEDIAN(SalesTbl[Quantity])</f>
        <v>3</v>
      </c>
      <c r="R231" s="14">
        <f>IF(ISBLANK(SalesTbl[[#This Row],[Quantity]]),$H$2,SalesTbl[[#This Row],[Quantity]])</f>
        <v>4</v>
      </c>
      <c r="S231">
        <f>ROW()-ROW(SalesTbl[[#Headers],[Customer ID]])</f>
        <v>230</v>
      </c>
      <c r="T231" s="9" t="str">
        <f>IF(SalesTbl[[#This Row],[RowIdx]]&lt;=ROUNDUP(COUNTA(SalesTbl[Customer ID])*0.8,0),"Train","Test")</f>
        <v>Train</v>
      </c>
    </row>
    <row r="232" spans="1:20" x14ac:dyDescent="0.25">
      <c r="A232" t="s">
        <v>165</v>
      </c>
      <c r="B232" t="s">
        <v>13</v>
      </c>
      <c r="C232" t="s">
        <v>323</v>
      </c>
      <c r="D232" t="s">
        <v>14</v>
      </c>
      <c r="E232" t="s">
        <v>15</v>
      </c>
      <c r="F232">
        <v>66</v>
      </c>
      <c r="G232">
        <v>300</v>
      </c>
      <c r="H232">
        <v>2</v>
      </c>
      <c r="I232">
        <v>600</v>
      </c>
      <c r="J232">
        <v>19.100000000000001</v>
      </c>
      <c r="K232" s="2">
        <v>45109</v>
      </c>
      <c r="L232" t="s">
        <v>319</v>
      </c>
      <c r="M232" s="6">
        <f>SalesTbl[[#This Row],[Unit Price]]*SalesTbl[[#This Row],[Quantity]]</f>
        <v>600</v>
      </c>
      <c r="N232" s="6">
        <f>YEAR(SalesTbl[[#This Row],[Order Date]])</f>
        <v>2023</v>
      </c>
      <c r="O232" s="6" t="str">
        <f>TEXT(SalesTbl[[#This Row],[Order Date]],"yyyy-mm")</f>
        <v>2023-07</v>
      </c>
      <c r="P232" s="13">
        <f>WEEKNUM(SalesTbl[[#This Row],[Order Date]],2)</f>
        <v>27</v>
      </c>
      <c r="Q232" s="14">
        <f>MEDIAN(SalesTbl[Quantity])</f>
        <v>3</v>
      </c>
      <c r="R232" s="14">
        <f>IF(ISBLANK(SalesTbl[[#This Row],[Quantity]]),$H$2,SalesTbl[[#This Row],[Quantity]])</f>
        <v>2</v>
      </c>
      <c r="S232">
        <f>ROW()-ROW(SalesTbl[[#Headers],[Customer ID]])</f>
        <v>231</v>
      </c>
      <c r="T232" s="9" t="str">
        <f>IF(SalesTbl[[#This Row],[RowIdx]]&lt;=ROUNDUP(COUNTA(SalesTbl[Customer ID])*0.8,0),"Train","Test")</f>
        <v>Train</v>
      </c>
    </row>
    <row r="233" spans="1:20" x14ac:dyDescent="0.25">
      <c r="A233" t="s">
        <v>174</v>
      </c>
      <c r="B233" t="s">
        <v>13</v>
      </c>
      <c r="C233" t="s">
        <v>323</v>
      </c>
      <c r="D233" t="s">
        <v>25</v>
      </c>
      <c r="E233" t="s">
        <v>26</v>
      </c>
      <c r="F233">
        <v>54</v>
      </c>
      <c r="G233">
        <v>200</v>
      </c>
      <c r="H233">
        <v>5</v>
      </c>
      <c r="I233">
        <v>1000</v>
      </c>
      <c r="J233">
        <v>10.029999999999999</v>
      </c>
      <c r="K233" s="2">
        <v>45216</v>
      </c>
      <c r="L233" t="s">
        <v>316</v>
      </c>
      <c r="M233" s="6">
        <f>SalesTbl[[#This Row],[Unit Price]]*SalesTbl[[#This Row],[Quantity]]</f>
        <v>1000</v>
      </c>
      <c r="N233" s="6">
        <f>YEAR(SalesTbl[[#This Row],[Order Date]])</f>
        <v>2023</v>
      </c>
      <c r="O233" s="6" t="str">
        <f>TEXT(SalesTbl[[#This Row],[Order Date]],"yyyy-mm")</f>
        <v>2023-10</v>
      </c>
      <c r="P233" s="13">
        <f>WEEKNUM(SalesTbl[[#This Row],[Order Date]],2)</f>
        <v>43</v>
      </c>
      <c r="Q233" s="14">
        <f>MEDIAN(SalesTbl[Quantity])</f>
        <v>3</v>
      </c>
      <c r="R233" s="14">
        <f>IF(ISBLANK(SalesTbl[[#This Row],[Quantity]]),$H$2,SalesTbl[[#This Row],[Quantity]])</f>
        <v>5</v>
      </c>
      <c r="S233">
        <f>ROW()-ROW(SalesTbl[[#Headers],[Customer ID]])</f>
        <v>232</v>
      </c>
      <c r="T233" s="9" t="str">
        <f>IF(SalesTbl[[#This Row],[RowIdx]]&lt;=ROUNDUP(COUNTA(SalesTbl[Customer ID])*0.8,0),"Train","Test")</f>
        <v>Train</v>
      </c>
    </row>
    <row r="234" spans="1:20" x14ac:dyDescent="0.25">
      <c r="A234" t="s">
        <v>185</v>
      </c>
      <c r="B234" t="s">
        <v>13</v>
      </c>
      <c r="C234" t="s">
        <v>323</v>
      </c>
      <c r="D234" t="s">
        <v>14</v>
      </c>
      <c r="E234" t="s">
        <v>15</v>
      </c>
      <c r="F234">
        <v>68</v>
      </c>
      <c r="G234">
        <v>300</v>
      </c>
      <c r="H234">
        <v>3</v>
      </c>
      <c r="I234">
        <v>900</v>
      </c>
      <c r="J234">
        <v>5</v>
      </c>
      <c r="K234" s="2">
        <v>45217</v>
      </c>
      <c r="L234" t="s">
        <v>317</v>
      </c>
      <c r="M234" s="6">
        <f>SalesTbl[[#This Row],[Unit Price]]*SalesTbl[[#This Row],[Quantity]]</f>
        <v>900</v>
      </c>
      <c r="N234" s="6">
        <f>YEAR(SalesTbl[[#This Row],[Order Date]])</f>
        <v>2023</v>
      </c>
      <c r="O234" s="6" t="str">
        <f>TEXT(SalesTbl[[#This Row],[Order Date]],"yyyy-mm")</f>
        <v>2023-10</v>
      </c>
      <c r="P234" s="13">
        <f>WEEKNUM(SalesTbl[[#This Row],[Order Date]],2)</f>
        <v>43</v>
      </c>
      <c r="Q234" s="14">
        <f>MEDIAN(SalesTbl[Quantity])</f>
        <v>3</v>
      </c>
      <c r="R234" s="14">
        <f>IF(ISBLANK(SalesTbl[[#This Row],[Quantity]]),$H$2,SalesTbl[[#This Row],[Quantity]])</f>
        <v>3</v>
      </c>
      <c r="S234">
        <f>ROW()-ROW(SalesTbl[[#Headers],[Customer ID]])</f>
        <v>233</v>
      </c>
      <c r="T234" s="9" t="str">
        <f>IF(SalesTbl[[#This Row],[RowIdx]]&lt;=ROUNDUP(COUNTA(SalesTbl[Customer ID])*0.8,0),"Train","Test")</f>
        <v>Train</v>
      </c>
    </row>
    <row r="235" spans="1:20" x14ac:dyDescent="0.25">
      <c r="A235" t="s">
        <v>121</v>
      </c>
      <c r="B235" t="s">
        <v>20</v>
      </c>
      <c r="C235" t="s">
        <v>321</v>
      </c>
      <c r="D235" t="s">
        <v>23</v>
      </c>
      <c r="E235" t="s">
        <v>15</v>
      </c>
      <c r="F235">
        <v>49</v>
      </c>
      <c r="G235">
        <v>1500</v>
      </c>
      <c r="H235">
        <v>3</v>
      </c>
      <c r="I235">
        <v>4500</v>
      </c>
      <c r="J235">
        <v>9.92</v>
      </c>
      <c r="K235" s="2">
        <v>45022</v>
      </c>
      <c r="L235" t="s">
        <v>318</v>
      </c>
      <c r="M235" s="6">
        <f>SalesTbl[[#This Row],[Unit Price]]*SalesTbl[[#This Row],[Quantity]]</f>
        <v>4500</v>
      </c>
      <c r="N235" s="6">
        <f>YEAR(SalesTbl[[#This Row],[Order Date]])</f>
        <v>2023</v>
      </c>
      <c r="O235" s="6" t="str">
        <f>TEXT(SalesTbl[[#This Row],[Order Date]],"yyyy-mm")</f>
        <v>2023-04</v>
      </c>
      <c r="P235" s="13">
        <f>WEEKNUM(SalesTbl[[#This Row],[Order Date]],2)</f>
        <v>15</v>
      </c>
      <c r="Q235" s="14">
        <f>MEDIAN(SalesTbl[Quantity])</f>
        <v>3</v>
      </c>
      <c r="R235" s="14">
        <f>IF(ISBLANK(SalesTbl[[#This Row],[Quantity]]),$H$2,SalesTbl[[#This Row],[Quantity]])</f>
        <v>3</v>
      </c>
      <c r="S235">
        <f>ROW()-ROW(SalesTbl[[#Headers],[Customer ID]])</f>
        <v>234</v>
      </c>
      <c r="T235" s="9" t="str">
        <f>IF(SalesTbl[[#This Row],[RowIdx]]&lt;=ROUNDUP(COUNTA(SalesTbl[Customer ID])*0.8,0),"Train","Test")</f>
        <v>Train</v>
      </c>
    </row>
    <row r="236" spans="1:20" x14ac:dyDescent="0.25">
      <c r="A236" t="s">
        <v>31</v>
      </c>
      <c r="B236" t="s">
        <v>20</v>
      </c>
      <c r="C236" t="s">
        <v>322</v>
      </c>
      <c r="D236" t="s">
        <v>14</v>
      </c>
      <c r="E236" t="s">
        <v>15</v>
      </c>
      <c r="F236">
        <v>29</v>
      </c>
      <c r="G236">
        <v>300</v>
      </c>
      <c r="H236">
        <v>3</v>
      </c>
      <c r="I236">
        <v>900</v>
      </c>
      <c r="J236">
        <v>18.32</v>
      </c>
      <c r="K236" s="2">
        <v>45127</v>
      </c>
      <c r="L236" t="s">
        <v>318</v>
      </c>
      <c r="M236" s="6">
        <f>SalesTbl[[#This Row],[Unit Price]]*SalesTbl[[#This Row],[Quantity]]</f>
        <v>900</v>
      </c>
      <c r="N236" s="6">
        <f>YEAR(SalesTbl[[#This Row],[Order Date]])</f>
        <v>2023</v>
      </c>
      <c r="O236" s="6" t="str">
        <f>TEXT(SalesTbl[[#This Row],[Order Date]],"yyyy-mm")</f>
        <v>2023-07</v>
      </c>
      <c r="P236" s="13">
        <f>WEEKNUM(SalesTbl[[#This Row],[Order Date]],2)</f>
        <v>30</v>
      </c>
      <c r="Q236" s="14">
        <f>MEDIAN(SalesTbl[Quantity])</f>
        <v>3</v>
      </c>
      <c r="R236" s="14">
        <f>IF(ISBLANK(SalesTbl[[#This Row],[Quantity]]),$H$2,SalesTbl[[#This Row],[Quantity]])</f>
        <v>3</v>
      </c>
      <c r="S236">
        <f>ROW()-ROW(SalesTbl[[#Headers],[Customer ID]])</f>
        <v>235</v>
      </c>
      <c r="T236" s="9" t="str">
        <f>IF(SalesTbl[[#This Row],[RowIdx]]&lt;=ROUNDUP(COUNTA(SalesTbl[Customer ID])*0.8,0),"Train","Test")</f>
        <v>Train</v>
      </c>
    </row>
    <row r="237" spans="1:20" x14ac:dyDescent="0.25">
      <c r="A237" t="s">
        <v>186</v>
      </c>
      <c r="B237" t="s">
        <v>20</v>
      </c>
      <c r="C237" t="s">
        <v>321</v>
      </c>
      <c r="D237" t="s">
        <v>25</v>
      </c>
      <c r="E237" t="s">
        <v>26</v>
      </c>
      <c r="F237">
        <v>40</v>
      </c>
      <c r="G237">
        <v>200</v>
      </c>
      <c r="H237">
        <v>1</v>
      </c>
      <c r="I237">
        <v>200</v>
      </c>
      <c r="J237">
        <v>8.82</v>
      </c>
      <c r="K237" s="2">
        <v>45024</v>
      </c>
      <c r="L237" t="s">
        <v>316</v>
      </c>
      <c r="M237" s="6">
        <f>SalesTbl[[#This Row],[Unit Price]]*SalesTbl[[#This Row],[Quantity]]</f>
        <v>200</v>
      </c>
      <c r="N237" s="6">
        <f>YEAR(SalesTbl[[#This Row],[Order Date]])</f>
        <v>2023</v>
      </c>
      <c r="O237" s="6" t="str">
        <f>TEXT(SalesTbl[[#This Row],[Order Date]],"yyyy-mm")</f>
        <v>2023-04</v>
      </c>
      <c r="P237" s="13">
        <f>WEEKNUM(SalesTbl[[#This Row],[Order Date]],2)</f>
        <v>15</v>
      </c>
      <c r="Q237" s="14">
        <f>MEDIAN(SalesTbl[Quantity])</f>
        <v>3</v>
      </c>
      <c r="R237" s="14">
        <f>IF(ISBLANK(SalesTbl[[#This Row],[Quantity]]),$H$2,SalesTbl[[#This Row],[Quantity]])</f>
        <v>1</v>
      </c>
      <c r="S237">
        <f>ROW()-ROW(SalesTbl[[#Headers],[Customer ID]])</f>
        <v>236</v>
      </c>
      <c r="T237" s="9" t="str">
        <f>IF(SalesTbl[[#This Row],[RowIdx]]&lt;=ROUNDUP(COUNTA(SalesTbl[Customer ID])*0.8,0),"Train","Test")</f>
        <v>Train</v>
      </c>
    </row>
    <row r="238" spans="1:20" x14ac:dyDescent="0.25">
      <c r="A238" t="s">
        <v>187</v>
      </c>
      <c r="B238" t="s">
        <v>13</v>
      </c>
      <c r="C238" t="s">
        <v>321</v>
      </c>
      <c r="D238" t="s">
        <v>29</v>
      </c>
      <c r="E238" t="s">
        <v>18</v>
      </c>
      <c r="F238">
        <v>48</v>
      </c>
      <c r="G238">
        <v>50</v>
      </c>
      <c r="H238">
        <v>3</v>
      </c>
      <c r="I238">
        <v>150</v>
      </c>
      <c r="J238">
        <v>16.84</v>
      </c>
      <c r="K238" s="2">
        <v>44934</v>
      </c>
      <c r="L238" t="s">
        <v>316</v>
      </c>
      <c r="M238" s="6">
        <f>SalesTbl[[#This Row],[Unit Price]]*SalesTbl[[#This Row],[Quantity]]</f>
        <v>150</v>
      </c>
      <c r="N238" s="6">
        <f>YEAR(SalesTbl[[#This Row],[Order Date]])</f>
        <v>2023</v>
      </c>
      <c r="O238" s="6" t="str">
        <f>TEXT(SalesTbl[[#This Row],[Order Date]],"yyyy-mm")</f>
        <v>2023-01</v>
      </c>
      <c r="P238" s="13">
        <f>WEEKNUM(SalesTbl[[#This Row],[Order Date]],2)</f>
        <v>2</v>
      </c>
      <c r="Q238" s="14">
        <f>MEDIAN(SalesTbl[Quantity])</f>
        <v>3</v>
      </c>
      <c r="R238" s="14">
        <f>IF(ISBLANK(SalesTbl[[#This Row],[Quantity]]),$H$2,SalesTbl[[#This Row],[Quantity]])</f>
        <v>3</v>
      </c>
      <c r="S238">
        <f>ROW()-ROW(SalesTbl[[#Headers],[Customer ID]])</f>
        <v>237</v>
      </c>
      <c r="T238" s="9" t="str">
        <f>IF(SalesTbl[[#This Row],[RowIdx]]&lt;=ROUNDUP(COUNTA(SalesTbl[Customer ID])*0.8,0),"Train","Test")</f>
        <v>Train</v>
      </c>
    </row>
    <row r="239" spans="1:20" x14ac:dyDescent="0.25">
      <c r="A239" t="s">
        <v>188</v>
      </c>
      <c r="B239" t="s">
        <v>20</v>
      </c>
      <c r="C239" t="s">
        <v>321</v>
      </c>
      <c r="D239" t="s">
        <v>23</v>
      </c>
      <c r="E239" t="s">
        <v>15</v>
      </c>
      <c r="F239">
        <v>52</v>
      </c>
      <c r="G239">
        <v>1500</v>
      </c>
      <c r="H239">
        <v>5</v>
      </c>
      <c r="I239">
        <v>7500</v>
      </c>
      <c r="J239">
        <v>9.4499999999999993</v>
      </c>
      <c r="K239" s="2">
        <v>45059</v>
      </c>
      <c r="L239" t="s">
        <v>319</v>
      </c>
      <c r="M239" s="6">
        <f>SalesTbl[[#This Row],[Unit Price]]*SalesTbl[[#This Row],[Quantity]]</f>
        <v>7500</v>
      </c>
      <c r="N239" s="6">
        <f>YEAR(SalesTbl[[#This Row],[Order Date]])</f>
        <v>2023</v>
      </c>
      <c r="O239" s="6" t="str">
        <f>TEXT(SalesTbl[[#This Row],[Order Date]],"yyyy-mm")</f>
        <v>2023-05</v>
      </c>
      <c r="P239" s="13">
        <f>WEEKNUM(SalesTbl[[#This Row],[Order Date]],2)</f>
        <v>20</v>
      </c>
      <c r="Q239" s="14">
        <f>MEDIAN(SalesTbl[Quantity])</f>
        <v>3</v>
      </c>
      <c r="R239" s="14">
        <f>IF(ISBLANK(SalesTbl[[#This Row],[Quantity]]),$H$2,SalesTbl[[#This Row],[Quantity]])</f>
        <v>5</v>
      </c>
      <c r="S239">
        <f>ROW()-ROW(SalesTbl[[#Headers],[Customer ID]])</f>
        <v>238</v>
      </c>
      <c r="T239" s="9" t="str">
        <f>IF(SalesTbl[[#This Row],[RowIdx]]&lt;=ROUNDUP(COUNTA(SalesTbl[Customer ID])*0.8,0),"Train","Test")</f>
        <v>Train</v>
      </c>
    </row>
    <row r="240" spans="1:20" x14ac:dyDescent="0.25">
      <c r="A240" t="s">
        <v>189</v>
      </c>
      <c r="B240" t="s">
        <v>13</v>
      </c>
      <c r="C240" t="s">
        <v>323</v>
      </c>
      <c r="D240" t="s">
        <v>14</v>
      </c>
      <c r="E240" t="s">
        <v>15</v>
      </c>
      <c r="F240">
        <v>69</v>
      </c>
      <c r="G240">
        <v>300</v>
      </c>
      <c r="H240">
        <v>4</v>
      </c>
      <c r="I240">
        <v>1200</v>
      </c>
      <c r="J240">
        <v>8.25</v>
      </c>
      <c r="K240" s="2">
        <v>45153</v>
      </c>
      <c r="L240" t="s">
        <v>316</v>
      </c>
      <c r="M240" s="6">
        <f>SalesTbl[[#This Row],[Unit Price]]*SalesTbl[[#This Row],[Quantity]]</f>
        <v>1200</v>
      </c>
      <c r="N240" s="6">
        <f>YEAR(SalesTbl[[#This Row],[Order Date]])</f>
        <v>2023</v>
      </c>
      <c r="O240" s="6" t="str">
        <f>TEXT(SalesTbl[[#This Row],[Order Date]],"yyyy-mm")</f>
        <v>2023-08</v>
      </c>
      <c r="P240" s="13">
        <f>WEEKNUM(SalesTbl[[#This Row],[Order Date]],2)</f>
        <v>34</v>
      </c>
      <c r="Q240" s="14">
        <f>MEDIAN(SalesTbl[Quantity])</f>
        <v>3</v>
      </c>
      <c r="R240" s="14">
        <f>IF(ISBLANK(SalesTbl[[#This Row],[Quantity]]),$H$2,SalesTbl[[#This Row],[Quantity]])</f>
        <v>4</v>
      </c>
      <c r="S240">
        <f>ROW()-ROW(SalesTbl[[#Headers],[Customer ID]])</f>
        <v>239</v>
      </c>
      <c r="T240" s="9" t="str">
        <f>IF(SalesTbl[[#This Row],[RowIdx]]&lt;=ROUNDUP(COUNTA(SalesTbl[Customer ID])*0.8,0),"Train","Test")</f>
        <v>Train</v>
      </c>
    </row>
    <row r="241" spans="1:20" x14ac:dyDescent="0.25">
      <c r="A241" t="s">
        <v>69</v>
      </c>
      <c r="B241" t="s">
        <v>13</v>
      </c>
      <c r="C241" t="s">
        <v>320</v>
      </c>
      <c r="D241" t="s">
        <v>40</v>
      </c>
      <c r="E241" t="s">
        <v>15</v>
      </c>
      <c r="F241">
        <v>67</v>
      </c>
      <c r="G241">
        <v>800</v>
      </c>
      <c r="H241">
        <v>4</v>
      </c>
      <c r="I241">
        <v>3200</v>
      </c>
      <c r="J241">
        <v>14.61</v>
      </c>
      <c r="K241" s="2">
        <v>45187</v>
      </c>
      <c r="L241" t="s">
        <v>317</v>
      </c>
      <c r="M241" s="6">
        <f>SalesTbl[[#This Row],[Unit Price]]*SalesTbl[[#This Row],[Quantity]]</f>
        <v>3200</v>
      </c>
      <c r="N241" s="6">
        <f>YEAR(SalesTbl[[#This Row],[Order Date]])</f>
        <v>2023</v>
      </c>
      <c r="O241" s="6" t="str">
        <f>TEXT(SalesTbl[[#This Row],[Order Date]],"yyyy-mm")</f>
        <v>2023-09</v>
      </c>
      <c r="P241" s="13">
        <f>WEEKNUM(SalesTbl[[#This Row],[Order Date]],2)</f>
        <v>39</v>
      </c>
      <c r="Q241" s="14">
        <f>MEDIAN(SalesTbl[Quantity])</f>
        <v>3</v>
      </c>
      <c r="R241" s="14">
        <f>IF(ISBLANK(SalesTbl[[#This Row],[Quantity]]),$H$2,SalesTbl[[#This Row],[Quantity]])</f>
        <v>4</v>
      </c>
      <c r="S241">
        <f>ROW()-ROW(SalesTbl[[#Headers],[Customer ID]])</f>
        <v>240</v>
      </c>
      <c r="T241" s="9" t="str">
        <f>IF(SalesTbl[[#This Row],[RowIdx]]&lt;=ROUNDUP(COUNTA(SalesTbl[Customer ID])*0.8,0),"Train","Test")</f>
        <v>Train</v>
      </c>
    </row>
    <row r="242" spans="1:20" x14ac:dyDescent="0.25">
      <c r="A242" t="s">
        <v>190</v>
      </c>
      <c r="B242" t="s">
        <v>20</v>
      </c>
      <c r="C242" t="s">
        <v>320</v>
      </c>
      <c r="D242" t="s">
        <v>30</v>
      </c>
      <c r="E242" t="s">
        <v>18</v>
      </c>
      <c r="F242">
        <v>59</v>
      </c>
      <c r="G242">
        <v>30</v>
      </c>
      <c r="H242">
        <v>1</v>
      </c>
      <c r="I242">
        <v>30</v>
      </c>
      <c r="J242">
        <v>6.08</v>
      </c>
      <c r="K242" s="2">
        <v>44972</v>
      </c>
      <c r="L242" t="s">
        <v>316</v>
      </c>
      <c r="M242" s="6">
        <f>SalesTbl[[#This Row],[Unit Price]]*SalesTbl[[#This Row],[Quantity]]</f>
        <v>30</v>
      </c>
      <c r="N242" s="6">
        <f>YEAR(SalesTbl[[#This Row],[Order Date]])</f>
        <v>2023</v>
      </c>
      <c r="O242" s="6" t="str">
        <f>TEXT(SalesTbl[[#This Row],[Order Date]],"yyyy-mm")</f>
        <v>2023-02</v>
      </c>
      <c r="P242" s="13">
        <f>WEEKNUM(SalesTbl[[#This Row],[Order Date]],2)</f>
        <v>8</v>
      </c>
      <c r="Q242" s="14">
        <f>MEDIAN(SalesTbl[Quantity])</f>
        <v>3</v>
      </c>
      <c r="R242" s="14">
        <f>IF(ISBLANK(SalesTbl[[#This Row],[Quantity]]),$H$2,SalesTbl[[#This Row],[Quantity]])</f>
        <v>1</v>
      </c>
      <c r="S242">
        <f>ROW()-ROW(SalesTbl[[#Headers],[Customer ID]])</f>
        <v>241</v>
      </c>
      <c r="T242" s="9" t="str">
        <f>IF(SalesTbl[[#This Row],[RowIdx]]&lt;=ROUNDUP(COUNTA(SalesTbl[Customer ID])*0.8,0),"Train","Test")</f>
        <v>Train</v>
      </c>
    </row>
    <row r="243" spans="1:20" x14ac:dyDescent="0.25">
      <c r="A243" t="s">
        <v>191</v>
      </c>
      <c r="B243" t="s">
        <v>20</v>
      </c>
      <c r="C243" t="s">
        <v>321</v>
      </c>
      <c r="D243" t="s">
        <v>25</v>
      </c>
      <c r="E243" t="s">
        <v>26</v>
      </c>
      <c r="F243">
        <v>64</v>
      </c>
      <c r="G243">
        <v>200</v>
      </c>
      <c r="H243">
        <v>2</v>
      </c>
      <c r="I243">
        <v>400</v>
      </c>
      <c r="J243">
        <v>15.94</v>
      </c>
      <c r="K243" s="2">
        <v>45258</v>
      </c>
      <c r="L243" t="s">
        <v>318</v>
      </c>
      <c r="M243" s="6">
        <f>SalesTbl[[#This Row],[Unit Price]]*SalesTbl[[#This Row],[Quantity]]</f>
        <v>400</v>
      </c>
      <c r="N243" s="6">
        <f>YEAR(SalesTbl[[#This Row],[Order Date]])</f>
        <v>2023</v>
      </c>
      <c r="O243" s="6" t="str">
        <f>TEXT(SalesTbl[[#This Row],[Order Date]],"yyyy-mm")</f>
        <v>2023-11</v>
      </c>
      <c r="P243" s="13">
        <f>WEEKNUM(SalesTbl[[#This Row],[Order Date]],2)</f>
        <v>49</v>
      </c>
      <c r="Q243" s="14">
        <f>MEDIAN(SalesTbl[Quantity])</f>
        <v>3</v>
      </c>
      <c r="R243" s="14">
        <f>IF(ISBLANK(SalesTbl[[#This Row],[Quantity]]),$H$2,SalesTbl[[#This Row],[Quantity]])</f>
        <v>2</v>
      </c>
      <c r="S243">
        <f>ROW()-ROW(SalesTbl[[#Headers],[Customer ID]])</f>
        <v>242</v>
      </c>
      <c r="T243" s="9" t="str">
        <f>IF(SalesTbl[[#This Row],[RowIdx]]&lt;=ROUNDUP(COUNTA(SalesTbl[Customer ID])*0.8,0),"Train","Test")</f>
        <v>Train</v>
      </c>
    </row>
    <row r="244" spans="1:20" x14ac:dyDescent="0.25">
      <c r="A244" t="s">
        <v>192</v>
      </c>
      <c r="B244" t="s">
        <v>13</v>
      </c>
      <c r="C244" t="s">
        <v>323</v>
      </c>
      <c r="D244" t="s">
        <v>30</v>
      </c>
      <c r="E244" t="s">
        <v>18</v>
      </c>
      <c r="F244">
        <v>49</v>
      </c>
      <c r="G244">
        <v>30</v>
      </c>
      <c r="H244">
        <v>3</v>
      </c>
      <c r="I244">
        <v>90</v>
      </c>
      <c r="J244">
        <v>16.489999999999998</v>
      </c>
      <c r="K244" s="2">
        <v>45136</v>
      </c>
      <c r="L244" t="s">
        <v>317</v>
      </c>
      <c r="M244" s="6">
        <f>SalesTbl[[#This Row],[Unit Price]]*SalesTbl[[#This Row],[Quantity]]</f>
        <v>90</v>
      </c>
      <c r="N244" s="6">
        <f>YEAR(SalesTbl[[#This Row],[Order Date]])</f>
        <v>2023</v>
      </c>
      <c r="O244" s="6" t="str">
        <f>TEXT(SalesTbl[[#This Row],[Order Date]],"yyyy-mm")</f>
        <v>2023-07</v>
      </c>
      <c r="P244" s="13">
        <f>WEEKNUM(SalesTbl[[#This Row],[Order Date]],2)</f>
        <v>31</v>
      </c>
      <c r="Q244" s="14">
        <f>MEDIAN(SalesTbl[Quantity])</f>
        <v>3</v>
      </c>
      <c r="R244" s="14">
        <f>IF(ISBLANK(SalesTbl[[#This Row],[Quantity]]),$H$2,SalesTbl[[#This Row],[Quantity]])</f>
        <v>3</v>
      </c>
      <c r="S244">
        <f>ROW()-ROW(SalesTbl[[#Headers],[Customer ID]])</f>
        <v>243</v>
      </c>
      <c r="T244" s="9" t="str">
        <f>IF(SalesTbl[[#This Row],[RowIdx]]&lt;=ROUNDUP(COUNTA(SalesTbl[Customer ID])*0.8,0),"Train","Test")</f>
        <v>Train</v>
      </c>
    </row>
    <row r="245" spans="1:20" x14ac:dyDescent="0.25">
      <c r="A245" t="s">
        <v>162</v>
      </c>
      <c r="B245" t="s">
        <v>20</v>
      </c>
      <c r="C245" t="s">
        <v>322</v>
      </c>
      <c r="D245" t="s">
        <v>40</v>
      </c>
      <c r="E245" t="s">
        <v>15</v>
      </c>
      <c r="F245">
        <v>62</v>
      </c>
      <c r="G245">
        <v>800</v>
      </c>
      <c r="H245">
        <v>4</v>
      </c>
      <c r="I245">
        <v>3200</v>
      </c>
      <c r="J245">
        <v>6.66</v>
      </c>
      <c r="K245" s="2">
        <v>45117</v>
      </c>
      <c r="L245" t="s">
        <v>317</v>
      </c>
      <c r="M245" s="6">
        <f>SalesTbl[[#This Row],[Unit Price]]*SalesTbl[[#This Row],[Quantity]]</f>
        <v>3200</v>
      </c>
      <c r="N245" s="6">
        <f>YEAR(SalesTbl[[#This Row],[Order Date]])</f>
        <v>2023</v>
      </c>
      <c r="O245" s="6" t="str">
        <f>TEXT(SalesTbl[[#This Row],[Order Date]],"yyyy-mm")</f>
        <v>2023-07</v>
      </c>
      <c r="P245" s="13">
        <f>WEEKNUM(SalesTbl[[#This Row],[Order Date]],2)</f>
        <v>29</v>
      </c>
      <c r="Q245" s="14">
        <f>MEDIAN(SalesTbl[Quantity])</f>
        <v>3</v>
      </c>
      <c r="R245" s="14">
        <f>IF(ISBLANK(SalesTbl[[#This Row],[Quantity]]),$H$2,SalesTbl[[#This Row],[Quantity]])</f>
        <v>4</v>
      </c>
      <c r="S245">
        <f>ROW()-ROW(SalesTbl[[#Headers],[Customer ID]])</f>
        <v>244</v>
      </c>
      <c r="T245" s="9" t="str">
        <f>IF(SalesTbl[[#This Row],[RowIdx]]&lt;=ROUNDUP(COUNTA(SalesTbl[Customer ID])*0.8,0),"Train","Test")</f>
        <v>Train</v>
      </c>
    </row>
    <row r="246" spans="1:20" x14ac:dyDescent="0.25">
      <c r="A246" t="s">
        <v>193</v>
      </c>
      <c r="B246" t="s">
        <v>20</v>
      </c>
      <c r="C246" t="s">
        <v>320</v>
      </c>
      <c r="D246" t="s">
        <v>14</v>
      </c>
      <c r="E246" t="s">
        <v>15</v>
      </c>
      <c r="F246">
        <v>52</v>
      </c>
      <c r="G246">
        <v>621.91212249732996</v>
      </c>
      <c r="H246">
        <v>3</v>
      </c>
      <c r="I246">
        <v>900</v>
      </c>
      <c r="J246">
        <v>11.04</v>
      </c>
      <c r="K246" s="2">
        <v>45224</v>
      </c>
      <c r="L246" t="s">
        <v>318</v>
      </c>
      <c r="M246" s="6">
        <f>SalesTbl[[#This Row],[Unit Price]]*SalesTbl[[#This Row],[Quantity]]</f>
        <v>1865.7363674919898</v>
      </c>
      <c r="N246" s="6">
        <f>YEAR(SalesTbl[[#This Row],[Order Date]])</f>
        <v>2023</v>
      </c>
      <c r="O246" s="6" t="str">
        <f>TEXT(SalesTbl[[#This Row],[Order Date]],"yyyy-mm")</f>
        <v>2023-10</v>
      </c>
      <c r="P246" s="13">
        <f>WEEKNUM(SalesTbl[[#This Row],[Order Date]],2)</f>
        <v>44</v>
      </c>
      <c r="Q246" s="14">
        <f>MEDIAN(SalesTbl[Quantity])</f>
        <v>3</v>
      </c>
      <c r="R246" s="14">
        <f>IF(ISBLANK(SalesTbl[[#This Row],[Quantity]]),$H$2,SalesTbl[[#This Row],[Quantity]])</f>
        <v>3</v>
      </c>
      <c r="S246">
        <f>ROW()-ROW(SalesTbl[[#Headers],[Customer ID]])</f>
        <v>245</v>
      </c>
      <c r="T246" s="9" t="str">
        <f>IF(SalesTbl[[#This Row],[RowIdx]]&lt;=ROUNDUP(COUNTA(SalesTbl[Customer ID])*0.8,0),"Train","Test")</f>
        <v>Train</v>
      </c>
    </row>
    <row r="247" spans="1:20" x14ac:dyDescent="0.25">
      <c r="A247" t="s">
        <v>133</v>
      </c>
      <c r="B247" t="s">
        <v>13</v>
      </c>
      <c r="C247" t="s">
        <v>321</v>
      </c>
      <c r="D247" t="s">
        <v>17</v>
      </c>
      <c r="E247" t="s">
        <v>18</v>
      </c>
      <c r="F247">
        <v>41</v>
      </c>
      <c r="G247">
        <v>100</v>
      </c>
      <c r="H247">
        <v>3</v>
      </c>
      <c r="I247">
        <v>300</v>
      </c>
      <c r="J247">
        <v>11.98</v>
      </c>
      <c r="K247" s="2">
        <v>45089</v>
      </c>
      <c r="L247" t="s">
        <v>318</v>
      </c>
      <c r="M247" s="6">
        <f>SalesTbl[[#This Row],[Unit Price]]*SalesTbl[[#This Row],[Quantity]]</f>
        <v>300</v>
      </c>
      <c r="N247" s="6">
        <f>YEAR(SalesTbl[[#This Row],[Order Date]])</f>
        <v>2023</v>
      </c>
      <c r="O247" s="6" t="str">
        <f>TEXT(SalesTbl[[#This Row],[Order Date]],"yyyy-mm")</f>
        <v>2023-06</v>
      </c>
      <c r="P247" s="13">
        <f>WEEKNUM(SalesTbl[[#This Row],[Order Date]],2)</f>
        <v>25</v>
      </c>
      <c r="Q247" s="14">
        <f>MEDIAN(SalesTbl[Quantity])</f>
        <v>3</v>
      </c>
      <c r="R247" s="14">
        <f>IF(ISBLANK(SalesTbl[[#This Row],[Quantity]]),$H$2,SalesTbl[[#This Row],[Quantity]])</f>
        <v>3</v>
      </c>
      <c r="S247">
        <f>ROW()-ROW(SalesTbl[[#Headers],[Customer ID]])</f>
        <v>246</v>
      </c>
      <c r="T247" s="9" t="str">
        <f>IF(SalesTbl[[#This Row],[RowIdx]]&lt;=ROUNDUP(COUNTA(SalesTbl[Customer ID])*0.8,0),"Train","Test")</f>
        <v>Train</v>
      </c>
    </row>
    <row r="248" spans="1:20" x14ac:dyDescent="0.25">
      <c r="A248" t="s">
        <v>194</v>
      </c>
      <c r="B248" t="s">
        <v>13</v>
      </c>
      <c r="C248" t="s">
        <v>322</v>
      </c>
      <c r="D248" t="s">
        <v>17</v>
      </c>
      <c r="E248" t="s">
        <v>18</v>
      </c>
      <c r="F248">
        <v>53</v>
      </c>
      <c r="G248">
        <v>100</v>
      </c>
      <c r="H248">
        <v>5</v>
      </c>
      <c r="I248">
        <v>500</v>
      </c>
      <c r="J248">
        <v>5.93</v>
      </c>
      <c r="K248" s="2">
        <v>45129</v>
      </c>
      <c r="L248" t="s">
        <v>317</v>
      </c>
      <c r="M248" s="6">
        <f>SalesTbl[[#This Row],[Unit Price]]*SalesTbl[[#This Row],[Quantity]]</f>
        <v>500</v>
      </c>
      <c r="N248" s="6">
        <f>YEAR(SalesTbl[[#This Row],[Order Date]])</f>
        <v>2023</v>
      </c>
      <c r="O248" s="6" t="str">
        <f>TEXT(SalesTbl[[#This Row],[Order Date]],"yyyy-mm")</f>
        <v>2023-07</v>
      </c>
      <c r="P248" s="13">
        <f>WEEKNUM(SalesTbl[[#This Row],[Order Date]],2)</f>
        <v>30</v>
      </c>
      <c r="Q248" s="14">
        <f>MEDIAN(SalesTbl[Quantity])</f>
        <v>3</v>
      </c>
      <c r="R248" s="14">
        <f>IF(ISBLANK(SalesTbl[[#This Row],[Quantity]]),$H$2,SalesTbl[[#This Row],[Quantity]])</f>
        <v>5</v>
      </c>
      <c r="S248">
        <f>ROW()-ROW(SalesTbl[[#Headers],[Customer ID]])</f>
        <v>247</v>
      </c>
      <c r="T248" s="9" t="str">
        <f>IF(SalesTbl[[#This Row],[RowIdx]]&lt;=ROUNDUP(COUNTA(SalesTbl[Customer ID])*0.8,0),"Train","Test")</f>
        <v>Train</v>
      </c>
    </row>
    <row r="249" spans="1:20" x14ac:dyDescent="0.25">
      <c r="A249" t="s">
        <v>194</v>
      </c>
      <c r="B249" t="s">
        <v>13</v>
      </c>
      <c r="C249" t="s">
        <v>321</v>
      </c>
      <c r="D249" t="s">
        <v>25</v>
      </c>
      <c r="E249" t="s">
        <v>26</v>
      </c>
      <c r="F249">
        <v>53</v>
      </c>
      <c r="G249">
        <v>200</v>
      </c>
      <c r="H249">
        <v>5</v>
      </c>
      <c r="I249">
        <v>1000</v>
      </c>
      <c r="J249">
        <v>19.43</v>
      </c>
      <c r="K249" s="2">
        <v>45102</v>
      </c>
      <c r="L249" t="s">
        <v>316</v>
      </c>
      <c r="M249" s="6">
        <f>SalesTbl[[#This Row],[Unit Price]]*SalesTbl[[#This Row],[Quantity]]</f>
        <v>1000</v>
      </c>
      <c r="N249" s="6">
        <f>YEAR(SalesTbl[[#This Row],[Order Date]])</f>
        <v>2023</v>
      </c>
      <c r="O249" s="6" t="str">
        <f>TEXT(SalesTbl[[#This Row],[Order Date]],"yyyy-mm")</f>
        <v>2023-06</v>
      </c>
      <c r="P249" s="13">
        <f>WEEKNUM(SalesTbl[[#This Row],[Order Date]],2)</f>
        <v>26</v>
      </c>
      <c r="Q249" s="14">
        <f>MEDIAN(SalesTbl[Quantity])</f>
        <v>3</v>
      </c>
      <c r="R249" s="14">
        <f>IF(ISBLANK(SalesTbl[[#This Row],[Quantity]]),$H$2,SalesTbl[[#This Row],[Quantity]])</f>
        <v>5</v>
      </c>
      <c r="S249">
        <f>ROW()-ROW(SalesTbl[[#Headers],[Customer ID]])</f>
        <v>248</v>
      </c>
      <c r="T249" s="9" t="str">
        <f>IF(SalesTbl[[#This Row],[RowIdx]]&lt;=ROUNDUP(COUNTA(SalesTbl[Customer ID])*0.8,0),"Train","Test")</f>
        <v>Train</v>
      </c>
    </row>
    <row r="250" spans="1:20" x14ac:dyDescent="0.25">
      <c r="A250" t="s">
        <v>59</v>
      </c>
      <c r="B250" t="s">
        <v>13</v>
      </c>
      <c r="C250" t="s">
        <v>323</v>
      </c>
      <c r="D250" t="s">
        <v>40</v>
      </c>
      <c r="E250" t="s">
        <v>15</v>
      </c>
      <c r="F250">
        <v>68</v>
      </c>
      <c r="G250">
        <v>800</v>
      </c>
      <c r="H250">
        <v>3</v>
      </c>
      <c r="I250">
        <v>2400</v>
      </c>
      <c r="J250">
        <v>8.23</v>
      </c>
      <c r="K250" s="2">
        <v>45259</v>
      </c>
      <c r="L250" t="s">
        <v>316</v>
      </c>
      <c r="M250" s="6">
        <f>SalesTbl[[#This Row],[Unit Price]]*SalesTbl[[#This Row],[Quantity]]</f>
        <v>2400</v>
      </c>
      <c r="N250" s="6">
        <f>YEAR(SalesTbl[[#This Row],[Order Date]])</f>
        <v>2023</v>
      </c>
      <c r="O250" s="6" t="str">
        <f>TEXT(SalesTbl[[#This Row],[Order Date]],"yyyy-mm")</f>
        <v>2023-11</v>
      </c>
      <c r="P250" s="13">
        <f>WEEKNUM(SalesTbl[[#This Row],[Order Date]],2)</f>
        <v>49</v>
      </c>
      <c r="Q250" s="14">
        <f>MEDIAN(SalesTbl[Quantity])</f>
        <v>3</v>
      </c>
      <c r="R250" s="14">
        <f>IF(ISBLANK(SalesTbl[[#This Row],[Quantity]]),$H$2,SalesTbl[[#This Row],[Quantity]])</f>
        <v>3</v>
      </c>
      <c r="S250">
        <f>ROW()-ROW(SalesTbl[[#Headers],[Customer ID]])</f>
        <v>249</v>
      </c>
      <c r="T250" s="9" t="str">
        <f>IF(SalesTbl[[#This Row],[RowIdx]]&lt;=ROUNDUP(COUNTA(SalesTbl[Customer ID])*0.8,0),"Train","Test")</f>
        <v>Train</v>
      </c>
    </row>
    <row r="251" spans="1:20" x14ac:dyDescent="0.25">
      <c r="A251" t="s">
        <v>195</v>
      </c>
      <c r="B251" t="s">
        <v>13</v>
      </c>
      <c r="C251" t="s">
        <v>321</v>
      </c>
      <c r="D251" t="s">
        <v>40</v>
      </c>
      <c r="E251" t="s">
        <v>15</v>
      </c>
      <c r="F251">
        <v>51</v>
      </c>
      <c r="G251">
        <v>800</v>
      </c>
      <c r="H251">
        <v>1</v>
      </c>
      <c r="I251">
        <v>800</v>
      </c>
      <c r="J251">
        <v>18.579999999999998</v>
      </c>
      <c r="K251" s="2">
        <v>45202</v>
      </c>
      <c r="L251" t="s">
        <v>316</v>
      </c>
      <c r="M251" s="6">
        <f>SalesTbl[[#This Row],[Unit Price]]*SalesTbl[[#This Row],[Quantity]]</f>
        <v>800</v>
      </c>
      <c r="N251" s="6">
        <f>YEAR(SalesTbl[[#This Row],[Order Date]])</f>
        <v>2023</v>
      </c>
      <c r="O251" s="6" t="str">
        <f>TEXT(SalesTbl[[#This Row],[Order Date]],"yyyy-mm")</f>
        <v>2023-10</v>
      </c>
      <c r="P251" s="13">
        <f>WEEKNUM(SalesTbl[[#This Row],[Order Date]],2)</f>
        <v>41</v>
      </c>
      <c r="Q251" s="14">
        <f>MEDIAN(SalesTbl[Quantity])</f>
        <v>3</v>
      </c>
      <c r="R251" s="14">
        <f>IF(ISBLANK(SalesTbl[[#This Row],[Quantity]]),$H$2,SalesTbl[[#This Row],[Quantity]])</f>
        <v>1</v>
      </c>
      <c r="S251">
        <f>ROW()-ROW(SalesTbl[[#Headers],[Customer ID]])</f>
        <v>250</v>
      </c>
      <c r="T251" s="9" t="str">
        <f>IF(SalesTbl[[#This Row],[RowIdx]]&lt;=ROUNDUP(COUNTA(SalesTbl[Customer ID])*0.8,0),"Train","Test")</f>
        <v>Train</v>
      </c>
    </row>
    <row r="252" spans="1:20" x14ac:dyDescent="0.25">
      <c r="A252" t="s">
        <v>196</v>
      </c>
      <c r="B252" t="s">
        <v>20</v>
      </c>
      <c r="C252" t="s">
        <v>322</v>
      </c>
      <c r="D252" t="s">
        <v>23</v>
      </c>
      <c r="E252" t="s">
        <v>15</v>
      </c>
      <c r="F252">
        <v>66</v>
      </c>
      <c r="G252">
        <v>1500</v>
      </c>
      <c r="H252">
        <v>1</v>
      </c>
      <c r="I252">
        <v>1500</v>
      </c>
      <c r="J252">
        <v>13.16</v>
      </c>
      <c r="K252" s="2">
        <v>44963</v>
      </c>
      <c r="L252" t="s">
        <v>317</v>
      </c>
      <c r="M252" s="6">
        <f>SalesTbl[[#This Row],[Unit Price]]*SalesTbl[[#This Row],[Quantity]]</f>
        <v>1500</v>
      </c>
      <c r="N252" s="6">
        <f>YEAR(SalesTbl[[#This Row],[Order Date]])</f>
        <v>2023</v>
      </c>
      <c r="O252" s="6" t="str">
        <f>TEXT(SalesTbl[[#This Row],[Order Date]],"yyyy-mm")</f>
        <v>2023-02</v>
      </c>
      <c r="P252" s="13">
        <f>WEEKNUM(SalesTbl[[#This Row],[Order Date]],2)</f>
        <v>7</v>
      </c>
      <c r="Q252" s="14">
        <f>MEDIAN(SalesTbl[Quantity])</f>
        <v>3</v>
      </c>
      <c r="R252" s="14">
        <f>IF(ISBLANK(SalesTbl[[#This Row],[Quantity]]),$H$2,SalesTbl[[#This Row],[Quantity]])</f>
        <v>1</v>
      </c>
      <c r="S252">
        <f>ROW()-ROW(SalesTbl[[#Headers],[Customer ID]])</f>
        <v>251</v>
      </c>
      <c r="T252" s="9" t="str">
        <f>IF(SalesTbl[[#This Row],[RowIdx]]&lt;=ROUNDUP(COUNTA(SalesTbl[Customer ID])*0.8,0),"Train","Test")</f>
        <v>Train</v>
      </c>
    </row>
    <row r="253" spans="1:20" x14ac:dyDescent="0.25">
      <c r="A253" t="s">
        <v>54</v>
      </c>
      <c r="B253" t="s">
        <v>13</v>
      </c>
      <c r="C253" t="s">
        <v>322</v>
      </c>
      <c r="D253" t="s">
        <v>14</v>
      </c>
      <c r="E253" t="s">
        <v>15</v>
      </c>
      <c r="F253">
        <v>53</v>
      </c>
      <c r="G253">
        <v>300</v>
      </c>
      <c r="H253">
        <v>2</v>
      </c>
      <c r="I253">
        <v>600</v>
      </c>
      <c r="J253">
        <v>8.51</v>
      </c>
      <c r="K253" s="2">
        <v>45063</v>
      </c>
      <c r="L253" t="s">
        <v>316</v>
      </c>
      <c r="M253" s="6">
        <f>SalesTbl[[#This Row],[Unit Price]]*SalesTbl[[#This Row],[Quantity]]</f>
        <v>600</v>
      </c>
      <c r="N253" s="6">
        <f>YEAR(SalesTbl[[#This Row],[Order Date]])</f>
        <v>2023</v>
      </c>
      <c r="O253" s="6" t="str">
        <f>TEXT(SalesTbl[[#This Row],[Order Date]],"yyyy-mm")</f>
        <v>2023-05</v>
      </c>
      <c r="P253" s="13">
        <f>WEEKNUM(SalesTbl[[#This Row],[Order Date]],2)</f>
        <v>21</v>
      </c>
      <c r="Q253" s="14">
        <f>MEDIAN(SalesTbl[Quantity])</f>
        <v>3</v>
      </c>
      <c r="R253" s="14">
        <f>IF(ISBLANK(SalesTbl[[#This Row],[Quantity]]),$H$2,SalesTbl[[#This Row],[Quantity]])</f>
        <v>2</v>
      </c>
      <c r="S253">
        <f>ROW()-ROW(SalesTbl[[#Headers],[Customer ID]])</f>
        <v>252</v>
      </c>
      <c r="T253" s="9" t="str">
        <f>IF(SalesTbl[[#This Row],[RowIdx]]&lt;=ROUNDUP(COUNTA(SalesTbl[Customer ID])*0.8,0),"Train","Test")</f>
        <v>Train</v>
      </c>
    </row>
    <row r="254" spans="1:20" x14ac:dyDescent="0.25">
      <c r="A254" t="s">
        <v>197</v>
      </c>
      <c r="B254" t="s">
        <v>20</v>
      </c>
      <c r="C254" t="s">
        <v>320</v>
      </c>
      <c r="D254" t="s">
        <v>25</v>
      </c>
      <c r="E254" t="s">
        <v>26</v>
      </c>
      <c r="F254">
        <v>45</v>
      </c>
      <c r="G254">
        <v>200</v>
      </c>
      <c r="H254">
        <v>2</v>
      </c>
      <c r="I254">
        <v>400</v>
      </c>
      <c r="J254">
        <v>10.82</v>
      </c>
      <c r="K254" s="2">
        <v>45192</v>
      </c>
      <c r="L254" t="s">
        <v>316</v>
      </c>
      <c r="M254" s="6">
        <f>SalesTbl[[#This Row],[Unit Price]]*SalesTbl[[#This Row],[Quantity]]</f>
        <v>400</v>
      </c>
      <c r="N254" s="6">
        <f>YEAR(SalesTbl[[#This Row],[Order Date]])</f>
        <v>2023</v>
      </c>
      <c r="O254" s="6" t="str">
        <f>TEXT(SalesTbl[[#This Row],[Order Date]],"yyyy-mm")</f>
        <v>2023-09</v>
      </c>
      <c r="P254" s="13">
        <f>WEEKNUM(SalesTbl[[#This Row],[Order Date]],2)</f>
        <v>39</v>
      </c>
      <c r="Q254" s="14">
        <f>MEDIAN(SalesTbl[Quantity])</f>
        <v>3</v>
      </c>
      <c r="R254" s="14">
        <f>IF(ISBLANK(SalesTbl[[#This Row],[Quantity]]),$H$2,SalesTbl[[#This Row],[Quantity]])</f>
        <v>2</v>
      </c>
      <c r="S254">
        <f>ROW()-ROW(SalesTbl[[#Headers],[Customer ID]])</f>
        <v>253</v>
      </c>
      <c r="T254" s="9" t="str">
        <f>IF(SalesTbl[[#This Row],[RowIdx]]&lt;=ROUNDUP(COUNTA(SalesTbl[Customer ID])*0.8,0),"Train","Test")</f>
        <v>Train</v>
      </c>
    </row>
    <row r="255" spans="1:20" x14ac:dyDescent="0.25">
      <c r="A255" t="s">
        <v>32</v>
      </c>
      <c r="B255" t="s">
        <v>20</v>
      </c>
      <c r="C255" t="s">
        <v>322</v>
      </c>
      <c r="D255" t="s">
        <v>23</v>
      </c>
      <c r="E255" t="s">
        <v>15</v>
      </c>
      <c r="F255">
        <v>49</v>
      </c>
      <c r="G255">
        <v>1500</v>
      </c>
      <c r="H255">
        <v>3</v>
      </c>
      <c r="I255">
        <v>4500</v>
      </c>
      <c r="J255">
        <v>17.62</v>
      </c>
      <c r="K255" s="2">
        <v>45285</v>
      </c>
      <c r="L255" t="s">
        <v>316</v>
      </c>
      <c r="M255" s="6">
        <f>SalesTbl[[#This Row],[Unit Price]]*SalesTbl[[#This Row],[Quantity]]</f>
        <v>4500</v>
      </c>
      <c r="N255" s="6">
        <f>YEAR(SalesTbl[[#This Row],[Order Date]])</f>
        <v>2023</v>
      </c>
      <c r="O255" s="6" t="str">
        <f>TEXT(SalesTbl[[#This Row],[Order Date]],"yyyy-mm")</f>
        <v>2023-12</v>
      </c>
      <c r="P255" s="13">
        <f>WEEKNUM(SalesTbl[[#This Row],[Order Date]],2)</f>
        <v>53</v>
      </c>
      <c r="Q255" s="14">
        <f>MEDIAN(SalesTbl[Quantity])</f>
        <v>3</v>
      </c>
      <c r="R255" s="14">
        <f>IF(ISBLANK(SalesTbl[[#This Row],[Quantity]]),$H$2,SalesTbl[[#This Row],[Quantity]])</f>
        <v>3</v>
      </c>
      <c r="S255">
        <f>ROW()-ROW(SalesTbl[[#Headers],[Customer ID]])</f>
        <v>254</v>
      </c>
      <c r="T255" s="9" t="str">
        <f>IF(SalesTbl[[#This Row],[RowIdx]]&lt;=ROUNDUP(COUNTA(SalesTbl[Customer ID])*0.8,0),"Train","Test")</f>
        <v>Train</v>
      </c>
    </row>
    <row r="256" spans="1:20" x14ac:dyDescent="0.25">
      <c r="A256" t="s">
        <v>189</v>
      </c>
      <c r="B256" t="s">
        <v>20</v>
      </c>
      <c r="C256" t="s">
        <v>321</v>
      </c>
      <c r="D256" t="s">
        <v>30</v>
      </c>
      <c r="E256" t="s">
        <v>18</v>
      </c>
      <c r="F256">
        <v>69</v>
      </c>
      <c r="G256">
        <v>30</v>
      </c>
      <c r="H256">
        <v>5</v>
      </c>
      <c r="I256">
        <v>150</v>
      </c>
      <c r="J256">
        <v>9.07</v>
      </c>
      <c r="K256" s="2">
        <v>44976</v>
      </c>
      <c r="L256" t="s">
        <v>318</v>
      </c>
      <c r="M256" s="6">
        <f>SalesTbl[[#This Row],[Unit Price]]*SalesTbl[[#This Row],[Quantity]]</f>
        <v>150</v>
      </c>
      <c r="N256" s="6">
        <f>YEAR(SalesTbl[[#This Row],[Order Date]])</f>
        <v>2023</v>
      </c>
      <c r="O256" s="6" t="str">
        <f>TEXT(SalesTbl[[#This Row],[Order Date]],"yyyy-mm")</f>
        <v>2023-02</v>
      </c>
      <c r="P256" s="13">
        <f>WEEKNUM(SalesTbl[[#This Row],[Order Date]],2)</f>
        <v>8</v>
      </c>
      <c r="Q256" s="14">
        <f>MEDIAN(SalesTbl[Quantity])</f>
        <v>3</v>
      </c>
      <c r="R256" s="14">
        <f>IF(ISBLANK(SalesTbl[[#This Row],[Quantity]]),$H$2,SalesTbl[[#This Row],[Quantity]])</f>
        <v>5</v>
      </c>
      <c r="S256">
        <f>ROW()-ROW(SalesTbl[[#Headers],[Customer ID]])</f>
        <v>255</v>
      </c>
      <c r="T256" s="9" t="str">
        <f>IF(SalesTbl[[#This Row],[RowIdx]]&lt;=ROUNDUP(COUNTA(SalesTbl[Customer ID])*0.8,0),"Train","Test")</f>
        <v>Train</v>
      </c>
    </row>
    <row r="257" spans="1:20" x14ac:dyDescent="0.25">
      <c r="A257" t="s">
        <v>197</v>
      </c>
      <c r="B257" t="s">
        <v>13</v>
      </c>
      <c r="C257" t="s">
        <v>323</v>
      </c>
      <c r="D257" t="s">
        <v>29</v>
      </c>
      <c r="E257" t="s">
        <v>18</v>
      </c>
      <c r="F257">
        <v>45</v>
      </c>
      <c r="G257">
        <v>50</v>
      </c>
      <c r="H257">
        <v>1</v>
      </c>
      <c r="I257">
        <v>50</v>
      </c>
      <c r="J257">
        <v>11.27</v>
      </c>
      <c r="K257" s="2">
        <v>45182</v>
      </c>
      <c r="L257" t="s">
        <v>316</v>
      </c>
      <c r="M257" s="6">
        <f>SalesTbl[[#This Row],[Unit Price]]*SalesTbl[[#This Row],[Quantity]]</f>
        <v>50</v>
      </c>
      <c r="N257" s="6">
        <f>YEAR(SalesTbl[[#This Row],[Order Date]])</f>
        <v>2023</v>
      </c>
      <c r="O257" s="6" t="str">
        <f>TEXT(SalesTbl[[#This Row],[Order Date]],"yyyy-mm")</f>
        <v>2023-09</v>
      </c>
      <c r="P257" s="13">
        <f>WEEKNUM(SalesTbl[[#This Row],[Order Date]],2)</f>
        <v>38</v>
      </c>
      <c r="Q257" s="14">
        <f>MEDIAN(SalesTbl[Quantity])</f>
        <v>3</v>
      </c>
      <c r="R257" s="14">
        <f>IF(ISBLANK(SalesTbl[[#This Row],[Quantity]]),$H$2,SalesTbl[[#This Row],[Quantity]])</f>
        <v>1</v>
      </c>
      <c r="S257">
        <f>ROW()-ROW(SalesTbl[[#Headers],[Customer ID]])</f>
        <v>256</v>
      </c>
      <c r="T257" s="9" t="str">
        <f>IF(SalesTbl[[#This Row],[RowIdx]]&lt;=ROUNDUP(COUNTA(SalesTbl[Customer ID])*0.8,0),"Train","Test")</f>
        <v>Train</v>
      </c>
    </row>
    <row r="258" spans="1:20" x14ac:dyDescent="0.25">
      <c r="A258" t="s">
        <v>159</v>
      </c>
      <c r="B258" t="s">
        <v>13</v>
      </c>
      <c r="C258" t="s">
        <v>322</v>
      </c>
      <c r="D258" t="s">
        <v>14</v>
      </c>
      <c r="E258" t="s">
        <v>15</v>
      </c>
      <c r="F258">
        <v>26</v>
      </c>
      <c r="G258">
        <v>300</v>
      </c>
      <c r="H258">
        <v>4</v>
      </c>
      <c r="I258">
        <v>1200</v>
      </c>
      <c r="J258">
        <v>6.9</v>
      </c>
      <c r="K258" s="2">
        <v>45235</v>
      </c>
      <c r="L258" t="s">
        <v>316</v>
      </c>
      <c r="M258" s="6">
        <f>SalesTbl[[#This Row],[Unit Price]]*SalesTbl[[#This Row],[Quantity]]</f>
        <v>1200</v>
      </c>
      <c r="N258" s="6">
        <f>YEAR(SalesTbl[[#This Row],[Order Date]])</f>
        <v>2023</v>
      </c>
      <c r="O258" s="6" t="str">
        <f>TEXT(SalesTbl[[#This Row],[Order Date]],"yyyy-mm")</f>
        <v>2023-11</v>
      </c>
      <c r="P258" s="13">
        <f>WEEKNUM(SalesTbl[[#This Row],[Order Date]],2)</f>
        <v>45</v>
      </c>
      <c r="Q258" s="14">
        <f>MEDIAN(SalesTbl[Quantity])</f>
        <v>3</v>
      </c>
      <c r="R258" s="14">
        <f>IF(ISBLANK(SalesTbl[[#This Row],[Quantity]]),$H$2,SalesTbl[[#This Row],[Quantity]])</f>
        <v>4</v>
      </c>
      <c r="S258">
        <f>ROW()-ROW(SalesTbl[[#Headers],[Customer ID]])</f>
        <v>257</v>
      </c>
      <c r="T258" s="9" t="str">
        <f>IF(SalesTbl[[#This Row],[RowIdx]]&lt;=ROUNDUP(COUNTA(SalesTbl[Customer ID])*0.8,0),"Train","Test")</f>
        <v>Train</v>
      </c>
    </row>
    <row r="259" spans="1:20" x14ac:dyDescent="0.25">
      <c r="A259" t="s">
        <v>180</v>
      </c>
      <c r="B259" t="s">
        <v>13</v>
      </c>
      <c r="C259" t="s">
        <v>322</v>
      </c>
      <c r="D259" t="s">
        <v>14</v>
      </c>
      <c r="E259" t="s">
        <v>15</v>
      </c>
      <c r="F259">
        <v>55</v>
      </c>
      <c r="G259">
        <v>300</v>
      </c>
      <c r="H259">
        <v>3</v>
      </c>
      <c r="I259">
        <v>900</v>
      </c>
      <c r="J259">
        <v>7.31</v>
      </c>
      <c r="K259" s="2">
        <v>44941</v>
      </c>
      <c r="L259" t="s">
        <v>317</v>
      </c>
      <c r="M259" s="6">
        <f>SalesTbl[[#This Row],[Unit Price]]*SalesTbl[[#This Row],[Quantity]]</f>
        <v>900</v>
      </c>
      <c r="N259" s="6">
        <f>YEAR(SalesTbl[[#This Row],[Order Date]])</f>
        <v>2023</v>
      </c>
      <c r="O259" s="6" t="str">
        <f>TEXT(SalesTbl[[#This Row],[Order Date]],"yyyy-mm")</f>
        <v>2023-01</v>
      </c>
      <c r="P259" s="13">
        <f>WEEKNUM(SalesTbl[[#This Row],[Order Date]],2)</f>
        <v>3</v>
      </c>
      <c r="Q259" s="14">
        <f>MEDIAN(SalesTbl[Quantity])</f>
        <v>3</v>
      </c>
      <c r="R259" s="14">
        <f>IF(ISBLANK(SalesTbl[[#This Row],[Quantity]]),$H$2,SalesTbl[[#This Row],[Quantity]])</f>
        <v>3</v>
      </c>
      <c r="S259">
        <f>ROW()-ROW(SalesTbl[[#Headers],[Customer ID]])</f>
        <v>258</v>
      </c>
      <c r="T259" s="9" t="str">
        <f>IF(SalesTbl[[#This Row],[RowIdx]]&lt;=ROUNDUP(COUNTA(SalesTbl[Customer ID])*0.8,0),"Train","Test")</f>
        <v>Train</v>
      </c>
    </row>
    <row r="260" spans="1:20" x14ac:dyDescent="0.25">
      <c r="A260" t="s">
        <v>95</v>
      </c>
      <c r="B260" t="s">
        <v>20</v>
      </c>
      <c r="C260" t="s">
        <v>319</v>
      </c>
      <c r="D260" t="s">
        <v>30</v>
      </c>
      <c r="E260" t="s">
        <v>18</v>
      </c>
      <c r="F260">
        <v>33</v>
      </c>
      <c r="G260">
        <v>30</v>
      </c>
      <c r="H260">
        <v>1</v>
      </c>
      <c r="I260">
        <v>30</v>
      </c>
      <c r="J260">
        <v>15.29</v>
      </c>
      <c r="K260" s="2">
        <v>44984</v>
      </c>
      <c r="L260" t="s">
        <v>318</v>
      </c>
      <c r="M260" s="6">
        <f>SalesTbl[[#This Row],[Unit Price]]*SalesTbl[[#This Row],[Quantity]]</f>
        <v>30</v>
      </c>
      <c r="N260" s="6">
        <f>YEAR(SalesTbl[[#This Row],[Order Date]])</f>
        <v>2023</v>
      </c>
      <c r="O260" s="6" t="str">
        <f>TEXT(SalesTbl[[#This Row],[Order Date]],"yyyy-mm")</f>
        <v>2023-02</v>
      </c>
      <c r="P260" s="13">
        <f>WEEKNUM(SalesTbl[[#This Row],[Order Date]],2)</f>
        <v>10</v>
      </c>
      <c r="Q260" s="14">
        <f>MEDIAN(SalesTbl[Quantity])</f>
        <v>3</v>
      </c>
      <c r="R260" s="14">
        <f>IF(ISBLANK(SalesTbl[[#This Row],[Quantity]]),$H$2,SalesTbl[[#This Row],[Quantity]])</f>
        <v>1</v>
      </c>
      <c r="S260">
        <f>ROW()-ROW(SalesTbl[[#Headers],[Customer ID]])</f>
        <v>259</v>
      </c>
      <c r="T260" s="9" t="str">
        <f>IF(SalesTbl[[#This Row],[RowIdx]]&lt;=ROUNDUP(COUNTA(SalesTbl[Customer ID])*0.8,0),"Train","Test")</f>
        <v>Train</v>
      </c>
    </row>
    <row r="261" spans="1:20" x14ac:dyDescent="0.25">
      <c r="A261" t="s">
        <v>174</v>
      </c>
      <c r="B261" t="s">
        <v>13</v>
      </c>
      <c r="C261" t="s">
        <v>323</v>
      </c>
      <c r="D261" t="s">
        <v>23</v>
      </c>
      <c r="E261" t="s">
        <v>15</v>
      </c>
      <c r="F261">
        <v>54</v>
      </c>
      <c r="G261">
        <v>1500</v>
      </c>
      <c r="H261">
        <v>2</v>
      </c>
      <c r="I261">
        <v>3000</v>
      </c>
      <c r="J261">
        <v>12.68</v>
      </c>
      <c r="K261" s="2">
        <v>45057</v>
      </c>
      <c r="L261" t="s">
        <v>318</v>
      </c>
      <c r="M261" s="6">
        <f>SalesTbl[[#This Row],[Unit Price]]*SalesTbl[[#This Row],[Quantity]]</f>
        <v>3000</v>
      </c>
      <c r="N261" s="6">
        <f>YEAR(SalesTbl[[#This Row],[Order Date]])</f>
        <v>2023</v>
      </c>
      <c r="O261" s="6" t="str">
        <f>TEXT(SalesTbl[[#This Row],[Order Date]],"yyyy-mm")</f>
        <v>2023-05</v>
      </c>
      <c r="P261" s="13">
        <f>WEEKNUM(SalesTbl[[#This Row],[Order Date]],2)</f>
        <v>20</v>
      </c>
      <c r="Q261" s="14">
        <f>MEDIAN(SalesTbl[Quantity])</f>
        <v>3</v>
      </c>
      <c r="R261" s="14">
        <f>IF(ISBLANK(SalesTbl[[#This Row],[Quantity]]),$H$2,SalesTbl[[#This Row],[Quantity]])</f>
        <v>2</v>
      </c>
      <c r="S261">
        <f>ROW()-ROW(SalesTbl[[#Headers],[Customer ID]])</f>
        <v>260</v>
      </c>
      <c r="T261" s="9" t="str">
        <f>IF(SalesTbl[[#This Row],[RowIdx]]&lt;=ROUNDUP(COUNTA(SalesTbl[Customer ID])*0.8,0),"Train","Test")</f>
        <v>Train</v>
      </c>
    </row>
    <row r="262" spans="1:20" x14ac:dyDescent="0.25">
      <c r="A262" t="s">
        <v>179</v>
      </c>
      <c r="B262" t="s">
        <v>20</v>
      </c>
      <c r="C262" t="s">
        <v>322</v>
      </c>
      <c r="D262" t="s">
        <v>30</v>
      </c>
      <c r="E262" t="s">
        <v>18</v>
      </c>
      <c r="F262">
        <v>61</v>
      </c>
      <c r="G262">
        <v>30</v>
      </c>
      <c r="H262">
        <v>1</v>
      </c>
      <c r="I262">
        <v>30</v>
      </c>
      <c r="J262">
        <v>19.54</v>
      </c>
      <c r="K262" s="2">
        <v>45032</v>
      </c>
      <c r="L262" t="s">
        <v>317</v>
      </c>
      <c r="M262" s="6">
        <f>SalesTbl[[#This Row],[Unit Price]]*SalesTbl[[#This Row],[Quantity]]</f>
        <v>30</v>
      </c>
      <c r="N262" s="6">
        <f>YEAR(SalesTbl[[#This Row],[Order Date]])</f>
        <v>2023</v>
      </c>
      <c r="O262" s="6" t="str">
        <f>TEXT(SalesTbl[[#This Row],[Order Date]],"yyyy-mm")</f>
        <v>2023-04</v>
      </c>
      <c r="P262" s="13">
        <f>WEEKNUM(SalesTbl[[#This Row],[Order Date]],2)</f>
        <v>16</v>
      </c>
      <c r="Q262" s="14">
        <f>MEDIAN(SalesTbl[Quantity])</f>
        <v>3</v>
      </c>
      <c r="R262" s="14">
        <f>IF(ISBLANK(SalesTbl[[#This Row],[Quantity]]),$H$2,SalesTbl[[#This Row],[Quantity]])</f>
        <v>1</v>
      </c>
      <c r="S262">
        <f>ROW()-ROW(SalesTbl[[#Headers],[Customer ID]])</f>
        <v>261</v>
      </c>
      <c r="T262" s="9" t="str">
        <f>IF(SalesTbl[[#This Row],[RowIdx]]&lt;=ROUNDUP(COUNTA(SalesTbl[Customer ID])*0.8,0),"Train","Test")</f>
        <v>Train</v>
      </c>
    </row>
    <row r="263" spans="1:20" x14ac:dyDescent="0.25">
      <c r="A263" t="s">
        <v>134</v>
      </c>
      <c r="B263" t="s">
        <v>13</v>
      </c>
      <c r="C263" t="s">
        <v>323</v>
      </c>
      <c r="D263" t="s">
        <v>40</v>
      </c>
      <c r="E263" t="s">
        <v>15</v>
      </c>
      <c r="F263">
        <v>46</v>
      </c>
      <c r="G263">
        <v>800</v>
      </c>
      <c r="H263">
        <v>4</v>
      </c>
      <c r="I263">
        <v>3200</v>
      </c>
      <c r="J263">
        <v>17.82</v>
      </c>
      <c r="K263" s="2">
        <v>45002</v>
      </c>
      <c r="L263" t="s">
        <v>319</v>
      </c>
      <c r="M263" s="6">
        <f>SalesTbl[[#This Row],[Unit Price]]*SalesTbl[[#This Row],[Quantity]]</f>
        <v>3200</v>
      </c>
      <c r="N263" s="6">
        <f>YEAR(SalesTbl[[#This Row],[Order Date]])</f>
        <v>2023</v>
      </c>
      <c r="O263" s="6" t="str">
        <f>TEXT(SalesTbl[[#This Row],[Order Date]],"yyyy-mm")</f>
        <v>2023-03</v>
      </c>
      <c r="P263" s="13">
        <f>WEEKNUM(SalesTbl[[#This Row],[Order Date]],2)</f>
        <v>12</v>
      </c>
      <c r="Q263" s="14">
        <f>MEDIAN(SalesTbl[Quantity])</f>
        <v>3</v>
      </c>
      <c r="R263" s="14">
        <f>IF(ISBLANK(SalesTbl[[#This Row],[Quantity]]),$H$2,SalesTbl[[#This Row],[Quantity]])</f>
        <v>4</v>
      </c>
      <c r="S263">
        <f>ROW()-ROW(SalesTbl[[#Headers],[Customer ID]])</f>
        <v>262</v>
      </c>
      <c r="T263" s="9" t="str">
        <f>IF(SalesTbl[[#This Row],[RowIdx]]&lt;=ROUNDUP(COUNTA(SalesTbl[Customer ID])*0.8,0),"Train","Test")</f>
        <v>Train</v>
      </c>
    </row>
    <row r="264" spans="1:20" x14ac:dyDescent="0.25">
      <c r="A264" t="s">
        <v>198</v>
      </c>
      <c r="B264" t="s">
        <v>20</v>
      </c>
      <c r="C264" t="s">
        <v>320</v>
      </c>
      <c r="D264" t="s">
        <v>30</v>
      </c>
      <c r="E264" t="s">
        <v>18</v>
      </c>
      <c r="F264">
        <v>46</v>
      </c>
      <c r="G264">
        <v>30</v>
      </c>
      <c r="H264">
        <v>4</v>
      </c>
      <c r="I264">
        <v>120</v>
      </c>
      <c r="J264">
        <v>10.01</v>
      </c>
      <c r="K264" s="2">
        <v>45027</v>
      </c>
      <c r="L264" t="s">
        <v>317</v>
      </c>
      <c r="M264" s="6">
        <f>SalesTbl[[#This Row],[Unit Price]]*SalesTbl[[#This Row],[Quantity]]</f>
        <v>120</v>
      </c>
      <c r="N264" s="6">
        <f>YEAR(SalesTbl[[#This Row],[Order Date]])</f>
        <v>2023</v>
      </c>
      <c r="O264" s="6" t="str">
        <f>TEXT(SalesTbl[[#This Row],[Order Date]],"yyyy-mm")</f>
        <v>2023-04</v>
      </c>
      <c r="P264" s="13">
        <f>WEEKNUM(SalesTbl[[#This Row],[Order Date]],2)</f>
        <v>16</v>
      </c>
      <c r="Q264" s="14">
        <f>MEDIAN(SalesTbl[Quantity])</f>
        <v>3</v>
      </c>
      <c r="R264" s="14">
        <f>IF(ISBLANK(SalesTbl[[#This Row],[Quantity]]),$H$2,SalesTbl[[#This Row],[Quantity]])</f>
        <v>4</v>
      </c>
      <c r="S264">
        <f>ROW()-ROW(SalesTbl[[#Headers],[Customer ID]])</f>
        <v>263</v>
      </c>
      <c r="T264" s="9" t="str">
        <f>IF(SalesTbl[[#This Row],[RowIdx]]&lt;=ROUNDUP(COUNTA(SalesTbl[Customer ID])*0.8,0),"Train","Test")</f>
        <v>Train</v>
      </c>
    </row>
    <row r="265" spans="1:20" x14ac:dyDescent="0.25">
      <c r="A265" t="s">
        <v>145</v>
      </c>
      <c r="B265" t="s">
        <v>20</v>
      </c>
      <c r="C265" t="s">
        <v>320</v>
      </c>
      <c r="D265" t="s">
        <v>29</v>
      </c>
      <c r="E265" t="s">
        <v>18</v>
      </c>
      <c r="F265">
        <v>30</v>
      </c>
      <c r="G265">
        <v>50</v>
      </c>
      <c r="H265">
        <v>4</v>
      </c>
      <c r="I265">
        <v>200</v>
      </c>
      <c r="J265">
        <v>16.61</v>
      </c>
      <c r="K265" s="2">
        <v>45215</v>
      </c>
      <c r="L265" t="s">
        <v>316</v>
      </c>
      <c r="M265" s="6">
        <f>SalesTbl[[#This Row],[Unit Price]]*SalesTbl[[#This Row],[Quantity]]</f>
        <v>200</v>
      </c>
      <c r="N265" s="6">
        <f>YEAR(SalesTbl[[#This Row],[Order Date]])</f>
        <v>2023</v>
      </c>
      <c r="O265" s="6" t="str">
        <f>TEXT(SalesTbl[[#This Row],[Order Date]],"yyyy-mm")</f>
        <v>2023-10</v>
      </c>
      <c r="P265" s="13">
        <f>WEEKNUM(SalesTbl[[#This Row],[Order Date]],2)</f>
        <v>43</v>
      </c>
      <c r="Q265" s="14">
        <f>MEDIAN(SalesTbl[Quantity])</f>
        <v>3</v>
      </c>
      <c r="R265" s="14">
        <f>IF(ISBLANK(SalesTbl[[#This Row],[Quantity]]),$H$2,SalesTbl[[#This Row],[Quantity]])</f>
        <v>4</v>
      </c>
      <c r="S265">
        <f>ROW()-ROW(SalesTbl[[#Headers],[Customer ID]])</f>
        <v>264</v>
      </c>
      <c r="T265" s="9" t="str">
        <f>IF(SalesTbl[[#This Row],[RowIdx]]&lt;=ROUNDUP(COUNTA(SalesTbl[Customer ID])*0.8,0),"Train","Test")</f>
        <v>Train</v>
      </c>
    </row>
    <row r="266" spans="1:20" x14ac:dyDescent="0.25">
      <c r="A266" t="s">
        <v>180</v>
      </c>
      <c r="B266" t="s">
        <v>13</v>
      </c>
      <c r="C266" t="s">
        <v>322</v>
      </c>
      <c r="D266" t="s">
        <v>17</v>
      </c>
      <c r="E266" t="s">
        <v>18</v>
      </c>
      <c r="F266">
        <v>55</v>
      </c>
      <c r="G266">
        <v>100</v>
      </c>
      <c r="H266">
        <v>4</v>
      </c>
      <c r="I266">
        <v>400</v>
      </c>
      <c r="J266">
        <v>18.989999999999998</v>
      </c>
      <c r="K266" s="2">
        <v>45215</v>
      </c>
      <c r="L266" t="s">
        <v>317</v>
      </c>
      <c r="M266" s="6">
        <f>SalesTbl[[#This Row],[Unit Price]]*SalesTbl[[#This Row],[Quantity]]</f>
        <v>400</v>
      </c>
      <c r="N266" s="6">
        <f>YEAR(SalesTbl[[#This Row],[Order Date]])</f>
        <v>2023</v>
      </c>
      <c r="O266" s="6" t="str">
        <f>TEXT(SalesTbl[[#This Row],[Order Date]],"yyyy-mm")</f>
        <v>2023-10</v>
      </c>
      <c r="P266" s="13">
        <f>WEEKNUM(SalesTbl[[#This Row],[Order Date]],2)</f>
        <v>43</v>
      </c>
      <c r="Q266" s="14">
        <f>MEDIAN(SalesTbl[Quantity])</f>
        <v>3</v>
      </c>
      <c r="R266" s="14">
        <f>IF(ISBLANK(SalesTbl[[#This Row],[Quantity]]),$H$2,SalesTbl[[#This Row],[Quantity]])</f>
        <v>4</v>
      </c>
      <c r="S266">
        <f>ROW()-ROW(SalesTbl[[#Headers],[Customer ID]])</f>
        <v>265</v>
      </c>
      <c r="T266" s="9" t="str">
        <f>IF(SalesTbl[[#This Row],[RowIdx]]&lt;=ROUNDUP(COUNTA(SalesTbl[Customer ID])*0.8,0),"Train","Test")</f>
        <v>Train</v>
      </c>
    </row>
    <row r="267" spans="1:20" x14ac:dyDescent="0.25">
      <c r="A267" t="s">
        <v>43</v>
      </c>
      <c r="B267" t="s">
        <v>20</v>
      </c>
      <c r="C267" t="s">
        <v>323</v>
      </c>
      <c r="D267" t="s">
        <v>17</v>
      </c>
      <c r="E267" t="s">
        <v>18</v>
      </c>
      <c r="F267">
        <v>37</v>
      </c>
      <c r="G267">
        <v>100</v>
      </c>
      <c r="H267">
        <v>4</v>
      </c>
      <c r="I267">
        <v>400</v>
      </c>
      <c r="J267">
        <v>11.4</v>
      </c>
      <c r="K267" s="2">
        <v>44979</v>
      </c>
      <c r="L267" t="s">
        <v>318</v>
      </c>
      <c r="M267" s="6">
        <f>SalesTbl[[#This Row],[Unit Price]]*SalesTbl[[#This Row],[Quantity]]</f>
        <v>400</v>
      </c>
      <c r="N267" s="6">
        <f>YEAR(SalesTbl[[#This Row],[Order Date]])</f>
        <v>2023</v>
      </c>
      <c r="O267" s="6" t="str">
        <f>TEXT(SalesTbl[[#This Row],[Order Date]],"yyyy-mm")</f>
        <v>2023-02</v>
      </c>
      <c r="P267" s="13">
        <f>WEEKNUM(SalesTbl[[#This Row],[Order Date]],2)</f>
        <v>9</v>
      </c>
      <c r="Q267" s="14">
        <f>MEDIAN(SalesTbl[Quantity])</f>
        <v>3</v>
      </c>
      <c r="R267" s="14">
        <f>IF(ISBLANK(SalesTbl[[#This Row],[Quantity]]),$H$2,SalesTbl[[#This Row],[Quantity]])</f>
        <v>4</v>
      </c>
      <c r="S267">
        <f>ROW()-ROW(SalesTbl[[#Headers],[Customer ID]])</f>
        <v>266</v>
      </c>
      <c r="T267" s="9" t="str">
        <f>IF(SalesTbl[[#This Row],[RowIdx]]&lt;=ROUNDUP(COUNTA(SalesTbl[Customer ID])*0.8,0),"Train","Test")</f>
        <v>Train</v>
      </c>
    </row>
    <row r="268" spans="1:20" x14ac:dyDescent="0.25">
      <c r="A268" t="s">
        <v>129</v>
      </c>
      <c r="B268" t="s">
        <v>20</v>
      </c>
      <c r="C268" t="s">
        <v>323</v>
      </c>
      <c r="D268" t="s">
        <v>30</v>
      </c>
      <c r="E268" t="s">
        <v>18</v>
      </c>
      <c r="F268">
        <v>62</v>
      </c>
      <c r="G268">
        <v>30</v>
      </c>
      <c r="H268">
        <v>2</v>
      </c>
      <c r="I268">
        <v>60</v>
      </c>
      <c r="J268">
        <v>8.36</v>
      </c>
      <c r="K268" s="2">
        <v>45124</v>
      </c>
      <c r="L268" t="s">
        <v>318</v>
      </c>
      <c r="M268" s="6">
        <f>SalesTbl[[#This Row],[Unit Price]]*SalesTbl[[#This Row],[Quantity]]</f>
        <v>60</v>
      </c>
      <c r="N268" s="6">
        <f>YEAR(SalesTbl[[#This Row],[Order Date]])</f>
        <v>2023</v>
      </c>
      <c r="O268" s="6" t="str">
        <f>TEXT(SalesTbl[[#This Row],[Order Date]],"yyyy-mm")</f>
        <v>2023-07</v>
      </c>
      <c r="P268" s="13">
        <f>WEEKNUM(SalesTbl[[#This Row],[Order Date]],2)</f>
        <v>30</v>
      </c>
      <c r="Q268" s="14">
        <f>MEDIAN(SalesTbl[Quantity])</f>
        <v>3</v>
      </c>
      <c r="R268" s="14">
        <f>IF(ISBLANK(SalesTbl[[#This Row],[Quantity]]),$H$2,SalesTbl[[#This Row],[Quantity]])</f>
        <v>2</v>
      </c>
      <c r="S268">
        <f>ROW()-ROW(SalesTbl[[#Headers],[Customer ID]])</f>
        <v>267</v>
      </c>
      <c r="T268" s="9" t="str">
        <f>IF(SalesTbl[[#This Row],[RowIdx]]&lt;=ROUNDUP(COUNTA(SalesTbl[Customer ID])*0.8,0),"Train","Test")</f>
        <v>Train</v>
      </c>
    </row>
    <row r="269" spans="1:20" x14ac:dyDescent="0.25">
      <c r="A269" t="s">
        <v>199</v>
      </c>
      <c r="B269" t="s">
        <v>20</v>
      </c>
      <c r="C269" t="s">
        <v>323</v>
      </c>
      <c r="D269" t="s">
        <v>30</v>
      </c>
      <c r="E269" t="s">
        <v>18</v>
      </c>
      <c r="F269">
        <v>49</v>
      </c>
      <c r="G269">
        <v>30</v>
      </c>
      <c r="H269">
        <v>5</v>
      </c>
      <c r="I269">
        <v>150</v>
      </c>
      <c r="J269">
        <v>10.029999999999999</v>
      </c>
      <c r="K269" s="2">
        <v>45107</v>
      </c>
      <c r="L269" t="s">
        <v>318</v>
      </c>
      <c r="M269" s="6">
        <f>SalesTbl[[#This Row],[Unit Price]]*SalesTbl[[#This Row],[Quantity]]</f>
        <v>150</v>
      </c>
      <c r="N269" s="6">
        <f>YEAR(SalesTbl[[#This Row],[Order Date]])</f>
        <v>2023</v>
      </c>
      <c r="O269" s="6" t="str">
        <f>TEXT(SalesTbl[[#This Row],[Order Date]],"yyyy-mm")</f>
        <v>2023-06</v>
      </c>
      <c r="P269" s="13">
        <f>WEEKNUM(SalesTbl[[#This Row],[Order Date]],2)</f>
        <v>27</v>
      </c>
      <c r="Q269" s="14">
        <f>MEDIAN(SalesTbl[Quantity])</f>
        <v>3</v>
      </c>
      <c r="R269" s="14">
        <f>IF(ISBLANK(SalesTbl[[#This Row],[Quantity]]),$H$2,SalesTbl[[#This Row],[Quantity]])</f>
        <v>5</v>
      </c>
      <c r="S269">
        <f>ROW()-ROW(SalesTbl[[#Headers],[Customer ID]])</f>
        <v>268</v>
      </c>
      <c r="T269" s="9" t="str">
        <f>IF(SalesTbl[[#This Row],[RowIdx]]&lt;=ROUNDUP(COUNTA(SalesTbl[Customer ID])*0.8,0),"Train","Test")</f>
        <v>Train</v>
      </c>
    </row>
    <row r="270" spans="1:20" x14ac:dyDescent="0.25">
      <c r="A270" t="s">
        <v>93</v>
      </c>
      <c r="B270" t="s">
        <v>13</v>
      </c>
      <c r="C270" t="s">
        <v>320</v>
      </c>
      <c r="D270" t="s">
        <v>17</v>
      </c>
      <c r="E270" t="s">
        <v>18</v>
      </c>
      <c r="F270">
        <v>47</v>
      </c>
      <c r="G270">
        <v>100</v>
      </c>
      <c r="H270">
        <v>3</v>
      </c>
      <c r="I270">
        <v>300</v>
      </c>
      <c r="J270">
        <v>15</v>
      </c>
      <c r="K270" s="2">
        <v>45116</v>
      </c>
      <c r="L270" t="s">
        <v>318</v>
      </c>
      <c r="M270" s="6">
        <f>SalesTbl[[#This Row],[Unit Price]]*SalesTbl[[#This Row],[Quantity]]</f>
        <v>300</v>
      </c>
      <c r="N270" s="6">
        <f>YEAR(SalesTbl[[#This Row],[Order Date]])</f>
        <v>2023</v>
      </c>
      <c r="O270" s="6" t="str">
        <f>TEXT(SalesTbl[[#This Row],[Order Date]],"yyyy-mm")</f>
        <v>2023-07</v>
      </c>
      <c r="P270" s="13">
        <f>WEEKNUM(SalesTbl[[#This Row],[Order Date]],2)</f>
        <v>28</v>
      </c>
      <c r="Q270" s="14">
        <f>MEDIAN(SalesTbl[Quantity])</f>
        <v>3</v>
      </c>
      <c r="R270" s="14">
        <f>IF(ISBLANK(SalesTbl[[#This Row],[Quantity]]),$H$2,SalesTbl[[#This Row],[Quantity]])</f>
        <v>3</v>
      </c>
      <c r="S270">
        <f>ROW()-ROW(SalesTbl[[#Headers],[Customer ID]])</f>
        <v>269</v>
      </c>
      <c r="T270" s="9" t="str">
        <f>IF(SalesTbl[[#This Row],[RowIdx]]&lt;=ROUNDUP(COUNTA(SalesTbl[Customer ID])*0.8,0),"Train","Test")</f>
        <v>Train</v>
      </c>
    </row>
    <row r="271" spans="1:20" x14ac:dyDescent="0.25">
      <c r="A271" t="s">
        <v>27</v>
      </c>
      <c r="B271" t="s">
        <v>13</v>
      </c>
      <c r="C271" t="s">
        <v>321</v>
      </c>
      <c r="D271" t="s">
        <v>30</v>
      </c>
      <c r="E271" t="s">
        <v>18</v>
      </c>
      <c r="F271">
        <v>27</v>
      </c>
      <c r="G271">
        <v>30</v>
      </c>
      <c r="H271">
        <v>4</v>
      </c>
      <c r="I271">
        <v>120</v>
      </c>
      <c r="J271">
        <v>16.05</v>
      </c>
      <c r="K271" s="2">
        <v>45053</v>
      </c>
      <c r="L271" t="s">
        <v>316</v>
      </c>
      <c r="M271" s="6">
        <f>SalesTbl[[#This Row],[Unit Price]]*SalesTbl[[#This Row],[Quantity]]</f>
        <v>120</v>
      </c>
      <c r="N271" s="6">
        <f>YEAR(SalesTbl[[#This Row],[Order Date]])</f>
        <v>2023</v>
      </c>
      <c r="O271" s="6" t="str">
        <f>TEXT(SalesTbl[[#This Row],[Order Date]],"yyyy-mm")</f>
        <v>2023-05</v>
      </c>
      <c r="P271" s="13">
        <f>WEEKNUM(SalesTbl[[#This Row],[Order Date]],2)</f>
        <v>19</v>
      </c>
      <c r="Q271" s="14">
        <f>MEDIAN(SalesTbl[Quantity])</f>
        <v>3</v>
      </c>
      <c r="R271" s="14">
        <f>IF(ISBLANK(SalesTbl[[#This Row],[Quantity]]),$H$2,SalesTbl[[#This Row],[Quantity]])</f>
        <v>4</v>
      </c>
      <c r="S271">
        <f>ROW()-ROW(SalesTbl[[#Headers],[Customer ID]])</f>
        <v>270</v>
      </c>
      <c r="T271" s="9" t="str">
        <f>IF(SalesTbl[[#This Row],[RowIdx]]&lt;=ROUNDUP(COUNTA(SalesTbl[Customer ID])*0.8,0),"Train","Test")</f>
        <v>Train</v>
      </c>
    </row>
    <row r="272" spans="1:20" x14ac:dyDescent="0.25">
      <c r="A272" t="s">
        <v>200</v>
      </c>
      <c r="B272" t="s">
        <v>20</v>
      </c>
      <c r="C272" t="s">
        <v>323</v>
      </c>
      <c r="D272" t="s">
        <v>29</v>
      </c>
      <c r="E272" t="s">
        <v>18</v>
      </c>
      <c r="F272">
        <v>44</v>
      </c>
      <c r="G272">
        <v>50</v>
      </c>
      <c r="H272">
        <v>4</v>
      </c>
      <c r="I272">
        <v>200</v>
      </c>
      <c r="J272">
        <v>12.3</v>
      </c>
      <c r="K272" s="2">
        <v>45007</v>
      </c>
      <c r="L272" t="s">
        <v>317</v>
      </c>
      <c r="M272" s="6">
        <f>SalesTbl[[#This Row],[Unit Price]]*SalesTbl[[#This Row],[Quantity]]</f>
        <v>200</v>
      </c>
      <c r="N272" s="6">
        <f>YEAR(SalesTbl[[#This Row],[Order Date]])</f>
        <v>2023</v>
      </c>
      <c r="O272" s="6" t="str">
        <f>TEXT(SalesTbl[[#This Row],[Order Date]],"yyyy-mm")</f>
        <v>2023-03</v>
      </c>
      <c r="P272" s="13">
        <f>WEEKNUM(SalesTbl[[#This Row],[Order Date]],2)</f>
        <v>13</v>
      </c>
      <c r="Q272" s="14">
        <f>MEDIAN(SalesTbl[Quantity])</f>
        <v>3</v>
      </c>
      <c r="R272" s="14">
        <f>IF(ISBLANK(SalesTbl[[#This Row],[Quantity]]),$H$2,SalesTbl[[#This Row],[Quantity]])</f>
        <v>4</v>
      </c>
      <c r="S272">
        <f>ROW()-ROW(SalesTbl[[#Headers],[Customer ID]])</f>
        <v>271</v>
      </c>
      <c r="T272" s="9" t="str">
        <f>IF(SalesTbl[[#This Row],[RowIdx]]&lt;=ROUNDUP(COUNTA(SalesTbl[Customer ID])*0.8,0),"Train","Test")</f>
        <v>Train</v>
      </c>
    </row>
    <row r="273" spans="1:20" x14ac:dyDescent="0.25">
      <c r="A273" t="s">
        <v>201</v>
      </c>
      <c r="B273" t="s">
        <v>13</v>
      </c>
      <c r="C273" t="s">
        <v>320</v>
      </c>
      <c r="D273" t="s">
        <v>25</v>
      </c>
      <c r="E273" t="s">
        <v>26</v>
      </c>
      <c r="F273">
        <v>36</v>
      </c>
      <c r="G273">
        <v>200</v>
      </c>
      <c r="H273">
        <v>2</v>
      </c>
      <c r="I273">
        <v>400</v>
      </c>
      <c r="J273">
        <v>12.03</v>
      </c>
      <c r="K273" s="2">
        <v>45166</v>
      </c>
      <c r="L273" t="s">
        <v>316</v>
      </c>
      <c r="M273" s="6">
        <f>SalesTbl[[#This Row],[Unit Price]]*SalesTbl[[#This Row],[Quantity]]</f>
        <v>400</v>
      </c>
      <c r="N273" s="6">
        <f>YEAR(SalesTbl[[#This Row],[Order Date]])</f>
        <v>2023</v>
      </c>
      <c r="O273" s="6" t="str">
        <f>TEXT(SalesTbl[[#This Row],[Order Date]],"yyyy-mm")</f>
        <v>2023-08</v>
      </c>
      <c r="P273" s="13">
        <f>WEEKNUM(SalesTbl[[#This Row],[Order Date]],2)</f>
        <v>36</v>
      </c>
      <c r="Q273" s="14">
        <f>MEDIAN(SalesTbl[Quantity])</f>
        <v>3</v>
      </c>
      <c r="R273" s="14">
        <f>IF(ISBLANK(SalesTbl[[#This Row],[Quantity]]),$H$2,SalesTbl[[#This Row],[Quantity]])</f>
        <v>2</v>
      </c>
      <c r="S273">
        <f>ROW()-ROW(SalesTbl[[#Headers],[Customer ID]])</f>
        <v>272</v>
      </c>
      <c r="T273" s="9" t="str">
        <f>IF(SalesTbl[[#This Row],[RowIdx]]&lt;=ROUNDUP(COUNTA(SalesTbl[Customer ID])*0.8,0),"Train","Test")</f>
        <v>Train</v>
      </c>
    </row>
    <row r="274" spans="1:20" x14ac:dyDescent="0.25">
      <c r="A274" t="s">
        <v>202</v>
      </c>
      <c r="B274" t="s">
        <v>20</v>
      </c>
      <c r="C274" t="s">
        <v>323</v>
      </c>
      <c r="D274" t="s">
        <v>30</v>
      </c>
      <c r="E274" t="s">
        <v>18</v>
      </c>
      <c r="F274">
        <v>49</v>
      </c>
      <c r="G274">
        <v>30</v>
      </c>
      <c r="H274">
        <v>3</v>
      </c>
      <c r="I274">
        <v>90</v>
      </c>
      <c r="J274">
        <v>11.56</v>
      </c>
      <c r="K274" s="2">
        <v>44943</v>
      </c>
      <c r="L274" t="s">
        <v>317</v>
      </c>
      <c r="M274" s="6">
        <f>SalesTbl[[#This Row],[Unit Price]]*SalesTbl[[#This Row],[Quantity]]</f>
        <v>90</v>
      </c>
      <c r="N274" s="6">
        <f>YEAR(SalesTbl[[#This Row],[Order Date]])</f>
        <v>2023</v>
      </c>
      <c r="O274" s="6" t="str">
        <f>TEXT(SalesTbl[[#This Row],[Order Date]],"yyyy-mm")</f>
        <v>2023-01</v>
      </c>
      <c r="P274" s="13">
        <f>WEEKNUM(SalesTbl[[#This Row],[Order Date]],2)</f>
        <v>4</v>
      </c>
      <c r="Q274" s="14">
        <f>MEDIAN(SalesTbl[Quantity])</f>
        <v>3</v>
      </c>
      <c r="R274" s="14">
        <f>IF(ISBLANK(SalesTbl[[#This Row],[Quantity]]),$H$2,SalesTbl[[#This Row],[Quantity]])</f>
        <v>3</v>
      </c>
      <c r="S274">
        <f>ROW()-ROW(SalesTbl[[#Headers],[Customer ID]])</f>
        <v>273</v>
      </c>
      <c r="T274" s="9" t="str">
        <f>IF(SalesTbl[[#This Row],[RowIdx]]&lt;=ROUNDUP(COUNTA(SalesTbl[Customer ID])*0.8,0),"Train","Test")</f>
        <v>Train</v>
      </c>
    </row>
    <row r="275" spans="1:20" x14ac:dyDescent="0.25">
      <c r="A275" t="s">
        <v>150</v>
      </c>
      <c r="B275" t="s">
        <v>20</v>
      </c>
      <c r="C275" t="s">
        <v>320</v>
      </c>
      <c r="D275" t="s">
        <v>23</v>
      </c>
      <c r="E275" t="s">
        <v>15</v>
      </c>
      <c r="F275">
        <v>36</v>
      </c>
      <c r="G275">
        <v>1500</v>
      </c>
      <c r="H275">
        <v>4</v>
      </c>
      <c r="I275">
        <v>6000</v>
      </c>
      <c r="J275">
        <v>11.21</v>
      </c>
      <c r="K275" s="2">
        <v>45215</v>
      </c>
      <c r="L275" t="s">
        <v>319</v>
      </c>
      <c r="M275" s="6">
        <f>SalesTbl[[#This Row],[Unit Price]]*SalesTbl[[#This Row],[Quantity]]</f>
        <v>6000</v>
      </c>
      <c r="N275" s="6">
        <f>YEAR(SalesTbl[[#This Row],[Order Date]])</f>
        <v>2023</v>
      </c>
      <c r="O275" s="6" t="str">
        <f>TEXT(SalesTbl[[#This Row],[Order Date]],"yyyy-mm")</f>
        <v>2023-10</v>
      </c>
      <c r="P275" s="13">
        <f>WEEKNUM(SalesTbl[[#This Row],[Order Date]],2)</f>
        <v>43</v>
      </c>
      <c r="Q275" s="14">
        <f>MEDIAN(SalesTbl[Quantity])</f>
        <v>3</v>
      </c>
      <c r="R275" s="14">
        <f>IF(ISBLANK(SalesTbl[[#This Row],[Quantity]]),$H$2,SalesTbl[[#This Row],[Quantity]])</f>
        <v>4</v>
      </c>
      <c r="S275">
        <f>ROW()-ROW(SalesTbl[[#Headers],[Customer ID]])</f>
        <v>274</v>
      </c>
      <c r="T275" s="9" t="str">
        <f>IF(SalesTbl[[#This Row],[RowIdx]]&lt;=ROUNDUP(COUNTA(SalesTbl[Customer ID])*0.8,0),"Train","Test")</f>
        <v>Train</v>
      </c>
    </row>
    <row r="276" spans="1:20" x14ac:dyDescent="0.25">
      <c r="A276" t="s">
        <v>203</v>
      </c>
      <c r="B276" t="s">
        <v>13</v>
      </c>
      <c r="C276" t="s">
        <v>322</v>
      </c>
      <c r="D276" t="s">
        <v>40</v>
      </c>
      <c r="E276" t="s">
        <v>15</v>
      </c>
      <c r="F276">
        <v>61</v>
      </c>
      <c r="G276">
        <v>800</v>
      </c>
      <c r="H276">
        <v>1</v>
      </c>
      <c r="I276">
        <v>800</v>
      </c>
      <c r="J276">
        <v>17.43</v>
      </c>
      <c r="K276" s="2">
        <v>44936</v>
      </c>
      <c r="L276" t="s">
        <v>318</v>
      </c>
      <c r="M276" s="6">
        <f>SalesTbl[[#This Row],[Unit Price]]*SalesTbl[[#This Row],[Quantity]]</f>
        <v>800</v>
      </c>
      <c r="N276" s="6">
        <f>YEAR(SalesTbl[[#This Row],[Order Date]])</f>
        <v>2023</v>
      </c>
      <c r="O276" s="6" t="str">
        <f>TEXT(SalesTbl[[#This Row],[Order Date]],"yyyy-mm")</f>
        <v>2023-01</v>
      </c>
      <c r="P276" s="13">
        <f>WEEKNUM(SalesTbl[[#This Row],[Order Date]],2)</f>
        <v>3</v>
      </c>
      <c r="Q276" s="14">
        <f>MEDIAN(SalesTbl[Quantity])</f>
        <v>3</v>
      </c>
      <c r="R276" s="14">
        <f>IF(ISBLANK(SalesTbl[[#This Row],[Quantity]]),$H$2,SalesTbl[[#This Row],[Quantity]])</f>
        <v>1</v>
      </c>
      <c r="S276">
        <f>ROW()-ROW(SalesTbl[[#Headers],[Customer ID]])</f>
        <v>275</v>
      </c>
      <c r="T276" s="9" t="str">
        <f>IF(SalesTbl[[#This Row],[RowIdx]]&lt;=ROUNDUP(COUNTA(SalesTbl[Customer ID])*0.8,0),"Train","Test")</f>
        <v>Train</v>
      </c>
    </row>
    <row r="277" spans="1:20" x14ac:dyDescent="0.25">
      <c r="A277" t="s">
        <v>204</v>
      </c>
      <c r="B277" t="s">
        <v>13</v>
      </c>
      <c r="C277" t="s">
        <v>322</v>
      </c>
      <c r="D277" t="s">
        <v>40</v>
      </c>
      <c r="E277" t="s">
        <v>15</v>
      </c>
      <c r="F277">
        <v>69</v>
      </c>
      <c r="G277">
        <v>800</v>
      </c>
      <c r="H277">
        <v>3</v>
      </c>
      <c r="I277">
        <v>2400</v>
      </c>
      <c r="J277">
        <v>13.57</v>
      </c>
      <c r="K277" s="2">
        <v>45010</v>
      </c>
      <c r="L277" t="s">
        <v>316</v>
      </c>
      <c r="M277" s="6">
        <f>SalesTbl[[#This Row],[Unit Price]]*SalesTbl[[#This Row],[Quantity]]</f>
        <v>2400</v>
      </c>
      <c r="N277" s="6">
        <f>YEAR(SalesTbl[[#This Row],[Order Date]])</f>
        <v>2023</v>
      </c>
      <c r="O277" s="6" t="str">
        <f>TEXT(SalesTbl[[#This Row],[Order Date]],"yyyy-mm")</f>
        <v>2023-03</v>
      </c>
      <c r="P277" s="13">
        <f>WEEKNUM(SalesTbl[[#This Row],[Order Date]],2)</f>
        <v>13</v>
      </c>
      <c r="Q277" s="14">
        <f>MEDIAN(SalesTbl[Quantity])</f>
        <v>3</v>
      </c>
      <c r="R277" s="14">
        <f>IF(ISBLANK(SalesTbl[[#This Row],[Quantity]]),$H$2,SalesTbl[[#This Row],[Quantity]])</f>
        <v>3</v>
      </c>
      <c r="S277">
        <f>ROW()-ROW(SalesTbl[[#Headers],[Customer ID]])</f>
        <v>276</v>
      </c>
      <c r="T277" s="9" t="str">
        <f>IF(SalesTbl[[#This Row],[RowIdx]]&lt;=ROUNDUP(COUNTA(SalesTbl[Customer ID])*0.8,0),"Train","Test")</f>
        <v>Train</v>
      </c>
    </row>
    <row r="278" spans="1:20" x14ac:dyDescent="0.25">
      <c r="A278" t="s">
        <v>205</v>
      </c>
      <c r="B278" t="s">
        <v>20</v>
      </c>
      <c r="C278" t="s">
        <v>323</v>
      </c>
      <c r="D278" t="s">
        <v>25</v>
      </c>
      <c r="E278" t="s">
        <v>26</v>
      </c>
      <c r="F278">
        <v>52</v>
      </c>
      <c r="G278">
        <v>200</v>
      </c>
      <c r="H278">
        <v>3</v>
      </c>
      <c r="I278">
        <v>600</v>
      </c>
      <c r="J278">
        <v>10.210000000000001</v>
      </c>
      <c r="K278" s="2">
        <v>44955</v>
      </c>
      <c r="L278" t="s">
        <v>317</v>
      </c>
      <c r="M278" s="6">
        <f>SalesTbl[[#This Row],[Unit Price]]*SalesTbl[[#This Row],[Quantity]]</f>
        <v>600</v>
      </c>
      <c r="N278" s="6">
        <f>YEAR(SalesTbl[[#This Row],[Order Date]])</f>
        <v>2023</v>
      </c>
      <c r="O278" s="6" t="str">
        <f>TEXT(SalesTbl[[#This Row],[Order Date]],"yyyy-mm")</f>
        <v>2023-01</v>
      </c>
      <c r="P278" s="13">
        <f>WEEKNUM(SalesTbl[[#This Row],[Order Date]],2)</f>
        <v>5</v>
      </c>
      <c r="Q278" s="14">
        <f>MEDIAN(SalesTbl[Quantity])</f>
        <v>3</v>
      </c>
      <c r="R278" s="14">
        <f>IF(ISBLANK(SalesTbl[[#This Row],[Quantity]]),$H$2,SalesTbl[[#This Row],[Quantity]])</f>
        <v>3</v>
      </c>
      <c r="S278">
        <f>ROW()-ROW(SalesTbl[[#Headers],[Customer ID]])</f>
        <v>277</v>
      </c>
      <c r="T278" s="9" t="str">
        <f>IF(SalesTbl[[#This Row],[RowIdx]]&lt;=ROUNDUP(COUNTA(SalesTbl[Customer ID])*0.8,0),"Train","Test")</f>
        <v>Train</v>
      </c>
    </row>
    <row r="279" spans="1:20" x14ac:dyDescent="0.25">
      <c r="A279" t="s">
        <v>173</v>
      </c>
      <c r="B279" t="s">
        <v>20</v>
      </c>
      <c r="C279" t="s">
        <v>322</v>
      </c>
      <c r="D279" t="s">
        <v>40</v>
      </c>
      <c r="E279" t="s">
        <v>15</v>
      </c>
      <c r="F279">
        <v>60</v>
      </c>
      <c r="G279">
        <v>800</v>
      </c>
      <c r="H279">
        <v>5</v>
      </c>
      <c r="I279">
        <v>4000</v>
      </c>
      <c r="J279">
        <v>18.75</v>
      </c>
      <c r="K279" s="2">
        <v>44945</v>
      </c>
      <c r="L279" t="s">
        <v>318</v>
      </c>
      <c r="M279" s="6">
        <f>SalesTbl[[#This Row],[Unit Price]]*SalesTbl[[#This Row],[Quantity]]</f>
        <v>4000</v>
      </c>
      <c r="N279" s="6">
        <f>YEAR(SalesTbl[[#This Row],[Order Date]])</f>
        <v>2023</v>
      </c>
      <c r="O279" s="6" t="str">
        <f>TEXT(SalesTbl[[#This Row],[Order Date]],"yyyy-mm")</f>
        <v>2023-01</v>
      </c>
      <c r="P279" s="13">
        <f>WEEKNUM(SalesTbl[[#This Row],[Order Date]],2)</f>
        <v>4</v>
      </c>
      <c r="Q279" s="14">
        <f>MEDIAN(SalesTbl[Quantity])</f>
        <v>3</v>
      </c>
      <c r="R279" s="14">
        <f>IF(ISBLANK(SalesTbl[[#This Row],[Quantity]]),$H$2,SalesTbl[[#This Row],[Quantity]])</f>
        <v>5</v>
      </c>
      <c r="S279">
        <f>ROW()-ROW(SalesTbl[[#Headers],[Customer ID]])</f>
        <v>278</v>
      </c>
      <c r="T279" s="9" t="str">
        <f>IF(SalesTbl[[#This Row],[RowIdx]]&lt;=ROUNDUP(COUNTA(SalesTbl[Customer ID])*0.8,0),"Train","Test")</f>
        <v>Train</v>
      </c>
    </row>
    <row r="280" spans="1:20" x14ac:dyDescent="0.25">
      <c r="A280" t="s">
        <v>206</v>
      </c>
      <c r="B280" t="s">
        <v>13</v>
      </c>
      <c r="C280" t="s">
        <v>321</v>
      </c>
      <c r="D280" t="s">
        <v>14</v>
      </c>
      <c r="E280" t="s">
        <v>15</v>
      </c>
      <c r="F280">
        <v>45</v>
      </c>
      <c r="G280">
        <v>300</v>
      </c>
      <c r="H280">
        <v>1</v>
      </c>
      <c r="I280">
        <v>300</v>
      </c>
      <c r="J280">
        <v>16.7</v>
      </c>
      <c r="K280" s="2">
        <v>45185</v>
      </c>
      <c r="L280" t="s">
        <v>318</v>
      </c>
      <c r="M280" s="6">
        <f>SalesTbl[[#This Row],[Unit Price]]*SalesTbl[[#This Row],[Quantity]]</f>
        <v>300</v>
      </c>
      <c r="N280" s="6">
        <f>YEAR(SalesTbl[[#This Row],[Order Date]])</f>
        <v>2023</v>
      </c>
      <c r="O280" s="6" t="str">
        <f>TEXT(SalesTbl[[#This Row],[Order Date]],"yyyy-mm")</f>
        <v>2023-09</v>
      </c>
      <c r="P280" s="13">
        <f>WEEKNUM(SalesTbl[[#This Row],[Order Date]],2)</f>
        <v>38</v>
      </c>
      <c r="Q280" s="14">
        <f>MEDIAN(SalesTbl[Quantity])</f>
        <v>3</v>
      </c>
      <c r="R280" s="14">
        <f>IF(ISBLANK(SalesTbl[[#This Row],[Quantity]]),$H$2,SalesTbl[[#This Row],[Quantity]])</f>
        <v>1</v>
      </c>
      <c r="S280">
        <f>ROW()-ROW(SalesTbl[[#Headers],[Customer ID]])</f>
        <v>279</v>
      </c>
      <c r="T280" s="9" t="str">
        <f>IF(SalesTbl[[#This Row],[RowIdx]]&lt;=ROUNDUP(COUNTA(SalesTbl[Customer ID])*0.8,0),"Train","Test")</f>
        <v>Train</v>
      </c>
    </row>
    <row r="281" spans="1:20" x14ac:dyDescent="0.25">
      <c r="A281" t="s">
        <v>193</v>
      </c>
      <c r="B281" t="s">
        <v>13</v>
      </c>
      <c r="C281" t="s">
        <v>321</v>
      </c>
      <c r="D281" t="s">
        <v>14</v>
      </c>
      <c r="E281" t="s">
        <v>15</v>
      </c>
      <c r="F281">
        <v>52</v>
      </c>
      <c r="G281">
        <v>300</v>
      </c>
      <c r="H281">
        <v>1</v>
      </c>
      <c r="I281">
        <v>300</v>
      </c>
      <c r="J281">
        <v>14.67</v>
      </c>
      <c r="K281" s="2">
        <v>45128</v>
      </c>
      <c r="L281" t="s">
        <v>318</v>
      </c>
      <c r="M281" s="6">
        <f>SalesTbl[[#This Row],[Unit Price]]*SalesTbl[[#This Row],[Quantity]]</f>
        <v>300</v>
      </c>
      <c r="N281" s="6">
        <f>YEAR(SalesTbl[[#This Row],[Order Date]])</f>
        <v>2023</v>
      </c>
      <c r="O281" s="6" t="str">
        <f>TEXT(SalesTbl[[#This Row],[Order Date]],"yyyy-mm")</f>
        <v>2023-07</v>
      </c>
      <c r="P281" s="13">
        <f>WEEKNUM(SalesTbl[[#This Row],[Order Date]],2)</f>
        <v>30</v>
      </c>
      <c r="Q281" s="14">
        <f>MEDIAN(SalesTbl[Quantity])</f>
        <v>3</v>
      </c>
      <c r="R281" s="14">
        <f>IF(ISBLANK(SalesTbl[[#This Row],[Quantity]]),$H$2,SalesTbl[[#This Row],[Quantity]])</f>
        <v>1</v>
      </c>
      <c r="S281">
        <f>ROW()-ROW(SalesTbl[[#Headers],[Customer ID]])</f>
        <v>280</v>
      </c>
      <c r="T281" s="9" t="str">
        <f>IF(SalesTbl[[#This Row],[RowIdx]]&lt;=ROUNDUP(COUNTA(SalesTbl[Customer ID])*0.8,0),"Train","Test")</f>
        <v>Train</v>
      </c>
    </row>
    <row r="282" spans="1:20" x14ac:dyDescent="0.25">
      <c r="A282" t="s">
        <v>207</v>
      </c>
      <c r="B282" t="s">
        <v>20</v>
      </c>
      <c r="C282" t="s">
        <v>322</v>
      </c>
      <c r="D282" t="s">
        <v>14</v>
      </c>
      <c r="E282" t="s">
        <v>15</v>
      </c>
      <c r="F282">
        <v>63</v>
      </c>
      <c r="G282">
        <v>300</v>
      </c>
      <c r="H282">
        <v>5</v>
      </c>
      <c r="I282">
        <v>1500</v>
      </c>
      <c r="J282">
        <v>18</v>
      </c>
      <c r="K282" s="2">
        <v>45006</v>
      </c>
      <c r="L282" t="s">
        <v>316</v>
      </c>
      <c r="M282" s="6">
        <f>SalesTbl[[#This Row],[Unit Price]]*SalesTbl[[#This Row],[Quantity]]</f>
        <v>1500</v>
      </c>
      <c r="N282" s="6">
        <f>YEAR(SalesTbl[[#This Row],[Order Date]])</f>
        <v>2023</v>
      </c>
      <c r="O282" s="6" t="str">
        <f>TEXT(SalesTbl[[#This Row],[Order Date]],"yyyy-mm")</f>
        <v>2023-03</v>
      </c>
      <c r="P282" s="13">
        <f>WEEKNUM(SalesTbl[[#This Row],[Order Date]],2)</f>
        <v>13</v>
      </c>
      <c r="Q282" s="14">
        <f>MEDIAN(SalesTbl[Quantity])</f>
        <v>3</v>
      </c>
      <c r="R282" s="14">
        <f>IF(ISBLANK(SalesTbl[[#This Row],[Quantity]]),$H$2,SalesTbl[[#This Row],[Quantity]])</f>
        <v>5</v>
      </c>
      <c r="S282">
        <f>ROW()-ROW(SalesTbl[[#Headers],[Customer ID]])</f>
        <v>281</v>
      </c>
      <c r="T282" s="9" t="str">
        <f>IF(SalesTbl[[#This Row],[RowIdx]]&lt;=ROUNDUP(COUNTA(SalesTbl[Customer ID])*0.8,0),"Train","Test")</f>
        <v>Train</v>
      </c>
    </row>
    <row r="283" spans="1:20" x14ac:dyDescent="0.25">
      <c r="A283" t="s">
        <v>33</v>
      </c>
      <c r="B283" t="s">
        <v>20</v>
      </c>
      <c r="C283" t="s">
        <v>322</v>
      </c>
      <c r="D283" t="s">
        <v>29</v>
      </c>
      <c r="E283" t="s">
        <v>18</v>
      </c>
      <c r="F283">
        <v>67</v>
      </c>
      <c r="G283">
        <v>50</v>
      </c>
      <c r="H283">
        <v>5</v>
      </c>
      <c r="I283">
        <v>250</v>
      </c>
      <c r="J283">
        <v>10.039999999999999</v>
      </c>
      <c r="K283" s="2">
        <v>45049</v>
      </c>
      <c r="L283" t="s">
        <v>317</v>
      </c>
      <c r="M283" s="6">
        <f>SalesTbl[[#This Row],[Unit Price]]*SalesTbl[[#This Row],[Quantity]]</f>
        <v>250</v>
      </c>
      <c r="N283" s="6">
        <f>YEAR(SalesTbl[[#This Row],[Order Date]])</f>
        <v>2023</v>
      </c>
      <c r="O283" s="6" t="str">
        <f>TEXT(SalesTbl[[#This Row],[Order Date]],"yyyy-mm")</f>
        <v>2023-05</v>
      </c>
      <c r="P283" s="13">
        <f>WEEKNUM(SalesTbl[[#This Row],[Order Date]],2)</f>
        <v>19</v>
      </c>
      <c r="Q283" s="14">
        <f>MEDIAN(SalesTbl[Quantity])</f>
        <v>3</v>
      </c>
      <c r="R283" s="14">
        <f>IF(ISBLANK(SalesTbl[[#This Row],[Quantity]]),$H$2,SalesTbl[[#This Row],[Quantity]])</f>
        <v>5</v>
      </c>
      <c r="S283">
        <f>ROW()-ROW(SalesTbl[[#Headers],[Customer ID]])</f>
        <v>282</v>
      </c>
      <c r="T283" s="9" t="str">
        <f>IF(SalesTbl[[#This Row],[RowIdx]]&lt;=ROUNDUP(COUNTA(SalesTbl[Customer ID])*0.8,0),"Train","Test")</f>
        <v>Train</v>
      </c>
    </row>
    <row r="284" spans="1:20" x14ac:dyDescent="0.25">
      <c r="A284" t="s">
        <v>208</v>
      </c>
      <c r="B284" t="s">
        <v>13</v>
      </c>
      <c r="C284" t="s">
        <v>321</v>
      </c>
      <c r="D284" t="s">
        <v>29</v>
      </c>
      <c r="E284" t="s">
        <v>18</v>
      </c>
      <c r="F284">
        <v>26</v>
      </c>
      <c r="G284">
        <v>50</v>
      </c>
      <c r="H284">
        <v>4</v>
      </c>
      <c r="I284">
        <v>200</v>
      </c>
      <c r="J284">
        <v>10.23</v>
      </c>
      <c r="K284" s="2">
        <v>44950</v>
      </c>
      <c r="L284" t="s">
        <v>318</v>
      </c>
      <c r="M284" s="6">
        <f>SalesTbl[[#This Row],[Unit Price]]*SalesTbl[[#This Row],[Quantity]]</f>
        <v>200</v>
      </c>
      <c r="N284" s="6">
        <f>YEAR(SalesTbl[[#This Row],[Order Date]])</f>
        <v>2023</v>
      </c>
      <c r="O284" s="6" t="str">
        <f>TEXT(SalesTbl[[#This Row],[Order Date]],"yyyy-mm")</f>
        <v>2023-01</v>
      </c>
      <c r="P284" s="13">
        <f>WEEKNUM(SalesTbl[[#This Row],[Order Date]],2)</f>
        <v>5</v>
      </c>
      <c r="Q284" s="14">
        <f>MEDIAN(SalesTbl[Quantity])</f>
        <v>3</v>
      </c>
      <c r="R284" s="14">
        <f>IF(ISBLANK(SalesTbl[[#This Row],[Quantity]]),$H$2,SalesTbl[[#This Row],[Quantity]])</f>
        <v>4</v>
      </c>
      <c r="S284">
        <f>ROW()-ROW(SalesTbl[[#Headers],[Customer ID]])</f>
        <v>283</v>
      </c>
      <c r="T284" s="9" t="str">
        <f>IF(SalesTbl[[#This Row],[RowIdx]]&lt;=ROUNDUP(COUNTA(SalesTbl[Customer ID])*0.8,0),"Train","Test")</f>
        <v>Train</v>
      </c>
    </row>
    <row r="285" spans="1:20" x14ac:dyDescent="0.25">
      <c r="A285" t="s">
        <v>209</v>
      </c>
      <c r="B285" t="s">
        <v>13</v>
      </c>
      <c r="C285" t="s">
        <v>321</v>
      </c>
      <c r="D285" t="s">
        <v>25</v>
      </c>
      <c r="E285" t="s">
        <v>26</v>
      </c>
      <c r="F285">
        <v>41</v>
      </c>
      <c r="G285">
        <v>200</v>
      </c>
      <c r="H285">
        <v>4</v>
      </c>
      <c r="I285">
        <v>800</v>
      </c>
      <c r="J285">
        <v>8.56</v>
      </c>
      <c r="K285" s="2">
        <v>45294</v>
      </c>
      <c r="L285" t="s">
        <v>316</v>
      </c>
      <c r="M285" s="6">
        <f>SalesTbl[[#This Row],[Unit Price]]*SalesTbl[[#This Row],[Quantity]]</f>
        <v>800</v>
      </c>
      <c r="N285" s="6">
        <f>YEAR(SalesTbl[[#This Row],[Order Date]])</f>
        <v>2024</v>
      </c>
      <c r="O285" s="6" t="str">
        <f>TEXT(SalesTbl[[#This Row],[Order Date]],"yyyy-mm")</f>
        <v>2024-01</v>
      </c>
      <c r="P285" s="13">
        <f>WEEKNUM(SalesTbl[[#This Row],[Order Date]],2)</f>
        <v>1</v>
      </c>
      <c r="Q285" s="14">
        <f>MEDIAN(SalesTbl[Quantity])</f>
        <v>3</v>
      </c>
      <c r="R285" s="14">
        <f>IF(ISBLANK(SalesTbl[[#This Row],[Quantity]]),$H$2,SalesTbl[[#This Row],[Quantity]])</f>
        <v>4</v>
      </c>
      <c r="S285">
        <f>ROW()-ROW(SalesTbl[[#Headers],[Customer ID]])</f>
        <v>284</v>
      </c>
      <c r="T285" s="9" t="str">
        <f>IF(SalesTbl[[#This Row],[RowIdx]]&lt;=ROUNDUP(COUNTA(SalesTbl[Customer ID])*0.8,0),"Train","Test")</f>
        <v>Train</v>
      </c>
    </row>
    <row r="286" spans="1:20" x14ac:dyDescent="0.25">
      <c r="A286" t="s">
        <v>210</v>
      </c>
      <c r="B286" t="s">
        <v>20</v>
      </c>
      <c r="C286" t="s">
        <v>322</v>
      </c>
      <c r="D286" t="s">
        <v>40</v>
      </c>
      <c r="E286" t="s">
        <v>15</v>
      </c>
      <c r="F286">
        <v>49</v>
      </c>
      <c r="G286">
        <v>800</v>
      </c>
      <c r="H286">
        <v>5</v>
      </c>
      <c r="I286">
        <v>4000</v>
      </c>
      <c r="J286">
        <v>10.52</v>
      </c>
      <c r="K286" s="2">
        <v>45261</v>
      </c>
      <c r="L286" t="s">
        <v>318</v>
      </c>
      <c r="M286" s="6">
        <f>SalesTbl[[#This Row],[Unit Price]]*SalesTbl[[#This Row],[Quantity]]</f>
        <v>4000</v>
      </c>
      <c r="N286" s="6">
        <f>YEAR(SalesTbl[[#This Row],[Order Date]])</f>
        <v>2023</v>
      </c>
      <c r="O286" s="6" t="str">
        <f>TEXT(SalesTbl[[#This Row],[Order Date]],"yyyy-mm")</f>
        <v>2023-12</v>
      </c>
      <c r="P286" s="13">
        <f>WEEKNUM(SalesTbl[[#This Row],[Order Date]],2)</f>
        <v>49</v>
      </c>
      <c r="Q286" s="14">
        <f>MEDIAN(SalesTbl[Quantity])</f>
        <v>3</v>
      </c>
      <c r="R286" s="14">
        <f>IF(ISBLANK(SalesTbl[[#This Row],[Quantity]]),$H$2,SalesTbl[[#This Row],[Quantity]])</f>
        <v>5</v>
      </c>
      <c r="S286">
        <f>ROW()-ROW(SalesTbl[[#Headers],[Customer ID]])</f>
        <v>285</v>
      </c>
      <c r="T286" s="9" t="str">
        <f>IF(SalesTbl[[#This Row],[RowIdx]]&lt;=ROUNDUP(COUNTA(SalesTbl[Customer ID])*0.8,0),"Train","Test")</f>
        <v>Train</v>
      </c>
    </row>
    <row r="287" spans="1:20" x14ac:dyDescent="0.25">
      <c r="A287" t="s">
        <v>175</v>
      </c>
      <c r="B287" t="s">
        <v>13</v>
      </c>
      <c r="C287" t="s">
        <v>322</v>
      </c>
      <c r="D287" t="s">
        <v>14</v>
      </c>
      <c r="E287" t="s">
        <v>15</v>
      </c>
      <c r="F287">
        <v>58</v>
      </c>
      <c r="G287">
        <v>300</v>
      </c>
      <c r="H287">
        <v>5</v>
      </c>
      <c r="I287">
        <v>1500</v>
      </c>
      <c r="J287">
        <v>19.72</v>
      </c>
      <c r="K287" s="2">
        <v>45062</v>
      </c>
      <c r="L287" t="s">
        <v>318</v>
      </c>
      <c r="M287" s="6">
        <f>SalesTbl[[#This Row],[Unit Price]]*SalesTbl[[#This Row],[Quantity]]</f>
        <v>1500</v>
      </c>
      <c r="N287" s="6">
        <f>YEAR(SalesTbl[[#This Row],[Order Date]])</f>
        <v>2023</v>
      </c>
      <c r="O287" s="6" t="str">
        <f>TEXT(SalesTbl[[#This Row],[Order Date]],"yyyy-mm")</f>
        <v>2023-05</v>
      </c>
      <c r="P287" s="13">
        <f>WEEKNUM(SalesTbl[[#This Row],[Order Date]],2)</f>
        <v>21</v>
      </c>
      <c r="Q287" s="14">
        <f>MEDIAN(SalesTbl[Quantity])</f>
        <v>3</v>
      </c>
      <c r="R287" s="14">
        <f>IF(ISBLANK(SalesTbl[[#This Row],[Quantity]]),$H$2,SalesTbl[[#This Row],[Quantity]])</f>
        <v>5</v>
      </c>
      <c r="S287">
        <f>ROW()-ROW(SalesTbl[[#Headers],[Customer ID]])</f>
        <v>286</v>
      </c>
      <c r="T287" s="9" t="str">
        <f>IF(SalesTbl[[#This Row],[RowIdx]]&lt;=ROUNDUP(COUNTA(SalesTbl[Customer ID])*0.8,0),"Train","Test")</f>
        <v>Train</v>
      </c>
    </row>
    <row r="288" spans="1:20" x14ac:dyDescent="0.25">
      <c r="A288" t="s">
        <v>211</v>
      </c>
      <c r="B288" t="s">
        <v>13</v>
      </c>
      <c r="C288" t="s">
        <v>322</v>
      </c>
      <c r="D288" t="s">
        <v>30</v>
      </c>
      <c r="E288" t="s">
        <v>18</v>
      </c>
      <c r="F288">
        <v>66</v>
      </c>
      <c r="G288">
        <v>30</v>
      </c>
      <c r="H288">
        <v>2</v>
      </c>
      <c r="I288">
        <v>60</v>
      </c>
      <c r="J288">
        <v>9.19</v>
      </c>
      <c r="K288" s="2">
        <v>45053</v>
      </c>
      <c r="L288" t="s">
        <v>317</v>
      </c>
      <c r="M288" s="6">
        <f>SalesTbl[[#This Row],[Unit Price]]*SalesTbl[[#This Row],[Quantity]]</f>
        <v>60</v>
      </c>
      <c r="N288" s="6">
        <f>YEAR(SalesTbl[[#This Row],[Order Date]])</f>
        <v>2023</v>
      </c>
      <c r="O288" s="6" t="str">
        <f>TEXT(SalesTbl[[#This Row],[Order Date]],"yyyy-mm")</f>
        <v>2023-05</v>
      </c>
      <c r="P288" s="13">
        <f>WEEKNUM(SalesTbl[[#This Row],[Order Date]],2)</f>
        <v>19</v>
      </c>
      <c r="Q288" s="14">
        <f>MEDIAN(SalesTbl[Quantity])</f>
        <v>3</v>
      </c>
      <c r="R288" s="14">
        <f>IF(ISBLANK(SalesTbl[[#This Row],[Quantity]]),$H$2,SalesTbl[[#This Row],[Quantity]])</f>
        <v>2</v>
      </c>
      <c r="S288">
        <f>ROW()-ROW(SalesTbl[[#Headers],[Customer ID]])</f>
        <v>287</v>
      </c>
      <c r="T288" s="9" t="str">
        <f>IF(SalesTbl[[#This Row],[RowIdx]]&lt;=ROUNDUP(COUNTA(SalesTbl[Customer ID])*0.8,0),"Train","Test")</f>
        <v>Train</v>
      </c>
    </row>
    <row r="289" spans="1:20" x14ac:dyDescent="0.25">
      <c r="A289" t="s">
        <v>212</v>
      </c>
      <c r="B289" t="s">
        <v>20</v>
      </c>
      <c r="C289" t="s">
        <v>321</v>
      </c>
      <c r="D289" t="s">
        <v>17</v>
      </c>
      <c r="E289" t="s">
        <v>18</v>
      </c>
      <c r="F289">
        <v>67</v>
      </c>
      <c r="G289">
        <v>100</v>
      </c>
      <c r="H289">
        <v>2</v>
      </c>
      <c r="I289">
        <v>200</v>
      </c>
      <c r="J289">
        <v>19.579999999999998</v>
      </c>
      <c r="K289" s="2">
        <v>45078</v>
      </c>
      <c r="L289" t="s">
        <v>316</v>
      </c>
      <c r="M289" s="6">
        <f>SalesTbl[[#This Row],[Unit Price]]*SalesTbl[[#This Row],[Quantity]]</f>
        <v>200</v>
      </c>
      <c r="N289" s="6">
        <f>YEAR(SalesTbl[[#This Row],[Order Date]])</f>
        <v>2023</v>
      </c>
      <c r="O289" s="6" t="str">
        <f>TEXT(SalesTbl[[#This Row],[Order Date]],"yyyy-mm")</f>
        <v>2023-06</v>
      </c>
      <c r="P289" s="13">
        <f>WEEKNUM(SalesTbl[[#This Row],[Order Date]],2)</f>
        <v>23</v>
      </c>
      <c r="Q289" s="14">
        <f>MEDIAN(SalesTbl[Quantity])</f>
        <v>3</v>
      </c>
      <c r="R289" s="14">
        <f>IF(ISBLANK(SalesTbl[[#This Row],[Quantity]]),$H$2,SalesTbl[[#This Row],[Quantity]])</f>
        <v>2</v>
      </c>
      <c r="S289">
        <f>ROW()-ROW(SalesTbl[[#Headers],[Customer ID]])</f>
        <v>288</v>
      </c>
      <c r="T289" s="9" t="str">
        <f>IF(SalesTbl[[#This Row],[RowIdx]]&lt;=ROUNDUP(COUNTA(SalesTbl[Customer ID])*0.8,0),"Train","Test")</f>
        <v>Train</v>
      </c>
    </row>
    <row r="290" spans="1:20" x14ac:dyDescent="0.25">
      <c r="A290" t="s">
        <v>56</v>
      </c>
      <c r="B290" t="s">
        <v>13</v>
      </c>
      <c r="C290" t="s">
        <v>320</v>
      </c>
      <c r="D290" t="s">
        <v>40</v>
      </c>
      <c r="E290" t="s">
        <v>15</v>
      </c>
      <c r="F290">
        <v>35</v>
      </c>
      <c r="G290">
        <v>800</v>
      </c>
      <c r="H290">
        <v>5</v>
      </c>
      <c r="I290">
        <v>4000</v>
      </c>
      <c r="J290">
        <v>15.61</v>
      </c>
      <c r="K290" s="2">
        <v>44953</v>
      </c>
      <c r="L290" t="s">
        <v>317</v>
      </c>
      <c r="M290" s="6">
        <f>SalesTbl[[#This Row],[Unit Price]]*SalesTbl[[#This Row],[Quantity]]</f>
        <v>4000</v>
      </c>
      <c r="N290" s="6">
        <f>YEAR(SalesTbl[[#This Row],[Order Date]])</f>
        <v>2023</v>
      </c>
      <c r="O290" s="6" t="str">
        <f>TEXT(SalesTbl[[#This Row],[Order Date]],"yyyy-mm")</f>
        <v>2023-01</v>
      </c>
      <c r="P290" s="13">
        <f>WEEKNUM(SalesTbl[[#This Row],[Order Date]],2)</f>
        <v>5</v>
      </c>
      <c r="Q290" s="14">
        <f>MEDIAN(SalesTbl[Quantity])</f>
        <v>3</v>
      </c>
      <c r="R290" s="14">
        <f>IF(ISBLANK(SalesTbl[[#This Row],[Quantity]]),$H$2,SalesTbl[[#This Row],[Quantity]])</f>
        <v>5</v>
      </c>
      <c r="S290">
        <f>ROW()-ROW(SalesTbl[[#Headers],[Customer ID]])</f>
        <v>289</v>
      </c>
      <c r="T290" s="9" t="str">
        <f>IF(SalesTbl[[#This Row],[RowIdx]]&lt;=ROUNDUP(COUNTA(SalesTbl[Customer ID])*0.8,0),"Train","Test")</f>
        <v>Train</v>
      </c>
    </row>
    <row r="291" spans="1:20" x14ac:dyDescent="0.25">
      <c r="A291" t="s">
        <v>188</v>
      </c>
      <c r="B291" t="s">
        <v>13</v>
      </c>
      <c r="C291" t="s">
        <v>322</v>
      </c>
      <c r="D291" t="s">
        <v>29</v>
      </c>
      <c r="E291" t="s">
        <v>18</v>
      </c>
      <c r="F291">
        <v>52</v>
      </c>
      <c r="G291">
        <v>50</v>
      </c>
      <c r="H291">
        <v>2</v>
      </c>
      <c r="I291">
        <v>100</v>
      </c>
      <c r="J291">
        <v>13.78</v>
      </c>
      <c r="K291" s="2">
        <v>45173</v>
      </c>
      <c r="L291" t="s">
        <v>318</v>
      </c>
      <c r="M291" s="6">
        <f>SalesTbl[[#This Row],[Unit Price]]*SalesTbl[[#This Row],[Quantity]]</f>
        <v>100</v>
      </c>
      <c r="N291" s="6">
        <f>YEAR(SalesTbl[[#This Row],[Order Date]])</f>
        <v>2023</v>
      </c>
      <c r="O291" s="6" t="str">
        <f>TEXT(SalesTbl[[#This Row],[Order Date]],"yyyy-mm")</f>
        <v>2023-09</v>
      </c>
      <c r="P291" s="13">
        <f>WEEKNUM(SalesTbl[[#This Row],[Order Date]],2)</f>
        <v>37</v>
      </c>
      <c r="Q291" s="14">
        <f>MEDIAN(SalesTbl[Quantity])</f>
        <v>3</v>
      </c>
      <c r="R291" s="14">
        <f>IF(ISBLANK(SalesTbl[[#This Row],[Quantity]]),$H$2,SalesTbl[[#This Row],[Quantity]])</f>
        <v>2</v>
      </c>
      <c r="S291">
        <f>ROW()-ROW(SalesTbl[[#Headers],[Customer ID]])</f>
        <v>290</v>
      </c>
      <c r="T291" s="9" t="str">
        <f>IF(SalesTbl[[#This Row],[RowIdx]]&lt;=ROUNDUP(COUNTA(SalesTbl[Customer ID])*0.8,0),"Train","Test")</f>
        <v>Train</v>
      </c>
    </row>
    <row r="292" spans="1:20" x14ac:dyDescent="0.25">
      <c r="A292" t="s">
        <v>182</v>
      </c>
      <c r="B292" t="s">
        <v>20</v>
      </c>
      <c r="C292" t="s">
        <v>323</v>
      </c>
      <c r="D292" t="s">
        <v>30</v>
      </c>
      <c r="E292" t="s">
        <v>18</v>
      </c>
      <c r="F292">
        <v>32</v>
      </c>
      <c r="G292">
        <v>30</v>
      </c>
      <c r="H292">
        <v>5</v>
      </c>
      <c r="I292">
        <v>150</v>
      </c>
      <c r="J292">
        <v>15.68</v>
      </c>
      <c r="K292" s="2">
        <v>45236</v>
      </c>
      <c r="L292" t="s">
        <v>318</v>
      </c>
      <c r="M292" s="6">
        <f>SalesTbl[[#This Row],[Unit Price]]*SalesTbl[[#This Row],[Quantity]]</f>
        <v>150</v>
      </c>
      <c r="N292" s="6">
        <f>YEAR(SalesTbl[[#This Row],[Order Date]])</f>
        <v>2023</v>
      </c>
      <c r="O292" s="6" t="str">
        <f>TEXT(SalesTbl[[#This Row],[Order Date]],"yyyy-mm")</f>
        <v>2023-11</v>
      </c>
      <c r="P292" s="13">
        <f>WEEKNUM(SalesTbl[[#This Row],[Order Date]],2)</f>
        <v>46</v>
      </c>
      <c r="Q292" s="14">
        <f>MEDIAN(SalesTbl[Quantity])</f>
        <v>3</v>
      </c>
      <c r="R292" s="14">
        <f>IF(ISBLANK(SalesTbl[[#This Row],[Quantity]]),$H$2,SalesTbl[[#This Row],[Quantity]])</f>
        <v>5</v>
      </c>
      <c r="S292">
        <f>ROW()-ROW(SalesTbl[[#Headers],[Customer ID]])</f>
        <v>291</v>
      </c>
      <c r="T292" s="9" t="str">
        <f>IF(SalesTbl[[#This Row],[RowIdx]]&lt;=ROUNDUP(COUNTA(SalesTbl[Customer ID])*0.8,0),"Train","Test")</f>
        <v>Train</v>
      </c>
    </row>
    <row r="293" spans="1:20" x14ac:dyDescent="0.25">
      <c r="A293" t="s">
        <v>114</v>
      </c>
      <c r="B293" t="s">
        <v>20</v>
      </c>
      <c r="C293" t="s">
        <v>319</v>
      </c>
      <c r="D293" t="s">
        <v>25</v>
      </c>
      <c r="E293" t="s">
        <v>26</v>
      </c>
      <c r="F293">
        <v>33</v>
      </c>
      <c r="G293">
        <v>200</v>
      </c>
      <c r="H293">
        <v>1</v>
      </c>
      <c r="I293">
        <v>200</v>
      </c>
      <c r="J293">
        <v>14.86</v>
      </c>
      <c r="K293" s="2">
        <v>45193</v>
      </c>
      <c r="L293" t="s">
        <v>316</v>
      </c>
      <c r="M293" s="6">
        <f>SalesTbl[[#This Row],[Unit Price]]*SalesTbl[[#This Row],[Quantity]]</f>
        <v>200</v>
      </c>
      <c r="N293" s="6">
        <f>YEAR(SalesTbl[[#This Row],[Order Date]])</f>
        <v>2023</v>
      </c>
      <c r="O293" s="6" t="str">
        <f>TEXT(SalesTbl[[#This Row],[Order Date]],"yyyy-mm")</f>
        <v>2023-09</v>
      </c>
      <c r="P293" s="13">
        <f>WEEKNUM(SalesTbl[[#This Row],[Order Date]],2)</f>
        <v>39</v>
      </c>
      <c r="Q293" s="14">
        <f>MEDIAN(SalesTbl[Quantity])</f>
        <v>3</v>
      </c>
      <c r="R293" s="14">
        <f>IF(ISBLANK(SalesTbl[[#This Row],[Quantity]]),$H$2,SalesTbl[[#This Row],[Quantity]])</f>
        <v>1</v>
      </c>
      <c r="S293">
        <f>ROW()-ROW(SalesTbl[[#Headers],[Customer ID]])</f>
        <v>292</v>
      </c>
      <c r="T293" s="9" t="str">
        <f>IF(SalesTbl[[#This Row],[RowIdx]]&lt;=ROUNDUP(COUNTA(SalesTbl[Customer ID])*0.8,0),"Train","Test")</f>
        <v>Train</v>
      </c>
    </row>
    <row r="294" spans="1:20" x14ac:dyDescent="0.25">
      <c r="A294" t="s">
        <v>172</v>
      </c>
      <c r="B294" t="s">
        <v>13</v>
      </c>
      <c r="C294" t="s">
        <v>320</v>
      </c>
      <c r="D294" t="s">
        <v>25</v>
      </c>
      <c r="E294" t="s">
        <v>26</v>
      </c>
      <c r="F294">
        <v>57</v>
      </c>
      <c r="G294">
        <v>200</v>
      </c>
      <c r="H294">
        <v>1</v>
      </c>
      <c r="I294">
        <v>200</v>
      </c>
      <c r="J294">
        <v>13.34</v>
      </c>
      <c r="K294" s="2">
        <v>45177</v>
      </c>
      <c r="L294" t="s">
        <v>316</v>
      </c>
      <c r="M294" s="6">
        <f>SalesTbl[[#This Row],[Unit Price]]*SalesTbl[[#This Row],[Quantity]]</f>
        <v>200</v>
      </c>
      <c r="N294" s="6">
        <f>YEAR(SalesTbl[[#This Row],[Order Date]])</f>
        <v>2023</v>
      </c>
      <c r="O294" s="6" t="str">
        <f>TEXT(SalesTbl[[#This Row],[Order Date]],"yyyy-mm")</f>
        <v>2023-09</v>
      </c>
      <c r="P294" s="13">
        <f>WEEKNUM(SalesTbl[[#This Row],[Order Date]],2)</f>
        <v>37</v>
      </c>
      <c r="Q294" s="14">
        <f>MEDIAN(SalesTbl[Quantity])</f>
        <v>3</v>
      </c>
      <c r="R294" s="14">
        <f>IF(ISBLANK(SalesTbl[[#This Row],[Quantity]]),$H$2,SalesTbl[[#This Row],[Quantity]])</f>
        <v>1</v>
      </c>
      <c r="S294">
        <f>ROW()-ROW(SalesTbl[[#Headers],[Customer ID]])</f>
        <v>293</v>
      </c>
      <c r="T294" s="9" t="str">
        <f>IF(SalesTbl[[#This Row],[RowIdx]]&lt;=ROUNDUP(COUNTA(SalesTbl[Customer ID])*0.8,0),"Train","Test")</f>
        <v>Train</v>
      </c>
    </row>
    <row r="295" spans="1:20" x14ac:dyDescent="0.25">
      <c r="A295" t="s">
        <v>174</v>
      </c>
      <c r="B295" t="s">
        <v>20</v>
      </c>
      <c r="C295" t="s">
        <v>322</v>
      </c>
      <c r="D295" t="s">
        <v>23</v>
      </c>
      <c r="E295" t="s">
        <v>15</v>
      </c>
      <c r="F295">
        <v>54</v>
      </c>
      <c r="G295">
        <v>1500</v>
      </c>
      <c r="H295">
        <v>5</v>
      </c>
      <c r="I295">
        <v>7500</v>
      </c>
      <c r="J295">
        <v>5.0199999999999996</v>
      </c>
      <c r="K295" s="2">
        <v>45166</v>
      </c>
      <c r="L295" t="s">
        <v>316</v>
      </c>
      <c r="M295" s="6">
        <f>SalesTbl[[#This Row],[Unit Price]]*SalesTbl[[#This Row],[Quantity]]</f>
        <v>7500</v>
      </c>
      <c r="N295" s="6">
        <f>YEAR(SalesTbl[[#This Row],[Order Date]])</f>
        <v>2023</v>
      </c>
      <c r="O295" s="6" t="str">
        <f>TEXT(SalesTbl[[#This Row],[Order Date]],"yyyy-mm")</f>
        <v>2023-08</v>
      </c>
      <c r="P295" s="13">
        <f>WEEKNUM(SalesTbl[[#This Row],[Order Date]],2)</f>
        <v>36</v>
      </c>
      <c r="Q295" s="14">
        <f>MEDIAN(SalesTbl[Quantity])</f>
        <v>3</v>
      </c>
      <c r="R295" s="14">
        <f>IF(ISBLANK(SalesTbl[[#This Row],[Quantity]]),$H$2,SalesTbl[[#This Row],[Quantity]])</f>
        <v>5</v>
      </c>
      <c r="S295">
        <f>ROW()-ROW(SalesTbl[[#Headers],[Customer ID]])</f>
        <v>294</v>
      </c>
      <c r="T295" s="9" t="str">
        <f>IF(SalesTbl[[#This Row],[RowIdx]]&lt;=ROUNDUP(COUNTA(SalesTbl[Customer ID])*0.8,0),"Train","Test")</f>
        <v>Train</v>
      </c>
    </row>
    <row r="296" spans="1:20" x14ac:dyDescent="0.25">
      <c r="A296" t="s">
        <v>213</v>
      </c>
      <c r="B296" t="s">
        <v>13</v>
      </c>
      <c r="C296" t="s">
        <v>321</v>
      </c>
      <c r="D296" t="s">
        <v>25</v>
      </c>
      <c r="E296" t="s">
        <v>26</v>
      </c>
      <c r="F296">
        <v>49</v>
      </c>
      <c r="G296">
        <v>200</v>
      </c>
      <c r="H296">
        <v>4</v>
      </c>
      <c r="I296">
        <v>800</v>
      </c>
      <c r="J296">
        <v>18.559999999999999</v>
      </c>
      <c r="K296" s="2">
        <v>45003</v>
      </c>
      <c r="L296" t="s">
        <v>318</v>
      </c>
      <c r="M296" s="6">
        <f>SalesTbl[[#This Row],[Unit Price]]*SalesTbl[[#This Row],[Quantity]]</f>
        <v>800</v>
      </c>
      <c r="N296" s="6">
        <f>YEAR(SalesTbl[[#This Row],[Order Date]])</f>
        <v>2023</v>
      </c>
      <c r="O296" s="6" t="str">
        <f>TEXT(SalesTbl[[#This Row],[Order Date]],"yyyy-mm")</f>
        <v>2023-03</v>
      </c>
      <c r="P296" s="13">
        <f>WEEKNUM(SalesTbl[[#This Row],[Order Date]],2)</f>
        <v>12</v>
      </c>
      <c r="Q296" s="14">
        <f>MEDIAN(SalesTbl[Quantity])</f>
        <v>3</v>
      </c>
      <c r="R296" s="14">
        <f>IF(ISBLANK(SalesTbl[[#This Row],[Quantity]]),$H$2,SalesTbl[[#This Row],[Quantity]])</f>
        <v>4</v>
      </c>
      <c r="S296">
        <f>ROW()-ROW(SalesTbl[[#Headers],[Customer ID]])</f>
        <v>295</v>
      </c>
      <c r="T296" s="9" t="str">
        <f>IF(SalesTbl[[#This Row],[RowIdx]]&lt;=ROUNDUP(COUNTA(SalesTbl[Customer ID])*0.8,0),"Train","Test")</f>
        <v>Train</v>
      </c>
    </row>
    <row r="297" spans="1:20" x14ac:dyDescent="0.25">
      <c r="A297" t="s">
        <v>112</v>
      </c>
      <c r="B297" t="s">
        <v>20</v>
      </c>
      <c r="C297" t="s">
        <v>322</v>
      </c>
      <c r="D297" t="s">
        <v>17</v>
      </c>
      <c r="E297" t="s">
        <v>18</v>
      </c>
      <c r="F297">
        <v>40</v>
      </c>
      <c r="G297">
        <v>100</v>
      </c>
      <c r="H297">
        <v>5</v>
      </c>
      <c r="I297">
        <v>500</v>
      </c>
      <c r="J297">
        <v>14.22</v>
      </c>
      <c r="K297" s="2">
        <v>44959</v>
      </c>
      <c r="L297" t="s">
        <v>318</v>
      </c>
      <c r="M297" s="6">
        <f>SalesTbl[[#This Row],[Unit Price]]*SalesTbl[[#This Row],[Quantity]]</f>
        <v>500</v>
      </c>
      <c r="N297" s="6">
        <f>YEAR(SalesTbl[[#This Row],[Order Date]])</f>
        <v>2023</v>
      </c>
      <c r="O297" s="6" t="str">
        <f>TEXT(SalesTbl[[#This Row],[Order Date]],"yyyy-mm")</f>
        <v>2023-02</v>
      </c>
      <c r="P297" s="13">
        <f>WEEKNUM(SalesTbl[[#This Row],[Order Date]],2)</f>
        <v>6</v>
      </c>
      <c r="Q297" s="14">
        <f>MEDIAN(SalesTbl[Quantity])</f>
        <v>3</v>
      </c>
      <c r="R297" s="14">
        <f>IF(ISBLANK(SalesTbl[[#This Row],[Quantity]]),$H$2,SalesTbl[[#This Row],[Quantity]])</f>
        <v>5</v>
      </c>
      <c r="S297">
        <f>ROW()-ROW(SalesTbl[[#Headers],[Customer ID]])</f>
        <v>296</v>
      </c>
      <c r="T297" s="9" t="str">
        <f>IF(SalesTbl[[#This Row],[RowIdx]]&lt;=ROUNDUP(COUNTA(SalesTbl[Customer ID])*0.8,0),"Train","Test")</f>
        <v>Train</v>
      </c>
    </row>
    <row r="298" spans="1:20" x14ac:dyDescent="0.25">
      <c r="A298" t="s">
        <v>214</v>
      </c>
      <c r="B298" t="s">
        <v>13</v>
      </c>
      <c r="C298" t="s">
        <v>320</v>
      </c>
      <c r="D298" t="s">
        <v>17</v>
      </c>
      <c r="E298" t="s">
        <v>18</v>
      </c>
      <c r="F298">
        <v>67</v>
      </c>
      <c r="G298">
        <v>100</v>
      </c>
      <c r="H298">
        <v>5</v>
      </c>
      <c r="I298">
        <v>500</v>
      </c>
      <c r="J298">
        <v>13.85</v>
      </c>
      <c r="K298" s="2">
        <v>45000</v>
      </c>
      <c r="L298" t="s">
        <v>316</v>
      </c>
      <c r="M298" s="6">
        <f>SalesTbl[[#This Row],[Unit Price]]*SalesTbl[[#This Row],[Quantity]]</f>
        <v>500</v>
      </c>
      <c r="N298" s="6">
        <f>YEAR(SalesTbl[[#This Row],[Order Date]])</f>
        <v>2023</v>
      </c>
      <c r="O298" s="6" t="str">
        <f>TEXT(SalesTbl[[#This Row],[Order Date]],"yyyy-mm")</f>
        <v>2023-03</v>
      </c>
      <c r="P298" s="13">
        <f>WEEKNUM(SalesTbl[[#This Row],[Order Date]],2)</f>
        <v>12</v>
      </c>
      <c r="Q298" s="14">
        <f>MEDIAN(SalesTbl[Quantity])</f>
        <v>3</v>
      </c>
      <c r="R298" s="14">
        <f>IF(ISBLANK(SalesTbl[[#This Row],[Quantity]]),$H$2,SalesTbl[[#This Row],[Quantity]])</f>
        <v>5</v>
      </c>
      <c r="S298">
        <f>ROW()-ROW(SalesTbl[[#Headers],[Customer ID]])</f>
        <v>297</v>
      </c>
      <c r="T298" s="9" t="str">
        <f>IF(SalesTbl[[#This Row],[RowIdx]]&lt;=ROUNDUP(COUNTA(SalesTbl[Customer ID])*0.8,0),"Train","Test")</f>
        <v>Train</v>
      </c>
    </row>
    <row r="299" spans="1:20" x14ac:dyDescent="0.25">
      <c r="A299" t="s">
        <v>34</v>
      </c>
      <c r="B299" t="s">
        <v>20</v>
      </c>
      <c r="C299" t="s">
        <v>320</v>
      </c>
      <c r="D299" t="s">
        <v>30</v>
      </c>
      <c r="E299" t="s">
        <v>18</v>
      </c>
      <c r="F299">
        <v>41</v>
      </c>
      <c r="G299">
        <v>30</v>
      </c>
      <c r="H299">
        <v>3</v>
      </c>
      <c r="I299">
        <v>90</v>
      </c>
      <c r="J299">
        <v>18.37</v>
      </c>
      <c r="K299" s="2">
        <v>45294</v>
      </c>
      <c r="L299" t="s">
        <v>316</v>
      </c>
      <c r="M299" s="6">
        <f>SalesTbl[[#This Row],[Unit Price]]*SalesTbl[[#This Row],[Quantity]]</f>
        <v>90</v>
      </c>
      <c r="N299" s="6">
        <f>YEAR(SalesTbl[[#This Row],[Order Date]])</f>
        <v>2024</v>
      </c>
      <c r="O299" s="6" t="str">
        <f>TEXT(SalesTbl[[#This Row],[Order Date]],"yyyy-mm")</f>
        <v>2024-01</v>
      </c>
      <c r="P299" s="13">
        <f>WEEKNUM(SalesTbl[[#This Row],[Order Date]],2)</f>
        <v>1</v>
      </c>
      <c r="Q299" s="14">
        <f>MEDIAN(SalesTbl[Quantity])</f>
        <v>3</v>
      </c>
      <c r="R299" s="14">
        <f>IF(ISBLANK(SalesTbl[[#This Row],[Quantity]]),$H$2,SalesTbl[[#This Row],[Quantity]])</f>
        <v>3</v>
      </c>
      <c r="S299">
        <f>ROW()-ROW(SalesTbl[[#Headers],[Customer ID]])</f>
        <v>298</v>
      </c>
      <c r="T299" s="9" t="str">
        <f>IF(SalesTbl[[#This Row],[RowIdx]]&lt;=ROUNDUP(COUNTA(SalesTbl[Customer ID])*0.8,0),"Train","Test")</f>
        <v>Train</v>
      </c>
    </row>
    <row r="300" spans="1:20" x14ac:dyDescent="0.25">
      <c r="A300" t="s">
        <v>92</v>
      </c>
      <c r="B300" t="s">
        <v>13</v>
      </c>
      <c r="C300" t="s">
        <v>321</v>
      </c>
      <c r="D300" t="s">
        <v>40</v>
      </c>
      <c r="E300" t="s">
        <v>15</v>
      </c>
      <c r="F300">
        <v>63</v>
      </c>
      <c r="G300">
        <v>800</v>
      </c>
      <c r="H300">
        <v>2</v>
      </c>
      <c r="I300">
        <v>1600</v>
      </c>
      <c r="J300">
        <v>19.63</v>
      </c>
      <c r="K300" s="2">
        <v>45287</v>
      </c>
      <c r="L300" t="s">
        <v>318</v>
      </c>
      <c r="M300" s="6">
        <f>SalesTbl[[#This Row],[Unit Price]]*SalesTbl[[#This Row],[Quantity]]</f>
        <v>1600</v>
      </c>
      <c r="N300" s="6">
        <f>YEAR(SalesTbl[[#This Row],[Order Date]])</f>
        <v>2023</v>
      </c>
      <c r="O300" s="6" t="str">
        <f>TEXT(SalesTbl[[#This Row],[Order Date]],"yyyy-mm")</f>
        <v>2023-12</v>
      </c>
      <c r="P300" s="13">
        <f>WEEKNUM(SalesTbl[[#This Row],[Order Date]],2)</f>
        <v>53</v>
      </c>
      <c r="Q300" s="14">
        <f>MEDIAN(SalesTbl[Quantity])</f>
        <v>3</v>
      </c>
      <c r="R300" s="14">
        <f>IF(ISBLANK(SalesTbl[[#This Row],[Quantity]]),$H$2,SalesTbl[[#This Row],[Quantity]])</f>
        <v>2</v>
      </c>
      <c r="S300">
        <f>ROW()-ROW(SalesTbl[[#Headers],[Customer ID]])</f>
        <v>299</v>
      </c>
      <c r="T300" s="9" t="str">
        <f>IF(SalesTbl[[#This Row],[RowIdx]]&lt;=ROUNDUP(COUNTA(SalesTbl[Customer ID])*0.8,0),"Train","Test")</f>
        <v>Train</v>
      </c>
    </row>
    <row r="301" spans="1:20" x14ac:dyDescent="0.25">
      <c r="A301" t="s">
        <v>108</v>
      </c>
      <c r="B301" t="s">
        <v>13</v>
      </c>
      <c r="C301" t="s">
        <v>320</v>
      </c>
      <c r="D301" t="s">
        <v>40</v>
      </c>
      <c r="E301" t="s">
        <v>15</v>
      </c>
      <c r="F301">
        <v>25</v>
      </c>
      <c r="G301">
        <v>800</v>
      </c>
      <c r="H301">
        <v>1</v>
      </c>
      <c r="I301">
        <v>800</v>
      </c>
      <c r="J301">
        <v>5.64</v>
      </c>
      <c r="K301" s="2">
        <v>45192</v>
      </c>
      <c r="L301" t="s">
        <v>317</v>
      </c>
      <c r="M301" s="6">
        <f>SalesTbl[[#This Row],[Unit Price]]*SalesTbl[[#This Row],[Quantity]]</f>
        <v>800</v>
      </c>
      <c r="N301" s="6">
        <f>YEAR(SalesTbl[[#This Row],[Order Date]])</f>
        <v>2023</v>
      </c>
      <c r="O301" s="6" t="str">
        <f>TEXT(SalesTbl[[#This Row],[Order Date]],"yyyy-mm")</f>
        <v>2023-09</v>
      </c>
      <c r="P301" s="13">
        <f>WEEKNUM(SalesTbl[[#This Row],[Order Date]],2)</f>
        <v>39</v>
      </c>
      <c r="Q301" s="14">
        <f>MEDIAN(SalesTbl[Quantity])</f>
        <v>3</v>
      </c>
      <c r="R301" s="14">
        <f>IF(ISBLANK(SalesTbl[[#This Row],[Quantity]]),$H$2,SalesTbl[[#This Row],[Quantity]])</f>
        <v>1</v>
      </c>
      <c r="S301">
        <f>ROW()-ROW(SalesTbl[[#Headers],[Customer ID]])</f>
        <v>300</v>
      </c>
      <c r="T301" s="9" t="str">
        <f>IF(SalesTbl[[#This Row],[RowIdx]]&lt;=ROUNDUP(COUNTA(SalesTbl[Customer ID])*0.8,0),"Train","Test")</f>
        <v>Train</v>
      </c>
    </row>
    <row r="302" spans="1:20" x14ac:dyDescent="0.25">
      <c r="A302" t="s">
        <v>199</v>
      </c>
      <c r="B302" t="s">
        <v>13</v>
      </c>
      <c r="C302" t="s">
        <v>320</v>
      </c>
      <c r="D302" t="s">
        <v>23</v>
      </c>
      <c r="E302" t="s">
        <v>15</v>
      </c>
      <c r="F302">
        <v>50</v>
      </c>
      <c r="G302">
        <v>1500</v>
      </c>
      <c r="H302">
        <v>5</v>
      </c>
      <c r="I302">
        <v>7500</v>
      </c>
      <c r="J302">
        <v>15.14</v>
      </c>
      <c r="K302" s="2">
        <v>45085</v>
      </c>
      <c r="L302" t="s">
        <v>317</v>
      </c>
      <c r="M302" s="6">
        <f>SalesTbl[[#This Row],[Unit Price]]*SalesTbl[[#This Row],[Quantity]]</f>
        <v>7500</v>
      </c>
      <c r="N302" s="6">
        <f>YEAR(SalesTbl[[#This Row],[Order Date]])</f>
        <v>2023</v>
      </c>
      <c r="O302" s="6" t="str">
        <f>TEXT(SalesTbl[[#This Row],[Order Date]],"yyyy-mm")</f>
        <v>2023-06</v>
      </c>
      <c r="P302" s="13">
        <f>WEEKNUM(SalesTbl[[#This Row],[Order Date]],2)</f>
        <v>24</v>
      </c>
      <c r="Q302" s="14">
        <f>MEDIAN(SalesTbl[Quantity])</f>
        <v>3</v>
      </c>
      <c r="R302" s="14">
        <f>IF(ISBLANK(SalesTbl[[#This Row],[Quantity]]),$H$2,SalesTbl[[#This Row],[Quantity]])</f>
        <v>5</v>
      </c>
      <c r="S302">
        <f>ROW()-ROW(SalesTbl[[#Headers],[Customer ID]])</f>
        <v>301</v>
      </c>
      <c r="T302" s="9" t="str">
        <f>IF(SalesTbl[[#This Row],[RowIdx]]&lt;=ROUNDUP(COUNTA(SalesTbl[Customer ID])*0.8,0),"Train","Test")</f>
        <v>Train</v>
      </c>
    </row>
    <row r="303" spans="1:20" x14ac:dyDescent="0.25">
      <c r="A303" t="s">
        <v>146</v>
      </c>
      <c r="B303" t="s">
        <v>13</v>
      </c>
      <c r="C303" t="s">
        <v>321</v>
      </c>
      <c r="D303" t="s">
        <v>30</v>
      </c>
      <c r="E303" t="s">
        <v>18</v>
      </c>
      <c r="F303">
        <v>68</v>
      </c>
      <c r="G303">
        <v>30</v>
      </c>
      <c r="H303">
        <v>4</v>
      </c>
      <c r="I303">
        <v>120</v>
      </c>
      <c r="J303">
        <v>14.02</v>
      </c>
      <c r="K303" s="2">
        <v>45182</v>
      </c>
      <c r="L303" t="s">
        <v>316</v>
      </c>
      <c r="M303" s="6">
        <f>SalesTbl[[#This Row],[Unit Price]]*SalesTbl[[#This Row],[Quantity]]</f>
        <v>120</v>
      </c>
      <c r="N303" s="6">
        <f>YEAR(SalesTbl[[#This Row],[Order Date]])</f>
        <v>2023</v>
      </c>
      <c r="O303" s="6" t="str">
        <f>TEXT(SalesTbl[[#This Row],[Order Date]],"yyyy-mm")</f>
        <v>2023-09</v>
      </c>
      <c r="P303" s="13">
        <f>WEEKNUM(SalesTbl[[#This Row],[Order Date]],2)</f>
        <v>38</v>
      </c>
      <c r="Q303" s="14">
        <f>MEDIAN(SalesTbl[Quantity])</f>
        <v>3</v>
      </c>
      <c r="R303" s="14">
        <f>IF(ISBLANK(SalesTbl[[#This Row],[Quantity]]),$H$2,SalesTbl[[#This Row],[Quantity]])</f>
        <v>4</v>
      </c>
      <c r="S303">
        <f>ROW()-ROW(SalesTbl[[#Headers],[Customer ID]])</f>
        <v>302</v>
      </c>
      <c r="T303" s="9" t="str">
        <f>IF(SalesTbl[[#This Row],[RowIdx]]&lt;=ROUNDUP(COUNTA(SalesTbl[Customer ID])*0.8,0),"Train","Test")</f>
        <v>Train</v>
      </c>
    </row>
    <row r="304" spans="1:20" x14ac:dyDescent="0.25">
      <c r="A304" t="s">
        <v>215</v>
      </c>
      <c r="B304" t="s">
        <v>13</v>
      </c>
      <c r="C304" t="s">
        <v>321</v>
      </c>
      <c r="D304" t="s">
        <v>25</v>
      </c>
      <c r="E304" t="s">
        <v>26</v>
      </c>
      <c r="F304">
        <v>62</v>
      </c>
      <c r="G304">
        <v>200</v>
      </c>
      <c r="H304">
        <v>3</v>
      </c>
      <c r="I304">
        <v>600</v>
      </c>
      <c r="J304">
        <v>17.899999999999999</v>
      </c>
      <c r="K304" s="2">
        <v>44929</v>
      </c>
      <c r="L304" t="s">
        <v>316</v>
      </c>
      <c r="M304" s="6">
        <f>SalesTbl[[#This Row],[Unit Price]]*SalesTbl[[#This Row],[Quantity]]</f>
        <v>600</v>
      </c>
      <c r="N304" s="6">
        <f>YEAR(SalesTbl[[#This Row],[Order Date]])</f>
        <v>2023</v>
      </c>
      <c r="O304" s="6" t="str">
        <f>TEXT(SalesTbl[[#This Row],[Order Date]],"yyyy-mm")</f>
        <v>2023-01</v>
      </c>
      <c r="P304" s="13">
        <f>WEEKNUM(SalesTbl[[#This Row],[Order Date]],2)</f>
        <v>2</v>
      </c>
      <c r="Q304" s="14">
        <f>MEDIAN(SalesTbl[Quantity])</f>
        <v>3</v>
      </c>
      <c r="R304" s="14">
        <f>IF(ISBLANK(SalesTbl[[#This Row],[Quantity]]),$H$2,SalesTbl[[#This Row],[Quantity]])</f>
        <v>3</v>
      </c>
      <c r="S304">
        <f>ROW()-ROW(SalesTbl[[#Headers],[Customer ID]])</f>
        <v>303</v>
      </c>
      <c r="T304" s="9" t="str">
        <f>IF(SalesTbl[[#This Row],[RowIdx]]&lt;=ROUNDUP(COUNTA(SalesTbl[Customer ID])*0.8,0),"Train","Test")</f>
        <v>Train</v>
      </c>
    </row>
    <row r="305" spans="1:20" x14ac:dyDescent="0.25">
      <c r="A305" t="s">
        <v>174</v>
      </c>
      <c r="B305" t="s">
        <v>13</v>
      </c>
      <c r="C305" t="s">
        <v>322</v>
      </c>
      <c r="D305" t="s">
        <v>40</v>
      </c>
      <c r="E305" t="s">
        <v>15</v>
      </c>
      <c r="F305">
        <v>54</v>
      </c>
      <c r="G305">
        <v>800</v>
      </c>
      <c r="H305">
        <v>1</v>
      </c>
      <c r="I305">
        <v>800</v>
      </c>
      <c r="J305">
        <v>7.77</v>
      </c>
      <c r="K305" s="2">
        <v>45130</v>
      </c>
      <c r="L305" t="s">
        <v>316</v>
      </c>
      <c r="M305" s="6">
        <f>SalesTbl[[#This Row],[Unit Price]]*SalesTbl[[#This Row],[Quantity]]</f>
        <v>800</v>
      </c>
      <c r="N305" s="6">
        <f>YEAR(SalesTbl[[#This Row],[Order Date]])</f>
        <v>2023</v>
      </c>
      <c r="O305" s="6" t="str">
        <f>TEXT(SalesTbl[[#This Row],[Order Date]],"yyyy-mm")</f>
        <v>2023-07</v>
      </c>
      <c r="P305" s="13">
        <f>WEEKNUM(SalesTbl[[#This Row],[Order Date]],2)</f>
        <v>30</v>
      </c>
      <c r="Q305" s="14">
        <f>MEDIAN(SalesTbl[Quantity])</f>
        <v>3</v>
      </c>
      <c r="R305" s="14">
        <f>IF(ISBLANK(SalesTbl[[#This Row],[Quantity]]),$H$2,SalesTbl[[#This Row],[Quantity]])</f>
        <v>1</v>
      </c>
      <c r="S305">
        <f>ROW()-ROW(SalesTbl[[#Headers],[Customer ID]])</f>
        <v>304</v>
      </c>
      <c r="T305" s="9" t="str">
        <f>IF(SalesTbl[[#This Row],[RowIdx]]&lt;=ROUNDUP(COUNTA(SalesTbl[Customer ID])*0.8,0),"Train","Test")</f>
        <v>Train</v>
      </c>
    </row>
    <row r="306" spans="1:20" x14ac:dyDescent="0.25">
      <c r="A306" t="s">
        <v>153</v>
      </c>
      <c r="B306" t="s">
        <v>13</v>
      </c>
      <c r="C306" t="s">
        <v>321</v>
      </c>
      <c r="D306" t="s">
        <v>25</v>
      </c>
      <c r="E306" t="s">
        <v>26</v>
      </c>
      <c r="F306">
        <v>43</v>
      </c>
      <c r="G306">
        <v>200</v>
      </c>
      <c r="H306">
        <v>2</v>
      </c>
      <c r="I306">
        <v>400</v>
      </c>
      <c r="J306">
        <v>13.02</v>
      </c>
      <c r="K306" s="2">
        <v>45207</v>
      </c>
      <c r="L306" t="s">
        <v>318</v>
      </c>
      <c r="M306" s="6">
        <f>SalesTbl[[#This Row],[Unit Price]]*SalesTbl[[#This Row],[Quantity]]</f>
        <v>400</v>
      </c>
      <c r="N306" s="6">
        <f>YEAR(SalesTbl[[#This Row],[Order Date]])</f>
        <v>2023</v>
      </c>
      <c r="O306" s="6" t="str">
        <f>TEXT(SalesTbl[[#This Row],[Order Date]],"yyyy-mm")</f>
        <v>2023-10</v>
      </c>
      <c r="P306" s="13">
        <f>WEEKNUM(SalesTbl[[#This Row],[Order Date]],2)</f>
        <v>41</v>
      </c>
      <c r="Q306" s="14">
        <f>MEDIAN(SalesTbl[Quantity])</f>
        <v>3</v>
      </c>
      <c r="R306" s="14">
        <f>IF(ISBLANK(SalesTbl[[#This Row],[Quantity]]),$H$2,SalesTbl[[#This Row],[Quantity]])</f>
        <v>2</v>
      </c>
      <c r="S306">
        <f>ROW()-ROW(SalesTbl[[#Headers],[Customer ID]])</f>
        <v>305</v>
      </c>
      <c r="T306" s="9" t="str">
        <f>IF(SalesTbl[[#This Row],[RowIdx]]&lt;=ROUNDUP(COUNTA(SalesTbl[Customer ID])*0.8,0),"Train","Test")</f>
        <v>Train</v>
      </c>
    </row>
    <row r="307" spans="1:20" x14ac:dyDescent="0.25">
      <c r="A307" t="s">
        <v>155</v>
      </c>
      <c r="B307" t="s">
        <v>13</v>
      </c>
      <c r="C307" t="s">
        <v>322</v>
      </c>
      <c r="D307" t="s">
        <v>29</v>
      </c>
      <c r="E307" t="s">
        <v>18</v>
      </c>
      <c r="F307">
        <v>60</v>
      </c>
      <c r="G307">
        <v>50</v>
      </c>
      <c r="H307">
        <v>1</v>
      </c>
      <c r="I307">
        <v>50</v>
      </c>
      <c r="J307">
        <v>6.25</v>
      </c>
      <c r="K307" s="2">
        <v>44963</v>
      </c>
      <c r="L307" t="s">
        <v>317</v>
      </c>
      <c r="M307" s="6">
        <f>SalesTbl[[#This Row],[Unit Price]]*SalesTbl[[#This Row],[Quantity]]</f>
        <v>50</v>
      </c>
      <c r="N307" s="6">
        <f>YEAR(SalesTbl[[#This Row],[Order Date]])</f>
        <v>2023</v>
      </c>
      <c r="O307" s="6" t="str">
        <f>TEXT(SalesTbl[[#This Row],[Order Date]],"yyyy-mm")</f>
        <v>2023-02</v>
      </c>
      <c r="P307" s="13">
        <f>WEEKNUM(SalesTbl[[#This Row],[Order Date]],2)</f>
        <v>7</v>
      </c>
      <c r="Q307" s="14">
        <f>MEDIAN(SalesTbl[Quantity])</f>
        <v>3</v>
      </c>
      <c r="R307" s="14">
        <f>IF(ISBLANK(SalesTbl[[#This Row],[Quantity]]),$H$2,SalesTbl[[#This Row],[Quantity]])</f>
        <v>1</v>
      </c>
      <c r="S307">
        <f>ROW()-ROW(SalesTbl[[#Headers],[Customer ID]])</f>
        <v>306</v>
      </c>
      <c r="T307" s="9" t="str">
        <f>IF(SalesTbl[[#This Row],[RowIdx]]&lt;=ROUNDUP(COUNTA(SalesTbl[Customer ID])*0.8,0),"Train","Test")</f>
        <v>Train</v>
      </c>
    </row>
    <row r="308" spans="1:20" x14ac:dyDescent="0.25">
      <c r="A308" t="s">
        <v>216</v>
      </c>
      <c r="B308" t="s">
        <v>13</v>
      </c>
      <c r="C308" t="s">
        <v>321</v>
      </c>
      <c r="D308" t="s">
        <v>14</v>
      </c>
      <c r="E308" t="s">
        <v>15</v>
      </c>
      <c r="F308">
        <v>25</v>
      </c>
      <c r="G308">
        <v>300</v>
      </c>
      <c r="H308">
        <v>3</v>
      </c>
      <c r="I308">
        <v>900</v>
      </c>
      <c r="J308">
        <v>9.94</v>
      </c>
      <c r="K308" s="2">
        <v>45220</v>
      </c>
      <c r="L308" t="s">
        <v>318</v>
      </c>
      <c r="M308" s="6">
        <f>SalesTbl[[#This Row],[Unit Price]]*SalesTbl[[#This Row],[Quantity]]</f>
        <v>900</v>
      </c>
      <c r="N308" s="6">
        <f>YEAR(SalesTbl[[#This Row],[Order Date]])</f>
        <v>2023</v>
      </c>
      <c r="O308" s="6" t="str">
        <f>TEXT(SalesTbl[[#This Row],[Order Date]],"yyyy-mm")</f>
        <v>2023-10</v>
      </c>
      <c r="P308" s="13">
        <f>WEEKNUM(SalesTbl[[#This Row],[Order Date]],2)</f>
        <v>43</v>
      </c>
      <c r="Q308" s="14">
        <f>MEDIAN(SalesTbl[Quantity])</f>
        <v>3</v>
      </c>
      <c r="R308" s="14">
        <f>IF(ISBLANK(SalesTbl[[#This Row],[Quantity]]),$H$2,SalesTbl[[#This Row],[Quantity]])</f>
        <v>3</v>
      </c>
      <c r="S308">
        <f>ROW()-ROW(SalesTbl[[#Headers],[Customer ID]])</f>
        <v>307</v>
      </c>
      <c r="T308" s="9" t="str">
        <f>IF(SalesTbl[[#This Row],[RowIdx]]&lt;=ROUNDUP(COUNTA(SalesTbl[Customer ID])*0.8,0),"Train","Test")</f>
        <v>Train</v>
      </c>
    </row>
    <row r="309" spans="1:20" x14ac:dyDescent="0.25">
      <c r="A309" t="s">
        <v>143</v>
      </c>
      <c r="B309" t="s">
        <v>13</v>
      </c>
      <c r="C309" t="s">
        <v>323</v>
      </c>
      <c r="D309" t="s">
        <v>40</v>
      </c>
      <c r="E309" t="s">
        <v>15</v>
      </c>
      <c r="F309">
        <v>50</v>
      </c>
      <c r="G309">
        <v>800</v>
      </c>
      <c r="H309">
        <v>1</v>
      </c>
      <c r="I309">
        <v>800</v>
      </c>
      <c r="J309">
        <v>10.36</v>
      </c>
      <c r="K309" s="2">
        <v>45071</v>
      </c>
      <c r="L309" t="s">
        <v>316</v>
      </c>
      <c r="M309" s="6">
        <f>SalesTbl[[#This Row],[Unit Price]]*SalesTbl[[#This Row],[Quantity]]</f>
        <v>800</v>
      </c>
      <c r="N309" s="6">
        <f>YEAR(SalesTbl[[#This Row],[Order Date]])</f>
        <v>2023</v>
      </c>
      <c r="O309" s="6" t="str">
        <f>TEXT(SalesTbl[[#This Row],[Order Date]],"yyyy-mm")</f>
        <v>2023-05</v>
      </c>
      <c r="P309" s="13">
        <f>WEEKNUM(SalesTbl[[#This Row],[Order Date]],2)</f>
        <v>22</v>
      </c>
      <c r="Q309" s="14">
        <f>MEDIAN(SalesTbl[Quantity])</f>
        <v>3</v>
      </c>
      <c r="R309" s="14">
        <f>IF(ISBLANK(SalesTbl[[#This Row],[Quantity]]),$H$2,SalesTbl[[#This Row],[Quantity]])</f>
        <v>1</v>
      </c>
      <c r="S309">
        <f>ROW()-ROW(SalesTbl[[#Headers],[Customer ID]])</f>
        <v>308</v>
      </c>
      <c r="T309" s="9" t="str">
        <f>IF(SalesTbl[[#This Row],[RowIdx]]&lt;=ROUNDUP(COUNTA(SalesTbl[Customer ID])*0.8,0),"Train","Test")</f>
        <v>Train</v>
      </c>
    </row>
    <row r="310" spans="1:20" x14ac:dyDescent="0.25">
      <c r="A310" t="s">
        <v>158</v>
      </c>
      <c r="B310" t="s">
        <v>20</v>
      </c>
      <c r="C310" t="s">
        <v>322</v>
      </c>
      <c r="D310" t="s">
        <v>40</v>
      </c>
      <c r="E310" t="s">
        <v>15</v>
      </c>
      <c r="F310">
        <v>32</v>
      </c>
      <c r="G310">
        <v>800</v>
      </c>
      <c r="H310">
        <v>1</v>
      </c>
      <c r="I310">
        <v>800</v>
      </c>
      <c r="J310">
        <v>8.4499999999999993</v>
      </c>
      <c r="K310" s="2">
        <v>45044</v>
      </c>
      <c r="L310" t="s">
        <v>316</v>
      </c>
      <c r="M310" s="6">
        <f>SalesTbl[[#This Row],[Unit Price]]*SalesTbl[[#This Row],[Quantity]]</f>
        <v>800</v>
      </c>
      <c r="N310" s="6">
        <f>YEAR(SalesTbl[[#This Row],[Order Date]])</f>
        <v>2023</v>
      </c>
      <c r="O310" s="6" t="str">
        <f>TEXT(SalesTbl[[#This Row],[Order Date]],"yyyy-mm")</f>
        <v>2023-04</v>
      </c>
      <c r="P310" s="13">
        <f>WEEKNUM(SalesTbl[[#This Row],[Order Date]],2)</f>
        <v>18</v>
      </c>
      <c r="Q310" s="14">
        <f>MEDIAN(SalesTbl[Quantity])</f>
        <v>3</v>
      </c>
      <c r="R310" s="14">
        <f>IF(ISBLANK(SalesTbl[[#This Row],[Quantity]]),$H$2,SalesTbl[[#This Row],[Quantity]])</f>
        <v>1</v>
      </c>
      <c r="S310">
        <f>ROW()-ROW(SalesTbl[[#Headers],[Customer ID]])</f>
        <v>309</v>
      </c>
      <c r="T310" s="9" t="str">
        <f>IF(SalesTbl[[#This Row],[RowIdx]]&lt;=ROUNDUP(COUNTA(SalesTbl[Customer ID])*0.8,0),"Train","Test")</f>
        <v>Train</v>
      </c>
    </row>
    <row r="311" spans="1:20" x14ac:dyDescent="0.25">
      <c r="A311" t="s">
        <v>203</v>
      </c>
      <c r="B311" t="s">
        <v>13</v>
      </c>
      <c r="C311" t="s">
        <v>323</v>
      </c>
      <c r="D311" t="s">
        <v>40</v>
      </c>
      <c r="E311" t="s">
        <v>15</v>
      </c>
      <c r="F311">
        <v>61</v>
      </c>
      <c r="G311">
        <v>800</v>
      </c>
      <c r="H311">
        <v>2</v>
      </c>
      <c r="I311">
        <v>1600</v>
      </c>
      <c r="J311">
        <v>19.07</v>
      </c>
      <c r="K311" s="2">
        <v>45202</v>
      </c>
      <c r="L311" t="s">
        <v>318</v>
      </c>
      <c r="M311" s="6">
        <f>SalesTbl[[#This Row],[Unit Price]]*SalesTbl[[#This Row],[Quantity]]</f>
        <v>1600</v>
      </c>
      <c r="N311" s="6">
        <f>YEAR(SalesTbl[[#This Row],[Order Date]])</f>
        <v>2023</v>
      </c>
      <c r="O311" s="6" t="str">
        <f>TEXT(SalesTbl[[#This Row],[Order Date]],"yyyy-mm")</f>
        <v>2023-10</v>
      </c>
      <c r="P311" s="13">
        <f>WEEKNUM(SalesTbl[[#This Row],[Order Date]],2)</f>
        <v>41</v>
      </c>
      <c r="Q311" s="14">
        <f>MEDIAN(SalesTbl[Quantity])</f>
        <v>3</v>
      </c>
      <c r="R311" s="14">
        <f>IF(ISBLANK(SalesTbl[[#This Row],[Quantity]]),$H$2,SalesTbl[[#This Row],[Quantity]])</f>
        <v>2</v>
      </c>
      <c r="S311">
        <f>ROW()-ROW(SalesTbl[[#Headers],[Customer ID]])</f>
        <v>310</v>
      </c>
      <c r="T311" s="9" t="str">
        <f>IF(SalesTbl[[#This Row],[RowIdx]]&lt;=ROUNDUP(COUNTA(SalesTbl[Customer ID])*0.8,0),"Train","Test")</f>
        <v>Train</v>
      </c>
    </row>
    <row r="312" spans="1:20" x14ac:dyDescent="0.25">
      <c r="A312" t="s">
        <v>31</v>
      </c>
      <c r="B312" t="s">
        <v>13</v>
      </c>
      <c r="C312" t="s">
        <v>322</v>
      </c>
      <c r="D312" t="s">
        <v>29</v>
      </c>
      <c r="E312" t="s">
        <v>18</v>
      </c>
      <c r="F312">
        <v>49</v>
      </c>
      <c r="G312">
        <v>50</v>
      </c>
      <c r="H312">
        <v>5</v>
      </c>
      <c r="I312">
        <v>250</v>
      </c>
      <c r="J312">
        <v>10.029999999999999</v>
      </c>
      <c r="K312" s="2">
        <v>45231</v>
      </c>
      <c r="L312" t="s">
        <v>316</v>
      </c>
      <c r="M312" s="6">
        <f>SalesTbl[[#This Row],[Unit Price]]*SalesTbl[[#This Row],[Quantity]]</f>
        <v>250</v>
      </c>
      <c r="N312" s="6">
        <f>YEAR(SalesTbl[[#This Row],[Order Date]])</f>
        <v>2023</v>
      </c>
      <c r="O312" s="6" t="str">
        <f>TEXT(SalesTbl[[#This Row],[Order Date]],"yyyy-mm")</f>
        <v>2023-11</v>
      </c>
      <c r="P312" s="13">
        <f>WEEKNUM(SalesTbl[[#This Row],[Order Date]],2)</f>
        <v>45</v>
      </c>
      <c r="Q312" s="14">
        <f>MEDIAN(SalesTbl[Quantity])</f>
        <v>3</v>
      </c>
      <c r="R312" s="14">
        <f>IF(ISBLANK(SalesTbl[[#This Row],[Quantity]]),$H$2,SalesTbl[[#This Row],[Quantity]])</f>
        <v>5</v>
      </c>
      <c r="S312">
        <f>ROW()-ROW(SalesTbl[[#Headers],[Customer ID]])</f>
        <v>311</v>
      </c>
      <c r="T312" s="9" t="str">
        <f>IF(SalesTbl[[#This Row],[RowIdx]]&lt;=ROUNDUP(COUNTA(SalesTbl[Customer ID])*0.8,0),"Train","Test")</f>
        <v>Train</v>
      </c>
    </row>
    <row r="313" spans="1:20" x14ac:dyDescent="0.25">
      <c r="A313" t="s">
        <v>119</v>
      </c>
      <c r="B313" t="s">
        <v>20</v>
      </c>
      <c r="C313" t="s">
        <v>321</v>
      </c>
      <c r="D313" t="s">
        <v>30</v>
      </c>
      <c r="E313" t="s">
        <v>18</v>
      </c>
      <c r="F313">
        <v>18</v>
      </c>
      <c r="G313">
        <v>30</v>
      </c>
      <c r="H313">
        <v>4</v>
      </c>
      <c r="I313">
        <v>120</v>
      </c>
      <c r="J313">
        <v>8.76</v>
      </c>
      <c r="K313" s="2">
        <v>45107</v>
      </c>
      <c r="L313" t="s">
        <v>317</v>
      </c>
      <c r="M313" s="6">
        <f>SalesTbl[[#This Row],[Unit Price]]*SalesTbl[[#This Row],[Quantity]]</f>
        <v>120</v>
      </c>
      <c r="N313" s="6">
        <f>YEAR(SalesTbl[[#This Row],[Order Date]])</f>
        <v>2023</v>
      </c>
      <c r="O313" s="6" t="str">
        <f>TEXT(SalesTbl[[#This Row],[Order Date]],"yyyy-mm")</f>
        <v>2023-06</v>
      </c>
      <c r="P313" s="13">
        <f>WEEKNUM(SalesTbl[[#This Row],[Order Date]],2)</f>
        <v>27</v>
      </c>
      <c r="Q313" s="14">
        <f>MEDIAN(SalesTbl[Quantity])</f>
        <v>3</v>
      </c>
      <c r="R313" s="14">
        <f>IF(ISBLANK(SalesTbl[[#This Row],[Quantity]]),$H$2,SalesTbl[[#This Row],[Quantity]])</f>
        <v>4</v>
      </c>
      <c r="S313">
        <f>ROW()-ROW(SalesTbl[[#Headers],[Customer ID]])</f>
        <v>312</v>
      </c>
      <c r="T313" s="9" t="str">
        <f>IF(SalesTbl[[#This Row],[RowIdx]]&lt;=ROUNDUP(COUNTA(SalesTbl[Customer ID])*0.8,0),"Train","Test")</f>
        <v>Train</v>
      </c>
    </row>
    <row r="314" spans="1:20" x14ac:dyDescent="0.25">
      <c r="A314" t="s">
        <v>12</v>
      </c>
      <c r="B314" t="s">
        <v>13</v>
      </c>
      <c r="C314" t="s">
        <v>320</v>
      </c>
      <c r="D314" t="s">
        <v>14</v>
      </c>
      <c r="E314" t="s">
        <v>15</v>
      </c>
      <c r="F314">
        <v>21</v>
      </c>
      <c r="G314">
        <v>300</v>
      </c>
      <c r="H314">
        <v>2</v>
      </c>
      <c r="I314">
        <v>600</v>
      </c>
      <c r="J314">
        <v>5.69</v>
      </c>
      <c r="K314" s="2">
        <v>45141</v>
      </c>
      <c r="L314" t="s">
        <v>316</v>
      </c>
      <c r="M314" s="6">
        <f>SalesTbl[[#This Row],[Unit Price]]*SalesTbl[[#This Row],[Quantity]]</f>
        <v>600</v>
      </c>
      <c r="N314" s="6">
        <f>YEAR(SalesTbl[[#This Row],[Order Date]])</f>
        <v>2023</v>
      </c>
      <c r="O314" s="6" t="str">
        <f>TEXT(SalesTbl[[#This Row],[Order Date]],"yyyy-mm")</f>
        <v>2023-08</v>
      </c>
      <c r="P314" s="13">
        <f>WEEKNUM(SalesTbl[[#This Row],[Order Date]],2)</f>
        <v>32</v>
      </c>
      <c r="Q314" s="14">
        <f>MEDIAN(SalesTbl[Quantity])</f>
        <v>3</v>
      </c>
      <c r="R314" s="14">
        <f>IF(ISBLANK(SalesTbl[[#This Row],[Quantity]]),$H$2,SalesTbl[[#This Row],[Quantity]])</f>
        <v>2</v>
      </c>
      <c r="S314">
        <f>ROW()-ROW(SalesTbl[[#Headers],[Customer ID]])</f>
        <v>313</v>
      </c>
      <c r="T314" s="9" t="str">
        <f>IF(SalesTbl[[#This Row],[RowIdx]]&lt;=ROUNDUP(COUNTA(SalesTbl[Customer ID])*0.8,0),"Train","Test")</f>
        <v>Train</v>
      </c>
    </row>
    <row r="315" spans="1:20" x14ac:dyDescent="0.25">
      <c r="A315" t="s">
        <v>217</v>
      </c>
      <c r="B315" t="s">
        <v>13</v>
      </c>
      <c r="C315" t="s">
        <v>323</v>
      </c>
      <c r="D315" t="s">
        <v>17</v>
      </c>
      <c r="E315" t="s">
        <v>18</v>
      </c>
      <c r="F315">
        <v>69</v>
      </c>
      <c r="G315">
        <v>100</v>
      </c>
      <c r="H315">
        <v>1</v>
      </c>
      <c r="I315">
        <v>100</v>
      </c>
      <c r="J315">
        <v>6.43</v>
      </c>
      <c r="K315" s="2">
        <v>45072</v>
      </c>
      <c r="L315" t="s">
        <v>316</v>
      </c>
      <c r="M315" s="6">
        <f>SalesTbl[[#This Row],[Unit Price]]*SalesTbl[[#This Row],[Quantity]]</f>
        <v>100</v>
      </c>
      <c r="N315" s="6">
        <f>YEAR(SalesTbl[[#This Row],[Order Date]])</f>
        <v>2023</v>
      </c>
      <c r="O315" s="6" t="str">
        <f>TEXT(SalesTbl[[#This Row],[Order Date]],"yyyy-mm")</f>
        <v>2023-05</v>
      </c>
      <c r="P315" s="13">
        <f>WEEKNUM(SalesTbl[[#This Row],[Order Date]],2)</f>
        <v>22</v>
      </c>
      <c r="Q315" s="14">
        <f>MEDIAN(SalesTbl[Quantity])</f>
        <v>3</v>
      </c>
      <c r="R315" s="14">
        <f>IF(ISBLANK(SalesTbl[[#This Row],[Quantity]]),$H$2,SalesTbl[[#This Row],[Quantity]])</f>
        <v>1</v>
      </c>
      <c r="S315">
        <f>ROW()-ROW(SalesTbl[[#Headers],[Customer ID]])</f>
        <v>314</v>
      </c>
      <c r="T315" s="9" t="str">
        <f>IF(SalesTbl[[#This Row],[RowIdx]]&lt;=ROUNDUP(COUNTA(SalesTbl[Customer ID])*0.8,0),"Train","Test")</f>
        <v>Train</v>
      </c>
    </row>
    <row r="316" spans="1:20" x14ac:dyDescent="0.25">
      <c r="A316" t="s">
        <v>218</v>
      </c>
      <c r="B316" t="s">
        <v>20</v>
      </c>
      <c r="C316" t="s">
        <v>321</v>
      </c>
      <c r="D316" t="s">
        <v>25</v>
      </c>
      <c r="E316" t="s">
        <v>26</v>
      </c>
      <c r="F316">
        <v>66</v>
      </c>
      <c r="G316">
        <v>200</v>
      </c>
      <c r="H316">
        <v>5</v>
      </c>
      <c r="I316">
        <v>1000</v>
      </c>
      <c r="J316">
        <v>19.190000000000001</v>
      </c>
      <c r="K316" s="2">
        <v>45188</v>
      </c>
      <c r="L316" t="s">
        <v>316</v>
      </c>
      <c r="M316" s="6">
        <f>SalesTbl[[#This Row],[Unit Price]]*SalesTbl[[#This Row],[Quantity]]</f>
        <v>1000</v>
      </c>
      <c r="N316" s="6">
        <f>YEAR(SalesTbl[[#This Row],[Order Date]])</f>
        <v>2023</v>
      </c>
      <c r="O316" s="6" t="str">
        <f>TEXT(SalesTbl[[#This Row],[Order Date]],"yyyy-mm")</f>
        <v>2023-09</v>
      </c>
      <c r="P316" s="13">
        <f>WEEKNUM(SalesTbl[[#This Row],[Order Date]],2)</f>
        <v>39</v>
      </c>
      <c r="Q316" s="14">
        <f>MEDIAN(SalesTbl[Quantity])</f>
        <v>3</v>
      </c>
      <c r="R316" s="14">
        <f>IF(ISBLANK(SalesTbl[[#This Row],[Quantity]]),$H$2,SalesTbl[[#This Row],[Quantity]])</f>
        <v>5</v>
      </c>
      <c r="S316">
        <f>ROW()-ROW(SalesTbl[[#Headers],[Customer ID]])</f>
        <v>315</v>
      </c>
      <c r="T316" s="9" t="str">
        <f>IF(SalesTbl[[#This Row],[RowIdx]]&lt;=ROUNDUP(COUNTA(SalesTbl[Customer ID])*0.8,0),"Train","Test")</f>
        <v>Train</v>
      </c>
    </row>
    <row r="317" spans="1:20" x14ac:dyDescent="0.25">
      <c r="A317" t="s">
        <v>219</v>
      </c>
      <c r="B317" t="s">
        <v>20</v>
      </c>
      <c r="C317" t="s">
        <v>321</v>
      </c>
      <c r="D317" t="s">
        <v>25</v>
      </c>
      <c r="E317" t="s">
        <v>26</v>
      </c>
      <c r="F317">
        <v>41</v>
      </c>
      <c r="G317">
        <v>200</v>
      </c>
      <c r="H317">
        <v>3</v>
      </c>
      <c r="I317">
        <v>600</v>
      </c>
      <c r="J317">
        <v>10.92</v>
      </c>
      <c r="K317" s="2">
        <v>45095</v>
      </c>
      <c r="L317" t="s">
        <v>316</v>
      </c>
      <c r="M317" s="6">
        <f>SalesTbl[[#This Row],[Unit Price]]*SalesTbl[[#This Row],[Quantity]]</f>
        <v>600</v>
      </c>
      <c r="N317" s="6">
        <f>YEAR(SalesTbl[[#This Row],[Order Date]])</f>
        <v>2023</v>
      </c>
      <c r="O317" s="6" t="str">
        <f>TEXT(SalesTbl[[#This Row],[Order Date]],"yyyy-mm")</f>
        <v>2023-06</v>
      </c>
      <c r="P317" s="13">
        <f>WEEKNUM(SalesTbl[[#This Row],[Order Date]],2)</f>
        <v>25</v>
      </c>
      <c r="Q317" s="14">
        <f>MEDIAN(SalesTbl[Quantity])</f>
        <v>3</v>
      </c>
      <c r="R317" s="14">
        <f>IF(ISBLANK(SalesTbl[[#This Row],[Quantity]]),$H$2,SalesTbl[[#This Row],[Quantity]])</f>
        <v>3</v>
      </c>
      <c r="S317">
        <f>ROW()-ROW(SalesTbl[[#Headers],[Customer ID]])</f>
        <v>316</v>
      </c>
      <c r="T317" s="9" t="str">
        <f>IF(SalesTbl[[#This Row],[RowIdx]]&lt;=ROUNDUP(COUNTA(SalesTbl[Customer ID])*0.8,0),"Train","Test")</f>
        <v>Train</v>
      </c>
    </row>
    <row r="318" spans="1:20" x14ac:dyDescent="0.25">
      <c r="A318" t="s">
        <v>212</v>
      </c>
      <c r="B318" t="s">
        <v>13</v>
      </c>
      <c r="C318" t="s">
        <v>323</v>
      </c>
      <c r="D318" t="s">
        <v>29</v>
      </c>
      <c r="E318" t="s">
        <v>18</v>
      </c>
      <c r="F318">
        <v>67</v>
      </c>
      <c r="G318">
        <v>50</v>
      </c>
      <c r="H318">
        <v>5</v>
      </c>
      <c r="I318">
        <v>250</v>
      </c>
      <c r="J318">
        <v>11.17</v>
      </c>
      <c r="K318" s="2">
        <v>44988</v>
      </c>
      <c r="L318" t="s">
        <v>317</v>
      </c>
      <c r="M318" s="6">
        <f>SalesTbl[[#This Row],[Unit Price]]*SalesTbl[[#This Row],[Quantity]]</f>
        <v>250</v>
      </c>
      <c r="N318" s="6">
        <f>YEAR(SalesTbl[[#This Row],[Order Date]])</f>
        <v>2023</v>
      </c>
      <c r="O318" s="6" t="str">
        <f>TEXT(SalesTbl[[#This Row],[Order Date]],"yyyy-mm")</f>
        <v>2023-03</v>
      </c>
      <c r="P318" s="13">
        <f>WEEKNUM(SalesTbl[[#This Row],[Order Date]],2)</f>
        <v>10</v>
      </c>
      <c r="Q318" s="14">
        <f>MEDIAN(SalesTbl[Quantity])</f>
        <v>3</v>
      </c>
      <c r="R318" s="14">
        <f>IF(ISBLANK(SalesTbl[[#This Row],[Quantity]]),$H$2,SalesTbl[[#This Row],[Quantity]])</f>
        <v>5</v>
      </c>
      <c r="S318">
        <f>ROW()-ROW(SalesTbl[[#Headers],[Customer ID]])</f>
        <v>317</v>
      </c>
      <c r="T318" s="9" t="str">
        <f>IF(SalesTbl[[#This Row],[RowIdx]]&lt;=ROUNDUP(COUNTA(SalesTbl[Customer ID])*0.8,0),"Train","Test")</f>
        <v>Train</v>
      </c>
    </row>
    <row r="319" spans="1:20" x14ac:dyDescent="0.25">
      <c r="A319" t="s">
        <v>106</v>
      </c>
      <c r="B319" t="s">
        <v>20</v>
      </c>
      <c r="C319" t="s">
        <v>323</v>
      </c>
      <c r="D319" t="s">
        <v>40</v>
      </c>
      <c r="E319" t="s">
        <v>15</v>
      </c>
      <c r="F319">
        <v>42</v>
      </c>
      <c r="G319">
        <v>800</v>
      </c>
      <c r="H319">
        <v>3</v>
      </c>
      <c r="I319">
        <v>2400</v>
      </c>
      <c r="J319">
        <v>10.65</v>
      </c>
      <c r="K319" s="2">
        <v>45248</v>
      </c>
      <c r="L319" t="s">
        <v>317</v>
      </c>
      <c r="M319" s="6">
        <f>SalesTbl[[#This Row],[Unit Price]]*SalesTbl[[#This Row],[Quantity]]</f>
        <v>2400</v>
      </c>
      <c r="N319" s="6">
        <f>YEAR(SalesTbl[[#This Row],[Order Date]])</f>
        <v>2023</v>
      </c>
      <c r="O319" s="6" t="str">
        <f>TEXT(SalesTbl[[#This Row],[Order Date]],"yyyy-mm")</f>
        <v>2023-11</v>
      </c>
      <c r="P319" s="13">
        <f>WEEKNUM(SalesTbl[[#This Row],[Order Date]],2)</f>
        <v>47</v>
      </c>
      <c r="Q319" s="14">
        <f>MEDIAN(SalesTbl[Quantity])</f>
        <v>3</v>
      </c>
      <c r="R319" s="14">
        <f>IF(ISBLANK(SalesTbl[[#This Row],[Quantity]]),$H$2,SalesTbl[[#This Row],[Quantity]])</f>
        <v>3</v>
      </c>
      <c r="S319">
        <f>ROW()-ROW(SalesTbl[[#Headers],[Customer ID]])</f>
        <v>318</v>
      </c>
      <c r="T319" s="9" t="str">
        <f>IF(SalesTbl[[#This Row],[RowIdx]]&lt;=ROUNDUP(COUNTA(SalesTbl[Customer ID])*0.8,0),"Train","Test")</f>
        <v>Train</v>
      </c>
    </row>
    <row r="320" spans="1:20" x14ac:dyDescent="0.25">
      <c r="A320" t="s">
        <v>126</v>
      </c>
      <c r="B320" t="s">
        <v>20</v>
      </c>
      <c r="C320" t="s">
        <v>321</v>
      </c>
      <c r="D320" t="s">
        <v>14</v>
      </c>
      <c r="E320" t="s">
        <v>15</v>
      </c>
      <c r="F320">
        <v>50</v>
      </c>
      <c r="G320">
        <v>300</v>
      </c>
      <c r="H320">
        <v>1</v>
      </c>
      <c r="I320">
        <v>300</v>
      </c>
      <c r="J320">
        <v>14.36</v>
      </c>
      <c r="K320" s="2">
        <v>45143</v>
      </c>
      <c r="L320" t="s">
        <v>318</v>
      </c>
      <c r="M320" s="6">
        <f>SalesTbl[[#This Row],[Unit Price]]*SalesTbl[[#This Row],[Quantity]]</f>
        <v>300</v>
      </c>
      <c r="N320" s="6">
        <f>YEAR(SalesTbl[[#This Row],[Order Date]])</f>
        <v>2023</v>
      </c>
      <c r="O320" s="6" t="str">
        <f>TEXT(SalesTbl[[#This Row],[Order Date]],"yyyy-mm")</f>
        <v>2023-08</v>
      </c>
      <c r="P320" s="13">
        <f>WEEKNUM(SalesTbl[[#This Row],[Order Date]],2)</f>
        <v>32</v>
      </c>
      <c r="Q320" s="14">
        <f>MEDIAN(SalesTbl[Quantity])</f>
        <v>3</v>
      </c>
      <c r="R320" s="14">
        <f>IF(ISBLANK(SalesTbl[[#This Row],[Quantity]]),$H$2,SalesTbl[[#This Row],[Quantity]])</f>
        <v>1</v>
      </c>
      <c r="S320">
        <f>ROW()-ROW(SalesTbl[[#Headers],[Customer ID]])</f>
        <v>319</v>
      </c>
      <c r="T320" s="9" t="str">
        <f>IF(SalesTbl[[#This Row],[RowIdx]]&lt;=ROUNDUP(COUNTA(SalesTbl[Customer ID])*0.8,0),"Train","Test")</f>
        <v>Train</v>
      </c>
    </row>
    <row r="321" spans="1:20" x14ac:dyDescent="0.25">
      <c r="A321" t="s">
        <v>146</v>
      </c>
      <c r="B321" t="s">
        <v>20</v>
      </c>
      <c r="C321" t="s">
        <v>323</v>
      </c>
      <c r="D321" t="s">
        <v>17</v>
      </c>
      <c r="E321" t="s">
        <v>18</v>
      </c>
      <c r="F321">
        <v>68</v>
      </c>
      <c r="G321">
        <v>100</v>
      </c>
      <c r="H321">
        <v>4</v>
      </c>
      <c r="I321">
        <v>400</v>
      </c>
      <c r="J321">
        <v>11.92</v>
      </c>
      <c r="K321" s="2">
        <v>45230</v>
      </c>
      <c r="L321" t="s">
        <v>317</v>
      </c>
      <c r="M321" s="6">
        <f>SalesTbl[[#This Row],[Unit Price]]*SalesTbl[[#This Row],[Quantity]]</f>
        <v>400</v>
      </c>
      <c r="N321" s="6">
        <f>YEAR(SalesTbl[[#This Row],[Order Date]])</f>
        <v>2023</v>
      </c>
      <c r="O321" s="6" t="str">
        <f>TEXT(SalesTbl[[#This Row],[Order Date]],"yyyy-mm")</f>
        <v>2023-10</v>
      </c>
      <c r="P321" s="13">
        <f>WEEKNUM(SalesTbl[[#This Row],[Order Date]],2)</f>
        <v>45</v>
      </c>
      <c r="Q321" s="14">
        <f>MEDIAN(SalesTbl[Quantity])</f>
        <v>3</v>
      </c>
      <c r="R321" s="14">
        <f>IF(ISBLANK(SalesTbl[[#This Row],[Quantity]]),$H$2,SalesTbl[[#This Row],[Quantity]])</f>
        <v>4</v>
      </c>
      <c r="S321">
        <f>ROW()-ROW(SalesTbl[[#Headers],[Customer ID]])</f>
        <v>320</v>
      </c>
      <c r="T321" s="9" t="str">
        <f>IF(SalesTbl[[#This Row],[RowIdx]]&lt;=ROUNDUP(COUNTA(SalesTbl[Customer ID])*0.8,0),"Train","Test")</f>
        <v>Train</v>
      </c>
    </row>
    <row r="322" spans="1:20" x14ac:dyDescent="0.25">
      <c r="A322" t="s">
        <v>88</v>
      </c>
      <c r="B322" t="s">
        <v>20</v>
      </c>
      <c r="C322" t="s">
        <v>323</v>
      </c>
      <c r="D322" t="s">
        <v>40</v>
      </c>
      <c r="E322" t="s">
        <v>15</v>
      </c>
      <c r="F322">
        <v>50</v>
      </c>
      <c r="G322">
        <v>800</v>
      </c>
      <c r="H322">
        <v>5</v>
      </c>
      <c r="I322">
        <v>4000</v>
      </c>
      <c r="J322">
        <v>13.43</v>
      </c>
      <c r="K322" s="2">
        <v>45149</v>
      </c>
      <c r="L322" t="s">
        <v>316</v>
      </c>
      <c r="M322" s="6">
        <f>SalesTbl[[#This Row],[Unit Price]]*SalesTbl[[#This Row],[Quantity]]</f>
        <v>4000</v>
      </c>
      <c r="N322" s="6">
        <f>YEAR(SalesTbl[[#This Row],[Order Date]])</f>
        <v>2023</v>
      </c>
      <c r="O322" s="6" t="str">
        <f>TEXT(SalesTbl[[#This Row],[Order Date]],"yyyy-mm")</f>
        <v>2023-08</v>
      </c>
      <c r="P322" s="13">
        <f>WEEKNUM(SalesTbl[[#This Row],[Order Date]],2)</f>
        <v>33</v>
      </c>
      <c r="Q322" s="14">
        <f>MEDIAN(SalesTbl[Quantity])</f>
        <v>3</v>
      </c>
      <c r="R322" s="14">
        <f>IF(ISBLANK(SalesTbl[[#This Row],[Quantity]]),$H$2,SalesTbl[[#This Row],[Quantity]])</f>
        <v>5</v>
      </c>
      <c r="S322">
        <f>ROW()-ROW(SalesTbl[[#Headers],[Customer ID]])</f>
        <v>321</v>
      </c>
      <c r="T322" s="9" t="str">
        <f>IF(SalesTbl[[#This Row],[RowIdx]]&lt;=ROUNDUP(COUNTA(SalesTbl[Customer ID])*0.8,0),"Train","Test")</f>
        <v>Train</v>
      </c>
    </row>
    <row r="323" spans="1:20" x14ac:dyDescent="0.25">
      <c r="A323" t="s">
        <v>220</v>
      </c>
      <c r="B323" t="s">
        <v>13</v>
      </c>
      <c r="C323" t="s">
        <v>319</v>
      </c>
      <c r="D323" t="s">
        <v>40</v>
      </c>
      <c r="E323" t="s">
        <v>15</v>
      </c>
      <c r="F323">
        <v>49</v>
      </c>
      <c r="G323">
        <v>800</v>
      </c>
      <c r="H323">
        <v>1</v>
      </c>
      <c r="I323">
        <v>800</v>
      </c>
      <c r="J323">
        <v>16.2</v>
      </c>
      <c r="K323" s="2">
        <v>45255</v>
      </c>
      <c r="L323" t="s">
        <v>316</v>
      </c>
      <c r="M323" s="6">
        <f>SalesTbl[[#This Row],[Unit Price]]*SalesTbl[[#This Row],[Quantity]]</f>
        <v>800</v>
      </c>
      <c r="N323" s="6">
        <f>YEAR(SalesTbl[[#This Row],[Order Date]])</f>
        <v>2023</v>
      </c>
      <c r="O323" s="6" t="str">
        <f>TEXT(SalesTbl[[#This Row],[Order Date]],"yyyy-mm")</f>
        <v>2023-11</v>
      </c>
      <c r="P323" s="13">
        <f>WEEKNUM(SalesTbl[[#This Row],[Order Date]],2)</f>
        <v>48</v>
      </c>
      <c r="Q323" s="14">
        <f>MEDIAN(SalesTbl[Quantity])</f>
        <v>3</v>
      </c>
      <c r="R323" s="14">
        <f>IF(ISBLANK(SalesTbl[[#This Row],[Quantity]]),$H$2,SalesTbl[[#This Row],[Quantity]])</f>
        <v>1</v>
      </c>
      <c r="S323">
        <f>ROW()-ROW(SalesTbl[[#Headers],[Customer ID]])</f>
        <v>322</v>
      </c>
      <c r="T323" s="9" t="str">
        <f>IF(SalesTbl[[#This Row],[RowIdx]]&lt;=ROUNDUP(COUNTA(SalesTbl[Customer ID])*0.8,0),"Train","Test")</f>
        <v>Train</v>
      </c>
    </row>
    <row r="324" spans="1:20" x14ac:dyDescent="0.25">
      <c r="A324" t="s">
        <v>138</v>
      </c>
      <c r="B324" t="s">
        <v>13</v>
      </c>
      <c r="C324" t="s">
        <v>321</v>
      </c>
      <c r="D324" t="s">
        <v>23</v>
      </c>
      <c r="E324" t="s">
        <v>15</v>
      </c>
      <c r="F324">
        <v>44</v>
      </c>
      <c r="G324">
        <v>1500</v>
      </c>
      <c r="H324">
        <v>5</v>
      </c>
      <c r="I324">
        <v>7500</v>
      </c>
      <c r="J324">
        <v>7.21</v>
      </c>
      <c r="K324" s="2">
        <v>45251</v>
      </c>
      <c r="L324" t="s">
        <v>318</v>
      </c>
      <c r="M324" s="6">
        <f>SalesTbl[[#This Row],[Unit Price]]*SalesTbl[[#This Row],[Quantity]]</f>
        <v>7500</v>
      </c>
      <c r="N324" s="6">
        <f>YEAR(SalesTbl[[#This Row],[Order Date]])</f>
        <v>2023</v>
      </c>
      <c r="O324" s="6" t="str">
        <f>TEXT(SalesTbl[[#This Row],[Order Date]],"yyyy-mm")</f>
        <v>2023-11</v>
      </c>
      <c r="P324" s="13">
        <f>WEEKNUM(SalesTbl[[#This Row],[Order Date]],2)</f>
        <v>48</v>
      </c>
      <c r="Q324" s="14">
        <f>MEDIAN(SalesTbl[Quantity])</f>
        <v>3</v>
      </c>
      <c r="R324" s="14">
        <f>IF(ISBLANK(SalesTbl[[#This Row],[Quantity]]),$H$2,SalesTbl[[#This Row],[Quantity]])</f>
        <v>5</v>
      </c>
      <c r="S324">
        <f>ROW()-ROW(SalesTbl[[#Headers],[Customer ID]])</f>
        <v>323</v>
      </c>
      <c r="T324" s="9" t="str">
        <f>IF(SalesTbl[[#This Row],[RowIdx]]&lt;=ROUNDUP(COUNTA(SalesTbl[Customer ID])*0.8,0),"Train","Test")</f>
        <v>Train</v>
      </c>
    </row>
    <row r="325" spans="1:20" x14ac:dyDescent="0.25">
      <c r="A325" t="s">
        <v>221</v>
      </c>
      <c r="B325" t="s">
        <v>20</v>
      </c>
      <c r="C325" t="s">
        <v>323</v>
      </c>
      <c r="D325" t="s">
        <v>17</v>
      </c>
      <c r="E325" t="s">
        <v>18</v>
      </c>
      <c r="F325">
        <v>37</v>
      </c>
      <c r="G325">
        <v>100</v>
      </c>
      <c r="H325">
        <v>3</v>
      </c>
      <c r="I325">
        <v>300</v>
      </c>
      <c r="J325">
        <v>7.41</v>
      </c>
      <c r="K325" s="2">
        <v>45012</v>
      </c>
      <c r="L325" t="s">
        <v>318</v>
      </c>
      <c r="M325" s="6">
        <f>SalesTbl[[#This Row],[Unit Price]]*SalesTbl[[#This Row],[Quantity]]</f>
        <v>300</v>
      </c>
      <c r="N325" s="6">
        <f>YEAR(SalesTbl[[#This Row],[Order Date]])</f>
        <v>2023</v>
      </c>
      <c r="O325" s="6" t="str">
        <f>TEXT(SalesTbl[[#This Row],[Order Date]],"yyyy-mm")</f>
        <v>2023-03</v>
      </c>
      <c r="P325" s="13">
        <f>WEEKNUM(SalesTbl[[#This Row],[Order Date]],2)</f>
        <v>14</v>
      </c>
      <c r="Q325" s="14">
        <f>MEDIAN(SalesTbl[Quantity])</f>
        <v>3</v>
      </c>
      <c r="R325" s="14">
        <f>IF(ISBLANK(SalesTbl[[#This Row],[Quantity]]),$H$2,SalesTbl[[#This Row],[Quantity]])</f>
        <v>3</v>
      </c>
      <c r="S325">
        <f>ROW()-ROW(SalesTbl[[#Headers],[Customer ID]])</f>
        <v>324</v>
      </c>
      <c r="T325" s="9" t="str">
        <f>IF(SalesTbl[[#This Row],[RowIdx]]&lt;=ROUNDUP(COUNTA(SalesTbl[Customer ID])*0.8,0),"Train","Test")</f>
        <v>Train</v>
      </c>
    </row>
    <row r="326" spans="1:20" x14ac:dyDescent="0.25">
      <c r="A326" t="s">
        <v>171</v>
      </c>
      <c r="B326" t="s">
        <v>20</v>
      </c>
      <c r="C326" t="s">
        <v>321</v>
      </c>
      <c r="D326" t="s">
        <v>23</v>
      </c>
      <c r="E326" t="s">
        <v>15</v>
      </c>
      <c r="F326">
        <v>55</v>
      </c>
      <c r="G326">
        <v>1500</v>
      </c>
      <c r="H326">
        <v>1</v>
      </c>
      <c r="I326">
        <v>1500</v>
      </c>
      <c r="J326">
        <v>19.04</v>
      </c>
      <c r="K326" s="2">
        <v>45219</v>
      </c>
      <c r="L326" t="s">
        <v>317</v>
      </c>
      <c r="M326" s="6">
        <f>SalesTbl[[#This Row],[Unit Price]]*SalesTbl[[#This Row],[Quantity]]</f>
        <v>1500</v>
      </c>
      <c r="N326" s="6">
        <f>YEAR(SalesTbl[[#This Row],[Order Date]])</f>
        <v>2023</v>
      </c>
      <c r="O326" s="6" t="str">
        <f>TEXT(SalesTbl[[#This Row],[Order Date]],"yyyy-mm")</f>
        <v>2023-10</v>
      </c>
      <c r="P326" s="13">
        <f>WEEKNUM(SalesTbl[[#This Row],[Order Date]],2)</f>
        <v>43</v>
      </c>
      <c r="Q326" s="14">
        <f>MEDIAN(SalesTbl[Quantity])</f>
        <v>3</v>
      </c>
      <c r="R326" s="14">
        <f>IF(ISBLANK(SalesTbl[[#This Row],[Quantity]]),$H$2,SalesTbl[[#This Row],[Quantity]])</f>
        <v>1</v>
      </c>
      <c r="S326">
        <f>ROW()-ROW(SalesTbl[[#Headers],[Customer ID]])</f>
        <v>325</v>
      </c>
      <c r="T326" s="9" t="str">
        <f>IF(SalesTbl[[#This Row],[RowIdx]]&lt;=ROUNDUP(COUNTA(SalesTbl[Customer ID])*0.8,0),"Train","Test")</f>
        <v>Train</v>
      </c>
    </row>
    <row r="327" spans="1:20" x14ac:dyDescent="0.25">
      <c r="A327" t="s">
        <v>138</v>
      </c>
      <c r="B327" t="s">
        <v>20</v>
      </c>
      <c r="C327" t="s">
        <v>320</v>
      </c>
      <c r="D327" t="s">
        <v>23</v>
      </c>
      <c r="E327" t="s">
        <v>15</v>
      </c>
      <c r="F327">
        <v>44</v>
      </c>
      <c r="G327">
        <v>1500</v>
      </c>
      <c r="H327">
        <v>2</v>
      </c>
      <c r="I327">
        <v>3000</v>
      </c>
      <c r="J327">
        <v>9.8699999999999992</v>
      </c>
      <c r="K327" s="2">
        <v>45257</v>
      </c>
      <c r="L327" t="s">
        <v>318</v>
      </c>
      <c r="M327" s="6">
        <f>SalesTbl[[#This Row],[Unit Price]]*SalesTbl[[#This Row],[Quantity]]</f>
        <v>3000</v>
      </c>
      <c r="N327" s="6">
        <f>YEAR(SalesTbl[[#This Row],[Order Date]])</f>
        <v>2023</v>
      </c>
      <c r="O327" s="6" t="str">
        <f>TEXT(SalesTbl[[#This Row],[Order Date]],"yyyy-mm")</f>
        <v>2023-11</v>
      </c>
      <c r="P327" s="13">
        <f>WEEKNUM(SalesTbl[[#This Row],[Order Date]],2)</f>
        <v>49</v>
      </c>
      <c r="Q327" s="14">
        <f>MEDIAN(SalesTbl[Quantity])</f>
        <v>3</v>
      </c>
      <c r="R327" s="14">
        <f>IF(ISBLANK(SalesTbl[[#This Row],[Quantity]]),$H$2,SalesTbl[[#This Row],[Quantity]])</f>
        <v>2</v>
      </c>
      <c r="S327">
        <f>ROW()-ROW(SalesTbl[[#Headers],[Customer ID]])</f>
        <v>326</v>
      </c>
      <c r="T327" s="9" t="str">
        <f>IF(SalesTbl[[#This Row],[RowIdx]]&lt;=ROUNDUP(COUNTA(SalesTbl[Customer ID])*0.8,0),"Train","Test")</f>
        <v>Train</v>
      </c>
    </row>
    <row r="328" spans="1:20" x14ac:dyDescent="0.25">
      <c r="A328" t="s">
        <v>222</v>
      </c>
      <c r="B328" t="s">
        <v>20</v>
      </c>
      <c r="C328" t="s">
        <v>323</v>
      </c>
      <c r="D328" t="s">
        <v>40</v>
      </c>
      <c r="E328" t="s">
        <v>15</v>
      </c>
      <c r="F328">
        <v>67</v>
      </c>
      <c r="G328">
        <v>800</v>
      </c>
      <c r="H328">
        <v>5</v>
      </c>
      <c r="I328">
        <v>4000</v>
      </c>
      <c r="J328">
        <v>9.6</v>
      </c>
      <c r="K328" s="2">
        <v>45221</v>
      </c>
      <c r="L328" t="s">
        <v>317</v>
      </c>
      <c r="M328" s="6">
        <f>SalesTbl[[#This Row],[Unit Price]]*SalesTbl[[#This Row],[Quantity]]</f>
        <v>4000</v>
      </c>
      <c r="N328" s="6">
        <f>YEAR(SalesTbl[[#This Row],[Order Date]])</f>
        <v>2023</v>
      </c>
      <c r="O328" s="6" t="str">
        <f>TEXT(SalesTbl[[#This Row],[Order Date]],"yyyy-mm")</f>
        <v>2023-10</v>
      </c>
      <c r="P328" s="13">
        <f>WEEKNUM(SalesTbl[[#This Row],[Order Date]],2)</f>
        <v>43</v>
      </c>
      <c r="Q328" s="14">
        <f>MEDIAN(SalesTbl[Quantity])</f>
        <v>3</v>
      </c>
      <c r="R328" s="14">
        <f>IF(ISBLANK(SalesTbl[[#This Row],[Quantity]]),$H$2,SalesTbl[[#This Row],[Quantity]])</f>
        <v>5</v>
      </c>
      <c r="S328">
        <f>ROW()-ROW(SalesTbl[[#Headers],[Customer ID]])</f>
        <v>327</v>
      </c>
      <c r="T328" s="9" t="str">
        <f>IF(SalesTbl[[#This Row],[RowIdx]]&lt;=ROUNDUP(COUNTA(SalesTbl[Customer ID])*0.8,0),"Train","Test")</f>
        <v>Train</v>
      </c>
    </row>
    <row r="329" spans="1:20" x14ac:dyDescent="0.25">
      <c r="A329" t="s">
        <v>167</v>
      </c>
      <c r="B329" t="s">
        <v>20</v>
      </c>
      <c r="C329" t="s">
        <v>323</v>
      </c>
      <c r="D329" t="s">
        <v>17</v>
      </c>
      <c r="E329" t="s">
        <v>18</v>
      </c>
      <c r="F329">
        <v>49</v>
      </c>
      <c r="G329">
        <v>100</v>
      </c>
      <c r="H329">
        <v>3</v>
      </c>
      <c r="I329">
        <v>300</v>
      </c>
      <c r="J329">
        <v>13.33</v>
      </c>
      <c r="K329" s="2">
        <v>44967</v>
      </c>
      <c r="L329" t="s">
        <v>318</v>
      </c>
      <c r="M329" s="6">
        <f>SalesTbl[[#This Row],[Unit Price]]*SalesTbl[[#This Row],[Quantity]]</f>
        <v>300</v>
      </c>
      <c r="N329" s="6">
        <f>YEAR(SalesTbl[[#This Row],[Order Date]])</f>
        <v>2023</v>
      </c>
      <c r="O329" s="6" t="str">
        <f>TEXT(SalesTbl[[#This Row],[Order Date]],"yyyy-mm")</f>
        <v>2023-02</v>
      </c>
      <c r="P329" s="13">
        <f>WEEKNUM(SalesTbl[[#This Row],[Order Date]],2)</f>
        <v>7</v>
      </c>
      <c r="Q329" s="14">
        <f>MEDIAN(SalesTbl[Quantity])</f>
        <v>3</v>
      </c>
      <c r="R329" s="14">
        <f>IF(ISBLANK(SalesTbl[[#This Row],[Quantity]]),$H$2,SalesTbl[[#This Row],[Quantity]])</f>
        <v>3</v>
      </c>
      <c r="S329">
        <f>ROW()-ROW(SalesTbl[[#Headers],[Customer ID]])</f>
        <v>328</v>
      </c>
      <c r="T329" s="9" t="str">
        <f>IF(SalesTbl[[#This Row],[RowIdx]]&lt;=ROUNDUP(COUNTA(SalesTbl[Customer ID])*0.8,0),"Train","Test")</f>
        <v>Train</v>
      </c>
    </row>
    <row r="330" spans="1:20" x14ac:dyDescent="0.25">
      <c r="A330" t="s">
        <v>35</v>
      </c>
      <c r="B330" t="s">
        <v>20</v>
      </c>
      <c r="C330" t="s">
        <v>320</v>
      </c>
      <c r="D330" t="s">
        <v>40</v>
      </c>
      <c r="E330" t="s">
        <v>15</v>
      </c>
      <c r="F330">
        <v>60</v>
      </c>
      <c r="G330">
        <v>800</v>
      </c>
      <c r="H330">
        <v>2</v>
      </c>
      <c r="I330">
        <v>1600</v>
      </c>
      <c r="J330">
        <v>19.2</v>
      </c>
      <c r="K330" s="2">
        <v>45149</v>
      </c>
      <c r="L330" t="s">
        <v>317</v>
      </c>
      <c r="M330" s="6">
        <f>SalesTbl[[#This Row],[Unit Price]]*SalesTbl[[#This Row],[Quantity]]</f>
        <v>1600</v>
      </c>
      <c r="N330" s="6">
        <f>YEAR(SalesTbl[[#This Row],[Order Date]])</f>
        <v>2023</v>
      </c>
      <c r="O330" s="6" t="str">
        <f>TEXT(SalesTbl[[#This Row],[Order Date]],"yyyy-mm")</f>
        <v>2023-08</v>
      </c>
      <c r="P330" s="13">
        <f>WEEKNUM(SalesTbl[[#This Row],[Order Date]],2)</f>
        <v>33</v>
      </c>
      <c r="Q330" s="14">
        <f>MEDIAN(SalesTbl[Quantity])</f>
        <v>3</v>
      </c>
      <c r="R330" s="14">
        <f>IF(ISBLANK(SalesTbl[[#This Row],[Quantity]]),$H$2,SalesTbl[[#This Row],[Quantity]])</f>
        <v>2</v>
      </c>
      <c r="S330">
        <f>ROW()-ROW(SalesTbl[[#Headers],[Customer ID]])</f>
        <v>329</v>
      </c>
      <c r="T330" s="9" t="str">
        <f>IF(SalesTbl[[#This Row],[RowIdx]]&lt;=ROUNDUP(COUNTA(SalesTbl[Customer ID])*0.8,0),"Train","Test")</f>
        <v>Train</v>
      </c>
    </row>
    <row r="331" spans="1:20" x14ac:dyDescent="0.25">
      <c r="A331" t="s">
        <v>223</v>
      </c>
      <c r="B331" t="s">
        <v>13</v>
      </c>
      <c r="C331" t="s">
        <v>322</v>
      </c>
      <c r="D331" t="s">
        <v>29</v>
      </c>
      <c r="E331" t="s">
        <v>18</v>
      </c>
      <c r="F331">
        <v>20</v>
      </c>
      <c r="G331">
        <v>50</v>
      </c>
      <c r="H331">
        <v>1</v>
      </c>
      <c r="I331">
        <v>50</v>
      </c>
      <c r="J331">
        <v>17.61</v>
      </c>
      <c r="K331" s="2">
        <v>45151</v>
      </c>
      <c r="L331" t="s">
        <v>316</v>
      </c>
      <c r="M331" s="6">
        <f>SalesTbl[[#This Row],[Unit Price]]*SalesTbl[[#This Row],[Quantity]]</f>
        <v>50</v>
      </c>
      <c r="N331" s="6">
        <f>YEAR(SalesTbl[[#This Row],[Order Date]])</f>
        <v>2023</v>
      </c>
      <c r="O331" s="6" t="str">
        <f>TEXT(SalesTbl[[#This Row],[Order Date]],"yyyy-mm")</f>
        <v>2023-08</v>
      </c>
      <c r="P331" s="13">
        <f>WEEKNUM(SalesTbl[[#This Row],[Order Date]],2)</f>
        <v>33</v>
      </c>
      <c r="Q331" s="14">
        <f>MEDIAN(SalesTbl[Quantity])</f>
        <v>3</v>
      </c>
      <c r="R331" s="14">
        <f>IF(ISBLANK(SalesTbl[[#This Row],[Quantity]]),$H$2,SalesTbl[[#This Row],[Quantity]])</f>
        <v>1</v>
      </c>
      <c r="S331">
        <f>ROW()-ROW(SalesTbl[[#Headers],[Customer ID]])</f>
        <v>330</v>
      </c>
      <c r="T331" s="9" t="str">
        <f>IF(SalesTbl[[#This Row],[RowIdx]]&lt;=ROUNDUP(COUNTA(SalesTbl[Customer ID])*0.8,0),"Train","Test")</f>
        <v>Train</v>
      </c>
    </row>
    <row r="332" spans="1:20" x14ac:dyDescent="0.25">
      <c r="A332" t="s">
        <v>224</v>
      </c>
      <c r="B332" t="s">
        <v>20</v>
      </c>
      <c r="C332" t="s">
        <v>323</v>
      </c>
      <c r="D332" t="s">
        <v>25</v>
      </c>
      <c r="E332" t="s">
        <v>26</v>
      </c>
      <c r="F332">
        <v>34</v>
      </c>
      <c r="G332">
        <v>200</v>
      </c>
      <c r="H332">
        <v>1</v>
      </c>
      <c r="I332">
        <v>200</v>
      </c>
      <c r="J332">
        <v>17.66</v>
      </c>
      <c r="K332" s="2">
        <v>45067</v>
      </c>
      <c r="L332" t="s">
        <v>316</v>
      </c>
      <c r="M332" s="6">
        <f>SalesTbl[[#This Row],[Unit Price]]*SalesTbl[[#This Row],[Quantity]]</f>
        <v>200</v>
      </c>
      <c r="N332" s="6">
        <f>YEAR(SalesTbl[[#This Row],[Order Date]])</f>
        <v>2023</v>
      </c>
      <c r="O332" s="6" t="str">
        <f>TEXT(SalesTbl[[#This Row],[Order Date]],"yyyy-mm")</f>
        <v>2023-05</v>
      </c>
      <c r="P332" s="13">
        <f>WEEKNUM(SalesTbl[[#This Row],[Order Date]],2)</f>
        <v>21</v>
      </c>
      <c r="Q332" s="14">
        <f>MEDIAN(SalesTbl[Quantity])</f>
        <v>3</v>
      </c>
      <c r="R332" s="14">
        <f>IF(ISBLANK(SalesTbl[[#This Row],[Quantity]]),$H$2,SalesTbl[[#This Row],[Quantity]])</f>
        <v>1</v>
      </c>
      <c r="S332">
        <f>ROW()-ROW(SalesTbl[[#Headers],[Customer ID]])</f>
        <v>331</v>
      </c>
      <c r="T332" s="9" t="str">
        <f>IF(SalesTbl[[#This Row],[RowIdx]]&lt;=ROUNDUP(COUNTA(SalesTbl[Customer ID])*0.8,0),"Train","Test")</f>
        <v>Train</v>
      </c>
    </row>
    <row r="333" spans="1:20" x14ac:dyDescent="0.25">
      <c r="A333" t="s">
        <v>225</v>
      </c>
      <c r="B333" t="s">
        <v>20</v>
      </c>
      <c r="C333" t="s">
        <v>320</v>
      </c>
      <c r="D333" t="s">
        <v>23</v>
      </c>
      <c r="E333" t="s">
        <v>15</v>
      </c>
      <c r="F333">
        <v>19</v>
      </c>
      <c r="G333">
        <v>1500</v>
      </c>
      <c r="H333">
        <v>4</v>
      </c>
      <c r="I333">
        <v>6000</v>
      </c>
      <c r="J333">
        <v>14.45</v>
      </c>
      <c r="K333" s="2">
        <v>45238</v>
      </c>
      <c r="L333" t="s">
        <v>318</v>
      </c>
      <c r="M333" s="6">
        <f>SalesTbl[[#This Row],[Unit Price]]*SalesTbl[[#This Row],[Quantity]]</f>
        <v>6000</v>
      </c>
      <c r="N333" s="6">
        <f>YEAR(SalesTbl[[#This Row],[Order Date]])</f>
        <v>2023</v>
      </c>
      <c r="O333" s="6" t="str">
        <f>TEXT(SalesTbl[[#This Row],[Order Date]],"yyyy-mm")</f>
        <v>2023-11</v>
      </c>
      <c r="P333" s="13">
        <f>WEEKNUM(SalesTbl[[#This Row],[Order Date]],2)</f>
        <v>46</v>
      </c>
      <c r="Q333" s="14">
        <f>MEDIAN(SalesTbl[Quantity])</f>
        <v>3</v>
      </c>
      <c r="R333" s="14">
        <f>IF(ISBLANK(SalesTbl[[#This Row],[Quantity]]),$H$2,SalesTbl[[#This Row],[Quantity]])</f>
        <v>4</v>
      </c>
      <c r="S333">
        <f>ROW()-ROW(SalesTbl[[#Headers],[Customer ID]])</f>
        <v>332</v>
      </c>
      <c r="T333" s="9" t="str">
        <f>IF(SalesTbl[[#This Row],[RowIdx]]&lt;=ROUNDUP(COUNTA(SalesTbl[Customer ID])*0.8,0),"Train","Test")</f>
        <v>Train</v>
      </c>
    </row>
    <row r="334" spans="1:20" x14ac:dyDescent="0.25">
      <c r="A334" t="s">
        <v>54</v>
      </c>
      <c r="B334" t="s">
        <v>20</v>
      </c>
      <c r="C334" t="s">
        <v>323</v>
      </c>
      <c r="D334" t="s">
        <v>40</v>
      </c>
      <c r="E334" t="s">
        <v>15</v>
      </c>
      <c r="F334">
        <v>49</v>
      </c>
      <c r="G334">
        <v>800</v>
      </c>
      <c r="H334">
        <v>4</v>
      </c>
      <c r="I334">
        <v>3200</v>
      </c>
      <c r="J334">
        <v>19.170000000000002</v>
      </c>
      <c r="K334" s="2">
        <v>45094</v>
      </c>
      <c r="L334" t="s">
        <v>317</v>
      </c>
      <c r="M334" s="6">
        <f>SalesTbl[[#This Row],[Unit Price]]*SalesTbl[[#This Row],[Quantity]]</f>
        <v>3200</v>
      </c>
      <c r="N334" s="6">
        <f>YEAR(SalesTbl[[#This Row],[Order Date]])</f>
        <v>2023</v>
      </c>
      <c r="O334" s="6" t="str">
        <f>TEXT(SalesTbl[[#This Row],[Order Date]],"yyyy-mm")</f>
        <v>2023-06</v>
      </c>
      <c r="P334" s="13">
        <f>WEEKNUM(SalesTbl[[#This Row],[Order Date]],2)</f>
        <v>25</v>
      </c>
      <c r="Q334" s="14">
        <f>MEDIAN(SalesTbl[Quantity])</f>
        <v>3</v>
      </c>
      <c r="R334" s="14">
        <f>IF(ISBLANK(SalesTbl[[#This Row],[Quantity]]),$H$2,SalesTbl[[#This Row],[Quantity]])</f>
        <v>4</v>
      </c>
      <c r="S334">
        <f>ROW()-ROW(SalesTbl[[#Headers],[Customer ID]])</f>
        <v>333</v>
      </c>
      <c r="T334" s="9" t="str">
        <f>IF(SalesTbl[[#This Row],[RowIdx]]&lt;=ROUNDUP(COUNTA(SalesTbl[Customer ID])*0.8,0),"Train","Test")</f>
        <v>Train</v>
      </c>
    </row>
    <row r="335" spans="1:20" x14ac:dyDescent="0.25">
      <c r="A335" t="s">
        <v>58</v>
      </c>
      <c r="B335" t="s">
        <v>20</v>
      </c>
      <c r="C335" t="s">
        <v>322</v>
      </c>
      <c r="D335" t="s">
        <v>14</v>
      </c>
      <c r="E335" t="s">
        <v>15</v>
      </c>
      <c r="F335">
        <v>64</v>
      </c>
      <c r="G335">
        <v>300</v>
      </c>
      <c r="H335">
        <v>3</v>
      </c>
      <c r="I335">
        <v>900</v>
      </c>
      <c r="J335">
        <v>19.12</v>
      </c>
      <c r="K335" s="2">
        <v>45094</v>
      </c>
      <c r="L335" t="s">
        <v>317</v>
      </c>
      <c r="M335" s="6">
        <f>SalesTbl[[#This Row],[Unit Price]]*SalesTbl[[#This Row],[Quantity]]</f>
        <v>900</v>
      </c>
      <c r="N335" s="6">
        <f>YEAR(SalesTbl[[#This Row],[Order Date]])</f>
        <v>2023</v>
      </c>
      <c r="O335" s="6" t="str">
        <f>TEXT(SalesTbl[[#This Row],[Order Date]],"yyyy-mm")</f>
        <v>2023-06</v>
      </c>
      <c r="P335" s="13">
        <f>WEEKNUM(SalesTbl[[#This Row],[Order Date]],2)</f>
        <v>25</v>
      </c>
      <c r="Q335" s="14">
        <f>MEDIAN(SalesTbl[Quantity])</f>
        <v>3</v>
      </c>
      <c r="R335" s="14">
        <f>IF(ISBLANK(SalesTbl[[#This Row],[Quantity]]),$H$2,SalesTbl[[#This Row],[Quantity]])</f>
        <v>3</v>
      </c>
      <c r="S335">
        <f>ROW()-ROW(SalesTbl[[#Headers],[Customer ID]])</f>
        <v>334</v>
      </c>
      <c r="T335" s="9" t="str">
        <f>IF(SalesTbl[[#This Row],[RowIdx]]&lt;=ROUNDUP(COUNTA(SalesTbl[Customer ID])*0.8,0),"Train","Test")</f>
        <v>Train</v>
      </c>
    </row>
    <row r="336" spans="1:20" x14ac:dyDescent="0.25">
      <c r="A336" t="s">
        <v>221</v>
      </c>
      <c r="B336" t="s">
        <v>13</v>
      </c>
      <c r="C336" t="s">
        <v>321</v>
      </c>
      <c r="D336" t="s">
        <v>14</v>
      </c>
      <c r="E336" t="s">
        <v>15</v>
      </c>
      <c r="F336">
        <v>37</v>
      </c>
      <c r="G336">
        <v>300</v>
      </c>
      <c r="H336">
        <v>1</v>
      </c>
      <c r="I336">
        <v>300</v>
      </c>
      <c r="J336">
        <v>9.7200000000000006</v>
      </c>
      <c r="K336" s="2">
        <v>45015</v>
      </c>
      <c r="L336" t="s">
        <v>316</v>
      </c>
      <c r="M336" s="6">
        <f>SalesTbl[[#This Row],[Unit Price]]*SalesTbl[[#This Row],[Quantity]]</f>
        <v>300</v>
      </c>
      <c r="N336" s="6">
        <f>YEAR(SalesTbl[[#This Row],[Order Date]])</f>
        <v>2023</v>
      </c>
      <c r="O336" s="6" t="str">
        <f>TEXT(SalesTbl[[#This Row],[Order Date]],"yyyy-mm")</f>
        <v>2023-03</v>
      </c>
      <c r="P336" s="13">
        <f>WEEKNUM(SalesTbl[[#This Row],[Order Date]],2)</f>
        <v>14</v>
      </c>
      <c r="Q336" s="14">
        <f>MEDIAN(SalesTbl[Quantity])</f>
        <v>3</v>
      </c>
      <c r="R336" s="14">
        <f>IF(ISBLANK(SalesTbl[[#This Row],[Quantity]]),$H$2,SalesTbl[[#This Row],[Quantity]])</f>
        <v>1</v>
      </c>
      <c r="S336">
        <f>ROW()-ROW(SalesTbl[[#Headers],[Customer ID]])</f>
        <v>335</v>
      </c>
      <c r="T336" s="9" t="str">
        <f>IF(SalesTbl[[#This Row],[RowIdx]]&lt;=ROUNDUP(COUNTA(SalesTbl[Customer ID])*0.8,0),"Train","Test")</f>
        <v>Train</v>
      </c>
    </row>
    <row r="337" spans="1:20" x14ac:dyDescent="0.25">
      <c r="A337" t="s">
        <v>36</v>
      </c>
      <c r="B337" t="s">
        <v>20</v>
      </c>
      <c r="C337" t="s">
        <v>321</v>
      </c>
      <c r="D337" t="s">
        <v>14</v>
      </c>
      <c r="E337" t="s">
        <v>15</v>
      </c>
      <c r="F337">
        <v>66</v>
      </c>
      <c r="G337">
        <v>300</v>
      </c>
      <c r="H337">
        <v>1</v>
      </c>
      <c r="I337">
        <v>300</v>
      </c>
      <c r="J337">
        <v>18.63</v>
      </c>
      <c r="K337" s="2">
        <v>45231</v>
      </c>
      <c r="L337" t="s">
        <v>318</v>
      </c>
      <c r="M337" s="6">
        <f>SalesTbl[[#This Row],[Unit Price]]*SalesTbl[[#This Row],[Quantity]]</f>
        <v>300</v>
      </c>
      <c r="N337" s="6">
        <f>YEAR(SalesTbl[[#This Row],[Order Date]])</f>
        <v>2023</v>
      </c>
      <c r="O337" s="6" t="str">
        <f>TEXT(SalesTbl[[#This Row],[Order Date]],"yyyy-mm")</f>
        <v>2023-11</v>
      </c>
      <c r="P337" s="13">
        <f>WEEKNUM(SalesTbl[[#This Row],[Order Date]],2)</f>
        <v>45</v>
      </c>
      <c r="Q337" s="14">
        <f>MEDIAN(SalesTbl[Quantity])</f>
        <v>3</v>
      </c>
      <c r="R337" s="14">
        <f>IF(ISBLANK(SalesTbl[[#This Row],[Quantity]]),$H$2,SalesTbl[[#This Row],[Quantity]])</f>
        <v>1</v>
      </c>
      <c r="S337">
        <f>ROW()-ROW(SalesTbl[[#Headers],[Customer ID]])</f>
        <v>336</v>
      </c>
      <c r="T337" s="9" t="str">
        <f>IF(SalesTbl[[#This Row],[RowIdx]]&lt;=ROUNDUP(COUNTA(SalesTbl[Customer ID])*0.8,0),"Train","Test")</f>
        <v>Train</v>
      </c>
    </row>
    <row r="338" spans="1:20" x14ac:dyDescent="0.25">
      <c r="A338" t="s">
        <v>189</v>
      </c>
      <c r="B338" t="s">
        <v>13</v>
      </c>
      <c r="C338" t="s">
        <v>322</v>
      </c>
      <c r="D338" t="s">
        <v>40</v>
      </c>
      <c r="E338" t="s">
        <v>15</v>
      </c>
      <c r="F338">
        <v>69</v>
      </c>
      <c r="G338">
        <v>800</v>
      </c>
      <c r="H338">
        <v>3</v>
      </c>
      <c r="I338">
        <v>2400</v>
      </c>
      <c r="J338">
        <v>5.26</v>
      </c>
      <c r="K338" s="2">
        <v>45206</v>
      </c>
      <c r="L338" t="s">
        <v>319</v>
      </c>
      <c r="M338" s="6">
        <f>SalesTbl[[#This Row],[Unit Price]]*SalesTbl[[#This Row],[Quantity]]</f>
        <v>2400</v>
      </c>
      <c r="N338" s="6">
        <f>YEAR(SalesTbl[[#This Row],[Order Date]])</f>
        <v>2023</v>
      </c>
      <c r="O338" s="6" t="str">
        <f>TEXT(SalesTbl[[#This Row],[Order Date]],"yyyy-mm")</f>
        <v>2023-10</v>
      </c>
      <c r="P338" s="13">
        <f>WEEKNUM(SalesTbl[[#This Row],[Order Date]],2)</f>
        <v>41</v>
      </c>
      <c r="Q338" s="14">
        <f>MEDIAN(SalesTbl[Quantity])</f>
        <v>3</v>
      </c>
      <c r="R338" s="14">
        <f>IF(ISBLANK(SalesTbl[[#This Row],[Quantity]]),$H$2,SalesTbl[[#This Row],[Quantity]])</f>
        <v>3</v>
      </c>
      <c r="S338">
        <f>ROW()-ROW(SalesTbl[[#Headers],[Customer ID]])</f>
        <v>337</v>
      </c>
      <c r="T338" s="9" t="str">
        <f>IF(SalesTbl[[#This Row],[RowIdx]]&lt;=ROUNDUP(COUNTA(SalesTbl[Customer ID])*0.8,0),"Train","Test")</f>
        <v>Train</v>
      </c>
    </row>
    <row r="339" spans="1:20" x14ac:dyDescent="0.25">
      <c r="A339" t="s">
        <v>226</v>
      </c>
      <c r="B339" t="s">
        <v>20</v>
      </c>
      <c r="C339" t="s">
        <v>322</v>
      </c>
      <c r="D339" t="s">
        <v>30</v>
      </c>
      <c r="E339" t="s">
        <v>18</v>
      </c>
      <c r="F339">
        <v>33</v>
      </c>
      <c r="G339">
        <v>30</v>
      </c>
      <c r="H339">
        <v>2</v>
      </c>
      <c r="I339">
        <v>60</v>
      </c>
      <c r="J339">
        <v>15.69</v>
      </c>
      <c r="K339" s="2">
        <v>45220</v>
      </c>
      <c r="L339" t="s">
        <v>318</v>
      </c>
      <c r="M339" s="6">
        <f>SalesTbl[[#This Row],[Unit Price]]*SalesTbl[[#This Row],[Quantity]]</f>
        <v>60</v>
      </c>
      <c r="N339" s="6">
        <f>YEAR(SalesTbl[[#This Row],[Order Date]])</f>
        <v>2023</v>
      </c>
      <c r="O339" s="6" t="str">
        <f>TEXT(SalesTbl[[#This Row],[Order Date]],"yyyy-mm")</f>
        <v>2023-10</v>
      </c>
      <c r="P339" s="13">
        <f>WEEKNUM(SalesTbl[[#This Row],[Order Date]],2)</f>
        <v>43</v>
      </c>
      <c r="Q339" s="14">
        <f>MEDIAN(SalesTbl[Quantity])</f>
        <v>3</v>
      </c>
      <c r="R339" s="14">
        <f>IF(ISBLANK(SalesTbl[[#This Row],[Quantity]]),$H$2,SalesTbl[[#This Row],[Quantity]])</f>
        <v>2</v>
      </c>
      <c r="S339">
        <f>ROW()-ROW(SalesTbl[[#Headers],[Customer ID]])</f>
        <v>338</v>
      </c>
      <c r="T339" s="9" t="str">
        <f>IF(SalesTbl[[#This Row],[RowIdx]]&lt;=ROUNDUP(COUNTA(SalesTbl[Customer ID])*0.8,0),"Train","Test")</f>
        <v>Train</v>
      </c>
    </row>
    <row r="340" spans="1:20" x14ac:dyDescent="0.25">
      <c r="A340" t="s">
        <v>153</v>
      </c>
      <c r="B340" t="s">
        <v>20</v>
      </c>
      <c r="C340" t="s">
        <v>321</v>
      </c>
      <c r="D340" t="s">
        <v>14</v>
      </c>
      <c r="E340" t="s">
        <v>15</v>
      </c>
      <c r="F340">
        <v>43</v>
      </c>
      <c r="G340">
        <v>300</v>
      </c>
      <c r="H340">
        <v>3</v>
      </c>
      <c r="I340">
        <v>900</v>
      </c>
      <c r="J340">
        <v>8.58</v>
      </c>
      <c r="K340" s="2">
        <v>45232</v>
      </c>
      <c r="L340" t="s">
        <v>316</v>
      </c>
      <c r="M340" s="6">
        <f>SalesTbl[[#This Row],[Unit Price]]*SalesTbl[[#This Row],[Quantity]]</f>
        <v>900</v>
      </c>
      <c r="N340" s="6">
        <f>YEAR(SalesTbl[[#This Row],[Order Date]])</f>
        <v>2023</v>
      </c>
      <c r="O340" s="6" t="str">
        <f>TEXT(SalesTbl[[#This Row],[Order Date]],"yyyy-mm")</f>
        <v>2023-11</v>
      </c>
      <c r="P340" s="13">
        <f>WEEKNUM(SalesTbl[[#This Row],[Order Date]],2)</f>
        <v>45</v>
      </c>
      <c r="Q340" s="14">
        <f>MEDIAN(SalesTbl[Quantity])</f>
        <v>3</v>
      </c>
      <c r="R340" s="14">
        <f>IF(ISBLANK(SalesTbl[[#This Row],[Quantity]]),$H$2,SalesTbl[[#This Row],[Quantity]])</f>
        <v>3</v>
      </c>
      <c r="S340">
        <f>ROW()-ROW(SalesTbl[[#Headers],[Customer ID]])</f>
        <v>339</v>
      </c>
      <c r="T340" s="9" t="str">
        <f>IF(SalesTbl[[#This Row],[RowIdx]]&lt;=ROUNDUP(COUNTA(SalesTbl[Customer ID])*0.8,0),"Train","Test")</f>
        <v>Train</v>
      </c>
    </row>
    <row r="341" spans="1:20" x14ac:dyDescent="0.25">
      <c r="A341" t="s">
        <v>100</v>
      </c>
      <c r="B341" t="s">
        <v>20</v>
      </c>
      <c r="C341" t="s">
        <v>322</v>
      </c>
      <c r="D341" t="s">
        <v>17</v>
      </c>
      <c r="E341" t="s">
        <v>18</v>
      </c>
      <c r="F341">
        <v>48</v>
      </c>
      <c r="G341">
        <v>207.30404083244301</v>
      </c>
      <c r="H341">
        <v>1</v>
      </c>
      <c r="I341">
        <v>100</v>
      </c>
      <c r="J341">
        <v>9.5500000000000007</v>
      </c>
      <c r="K341" s="2">
        <v>44949</v>
      </c>
      <c r="L341" t="s">
        <v>318</v>
      </c>
      <c r="M341" s="6">
        <f>SalesTbl[[#This Row],[Unit Price]]*SalesTbl[[#This Row],[Quantity]]</f>
        <v>207.30404083244301</v>
      </c>
      <c r="N341" s="6">
        <f>YEAR(SalesTbl[[#This Row],[Order Date]])</f>
        <v>2023</v>
      </c>
      <c r="O341" s="6" t="str">
        <f>TEXT(SalesTbl[[#This Row],[Order Date]],"yyyy-mm")</f>
        <v>2023-01</v>
      </c>
      <c r="P341" s="13">
        <f>WEEKNUM(SalesTbl[[#This Row],[Order Date]],2)</f>
        <v>5</v>
      </c>
      <c r="Q341" s="14">
        <f>MEDIAN(SalesTbl[Quantity])</f>
        <v>3</v>
      </c>
      <c r="R341" s="14">
        <f>IF(ISBLANK(SalesTbl[[#This Row],[Quantity]]),$H$2,SalesTbl[[#This Row],[Quantity]])</f>
        <v>1</v>
      </c>
      <c r="S341">
        <f>ROW()-ROW(SalesTbl[[#Headers],[Customer ID]])</f>
        <v>340</v>
      </c>
      <c r="T341" s="9" t="str">
        <f>IF(SalesTbl[[#This Row],[RowIdx]]&lt;=ROUNDUP(COUNTA(SalesTbl[Customer ID])*0.8,0),"Train","Test")</f>
        <v>Train</v>
      </c>
    </row>
    <row r="342" spans="1:20" x14ac:dyDescent="0.25">
      <c r="A342" t="s">
        <v>49</v>
      </c>
      <c r="B342" t="s">
        <v>13</v>
      </c>
      <c r="C342" t="s">
        <v>319</v>
      </c>
      <c r="D342" t="s">
        <v>29</v>
      </c>
      <c r="E342" t="s">
        <v>18</v>
      </c>
      <c r="F342">
        <v>25</v>
      </c>
      <c r="G342">
        <v>50</v>
      </c>
      <c r="H342">
        <v>3</v>
      </c>
      <c r="I342">
        <v>150</v>
      </c>
      <c r="J342">
        <v>11.95</v>
      </c>
      <c r="K342" s="2">
        <v>45217</v>
      </c>
      <c r="L342" t="s">
        <v>316</v>
      </c>
      <c r="M342" s="6">
        <f>SalesTbl[[#This Row],[Unit Price]]*SalesTbl[[#This Row],[Quantity]]</f>
        <v>150</v>
      </c>
      <c r="N342" s="6">
        <f>YEAR(SalesTbl[[#This Row],[Order Date]])</f>
        <v>2023</v>
      </c>
      <c r="O342" s="6" t="str">
        <f>TEXT(SalesTbl[[#This Row],[Order Date]],"yyyy-mm")</f>
        <v>2023-10</v>
      </c>
      <c r="P342" s="13">
        <f>WEEKNUM(SalesTbl[[#This Row],[Order Date]],2)</f>
        <v>43</v>
      </c>
      <c r="Q342" s="14">
        <f>MEDIAN(SalesTbl[Quantity])</f>
        <v>3</v>
      </c>
      <c r="R342" s="14">
        <f>IF(ISBLANK(SalesTbl[[#This Row],[Quantity]]),$H$2,SalesTbl[[#This Row],[Quantity]])</f>
        <v>3</v>
      </c>
      <c r="S342">
        <f>ROW()-ROW(SalesTbl[[#Headers],[Customer ID]])</f>
        <v>341</v>
      </c>
      <c r="T342" s="9" t="str">
        <f>IF(SalesTbl[[#This Row],[RowIdx]]&lt;=ROUNDUP(COUNTA(SalesTbl[Customer ID])*0.8,0),"Train","Test")</f>
        <v>Train</v>
      </c>
    </row>
    <row r="343" spans="1:20" x14ac:dyDescent="0.25">
      <c r="A343" t="s">
        <v>210</v>
      </c>
      <c r="B343" t="s">
        <v>20</v>
      </c>
      <c r="C343" t="s">
        <v>322</v>
      </c>
      <c r="D343" t="s">
        <v>40</v>
      </c>
      <c r="E343" t="s">
        <v>15</v>
      </c>
      <c r="F343">
        <v>54</v>
      </c>
      <c r="G343">
        <v>800</v>
      </c>
      <c r="H343">
        <v>4</v>
      </c>
      <c r="I343">
        <v>3200</v>
      </c>
      <c r="J343">
        <v>7.86</v>
      </c>
      <c r="K343" s="2">
        <v>45145</v>
      </c>
      <c r="L343" t="s">
        <v>316</v>
      </c>
      <c r="M343" s="6">
        <f>SalesTbl[[#This Row],[Unit Price]]*SalesTbl[[#This Row],[Quantity]]</f>
        <v>3200</v>
      </c>
      <c r="N343" s="6">
        <f>YEAR(SalesTbl[[#This Row],[Order Date]])</f>
        <v>2023</v>
      </c>
      <c r="O343" s="6" t="str">
        <f>TEXT(SalesTbl[[#This Row],[Order Date]],"yyyy-mm")</f>
        <v>2023-08</v>
      </c>
      <c r="P343" s="13">
        <f>WEEKNUM(SalesTbl[[#This Row],[Order Date]],2)</f>
        <v>33</v>
      </c>
      <c r="Q343" s="14">
        <f>MEDIAN(SalesTbl[Quantity])</f>
        <v>3</v>
      </c>
      <c r="R343" s="14">
        <f>IF(ISBLANK(SalesTbl[[#This Row],[Quantity]]),$H$2,SalesTbl[[#This Row],[Quantity]])</f>
        <v>4</v>
      </c>
      <c r="S343">
        <f>ROW()-ROW(SalesTbl[[#Headers],[Customer ID]])</f>
        <v>342</v>
      </c>
      <c r="T343" s="9" t="str">
        <f>IF(SalesTbl[[#This Row],[RowIdx]]&lt;=ROUNDUP(COUNTA(SalesTbl[Customer ID])*0.8,0),"Train","Test")</f>
        <v>Train</v>
      </c>
    </row>
    <row r="344" spans="1:20" x14ac:dyDescent="0.25">
      <c r="A344" t="s">
        <v>65</v>
      </c>
      <c r="B344" t="s">
        <v>13</v>
      </c>
      <c r="C344" t="s">
        <v>322</v>
      </c>
      <c r="D344" t="s">
        <v>14</v>
      </c>
      <c r="E344" t="s">
        <v>15</v>
      </c>
      <c r="F344">
        <v>38</v>
      </c>
      <c r="G344">
        <v>300</v>
      </c>
      <c r="H344">
        <v>5</v>
      </c>
      <c r="I344">
        <v>1500</v>
      </c>
      <c r="J344">
        <v>12.67</v>
      </c>
      <c r="K344" s="2">
        <v>44931</v>
      </c>
      <c r="L344" t="s">
        <v>317</v>
      </c>
      <c r="M344" s="6">
        <f>SalesTbl[[#This Row],[Unit Price]]*SalesTbl[[#This Row],[Quantity]]</f>
        <v>1500</v>
      </c>
      <c r="N344" s="6">
        <f>YEAR(SalesTbl[[#This Row],[Order Date]])</f>
        <v>2023</v>
      </c>
      <c r="O344" s="6" t="str">
        <f>TEXT(SalesTbl[[#This Row],[Order Date]],"yyyy-mm")</f>
        <v>2023-01</v>
      </c>
      <c r="P344" s="13">
        <f>WEEKNUM(SalesTbl[[#This Row],[Order Date]],2)</f>
        <v>2</v>
      </c>
      <c r="Q344" s="14">
        <f>MEDIAN(SalesTbl[Quantity])</f>
        <v>3</v>
      </c>
      <c r="R344" s="14">
        <f>IF(ISBLANK(SalesTbl[[#This Row],[Quantity]]),$H$2,SalesTbl[[#This Row],[Quantity]])</f>
        <v>5</v>
      </c>
      <c r="S344">
        <f>ROW()-ROW(SalesTbl[[#Headers],[Customer ID]])</f>
        <v>343</v>
      </c>
      <c r="T344" s="9" t="str">
        <f>IF(SalesTbl[[#This Row],[RowIdx]]&lt;=ROUNDUP(COUNTA(SalesTbl[Customer ID])*0.8,0),"Train","Test")</f>
        <v>Train</v>
      </c>
    </row>
    <row r="345" spans="1:20" x14ac:dyDescent="0.25">
      <c r="A345" t="s">
        <v>145</v>
      </c>
      <c r="B345" t="s">
        <v>20</v>
      </c>
      <c r="C345" t="s">
        <v>322</v>
      </c>
      <c r="D345" t="s">
        <v>14</v>
      </c>
      <c r="E345" t="s">
        <v>15</v>
      </c>
      <c r="F345">
        <v>30</v>
      </c>
      <c r="G345">
        <v>300</v>
      </c>
      <c r="H345">
        <v>2</v>
      </c>
      <c r="I345">
        <v>600</v>
      </c>
      <c r="J345">
        <v>16.309999999999999</v>
      </c>
      <c r="K345" s="2">
        <v>45132</v>
      </c>
      <c r="L345" t="s">
        <v>318</v>
      </c>
      <c r="M345" s="6">
        <f>SalesTbl[[#This Row],[Unit Price]]*SalesTbl[[#This Row],[Quantity]]</f>
        <v>600</v>
      </c>
      <c r="N345" s="6">
        <f>YEAR(SalesTbl[[#This Row],[Order Date]])</f>
        <v>2023</v>
      </c>
      <c r="O345" s="6" t="str">
        <f>TEXT(SalesTbl[[#This Row],[Order Date]],"yyyy-mm")</f>
        <v>2023-07</v>
      </c>
      <c r="P345" s="13">
        <f>WEEKNUM(SalesTbl[[#This Row],[Order Date]],2)</f>
        <v>31</v>
      </c>
      <c r="Q345" s="14">
        <f>MEDIAN(SalesTbl[Quantity])</f>
        <v>3</v>
      </c>
      <c r="R345" s="14">
        <f>IF(ISBLANK(SalesTbl[[#This Row],[Quantity]]),$H$2,SalesTbl[[#This Row],[Quantity]])</f>
        <v>2</v>
      </c>
      <c r="S345">
        <f>ROW()-ROW(SalesTbl[[#Headers],[Customer ID]])</f>
        <v>344</v>
      </c>
      <c r="T345" s="9" t="str">
        <f>IF(SalesTbl[[#This Row],[RowIdx]]&lt;=ROUNDUP(COUNTA(SalesTbl[Customer ID])*0.8,0),"Train","Test")</f>
        <v>Train</v>
      </c>
    </row>
    <row r="346" spans="1:20" x14ac:dyDescent="0.25">
      <c r="A346" t="s">
        <v>197</v>
      </c>
      <c r="B346" t="s">
        <v>20</v>
      </c>
      <c r="C346" t="s">
        <v>322</v>
      </c>
      <c r="D346" t="s">
        <v>25</v>
      </c>
      <c r="E346" t="s">
        <v>26</v>
      </c>
      <c r="F346">
        <v>45</v>
      </c>
      <c r="G346">
        <v>200</v>
      </c>
      <c r="H346">
        <v>3</v>
      </c>
      <c r="I346">
        <v>600</v>
      </c>
      <c r="J346">
        <v>18.239999999999998</v>
      </c>
      <c r="K346" s="2">
        <v>45255</v>
      </c>
      <c r="L346" t="s">
        <v>316</v>
      </c>
      <c r="M346" s="6">
        <f>SalesTbl[[#This Row],[Unit Price]]*SalesTbl[[#This Row],[Quantity]]</f>
        <v>600</v>
      </c>
      <c r="N346" s="6">
        <f>YEAR(SalesTbl[[#This Row],[Order Date]])</f>
        <v>2023</v>
      </c>
      <c r="O346" s="6" t="str">
        <f>TEXT(SalesTbl[[#This Row],[Order Date]],"yyyy-mm")</f>
        <v>2023-11</v>
      </c>
      <c r="P346" s="13">
        <f>WEEKNUM(SalesTbl[[#This Row],[Order Date]],2)</f>
        <v>48</v>
      </c>
      <c r="Q346" s="14">
        <f>MEDIAN(SalesTbl[Quantity])</f>
        <v>3</v>
      </c>
      <c r="R346" s="14">
        <f>IF(ISBLANK(SalesTbl[[#This Row],[Quantity]]),$H$2,SalesTbl[[#This Row],[Quantity]])</f>
        <v>3</v>
      </c>
      <c r="S346">
        <f>ROW()-ROW(SalesTbl[[#Headers],[Customer ID]])</f>
        <v>345</v>
      </c>
      <c r="T346" s="9" t="str">
        <f>IF(SalesTbl[[#This Row],[RowIdx]]&lt;=ROUNDUP(COUNTA(SalesTbl[Customer ID])*0.8,0),"Train","Test")</f>
        <v>Train</v>
      </c>
    </row>
    <row r="347" spans="1:20" x14ac:dyDescent="0.25">
      <c r="A347" t="s">
        <v>188</v>
      </c>
      <c r="B347" t="s">
        <v>13</v>
      </c>
      <c r="C347" t="s">
        <v>320</v>
      </c>
      <c r="D347" t="s">
        <v>30</v>
      </c>
      <c r="E347" t="s">
        <v>18</v>
      </c>
      <c r="F347">
        <v>52</v>
      </c>
      <c r="G347">
        <v>30</v>
      </c>
      <c r="H347">
        <v>3</v>
      </c>
      <c r="I347">
        <v>90</v>
      </c>
      <c r="J347">
        <v>11.88</v>
      </c>
      <c r="K347" s="2">
        <v>45064</v>
      </c>
      <c r="L347" t="s">
        <v>316</v>
      </c>
      <c r="M347" s="6">
        <f>SalesTbl[[#This Row],[Unit Price]]*SalesTbl[[#This Row],[Quantity]]</f>
        <v>90</v>
      </c>
      <c r="N347" s="6">
        <f>YEAR(SalesTbl[[#This Row],[Order Date]])</f>
        <v>2023</v>
      </c>
      <c r="O347" s="6" t="str">
        <f>TEXT(SalesTbl[[#This Row],[Order Date]],"yyyy-mm")</f>
        <v>2023-05</v>
      </c>
      <c r="P347" s="13">
        <f>WEEKNUM(SalesTbl[[#This Row],[Order Date]],2)</f>
        <v>21</v>
      </c>
      <c r="Q347" s="14">
        <f>MEDIAN(SalesTbl[Quantity])</f>
        <v>3</v>
      </c>
      <c r="R347" s="14">
        <f>IF(ISBLANK(SalesTbl[[#This Row],[Quantity]]),$H$2,SalesTbl[[#This Row],[Quantity]])</f>
        <v>3</v>
      </c>
      <c r="S347">
        <f>ROW()-ROW(SalesTbl[[#Headers],[Customer ID]])</f>
        <v>346</v>
      </c>
      <c r="T347" s="9" t="str">
        <f>IF(SalesTbl[[#This Row],[RowIdx]]&lt;=ROUNDUP(COUNTA(SalesTbl[Customer ID])*0.8,0),"Train","Test")</f>
        <v>Train</v>
      </c>
    </row>
    <row r="348" spans="1:20" x14ac:dyDescent="0.25">
      <c r="A348" t="s">
        <v>227</v>
      </c>
      <c r="B348" t="s">
        <v>20</v>
      </c>
      <c r="C348" t="s">
        <v>322</v>
      </c>
      <c r="D348" t="s">
        <v>30</v>
      </c>
      <c r="E348" t="s">
        <v>18</v>
      </c>
      <c r="F348">
        <v>66</v>
      </c>
      <c r="G348">
        <v>30</v>
      </c>
      <c r="H348">
        <v>2</v>
      </c>
      <c r="I348">
        <v>60</v>
      </c>
      <c r="J348">
        <v>5.53</v>
      </c>
      <c r="K348" s="2">
        <v>45215</v>
      </c>
      <c r="L348" t="s">
        <v>317</v>
      </c>
      <c r="M348" s="6">
        <f>SalesTbl[[#This Row],[Unit Price]]*SalesTbl[[#This Row],[Quantity]]</f>
        <v>60</v>
      </c>
      <c r="N348" s="6">
        <f>YEAR(SalesTbl[[#This Row],[Order Date]])</f>
        <v>2023</v>
      </c>
      <c r="O348" s="6" t="str">
        <f>TEXT(SalesTbl[[#This Row],[Order Date]],"yyyy-mm")</f>
        <v>2023-10</v>
      </c>
      <c r="P348" s="13">
        <f>WEEKNUM(SalesTbl[[#This Row],[Order Date]],2)</f>
        <v>43</v>
      </c>
      <c r="Q348" s="14">
        <f>MEDIAN(SalesTbl[Quantity])</f>
        <v>3</v>
      </c>
      <c r="R348" s="14">
        <f>IF(ISBLANK(SalesTbl[[#This Row],[Quantity]]),$H$2,SalesTbl[[#This Row],[Quantity]])</f>
        <v>2</v>
      </c>
      <c r="S348">
        <f>ROW()-ROW(SalesTbl[[#Headers],[Customer ID]])</f>
        <v>347</v>
      </c>
      <c r="T348" s="9" t="str">
        <f>IF(SalesTbl[[#This Row],[RowIdx]]&lt;=ROUNDUP(COUNTA(SalesTbl[Customer ID])*0.8,0),"Train","Test")</f>
        <v>Train</v>
      </c>
    </row>
    <row r="349" spans="1:20" x14ac:dyDescent="0.25">
      <c r="A349" t="s">
        <v>78</v>
      </c>
      <c r="B349" t="s">
        <v>13</v>
      </c>
      <c r="C349" t="s">
        <v>322</v>
      </c>
      <c r="D349" t="s">
        <v>25</v>
      </c>
      <c r="E349" t="s">
        <v>26</v>
      </c>
      <c r="F349">
        <v>67</v>
      </c>
      <c r="G349">
        <v>200</v>
      </c>
      <c r="H349">
        <v>3</v>
      </c>
      <c r="I349">
        <v>600</v>
      </c>
      <c r="J349">
        <v>8.01</v>
      </c>
      <c r="K349" s="2">
        <v>45012</v>
      </c>
      <c r="L349" t="s">
        <v>318</v>
      </c>
      <c r="M349" s="6">
        <f>SalesTbl[[#This Row],[Unit Price]]*SalesTbl[[#This Row],[Quantity]]</f>
        <v>600</v>
      </c>
      <c r="N349" s="6">
        <f>YEAR(SalesTbl[[#This Row],[Order Date]])</f>
        <v>2023</v>
      </c>
      <c r="O349" s="6" t="str">
        <f>TEXT(SalesTbl[[#This Row],[Order Date]],"yyyy-mm")</f>
        <v>2023-03</v>
      </c>
      <c r="P349" s="13">
        <f>WEEKNUM(SalesTbl[[#This Row],[Order Date]],2)</f>
        <v>14</v>
      </c>
      <c r="Q349" s="14">
        <f>MEDIAN(SalesTbl[Quantity])</f>
        <v>3</v>
      </c>
      <c r="R349" s="14">
        <f>IF(ISBLANK(SalesTbl[[#This Row],[Quantity]]),$H$2,SalesTbl[[#This Row],[Quantity]])</f>
        <v>3</v>
      </c>
      <c r="S349">
        <f>ROW()-ROW(SalesTbl[[#Headers],[Customer ID]])</f>
        <v>348</v>
      </c>
      <c r="T349" s="9" t="str">
        <f>IF(SalesTbl[[#This Row],[RowIdx]]&lt;=ROUNDUP(COUNTA(SalesTbl[Customer ID])*0.8,0),"Train","Test")</f>
        <v>Train</v>
      </c>
    </row>
    <row r="350" spans="1:20" x14ac:dyDescent="0.25">
      <c r="A350" t="s">
        <v>228</v>
      </c>
      <c r="B350" t="s">
        <v>20</v>
      </c>
      <c r="C350" t="s">
        <v>322</v>
      </c>
      <c r="D350" t="s">
        <v>30</v>
      </c>
      <c r="E350" t="s">
        <v>18</v>
      </c>
      <c r="F350">
        <v>22</v>
      </c>
      <c r="G350">
        <v>30</v>
      </c>
      <c r="H350">
        <v>4</v>
      </c>
      <c r="I350">
        <v>120</v>
      </c>
      <c r="J350">
        <v>19.239999999999998</v>
      </c>
      <c r="K350" s="2">
        <v>45224</v>
      </c>
      <c r="L350" t="s">
        <v>317</v>
      </c>
      <c r="M350" s="6">
        <f>SalesTbl[[#This Row],[Unit Price]]*SalesTbl[[#This Row],[Quantity]]</f>
        <v>120</v>
      </c>
      <c r="N350" s="6">
        <f>YEAR(SalesTbl[[#This Row],[Order Date]])</f>
        <v>2023</v>
      </c>
      <c r="O350" s="6" t="str">
        <f>TEXT(SalesTbl[[#This Row],[Order Date]],"yyyy-mm")</f>
        <v>2023-10</v>
      </c>
      <c r="P350" s="13">
        <f>WEEKNUM(SalesTbl[[#This Row],[Order Date]],2)</f>
        <v>44</v>
      </c>
      <c r="Q350" s="14">
        <f>MEDIAN(SalesTbl[Quantity])</f>
        <v>3</v>
      </c>
      <c r="R350" s="14">
        <f>IF(ISBLANK(SalesTbl[[#This Row],[Quantity]]),$H$2,SalesTbl[[#This Row],[Quantity]])</f>
        <v>4</v>
      </c>
      <c r="S350">
        <f>ROW()-ROW(SalesTbl[[#Headers],[Customer ID]])</f>
        <v>349</v>
      </c>
      <c r="T350" s="9" t="str">
        <f>IF(SalesTbl[[#This Row],[RowIdx]]&lt;=ROUNDUP(COUNTA(SalesTbl[Customer ID])*0.8,0),"Train","Test")</f>
        <v>Train</v>
      </c>
    </row>
    <row r="351" spans="1:20" x14ac:dyDescent="0.25">
      <c r="A351" t="s">
        <v>32</v>
      </c>
      <c r="B351" t="s">
        <v>13</v>
      </c>
      <c r="C351" t="s">
        <v>321</v>
      </c>
      <c r="D351" t="s">
        <v>14</v>
      </c>
      <c r="E351" t="s">
        <v>15</v>
      </c>
      <c r="F351">
        <v>49</v>
      </c>
      <c r="G351">
        <v>300</v>
      </c>
      <c r="H351">
        <v>2</v>
      </c>
      <c r="I351">
        <v>600</v>
      </c>
      <c r="J351">
        <v>7</v>
      </c>
      <c r="K351" s="2">
        <v>45190</v>
      </c>
      <c r="L351" t="s">
        <v>317</v>
      </c>
      <c r="M351" s="6">
        <f>SalesTbl[[#This Row],[Unit Price]]*SalesTbl[[#This Row],[Quantity]]</f>
        <v>600</v>
      </c>
      <c r="N351" s="6">
        <f>YEAR(SalesTbl[[#This Row],[Order Date]])</f>
        <v>2023</v>
      </c>
      <c r="O351" s="6" t="str">
        <f>TEXT(SalesTbl[[#This Row],[Order Date]],"yyyy-mm")</f>
        <v>2023-09</v>
      </c>
      <c r="P351" s="13">
        <f>WEEKNUM(SalesTbl[[#This Row],[Order Date]],2)</f>
        <v>39</v>
      </c>
      <c r="Q351" s="14">
        <f>MEDIAN(SalesTbl[Quantity])</f>
        <v>3</v>
      </c>
      <c r="R351" s="14">
        <f>IF(ISBLANK(SalesTbl[[#This Row],[Quantity]]),$H$2,SalesTbl[[#This Row],[Quantity]])</f>
        <v>2</v>
      </c>
      <c r="S351">
        <f>ROW()-ROW(SalesTbl[[#Headers],[Customer ID]])</f>
        <v>350</v>
      </c>
      <c r="T351" s="9" t="str">
        <f>IF(SalesTbl[[#This Row],[RowIdx]]&lt;=ROUNDUP(COUNTA(SalesTbl[Customer ID])*0.8,0),"Train","Test")</f>
        <v>Train</v>
      </c>
    </row>
    <row r="352" spans="1:20" x14ac:dyDescent="0.25">
      <c r="A352" t="s">
        <v>229</v>
      </c>
      <c r="B352" t="s">
        <v>13</v>
      </c>
      <c r="C352" t="s">
        <v>322</v>
      </c>
      <c r="D352" t="s">
        <v>25</v>
      </c>
      <c r="E352" t="s">
        <v>26</v>
      </c>
      <c r="F352">
        <v>65</v>
      </c>
      <c r="G352">
        <v>200</v>
      </c>
      <c r="H352">
        <v>3</v>
      </c>
      <c r="I352">
        <v>600</v>
      </c>
      <c r="J352">
        <v>6.94</v>
      </c>
      <c r="K352" s="2">
        <v>45294</v>
      </c>
      <c r="L352" t="s">
        <v>317</v>
      </c>
      <c r="M352" s="6">
        <f>SalesTbl[[#This Row],[Unit Price]]*SalesTbl[[#This Row],[Quantity]]</f>
        <v>600</v>
      </c>
      <c r="N352" s="6">
        <f>YEAR(SalesTbl[[#This Row],[Order Date]])</f>
        <v>2024</v>
      </c>
      <c r="O352" s="6" t="str">
        <f>TEXT(SalesTbl[[#This Row],[Order Date]],"yyyy-mm")</f>
        <v>2024-01</v>
      </c>
      <c r="P352" s="13">
        <f>WEEKNUM(SalesTbl[[#This Row],[Order Date]],2)</f>
        <v>1</v>
      </c>
      <c r="Q352" s="14">
        <f>MEDIAN(SalesTbl[Quantity])</f>
        <v>3</v>
      </c>
      <c r="R352" s="14">
        <f>IF(ISBLANK(SalesTbl[[#This Row],[Quantity]]),$H$2,SalesTbl[[#This Row],[Quantity]])</f>
        <v>3</v>
      </c>
      <c r="S352">
        <f>ROW()-ROW(SalesTbl[[#Headers],[Customer ID]])</f>
        <v>351</v>
      </c>
      <c r="T352" s="9" t="str">
        <f>IF(SalesTbl[[#This Row],[RowIdx]]&lt;=ROUNDUP(COUNTA(SalesTbl[Customer ID])*0.8,0),"Train","Test")</f>
        <v>Train</v>
      </c>
    </row>
    <row r="353" spans="1:20" x14ac:dyDescent="0.25">
      <c r="A353" t="s">
        <v>126</v>
      </c>
      <c r="B353" t="s">
        <v>20</v>
      </c>
      <c r="C353" t="s">
        <v>323</v>
      </c>
      <c r="D353" t="s">
        <v>23</v>
      </c>
      <c r="E353" t="s">
        <v>15</v>
      </c>
      <c r="F353">
        <v>49</v>
      </c>
      <c r="G353">
        <v>1500</v>
      </c>
      <c r="H353">
        <v>1</v>
      </c>
      <c r="I353">
        <v>1500</v>
      </c>
      <c r="J353">
        <v>6.62</v>
      </c>
      <c r="K353" s="2">
        <v>44979</v>
      </c>
      <c r="L353" t="s">
        <v>318</v>
      </c>
      <c r="M353" s="6">
        <f>SalesTbl[[#This Row],[Unit Price]]*SalesTbl[[#This Row],[Quantity]]</f>
        <v>1500</v>
      </c>
      <c r="N353" s="6">
        <f>YEAR(SalesTbl[[#This Row],[Order Date]])</f>
        <v>2023</v>
      </c>
      <c r="O353" s="6" t="str">
        <f>TEXT(SalesTbl[[#This Row],[Order Date]],"yyyy-mm")</f>
        <v>2023-02</v>
      </c>
      <c r="P353" s="13">
        <f>WEEKNUM(SalesTbl[[#This Row],[Order Date]],2)</f>
        <v>9</v>
      </c>
      <c r="Q353" s="14">
        <f>MEDIAN(SalesTbl[Quantity])</f>
        <v>3</v>
      </c>
      <c r="R353" s="14">
        <f>IF(ISBLANK(SalesTbl[[#This Row],[Quantity]]),$H$2,SalesTbl[[#This Row],[Quantity]])</f>
        <v>1</v>
      </c>
      <c r="S353">
        <f>ROW()-ROW(SalesTbl[[#Headers],[Customer ID]])</f>
        <v>352</v>
      </c>
      <c r="T353" s="9" t="str">
        <f>IF(SalesTbl[[#This Row],[RowIdx]]&lt;=ROUNDUP(COUNTA(SalesTbl[Customer ID])*0.8,0),"Train","Test")</f>
        <v>Train</v>
      </c>
    </row>
    <row r="354" spans="1:20" x14ac:dyDescent="0.25">
      <c r="A354" t="s">
        <v>113</v>
      </c>
      <c r="B354" t="s">
        <v>20</v>
      </c>
      <c r="C354" t="s">
        <v>320</v>
      </c>
      <c r="D354" t="s">
        <v>14</v>
      </c>
      <c r="E354" t="s">
        <v>15</v>
      </c>
      <c r="F354">
        <v>63</v>
      </c>
      <c r="G354">
        <v>300</v>
      </c>
      <c r="H354">
        <v>3</v>
      </c>
      <c r="I354">
        <v>900</v>
      </c>
      <c r="J354">
        <v>19.87</v>
      </c>
      <c r="K354" s="2">
        <v>45161</v>
      </c>
      <c r="L354" t="s">
        <v>318</v>
      </c>
      <c r="M354" s="6">
        <f>SalesTbl[[#This Row],[Unit Price]]*SalesTbl[[#This Row],[Quantity]]</f>
        <v>900</v>
      </c>
      <c r="N354" s="6">
        <f>YEAR(SalesTbl[[#This Row],[Order Date]])</f>
        <v>2023</v>
      </c>
      <c r="O354" s="6" t="str">
        <f>TEXT(SalesTbl[[#This Row],[Order Date]],"yyyy-mm")</f>
        <v>2023-08</v>
      </c>
      <c r="P354" s="13">
        <f>WEEKNUM(SalesTbl[[#This Row],[Order Date]],2)</f>
        <v>35</v>
      </c>
      <c r="Q354" s="14">
        <f>MEDIAN(SalesTbl[Quantity])</f>
        <v>3</v>
      </c>
      <c r="R354" s="14">
        <f>IF(ISBLANK(SalesTbl[[#This Row],[Quantity]]),$H$2,SalesTbl[[#This Row],[Quantity]])</f>
        <v>3</v>
      </c>
      <c r="S354">
        <f>ROW()-ROW(SalesTbl[[#Headers],[Customer ID]])</f>
        <v>353</v>
      </c>
      <c r="T354" s="9" t="str">
        <f>IF(SalesTbl[[#This Row],[RowIdx]]&lt;=ROUNDUP(COUNTA(SalesTbl[Customer ID])*0.8,0),"Train","Test")</f>
        <v>Train</v>
      </c>
    </row>
    <row r="355" spans="1:20" x14ac:dyDescent="0.25">
      <c r="A355" t="s">
        <v>66</v>
      </c>
      <c r="B355" t="s">
        <v>13</v>
      </c>
      <c r="C355" t="s">
        <v>322</v>
      </c>
      <c r="D355" t="s">
        <v>29</v>
      </c>
      <c r="E355" t="s">
        <v>18</v>
      </c>
      <c r="F355">
        <v>44</v>
      </c>
      <c r="G355">
        <v>50</v>
      </c>
      <c r="H355">
        <v>2</v>
      </c>
      <c r="I355">
        <v>100</v>
      </c>
      <c r="J355">
        <v>10.09</v>
      </c>
      <c r="K355" s="2">
        <v>45139</v>
      </c>
      <c r="L355" t="s">
        <v>318</v>
      </c>
      <c r="M355" s="6">
        <f>SalesTbl[[#This Row],[Unit Price]]*SalesTbl[[#This Row],[Quantity]]</f>
        <v>100</v>
      </c>
      <c r="N355" s="6">
        <f>YEAR(SalesTbl[[#This Row],[Order Date]])</f>
        <v>2023</v>
      </c>
      <c r="O355" s="6" t="str">
        <f>TEXT(SalesTbl[[#This Row],[Order Date]],"yyyy-mm")</f>
        <v>2023-08</v>
      </c>
      <c r="P355" s="13">
        <f>WEEKNUM(SalesTbl[[#This Row],[Order Date]],2)</f>
        <v>32</v>
      </c>
      <c r="Q355" s="14">
        <f>MEDIAN(SalesTbl[Quantity])</f>
        <v>3</v>
      </c>
      <c r="R355" s="14">
        <f>IF(ISBLANK(SalesTbl[[#This Row],[Quantity]]),$H$2,SalesTbl[[#This Row],[Quantity]])</f>
        <v>2</v>
      </c>
      <c r="S355">
        <f>ROW()-ROW(SalesTbl[[#Headers],[Customer ID]])</f>
        <v>354</v>
      </c>
      <c r="T355" s="9" t="str">
        <f>IF(SalesTbl[[#This Row],[RowIdx]]&lt;=ROUNDUP(COUNTA(SalesTbl[Customer ID])*0.8,0),"Train","Test")</f>
        <v>Train</v>
      </c>
    </row>
    <row r="356" spans="1:20" x14ac:dyDescent="0.25">
      <c r="A356" t="s">
        <v>230</v>
      </c>
      <c r="B356" t="s">
        <v>20</v>
      </c>
      <c r="C356" t="s">
        <v>323</v>
      </c>
      <c r="D356" t="s">
        <v>14</v>
      </c>
      <c r="E356" t="s">
        <v>15</v>
      </c>
      <c r="F356">
        <v>42</v>
      </c>
      <c r="G356">
        <v>300</v>
      </c>
      <c r="H356">
        <v>2</v>
      </c>
      <c r="I356">
        <v>600</v>
      </c>
      <c r="J356">
        <v>6.22</v>
      </c>
      <c r="K356" s="2">
        <v>45144</v>
      </c>
      <c r="L356" t="s">
        <v>317</v>
      </c>
      <c r="M356" s="6">
        <f>SalesTbl[[#This Row],[Unit Price]]*SalesTbl[[#This Row],[Quantity]]</f>
        <v>600</v>
      </c>
      <c r="N356" s="6">
        <f>YEAR(SalesTbl[[#This Row],[Order Date]])</f>
        <v>2023</v>
      </c>
      <c r="O356" s="6" t="str">
        <f>TEXT(SalesTbl[[#This Row],[Order Date]],"yyyy-mm")</f>
        <v>2023-08</v>
      </c>
      <c r="P356" s="13">
        <f>WEEKNUM(SalesTbl[[#This Row],[Order Date]],2)</f>
        <v>32</v>
      </c>
      <c r="Q356" s="14">
        <f>MEDIAN(SalesTbl[Quantity])</f>
        <v>3</v>
      </c>
      <c r="R356" s="14">
        <f>IF(ISBLANK(SalesTbl[[#This Row],[Quantity]]),$H$2,SalesTbl[[#This Row],[Quantity]])</f>
        <v>2</v>
      </c>
      <c r="S356">
        <f>ROW()-ROW(SalesTbl[[#Headers],[Customer ID]])</f>
        <v>355</v>
      </c>
      <c r="T356" s="9" t="str">
        <f>IF(SalesTbl[[#This Row],[RowIdx]]&lt;=ROUNDUP(COUNTA(SalesTbl[Customer ID])*0.8,0),"Train","Test")</f>
        <v>Train</v>
      </c>
    </row>
    <row r="357" spans="1:20" x14ac:dyDescent="0.25">
      <c r="A357" t="s">
        <v>138</v>
      </c>
      <c r="B357" t="s">
        <v>13</v>
      </c>
      <c r="C357" t="s">
        <v>321</v>
      </c>
      <c r="D357" t="s">
        <v>23</v>
      </c>
      <c r="E357" t="s">
        <v>15</v>
      </c>
      <c r="F357">
        <v>49</v>
      </c>
      <c r="G357">
        <v>1500</v>
      </c>
      <c r="H357">
        <v>4</v>
      </c>
      <c r="I357">
        <v>6000</v>
      </c>
      <c r="J357">
        <v>7.66</v>
      </c>
      <c r="K357" s="2">
        <v>44927</v>
      </c>
      <c r="L357" t="s">
        <v>316</v>
      </c>
      <c r="M357" s="6">
        <f>SalesTbl[[#This Row],[Unit Price]]*SalesTbl[[#This Row],[Quantity]]</f>
        <v>6000</v>
      </c>
      <c r="N357" s="6">
        <f>YEAR(SalesTbl[[#This Row],[Order Date]])</f>
        <v>2023</v>
      </c>
      <c r="O357" s="6" t="str">
        <f>TEXT(SalesTbl[[#This Row],[Order Date]],"yyyy-mm")</f>
        <v>2023-01</v>
      </c>
      <c r="P357" s="13">
        <f>WEEKNUM(SalesTbl[[#This Row],[Order Date]],2)</f>
        <v>1</v>
      </c>
      <c r="Q357" s="14">
        <f>MEDIAN(SalesTbl[Quantity])</f>
        <v>3</v>
      </c>
      <c r="R357" s="14">
        <f>IF(ISBLANK(SalesTbl[[#This Row],[Quantity]]),$H$2,SalesTbl[[#This Row],[Quantity]])</f>
        <v>4</v>
      </c>
      <c r="S357">
        <f>ROW()-ROW(SalesTbl[[#Headers],[Customer ID]])</f>
        <v>356</v>
      </c>
      <c r="T357" s="9" t="str">
        <f>IF(SalesTbl[[#This Row],[RowIdx]]&lt;=ROUNDUP(COUNTA(SalesTbl[Customer ID])*0.8,0),"Train","Test")</f>
        <v>Train</v>
      </c>
    </row>
    <row r="358" spans="1:20" x14ac:dyDescent="0.25">
      <c r="A358" t="s">
        <v>80</v>
      </c>
      <c r="B358" t="s">
        <v>13</v>
      </c>
      <c r="C358" t="s">
        <v>323</v>
      </c>
      <c r="D358" t="s">
        <v>40</v>
      </c>
      <c r="E358" t="s">
        <v>15</v>
      </c>
      <c r="F358">
        <v>64</v>
      </c>
      <c r="G358">
        <v>800</v>
      </c>
      <c r="H358">
        <v>4</v>
      </c>
      <c r="I358">
        <v>3200</v>
      </c>
      <c r="J358">
        <v>5.82</v>
      </c>
      <c r="K358" s="2">
        <v>45201</v>
      </c>
      <c r="L358" t="s">
        <v>316</v>
      </c>
      <c r="M358" s="6">
        <f>SalesTbl[[#This Row],[Unit Price]]*SalesTbl[[#This Row],[Quantity]]</f>
        <v>3200</v>
      </c>
      <c r="N358" s="6">
        <f>YEAR(SalesTbl[[#This Row],[Order Date]])</f>
        <v>2023</v>
      </c>
      <c r="O358" s="6" t="str">
        <f>TEXT(SalesTbl[[#This Row],[Order Date]],"yyyy-mm")</f>
        <v>2023-10</v>
      </c>
      <c r="P358" s="13">
        <f>WEEKNUM(SalesTbl[[#This Row],[Order Date]],2)</f>
        <v>41</v>
      </c>
      <c r="Q358" s="14">
        <f>MEDIAN(SalesTbl[Quantity])</f>
        <v>3</v>
      </c>
      <c r="R358" s="14">
        <f>IF(ISBLANK(SalesTbl[[#This Row],[Quantity]]),$H$2,SalesTbl[[#This Row],[Quantity]])</f>
        <v>4</v>
      </c>
      <c r="S358">
        <f>ROW()-ROW(SalesTbl[[#Headers],[Customer ID]])</f>
        <v>357</v>
      </c>
      <c r="T358" s="9" t="str">
        <f>IF(SalesTbl[[#This Row],[RowIdx]]&lt;=ROUNDUP(COUNTA(SalesTbl[Customer ID])*0.8,0),"Train","Test")</f>
        <v>Train</v>
      </c>
    </row>
    <row r="359" spans="1:20" x14ac:dyDescent="0.25">
      <c r="A359" t="s">
        <v>174</v>
      </c>
      <c r="B359" t="s">
        <v>13</v>
      </c>
      <c r="C359" t="s">
        <v>323</v>
      </c>
      <c r="D359" t="s">
        <v>14</v>
      </c>
      <c r="E359" t="s">
        <v>15</v>
      </c>
      <c r="F359">
        <v>54</v>
      </c>
      <c r="G359">
        <v>300</v>
      </c>
      <c r="H359">
        <v>4</v>
      </c>
      <c r="I359">
        <v>1200</v>
      </c>
      <c r="J359">
        <v>18.399999999999999</v>
      </c>
      <c r="K359" s="2">
        <v>45045</v>
      </c>
      <c r="L359" t="s">
        <v>318</v>
      </c>
      <c r="M359" s="6">
        <f>SalesTbl[[#This Row],[Unit Price]]*SalesTbl[[#This Row],[Quantity]]</f>
        <v>1200</v>
      </c>
      <c r="N359" s="6">
        <f>YEAR(SalesTbl[[#This Row],[Order Date]])</f>
        <v>2023</v>
      </c>
      <c r="O359" s="6" t="str">
        <f>TEXT(SalesTbl[[#This Row],[Order Date]],"yyyy-mm")</f>
        <v>2023-04</v>
      </c>
      <c r="P359" s="13">
        <f>WEEKNUM(SalesTbl[[#This Row],[Order Date]],2)</f>
        <v>18</v>
      </c>
      <c r="Q359" s="14">
        <f>MEDIAN(SalesTbl[Quantity])</f>
        <v>3</v>
      </c>
      <c r="R359" s="14">
        <f>IF(ISBLANK(SalesTbl[[#This Row],[Quantity]]),$H$2,SalesTbl[[#This Row],[Quantity]])</f>
        <v>4</v>
      </c>
      <c r="S359">
        <f>ROW()-ROW(SalesTbl[[#Headers],[Customer ID]])</f>
        <v>358</v>
      </c>
      <c r="T359" s="9" t="str">
        <f>IF(SalesTbl[[#This Row],[RowIdx]]&lt;=ROUNDUP(COUNTA(SalesTbl[Customer ID])*0.8,0),"Train","Test")</f>
        <v>Train</v>
      </c>
    </row>
    <row r="360" spans="1:20" x14ac:dyDescent="0.25">
      <c r="A360" t="s">
        <v>173</v>
      </c>
      <c r="B360" t="s">
        <v>20</v>
      </c>
      <c r="C360" t="s">
        <v>320</v>
      </c>
      <c r="D360" t="s">
        <v>25</v>
      </c>
      <c r="E360" t="s">
        <v>26</v>
      </c>
      <c r="F360">
        <v>60</v>
      </c>
      <c r="G360">
        <v>200</v>
      </c>
      <c r="H360">
        <v>2</v>
      </c>
      <c r="I360">
        <v>400</v>
      </c>
      <c r="J360">
        <v>18.88</v>
      </c>
      <c r="K360" s="2">
        <v>45131</v>
      </c>
      <c r="L360" t="s">
        <v>318</v>
      </c>
      <c r="M360" s="6">
        <f>SalesTbl[[#This Row],[Unit Price]]*SalesTbl[[#This Row],[Quantity]]</f>
        <v>400</v>
      </c>
      <c r="N360" s="6">
        <f>YEAR(SalesTbl[[#This Row],[Order Date]])</f>
        <v>2023</v>
      </c>
      <c r="O360" s="6" t="str">
        <f>TEXT(SalesTbl[[#This Row],[Order Date]],"yyyy-mm")</f>
        <v>2023-07</v>
      </c>
      <c r="P360" s="13">
        <f>WEEKNUM(SalesTbl[[#This Row],[Order Date]],2)</f>
        <v>31</v>
      </c>
      <c r="Q360" s="14">
        <f>MEDIAN(SalesTbl[Quantity])</f>
        <v>3</v>
      </c>
      <c r="R360" s="14">
        <f>IF(ISBLANK(SalesTbl[[#This Row],[Quantity]]),$H$2,SalesTbl[[#This Row],[Quantity]])</f>
        <v>2</v>
      </c>
      <c r="S360">
        <f>ROW()-ROW(SalesTbl[[#Headers],[Customer ID]])</f>
        <v>359</v>
      </c>
      <c r="T360" s="9" t="str">
        <f>IF(SalesTbl[[#This Row],[RowIdx]]&lt;=ROUNDUP(COUNTA(SalesTbl[Customer ID])*0.8,0),"Train","Test")</f>
        <v>Train</v>
      </c>
    </row>
    <row r="361" spans="1:20" x14ac:dyDescent="0.25">
      <c r="A361" t="s">
        <v>188</v>
      </c>
      <c r="B361" t="s">
        <v>20</v>
      </c>
      <c r="C361" t="s">
        <v>320</v>
      </c>
      <c r="D361" t="s">
        <v>25</v>
      </c>
      <c r="E361" t="s">
        <v>26</v>
      </c>
      <c r="F361">
        <v>52</v>
      </c>
      <c r="G361">
        <v>200</v>
      </c>
      <c r="H361">
        <v>3</v>
      </c>
      <c r="I361">
        <v>600</v>
      </c>
      <c r="J361">
        <v>15.36</v>
      </c>
      <c r="K361" s="2">
        <v>45186</v>
      </c>
      <c r="L361" t="s">
        <v>317</v>
      </c>
      <c r="M361" s="6">
        <f>SalesTbl[[#This Row],[Unit Price]]*SalesTbl[[#This Row],[Quantity]]</f>
        <v>600</v>
      </c>
      <c r="N361" s="6">
        <f>YEAR(SalesTbl[[#This Row],[Order Date]])</f>
        <v>2023</v>
      </c>
      <c r="O361" s="6" t="str">
        <f>TEXT(SalesTbl[[#This Row],[Order Date]],"yyyy-mm")</f>
        <v>2023-09</v>
      </c>
      <c r="P361" s="13">
        <f>WEEKNUM(SalesTbl[[#This Row],[Order Date]],2)</f>
        <v>38</v>
      </c>
      <c r="Q361" s="14">
        <f>MEDIAN(SalesTbl[Quantity])</f>
        <v>3</v>
      </c>
      <c r="R361" s="14">
        <f>IF(ISBLANK(SalesTbl[[#This Row],[Quantity]]),$H$2,SalesTbl[[#This Row],[Quantity]])</f>
        <v>3</v>
      </c>
      <c r="S361">
        <f>ROW()-ROW(SalesTbl[[#Headers],[Customer ID]])</f>
        <v>360</v>
      </c>
      <c r="T361" s="9" t="str">
        <f>IF(SalesTbl[[#This Row],[RowIdx]]&lt;=ROUNDUP(COUNTA(SalesTbl[Customer ID])*0.8,0),"Train","Test")</f>
        <v>Train</v>
      </c>
    </row>
    <row r="362" spans="1:20" x14ac:dyDescent="0.25">
      <c r="A362" t="s">
        <v>140</v>
      </c>
      <c r="B362" t="s">
        <v>13</v>
      </c>
      <c r="C362" t="s">
        <v>323</v>
      </c>
      <c r="D362" t="s">
        <v>14</v>
      </c>
      <c r="E362" t="s">
        <v>15</v>
      </c>
      <c r="F362">
        <v>49</v>
      </c>
      <c r="G362">
        <v>300</v>
      </c>
      <c r="H362">
        <v>4</v>
      </c>
      <c r="I362">
        <v>1200</v>
      </c>
      <c r="J362">
        <v>16.88</v>
      </c>
      <c r="K362" s="2">
        <v>45195</v>
      </c>
      <c r="L362" t="s">
        <v>317</v>
      </c>
      <c r="M362" s="6">
        <f>SalesTbl[[#This Row],[Unit Price]]*SalesTbl[[#This Row],[Quantity]]</f>
        <v>1200</v>
      </c>
      <c r="N362" s="6">
        <f>YEAR(SalesTbl[[#This Row],[Order Date]])</f>
        <v>2023</v>
      </c>
      <c r="O362" s="6" t="str">
        <f>TEXT(SalesTbl[[#This Row],[Order Date]],"yyyy-mm")</f>
        <v>2023-09</v>
      </c>
      <c r="P362" s="13">
        <f>WEEKNUM(SalesTbl[[#This Row],[Order Date]],2)</f>
        <v>40</v>
      </c>
      <c r="Q362" s="14">
        <f>MEDIAN(SalesTbl[Quantity])</f>
        <v>3</v>
      </c>
      <c r="R362" s="14">
        <f>IF(ISBLANK(SalesTbl[[#This Row],[Quantity]]),$H$2,SalesTbl[[#This Row],[Quantity]])</f>
        <v>4</v>
      </c>
      <c r="S362">
        <f>ROW()-ROW(SalesTbl[[#Headers],[Customer ID]])</f>
        <v>361</v>
      </c>
      <c r="T362" s="9" t="str">
        <f>IF(SalesTbl[[#This Row],[RowIdx]]&lt;=ROUNDUP(COUNTA(SalesTbl[Customer ID])*0.8,0),"Train","Test")</f>
        <v>Train</v>
      </c>
    </row>
    <row r="363" spans="1:20" x14ac:dyDescent="0.25">
      <c r="A363" t="s">
        <v>148</v>
      </c>
      <c r="B363" t="s">
        <v>13</v>
      </c>
      <c r="C363" t="s">
        <v>322</v>
      </c>
      <c r="D363" t="s">
        <v>17</v>
      </c>
      <c r="E363" t="s">
        <v>18</v>
      </c>
      <c r="F363">
        <v>56</v>
      </c>
      <c r="G363">
        <v>100</v>
      </c>
      <c r="H363">
        <v>4</v>
      </c>
      <c r="I363">
        <v>400</v>
      </c>
      <c r="J363">
        <v>19.940000000000001</v>
      </c>
      <c r="K363" s="2">
        <v>45084</v>
      </c>
      <c r="L363" t="s">
        <v>317</v>
      </c>
      <c r="M363" s="6">
        <f>SalesTbl[[#This Row],[Unit Price]]*SalesTbl[[#This Row],[Quantity]]</f>
        <v>400</v>
      </c>
      <c r="N363" s="6">
        <f>YEAR(SalesTbl[[#This Row],[Order Date]])</f>
        <v>2023</v>
      </c>
      <c r="O363" s="6" t="str">
        <f>TEXT(SalesTbl[[#This Row],[Order Date]],"yyyy-mm")</f>
        <v>2023-06</v>
      </c>
      <c r="P363" s="13">
        <f>WEEKNUM(SalesTbl[[#This Row],[Order Date]],2)</f>
        <v>24</v>
      </c>
      <c r="Q363" s="14">
        <f>MEDIAN(SalesTbl[Quantity])</f>
        <v>3</v>
      </c>
      <c r="R363" s="14">
        <f>IF(ISBLANK(SalesTbl[[#This Row],[Quantity]]),$H$2,SalesTbl[[#This Row],[Quantity]])</f>
        <v>4</v>
      </c>
      <c r="S363">
        <f>ROW()-ROW(SalesTbl[[#Headers],[Customer ID]])</f>
        <v>362</v>
      </c>
      <c r="T363" s="9" t="str">
        <f>IF(SalesTbl[[#This Row],[RowIdx]]&lt;=ROUNDUP(COUNTA(SalesTbl[Customer ID])*0.8,0),"Train","Test")</f>
        <v>Train</v>
      </c>
    </row>
    <row r="364" spans="1:20" x14ac:dyDescent="0.25">
      <c r="A364" t="s">
        <v>231</v>
      </c>
      <c r="B364" t="s">
        <v>20</v>
      </c>
      <c r="C364" t="s">
        <v>320</v>
      </c>
      <c r="D364" t="s">
        <v>17</v>
      </c>
      <c r="E364" t="s">
        <v>18</v>
      </c>
      <c r="F364">
        <v>64</v>
      </c>
      <c r="G364">
        <v>100</v>
      </c>
      <c r="H364">
        <v>1</v>
      </c>
      <c r="I364">
        <v>100</v>
      </c>
      <c r="J364">
        <v>10.32</v>
      </c>
      <c r="K364" s="2">
        <v>44997</v>
      </c>
      <c r="L364" t="s">
        <v>318</v>
      </c>
      <c r="M364" s="6">
        <f>SalesTbl[[#This Row],[Unit Price]]*SalesTbl[[#This Row],[Quantity]]</f>
        <v>100</v>
      </c>
      <c r="N364" s="6">
        <f>YEAR(SalesTbl[[#This Row],[Order Date]])</f>
        <v>2023</v>
      </c>
      <c r="O364" s="6" t="str">
        <f>TEXT(SalesTbl[[#This Row],[Order Date]],"yyyy-mm")</f>
        <v>2023-03</v>
      </c>
      <c r="P364" s="13">
        <f>WEEKNUM(SalesTbl[[#This Row],[Order Date]],2)</f>
        <v>11</v>
      </c>
      <c r="Q364" s="14">
        <f>MEDIAN(SalesTbl[Quantity])</f>
        <v>3</v>
      </c>
      <c r="R364" s="14">
        <f>IF(ISBLANK(SalesTbl[[#This Row],[Quantity]]),$H$2,SalesTbl[[#This Row],[Quantity]])</f>
        <v>1</v>
      </c>
      <c r="S364">
        <f>ROW()-ROW(SalesTbl[[#Headers],[Customer ID]])</f>
        <v>363</v>
      </c>
      <c r="T364" s="9" t="str">
        <f>IF(SalesTbl[[#This Row],[RowIdx]]&lt;=ROUNDUP(COUNTA(SalesTbl[Customer ID])*0.8,0),"Train","Test")</f>
        <v>Train</v>
      </c>
    </row>
    <row r="365" spans="1:20" x14ac:dyDescent="0.25">
      <c r="A365" t="s">
        <v>232</v>
      </c>
      <c r="B365" t="s">
        <v>20</v>
      </c>
      <c r="C365" t="s">
        <v>323</v>
      </c>
      <c r="D365" t="s">
        <v>29</v>
      </c>
      <c r="E365" t="s">
        <v>18</v>
      </c>
      <c r="F365">
        <v>25</v>
      </c>
      <c r="G365">
        <v>50</v>
      </c>
      <c r="H365">
        <v>4</v>
      </c>
      <c r="I365">
        <v>200</v>
      </c>
      <c r="J365">
        <v>7.33</v>
      </c>
      <c r="K365" s="2">
        <v>45223</v>
      </c>
      <c r="L365" t="s">
        <v>318</v>
      </c>
      <c r="M365" s="6">
        <f>SalesTbl[[#This Row],[Unit Price]]*SalesTbl[[#This Row],[Quantity]]</f>
        <v>200</v>
      </c>
      <c r="N365" s="6">
        <f>YEAR(SalesTbl[[#This Row],[Order Date]])</f>
        <v>2023</v>
      </c>
      <c r="O365" s="6" t="str">
        <f>TEXT(SalesTbl[[#This Row],[Order Date]],"yyyy-mm")</f>
        <v>2023-10</v>
      </c>
      <c r="P365" s="13">
        <f>WEEKNUM(SalesTbl[[#This Row],[Order Date]],2)</f>
        <v>44</v>
      </c>
      <c r="Q365" s="14">
        <f>MEDIAN(SalesTbl[Quantity])</f>
        <v>3</v>
      </c>
      <c r="R365" s="14">
        <f>IF(ISBLANK(SalesTbl[[#This Row],[Quantity]]),$H$2,SalesTbl[[#This Row],[Quantity]])</f>
        <v>4</v>
      </c>
      <c r="S365">
        <f>ROW()-ROW(SalesTbl[[#Headers],[Customer ID]])</f>
        <v>364</v>
      </c>
      <c r="T365" s="9" t="str">
        <f>IF(SalesTbl[[#This Row],[RowIdx]]&lt;=ROUNDUP(COUNTA(SalesTbl[Customer ID])*0.8,0),"Train","Test")</f>
        <v>Train</v>
      </c>
    </row>
    <row r="366" spans="1:20" x14ac:dyDescent="0.25">
      <c r="A366" t="s">
        <v>85</v>
      </c>
      <c r="B366" t="s">
        <v>13</v>
      </c>
      <c r="C366" t="s">
        <v>322</v>
      </c>
      <c r="D366" t="s">
        <v>40</v>
      </c>
      <c r="E366" t="s">
        <v>15</v>
      </c>
      <c r="F366">
        <v>41</v>
      </c>
      <c r="G366">
        <v>800</v>
      </c>
      <c r="H366">
        <v>5</v>
      </c>
      <c r="I366">
        <v>4000</v>
      </c>
      <c r="J366">
        <v>6.41</v>
      </c>
      <c r="K366" s="2">
        <v>45261</v>
      </c>
      <c r="L366" t="s">
        <v>317</v>
      </c>
      <c r="M366" s="6">
        <f>SalesTbl[[#This Row],[Unit Price]]*SalesTbl[[#This Row],[Quantity]]</f>
        <v>4000</v>
      </c>
      <c r="N366" s="6">
        <f>YEAR(SalesTbl[[#This Row],[Order Date]])</f>
        <v>2023</v>
      </c>
      <c r="O366" s="6" t="str">
        <f>TEXT(SalesTbl[[#This Row],[Order Date]],"yyyy-mm")</f>
        <v>2023-12</v>
      </c>
      <c r="P366" s="13">
        <f>WEEKNUM(SalesTbl[[#This Row],[Order Date]],2)</f>
        <v>49</v>
      </c>
      <c r="Q366" s="14">
        <f>MEDIAN(SalesTbl[Quantity])</f>
        <v>3</v>
      </c>
      <c r="R366" s="14">
        <f>IF(ISBLANK(SalesTbl[[#This Row],[Quantity]]),$H$2,SalesTbl[[#This Row],[Quantity]])</f>
        <v>5</v>
      </c>
      <c r="S366">
        <f>ROW()-ROW(SalesTbl[[#Headers],[Customer ID]])</f>
        <v>365</v>
      </c>
      <c r="T366" s="9" t="str">
        <f>IF(SalesTbl[[#This Row],[RowIdx]]&lt;=ROUNDUP(COUNTA(SalesTbl[Customer ID])*0.8,0),"Train","Test")</f>
        <v>Train</v>
      </c>
    </row>
    <row r="367" spans="1:20" x14ac:dyDescent="0.25">
      <c r="A367" t="s">
        <v>104</v>
      </c>
      <c r="B367" t="s">
        <v>13</v>
      </c>
      <c r="C367" t="s">
        <v>321</v>
      </c>
      <c r="D367" t="s">
        <v>25</v>
      </c>
      <c r="E367" t="s">
        <v>26</v>
      </c>
      <c r="F367">
        <v>69</v>
      </c>
      <c r="G367">
        <v>200</v>
      </c>
      <c r="H367">
        <v>1</v>
      </c>
      <c r="I367">
        <v>200</v>
      </c>
      <c r="J367">
        <v>12.86</v>
      </c>
      <c r="K367" s="2">
        <v>45154</v>
      </c>
      <c r="L367" t="s">
        <v>317</v>
      </c>
      <c r="M367" s="6">
        <f>SalesTbl[[#This Row],[Unit Price]]*SalesTbl[[#This Row],[Quantity]]</f>
        <v>200</v>
      </c>
      <c r="N367" s="6">
        <f>YEAR(SalesTbl[[#This Row],[Order Date]])</f>
        <v>2023</v>
      </c>
      <c r="O367" s="6" t="str">
        <f>TEXT(SalesTbl[[#This Row],[Order Date]],"yyyy-mm")</f>
        <v>2023-08</v>
      </c>
      <c r="P367" s="13">
        <f>WEEKNUM(SalesTbl[[#This Row],[Order Date]],2)</f>
        <v>34</v>
      </c>
      <c r="Q367" s="14">
        <f>MEDIAN(SalesTbl[Quantity])</f>
        <v>3</v>
      </c>
      <c r="R367" s="14">
        <f>IF(ISBLANK(SalesTbl[[#This Row],[Quantity]]),$H$2,SalesTbl[[#This Row],[Quantity]])</f>
        <v>1</v>
      </c>
      <c r="S367">
        <f>ROW()-ROW(SalesTbl[[#Headers],[Customer ID]])</f>
        <v>366</v>
      </c>
      <c r="T367" s="9" t="str">
        <f>IF(SalesTbl[[#This Row],[RowIdx]]&lt;=ROUNDUP(COUNTA(SalesTbl[Customer ID])*0.8,0),"Train","Test")</f>
        <v>Train</v>
      </c>
    </row>
    <row r="368" spans="1:20" x14ac:dyDescent="0.25">
      <c r="A368" t="s">
        <v>231</v>
      </c>
      <c r="B368" t="s">
        <v>20</v>
      </c>
      <c r="C368" t="s">
        <v>320</v>
      </c>
      <c r="D368" t="s">
        <v>29</v>
      </c>
      <c r="E368" t="s">
        <v>18</v>
      </c>
      <c r="F368">
        <v>64</v>
      </c>
      <c r="G368">
        <v>50</v>
      </c>
      <c r="H368">
        <v>1</v>
      </c>
      <c r="I368">
        <v>50</v>
      </c>
      <c r="J368">
        <v>13.13</v>
      </c>
      <c r="K368" s="2">
        <v>44970</v>
      </c>
      <c r="L368" t="s">
        <v>317</v>
      </c>
      <c r="M368" s="6">
        <f>SalesTbl[[#This Row],[Unit Price]]*SalesTbl[[#This Row],[Quantity]]</f>
        <v>50</v>
      </c>
      <c r="N368" s="6">
        <f>YEAR(SalesTbl[[#This Row],[Order Date]])</f>
        <v>2023</v>
      </c>
      <c r="O368" s="6" t="str">
        <f>TEXT(SalesTbl[[#This Row],[Order Date]],"yyyy-mm")</f>
        <v>2023-02</v>
      </c>
      <c r="P368" s="13">
        <f>WEEKNUM(SalesTbl[[#This Row],[Order Date]],2)</f>
        <v>8</v>
      </c>
      <c r="Q368" s="14">
        <f>MEDIAN(SalesTbl[Quantity])</f>
        <v>3</v>
      </c>
      <c r="R368" s="14">
        <f>IF(ISBLANK(SalesTbl[[#This Row],[Quantity]]),$H$2,SalesTbl[[#This Row],[Quantity]])</f>
        <v>1</v>
      </c>
      <c r="S368">
        <f>ROW()-ROW(SalesTbl[[#Headers],[Customer ID]])</f>
        <v>367</v>
      </c>
      <c r="T368" s="9" t="str">
        <f>IF(SalesTbl[[#This Row],[RowIdx]]&lt;=ROUNDUP(COUNTA(SalesTbl[Customer ID])*0.8,0),"Train","Test")</f>
        <v>Train</v>
      </c>
    </row>
    <row r="369" spans="1:20" x14ac:dyDescent="0.25">
      <c r="A369" t="s">
        <v>233</v>
      </c>
      <c r="B369" t="s">
        <v>20</v>
      </c>
      <c r="C369" t="s">
        <v>319</v>
      </c>
      <c r="D369" t="s">
        <v>30</v>
      </c>
      <c r="E369" t="s">
        <v>18</v>
      </c>
      <c r="F369">
        <v>38</v>
      </c>
      <c r="G369">
        <v>30</v>
      </c>
      <c r="H369">
        <v>2</v>
      </c>
      <c r="I369">
        <v>60</v>
      </c>
      <c r="J369">
        <v>17.21</v>
      </c>
      <c r="K369" s="2">
        <v>45258</v>
      </c>
      <c r="L369" t="s">
        <v>317</v>
      </c>
      <c r="M369" s="6">
        <f>SalesTbl[[#This Row],[Unit Price]]*SalesTbl[[#This Row],[Quantity]]</f>
        <v>60</v>
      </c>
      <c r="N369" s="6">
        <f>YEAR(SalesTbl[[#This Row],[Order Date]])</f>
        <v>2023</v>
      </c>
      <c r="O369" s="6" t="str">
        <f>TEXT(SalesTbl[[#This Row],[Order Date]],"yyyy-mm")</f>
        <v>2023-11</v>
      </c>
      <c r="P369" s="13">
        <f>WEEKNUM(SalesTbl[[#This Row],[Order Date]],2)</f>
        <v>49</v>
      </c>
      <c r="Q369" s="14">
        <f>MEDIAN(SalesTbl[Quantity])</f>
        <v>3</v>
      </c>
      <c r="R369" s="14">
        <f>IF(ISBLANK(SalesTbl[[#This Row],[Quantity]]),$H$2,SalesTbl[[#This Row],[Quantity]])</f>
        <v>2</v>
      </c>
      <c r="S369">
        <f>ROW()-ROW(SalesTbl[[#Headers],[Customer ID]])</f>
        <v>368</v>
      </c>
      <c r="T369" s="9" t="str">
        <f>IF(SalesTbl[[#This Row],[RowIdx]]&lt;=ROUNDUP(COUNTA(SalesTbl[Customer ID])*0.8,0),"Train","Test")</f>
        <v>Train</v>
      </c>
    </row>
    <row r="370" spans="1:20" x14ac:dyDescent="0.25">
      <c r="A370" t="s">
        <v>234</v>
      </c>
      <c r="B370" t="s">
        <v>13</v>
      </c>
      <c r="C370" t="s">
        <v>320</v>
      </c>
      <c r="D370" t="s">
        <v>23</v>
      </c>
      <c r="E370" t="s">
        <v>15</v>
      </c>
      <c r="F370">
        <v>18</v>
      </c>
      <c r="G370">
        <v>1500</v>
      </c>
      <c r="H370">
        <v>2</v>
      </c>
      <c r="I370">
        <v>3000</v>
      </c>
      <c r="J370">
        <v>7.81</v>
      </c>
      <c r="K370" s="2">
        <v>45099</v>
      </c>
      <c r="L370" t="s">
        <v>316</v>
      </c>
      <c r="M370" s="6">
        <f>SalesTbl[[#This Row],[Unit Price]]*SalesTbl[[#This Row],[Quantity]]</f>
        <v>3000</v>
      </c>
      <c r="N370" s="6">
        <f>YEAR(SalesTbl[[#This Row],[Order Date]])</f>
        <v>2023</v>
      </c>
      <c r="O370" s="6" t="str">
        <f>TEXT(SalesTbl[[#This Row],[Order Date]],"yyyy-mm")</f>
        <v>2023-06</v>
      </c>
      <c r="P370" s="13">
        <f>WEEKNUM(SalesTbl[[#This Row],[Order Date]],2)</f>
        <v>26</v>
      </c>
      <c r="Q370" s="14">
        <f>MEDIAN(SalesTbl[Quantity])</f>
        <v>3</v>
      </c>
      <c r="R370" s="14">
        <f>IF(ISBLANK(SalesTbl[[#This Row],[Quantity]]),$H$2,SalesTbl[[#This Row],[Quantity]])</f>
        <v>2</v>
      </c>
      <c r="S370">
        <f>ROW()-ROW(SalesTbl[[#Headers],[Customer ID]])</f>
        <v>369</v>
      </c>
      <c r="T370" s="9" t="str">
        <f>IF(SalesTbl[[#This Row],[RowIdx]]&lt;=ROUNDUP(COUNTA(SalesTbl[Customer ID])*0.8,0),"Train","Test")</f>
        <v>Train</v>
      </c>
    </row>
    <row r="371" spans="1:20" x14ac:dyDescent="0.25">
      <c r="A371" t="s">
        <v>157</v>
      </c>
      <c r="B371" t="s">
        <v>20</v>
      </c>
      <c r="C371" t="s">
        <v>322</v>
      </c>
      <c r="D371" t="s">
        <v>30</v>
      </c>
      <c r="E371" t="s">
        <v>18</v>
      </c>
      <c r="F371">
        <v>56</v>
      </c>
      <c r="G371">
        <v>30</v>
      </c>
      <c r="H371">
        <v>5</v>
      </c>
      <c r="I371">
        <v>150</v>
      </c>
      <c r="J371">
        <v>5.44</v>
      </c>
      <c r="K371" s="2">
        <v>45100</v>
      </c>
      <c r="L371" t="s">
        <v>317</v>
      </c>
      <c r="M371" s="6">
        <f>SalesTbl[[#This Row],[Unit Price]]*SalesTbl[[#This Row],[Quantity]]</f>
        <v>150</v>
      </c>
      <c r="N371" s="6">
        <f>YEAR(SalesTbl[[#This Row],[Order Date]])</f>
        <v>2023</v>
      </c>
      <c r="O371" s="6" t="str">
        <f>TEXT(SalesTbl[[#This Row],[Order Date]],"yyyy-mm")</f>
        <v>2023-06</v>
      </c>
      <c r="P371" s="13">
        <f>WEEKNUM(SalesTbl[[#This Row],[Order Date]],2)</f>
        <v>26</v>
      </c>
      <c r="Q371" s="14">
        <f>MEDIAN(SalesTbl[Quantity])</f>
        <v>3</v>
      </c>
      <c r="R371" s="14">
        <f>IF(ISBLANK(SalesTbl[[#This Row],[Quantity]]),$H$2,SalesTbl[[#This Row],[Quantity]])</f>
        <v>5</v>
      </c>
      <c r="S371">
        <f>ROW()-ROW(SalesTbl[[#Headers],[Customer ID]])</f>
        <v>370</v>
      </c>
      <c r="T371" s="9" t="str">
        <f>IF(SalesTbl[[#This Row],[RowIdx]]&lt;=ROUNDUP(COUNTA(SalesTbl[Customer ID])*0.8,0),"Train","Test")</f>
        <v>Train</v>
      </c>
    </row>
    <row r="372" spans="1:20" x14ac:dyDescent="0.25">
      <c r="A372" t="s">
        <v>211</v>
      </c>
      <c r="B372" t="s">
        <v>20</v>
      </c>
      <c r="C372" t="s">
        <v>323</v>
      </c>
      <c r="D372" t="s">
        <v>40</v>
      </c>
      <c r="E372" t="s">
        <v>15</v>
      </c>
      <c r="F372">
        <v>66</v>
      </c>
      <c r="G372">
        <v>800</v>
      </c>
      <c r="H372">
        <v>3</v>
      </c>
      <c r="I372">
        <v>2400</v>
      </c>
      <c r="J372">
        <v>19.63</v>
      </c>
      <c r="K372" s="2">
        <v>45135</v>
      </c>
      <c r="L372" t="s">
        <v>318</v>
      </c>
      <c r="M372" s="6">
        <f>SalesTbl[[#This Row],[Unit Price]]*SalesTbl[[#This Row],[Quantity]]</f>
        <v>2400</v>
      </c>
      <c r="N372" s="6">
        <f>YEAR(SalesTbl[[#This Row],[Order Date]])</f>
        <v>2023</v>
      </c>
      <c r="O372" s="6" t="str">
        <f>TEXT(SalesTbl[[#This Row],[Order Date]],"yyyy-mm")</f>
        <v>2023-07</v>
      </c>
      <c r="P372" s="13">
        <f>WEEKNUM(SalesTbl[[#This Row],[Order Date]],2)</f>
        <v>31</v>
      </c>
      <c r="Q372" s="14">
        <f>MEDIAN(SalesTbl[Quantity])</f>
        <v>3</v>
      </c>
      <c r="R372" s="14">
        <f>IF(ISBLANK(SalesTbl[[#This Row],[Quantity]]),$H$2,SalesTbl[[#This Row],[Quantity]])</f>
        <v>3</v>
      </c>
      <c r="S372">
        <f>ROW()-ROW(SalesTbl[[#Headers],[Customer ID]])</f>
        <v>371</v>
      </c>
      <c r="T372" s="9" t="str">
        <f>IF(SalesTbl[[#This Row],[RowIdx]]&lt;=ROUNDUP(COUNTA(SalesTbl[Customer ID])*0.8,0),"Train","Test")</f>
        <v>Train</v>
      </c>
    </row>
    <row r="373" spans="1:20" x14ac:dyDescent="0.25">
      <c r="A373" t="s">
        <v>235</v>
      </c>
      <c r="B373" t="s">
        <v>13</v>
      </c>
      <c r="C373" t="s">
        <v>320</v>
      </c>
      <c r="D373" t="s">
        <v>40</v>
      </c>
      <c r="E373" t="s">
        <v>15</v>
      </c>
      <c r="F373">
        <v>49</v>
      </c>
      <c r="G373">
        <v>800</v>
      </c>
      <c r="H373">
        <v>1</v>
      </c>
      <c r="I373">
        <v>800</v>
      </c>
      <c r="J373">
        <v>15.79</v>
      </c>
      <c r="K373" s="2">
        <v>45229</v>
      </c>
      <c r="L373" t="s">
        <v>317</v>
      </c>
      <c r="M373" s="6">
        <f>SalesTbl[[#This Row],[Unit Price]]*SalesTbl[[#This Row],[Quantity]]</f>
        <v>800</v>
      </c>
      <c r="N373" s="6">
        <f>YEAR(SalesTbl[[#This Row],[Order Date]])</f>
        <v>2023</v>
      </c>
      <c r="O373" s="6" t="str">
        <f>TEXT(SalesTbl[[#This Row],[Order Date]],"yyyy-mm")</f>
        <v>2023-10</v>
      </c>
      <c r="P373" s="13">
        <f>WEEKNUM(SalesTbl[[#This Row],[Order Date]],2)</f>
        <v>45</v>
      </c>
      <c r="Q373" s="14">
        <f>MEDIAN(SalesTbl[Quantity])</f>
        <v>3</v>
      </c>
      <c r="R373" s="14">
        <f>IF(ISBLANK(SalesTbl[[#This Row],[Quantity]]),$H$2,SalesTbl[[#This Row],[Quantity]])</f>
        <v>1</v>
      </c>
      <c r="S373">
        <f>ROW()-ROW(SalesTbl[[#Headers],[Customer ID]])</f>
        <v>372</v>
      </c>
      <c r="T373" s="9" t="str">
        <f>IF(SalesTbl[[#This Row],[RowIdx]]&lt;=ROUNDUP(COUNTA(SalesTbl[Customer ID])*0.8,0),"Train","Test")</f>
        <v>Train</v>
      </c>
    </row>
    <row r="374" spans="1:20" x14ac:dyDescent="0.25">
      <c r="A374" t="s">
        <v>73</v>
      </c>
      <c r="B374" t="s">
        <v>20</v>
      </c>
      <c r="C374" t="s">
        <v>322</v>
      </c>
      <c r="D374" t="s">
        <v>23</v>
      </c>
      <c r="E374" t="s">
        <v>15</v>
      </c>
      <c r="F374">
        <v>51</v>
      </c>
      <c r="G374">
        <v>1500</v>
      </c>
      <c r="H374">
        <v>3</v>
      </c>
      <c r="I374">
        <v>4500</v>
      </c>
      <c r="J374">
        <v>5.72</v>
      </c>
      <c r="K374" s="2">
        <v>45240</v>
      </c>
      <c r="L374" t="s">
        <v>317</v>
      </c>
      <c r="M374" s="6">
        <f>SalesTbl[[#This Row],[Unit Price]]*SalesTbl[[#This Row],[Quantity]]</f>
        <v>4500</v>
      </c>
      <c r="N374" s="6">
        <f>YEAR(SalesTbl[[#This Row],[Order Date]])</f>
        <v>2023</v>
      </c>
      <c r="O374" s="6" t="str">
        <f>TEXT(SalesTbl[[#This Row],[Order Date]],"yyyy-mm")</f>
        <v>2023-11</v>
      </c>
      <c r="P374" s="13">
        <f>WEEKNUM(SalesTbl[[#This Row],[Order Date]],2)</f>
        <v>46</v>
      </c>
      <c r="Q374" s="14">
        <f>MEDIAN(SalesTbl[Quantity])</f>
        <v>3</v>
      </c>
      <c r="R374" s="14">
        <f>IF(ISBLANK(SalesTbl[[#This Row],[Quantity]]),$H$2,SalesTbl[[#This Row],[Quantity]])</f>
        <v>3</v>
      </c>
      <c r="S374">
        <f>ROW()-ROW(SalesTbl[[#Headers],[Customer ID]])</f>
        <v>373</v>
      </c>
      <c r="T374" s="9" t="str">
        <f>IF(SalesTbl[[#This Row],[RowIdx]]&lt;=ROUNDUP(COUNTA(SalesTbl[Customer ID])*0.8,0),"Train","Test")</f>
        <v>Train</v>
      </c>
    </row>
    <row r="375" spans="1:20" x14ac:dyDescent="0.25">
      <c r="A375" t="s">
        <v>62</v>
      </c>
      <c r="B375" t="s">
        <v>20</v>
      </c>
      <c r="C375" t="s">
        <v>321</v>
      </c>
      <c r="D375" t="s">
        <v>25</v>
      </c>
      <c r="E375" t="s">
        <v>26</v>
      </c>
      <c r="F375">
        <v>58</v>
      </c>
      <c r="G375">
        <v>200</v>
      </c>
      <c r="H375">
        <v>3</v>
      </c>
      <c r="I375">
        <v>600</v>
      </c>
      <c r="J375">
        <v>9.69</v>
      </c>
      <c r="K375" s="2">
        <v>45294</v>
      </c>
      <c r="L375" t="s">
        <v>316</v>
      </c>
      <c r="M375" s="6">
        <f>SalesTbl[[#This Row],[Unit Price]]*SalesTbl[[#This Row],[Quantity]]</f>
        <v>600</v>
      </c>
      <c r="N375" s="6">
        <f>YEAR(SalesTbl[[#This Row],[Order Date]])</f>
        <v>2024</v>
      </c>
      <c r="O375" s="6" t="str">
        <f>TEXT(SalesTbl[[#This Row],[Order Date]],"yyyy-mm")</f>
        <v>2024-01</v>
      </c>
      <c r="P375" s="13">
        <f>WEEKNUM(SalesTbl[[#This Row],[Order Date]],2)</f>
        <v>1</v>
      </c>
      <c r="Q375" s="14">
        <f>MEDIAN(SalesTbl[Quantity])</f>
        <v>3</v>
      </c>
      <c r="R375" s="14">
        <f>IF(ISBLANK(SalesTbl[[#This Row],[Quantity]]),$H$2,SalesTbl[[#This Row],[Quantity]])</f>
        <v>3</v>
      </c>
      <c r="S375">
        <f>ROW()-ROW(SalesTbl[[#Headers],[Customer ID]])</f>
        <v>374</v>
      </c>
      <c r="T375" s="9" t="str">
        <f>IF(SalesTbl[[#This Row],[RowIdx]]&lt;=ROUNDUP(COUNTA(SalesTbl[Customer ID])*0.8,0),"Train","Test")</f>
        <v>Train</v>
      </c>
    </row>
    <row r="376" spans="1:20" x14ac:dyDescent="0.25">
      <c r="A376" t="s">
        <v>68</v>
      </c>
      <c r="B376" t="s">
        <v>20</v>
      </c>
      <c r="C376" t="s">
        <v>322</v>
      </c>
      <c r="D376" t="s">
        <v>40</v>
      </c>
      <c r="E376" t="s">
        <v>15</v>
      </c>
      <c r="F376">
        <v>44</v>
      </c>
      <c r="G376">
        <v>1658.43232665954</v>
      </c>
      <c r="H376">
        <v>3</v>
      </c>
      <c r="I376">
        <v>2400</v>
      </c>
      <c r="J376">
        <v>19.309999999999999</v>
      </c>
      <c r="K376" s="2">
        <v>45080</v>
      </c>
      <c r="L376" t="s">
        <v>318</v>
      </c>
      <c r="M376" s="6">
        <f>SalesTbl[[#This Row],[Unit Price]]*SalesTbl[[#This Row],[Quantity]]</f>
        <v>4975.2969799786197</v>
      </c>
      <c r="N376" s="6">
        <f>YEAR(SalesTbl[[#This Row],[Order Date]])</f>
        <v>2023</v>
      </c>
      <c r="O376" s="6" t="str">
        <f>TEXT(SalesTbl[[#This Row],[Order Date]],"yyyy-mm")</f>
        <v>2023-06</v>
      </c>
      <c r="P376" s="13">
        <f>WEEKNUM(SalesTbl[[#This Row],[Order Date]],2)</f>
        <v>23</v>
      </c>
      <c r="Q376" s="14">
        <f>MEDIAN(SalesTbl[Quantity])</f>
        <v>3</v>
      </c>
      <c r="R376" s="14">
        <f>IF(ISBLANK(SalesTbl[[#This Row],[Quantity]]),$H$2,SalesTbl[[#This Row],[Quantity]])</f>
        <v>3</v>
      </c>
      <c r="S376">
        <f>ROW()-ROW(SalesTbl[[#Headers],[Customer ID]])</f>
        <v>375</v>
      </c>
      <c r="T376" s="9" t="str">
        <f>IF(SalesTbl[[#This Row],[RowIdx]]&lt;=ROUNDUP(COUNTA(SalesTbl[Customer ID])*0.8,0),"Train","Test")</f>
        <v>Train</v>
      </c>
    </row>
    <row r="377" spans="1:20" x14ac:dyDescent="0.25">
      <c r="A377" t="s">
        <v>134</v>
      </c>
      <c r="B377" t="s">
        <v>20</v>
      </c>
      <c r="C377" t="s">
        <v>323</v>
      </c>
      <c r="D377" t="s">
        <v>23</v>
      </c>
      <c r="E377" t="s">
        <v>15</v>
      </c>
      <c r="F377">
        <v>46</v>
      </c>
      <c r="G377">
        <v>1500</v>
      </c>
      <c r="H377">
        <v>4</v>
      </c>
      <c r="I377">
        <v>6000</v>
      </c>
      <c r="J377">
        <v>16.309999999999999</v>
      </c>
      <c r="K377" s="2">
        <v>45106</v>
      </c>
      <c r="L377" t="s">
        <v>317</v>
      </c>
      <c r="M377" s="6">
        <f>SalesTbl[[#This Row],[Unit Price]]*SalesTbl[[#This Row],[Quantity]]</f>
        <v>6000</v>
      </c>
      <c r="N377" s="6">
        <f>YEAR(SalesTbl[[#This Row],[Order Date]])</f>
        <v>2023</v>
      </c>
      <c r="O377" s="6" t="str">
        <f>TEXT(SalesTbl[[#This Row],[Order Date]],"yyyy-mm")</f>
        <v>2023-06</v>
      </c>
      <c r="P377" s="13">
        <f>WEEKNUM(SalesTbl[[#This Row],[Order Date]],2)</f>
        <v>27</v>
      </c>
      <c r="Q377" s="14">
        <f>MEDIAN(SalesTbl[Quantity])</f>
        <v>3</v>
      </c>
      <c r="R377" s="14">
        <f>IF(ISBLANK(SalesTbl[[#This Row],[Quantity]]),$H$2,SalesTbl[[#This Row],[Quantity]])</f>
        <v>4</v>
      </c>
      <c r="S377">
        <f>ROW()-ROW(SalesTbl[[#Headers],[Customer ID]])</f>
        <v>376</v>
      </c>
      <c r="T377" s="9" t="str">
        <f>IF(SalesTbl[[#This Row],[RowIdx]]&lt;=ROUNDUP(COUNTA(SalesTbl[Customer ID])*0.8,0),"Train","Test")</f>
        <v>Train</v>
      </c>
    </row>
    <row r="378" spans="1:20" x14ac:dyDescent="0.25">
      <c r="A378" t="s">
        <v>204</v>
      </c>
      <c r="B378" t="s">
        <v>13</v>
      </c>
      <c r="C378" t="s">
        <v>323</v>
      </c>
      <c r="D378" t="s">
        <v>30</v>
      </c>
      <c r="E378" t="s">
        <v>18</v>
      </c>
      <c r="F378">
        <v>69</v>
      </c>
      <c r="G378">
        <v>30</v>
      </c>
      <c r="H378">
        <v>1</v>
      </c>
      <c r="I378">
        <v>30</v>
      </c>
      <c r="J378">
        <v>10.99</v>
      </c>
      <c r="K378" s="2">
        <v>45205</v>
      </c>
      <c r="L378" t="s">
        <v>317</v>
      </c>
      <c r="M378" s="6">
        <f>SalesTbl[[#This Row],[Unit Price]]*SalesTbl[[#This Row],[Quantity]]</f>
        <v>30</v>
      </c>
      <c r="N378" s="6">
        <f>YEAR(SalesTbl[[#This Row],[Order Date]])</f>
        <v>2023</v>
      </c>
      <c r="O378" s="6" t="str">
        <f>TEXT(SalesTbl[[#This Row],[Order Date]],"yyyy-mm")</f>
        <v>2023-10</v>
      </c>
      <c r="P378" s="13">
        <f>WEEKNUM(SalesTbl[[#This Row],[Order Date]],2)</f>
        <v>41</v>
      </c>
      <c r="Q378" s="14">
        <f>MEDIAN(SalesTbl[Quantity])</f>
        <v>3</v>
      </c>
      <c r="R378" s="14">
        <f>IF(ISBLANK(SalesTbl[[#This Row],[Quantity]]),$H$2,SalesTbl[[#This Row],[Quantity]])</f>
        <v>1</v>
      </c>
      <c r="S378">
        <f>ROW()-ROW(SalesTbl[[#Headers],[Customer ID]])</f>
        <v>377</v>
      </c>
      <c r="T378" s="9" t="str">
        <f>IF(SalesTbl[[#This Row],[RowIdx]]&lt;=ROUNDUP(COUNTA(SalesTbl[Customer ID])*0.8,0),"Train","Test")</f>
        <v>Train</v>
      </c>
    </row>
    <row r="379" spans="1:20" x14ac:dyDescent="0.25">
      <c r="A379" t="s">
        <v>129</v>
      </c>
      <c r="B379" t="s">
        <v>20</v>
      </c>
      <c r="C379" t="s">
        <v>321</v>
      </c>
      <c r="D379" t="s">
        <v>40</v>
      </c>
      <c r="E379" t="s">
        <v>15</v>
      </c>
      <c r="F379">
        <v>62</v>
      </c>
      <c r="G379">
        <v>800</v>
      </c>
      <c r="H379">
        <v>3</v>
      </c>
      <c r="I379">
        <v>2400</v>
      </c>
      <c r="J379">
        <v>16.12</v>
      </c>
      <c r="K379" s="2">
        <v>45139</v>
      </c>
      <c r="L379" t="s">
        <v>317</v>
      </c>
      <c r="M379" s="6">
        <f>SalesTbl[[#This Row],[Unit Price]]*SalesTbl[[#This Row],[Quantity]]</f>
        <v>2400</v>
      </c>
      <c r="N379" s="6">
        <f>YEAR(SalesTbl[[#This Row],[Order Date]])</f>
        <v>2023</v>
      </c>
      <c r="O379" s="6" t="str">
        <f>TEXT(SalesTbl[[#This Row],[Order Date]],"yyyy-mm")</f>
        <v>2023-08</v>
      </c>
      <c r="P379" s="13">
        <f>WEEKNUM(SalesTbl[[#This Row],[Order Date]],2)</f>
        <v>32</v>
      </c>
      <c r="Q379" s="14">
        <f>MEDIAN(SalesTbl[Quantity])</f>
        <v>3</v>
      </c>
      <c r="R379" s="14">
        <f>IF(ISBLANK(SalesTbl[[#This Row],[Quantity]]),$H$2,SalesTbl[[#This Row],[Quantity]])</f>
        <v>3</v>
      </c>
      <c r="S379">
        <f>ROW()-ROW(SalesTbl[[#Headers],[Customer ID]])</f>
        <v>378</v>
      </c>
      <c r="T379" s="9" t="str">
        <f>IF(SalesTbl[[#This Row],[RowIdx]]&lt;=ROUNDUP(COUNTA(SalesTbl[Customer ID])*0.8,0),"Train","Test")</f>
        <v>Train</v>
      </c>
    </row>
    <row r="380" spans="1:20" x14ac:dyDescent="0.25">
      <c r="A380" t="s">
        <v>170</v>
      </c>
      <c r="B380" t="s">
        <v>20</v>
      </c>
      <c r="C380" t="s">
        <v>322</v>
      </c>
      <c r="D380" t="s">
        <v>25</v>
      </c>
      <c r="E380" t="s">
        <v>26</v>
      </c>
      <c r="F380">
        <v>57</v>
      </c>
      <c r="G380">
        <v>200</v>
      </c>
      <c r="H380">
        <v>2</v>
      </c>
      <c r="I380">
        <v>400</v>
      </c>
      <c r="J380">
        <v>8.7100000000000009</v>
      </c>
      <c r="K380" s="2">
        <v>45064</v>
      </c>
      <c r="L380" t="s">
        <v>319</v>
      </c>
      <c r="M380" s="6">
        <f>SalesTbl[[#This Row],[Unit Price]]*SalesTbl[[#This Row],[Quantity]]</f>
        <v>400</v>
      </c>
      <c r="N380" s="6">
        <f>YEAR(SalesTbl[[#This Row],[Order Date]])</f>
        <v>2023</v>
      </c>
      <c r="O380" s="6" t="str">
        <f>TEXT(SalesTbl[[#This Row],[Order Date]],"yyyy-mm")</f>
        <v>2023-05</v>
      </c>
      <c r="P380" s="13">
        <f>WEEKNUM(SalesTbl[[#This Row],[Order Date]],2)</f>
        <v>21</v>
      </c>
      <c r="Q380" s="14">
        <f>MEDIAN(SalesTbl[Quantity])</f>
        <v>3</v>
      </c>
      <c r="R380" s="14">
        <f>IF(ISBLANK(SalesTbl[[#This Row],[Quantity]]),$H$2,SalesTbl[[#This Row],[Quantity]])</f>
        <v>2</v>
      </c>
      <c r="S380">
        <f>ROW()-ROW(SalesTbl[[#Headers],[Customer ID]])</f>
        <v>379</v>
      </c>
      <c r="T380" s="9" t="str">
        <f>IF(SalesTbl[[#This Row],[RowIdx]]&lt;=ROUNDUP(COUNTA(SalesTbl[Customer ID])*0.8,0),"Train","Test")</f>
        <v>Train</v>
      </c>
    </row>
    <row r="381" spans="1:20" x14ac:dyDescent="0.25">
      <c r="A381" t="s">
        <v>137</v>
      </c>
      <c r="B381" t="s">
        <v>13</v>
      </c>
      <c r="C381" t="s">
        <v>323</v>
      </c>
      <c r="D381" t="s">
        <v>40</v>
      </c>
      <c r="E381" t="s">
        <v>15</v>
      </c>
      <c r="F381">
        <v>27</v>
      </c>
      <c r="G381">
        <v>800</v>
      </c>
      <c r="H381">
        <v>5</v>
      </c>
      <c r="I381">
        <v>4000</v>
      </c>
      <c r="J381">
        <v>12.26</v>
      </c>
      <c r="K381" s="2">
        <v>45048</v>
      </c>
      <c r="L381" t="s">
        <v>316</v>
      </c>
      <c r="M381" s="6">
        <f>SalesTbl[[#This Row],[Unit Price]]*SalesTbl[[#This Row],[Quantity]]</f>
        <v>4000</v>
      </c>
      <c r="N381" s="6">
        <f>YEAR(SalesTbl[[#This Row],[Order Date]])</f>
        <v>2023</v>
      </c>
      <c r="O381" s="6" t="str">
        <f>TEXT(SalesTbl[[#This Row],[Order Date]],"yyyy-mm")</f>
        <v>2023-05</v>
      </c>
      <c r="P381" s="13">
        <f>WEEKNUM(SalesTbl[[#This Row],[Order Date]],2)</f>
        <v>19</v>
      </c>
      <c r="Q381" s="14">
        <f>MEDIAN(SalesTbl[Quantity])</f>
        <v>3</v>
      </c>
      <c r="R381" s="14">
        <f>IF(ISBLANK(SalesTbl[[#This Row],[Quantity]]),$H$2,SalesTbl[[#This Row],[Quantity]])</f>
        <v>5</v>
      </c>
      <c r="S381">
        <f>ROW()-ROW(SalesTbl[[#Headers],[Customer ID]])</f>
        <v>380</v>
      </c>
      <c r="T381" s="9" t="str">
        <f>IF(SalesTbl[[#This Row],[RowIdx]]&lt;=ROUNDUP(COUNTA(SalesTbl[Customer ID])*0.8,0),"Train","Test")</f>
        <v>Train</v>
      </c>
    </row>
    <row r="382" spans="1:20" x14ac:dyDescent="0.25">
      <c r="A382" t="s">
        <v>236</v>
      </c>
      <c r="B382" t="s">
        <v>20</v>
      </c>
      <c r="C382" t="s">
        <v>323</v>
      </c>
      <c r="D382" t="s">
        <v>40</v>
      </c>
      <c r="E382" t="s">
        <v>15</v>
      </c>
      <c r="F382">
        <v>57</v>
      </c>
      <c r="G382">
        <v>800</v>
      </c>
      <c r="H382">
        <v>1</v>
      </c>
      <c r="I382">
        <v>800</v>
      </c>
      <c r="J382">
        <v>19.34</v>
      </c>
      <c r="K382" s="2">
        <v>45250</v>
      </c>
      <c r="L382" t="s">
        <v>318</v>
      </c>
      <c r="M382" s="6">
        <f>SalesTbl[[#This Row],[Unit Price]]*SalesTbl[[#This Row],[Quantity]]</f>
        <v>800</v>
      </c>
      <c r="N382" s="6">
        <f>YEAR(SalesTbl[[#This Row],[Order Date]])</f>
        <v>2023</v>
      </c>
      <c r="O382" s="6" t="str">
        <f>TEXT(SalesTbl[[#This Row],[Order Date]],"yyyy-mm")</f>
        <v>2023-11</v>
      </c>
      <c r="P382" s="13">
        <f>WEEKNUM(SalesTbl[[#This Row],[Order Date]],2)</f>
        <v>48</v>
      </c>
      <c r="Q382" s="14">
        <f>MEDIAN(SalesTbl[Quantity])</f>
        <v>3</v>
      </c>
      <c r="R382" s="14">
        <f>IF(ISBLANK(SalesTbl[[#This Row],[Quantity]]),$H$2,SalesTbl[[#This Row],[Quantity]])</f>
        <v>1</v>
      </c>
      <c r="S382">
        <f>ROW()-ROW(SalesTbl[[#Headers],[Customer ID]])</f>
        <v>381</v>
      </c>
      <c r="T382" s="9" t="str">
        <f>IF(SalesTbl[[#This Row],[RowIdx]]&lt;=ROUNDUP(COUNTA(SalesTbl[Customer ID])*0.8,0),"Train","Test")</f>
        <v>Train</v>
      </c>
    </row>
    <row r="383" spans="1:20" x14ac:dyDescent="0.25">
      <c r="A383" t="s">
        <v>69</v>
      </c>
      <c r="B383" t="s">
        <v>20</v>
      </c>
      <c r="C383" t="s">
        <v>321</v>
      </c>
      <c r="D383" t="s">
        <v>23</v>
      </c>
      <c r="E383" t="s">
        <v>15</v>
      </c>
      <c r="F383">
        <v>67</v>
      </c>
      <c r="G383">
        <v>1500</v>
      </c>
      <c r="H383">
        <v>2</v>
      </c>
      <c r="I383">
        <v>3000</v>
      </c>
      <c r="J383">
        <v>18.809999999999999</v>
      </c>
      <c r="K383" s="2">
        <v>45148</v>
      </c>
      <c r="L383" t="s">
        <v>317</v>
      </c>
      <c r="M383" s="6">
        <f>SalesTbl[[#This Row],[Unit Price]]*SalesTbl[[#This Row],[Quantity]]</f>
        <v>3000</v>
      </c>
      <c r="N383" s="6">
        <f>YEAR(SalesTbl[[#This Row],[Order Date]])</f>
        <v>2023</v>
      </c>
      <c r="O383" s="6" t="str">
        <f>TEXT(SalesTbl[[#This Row],[Order Date]],"yyyy-mm")</f>
        <v>2023-08</v>
      </c>
      <c r="P383" s="13">
        <f>WEEKNUM(SalesTbl[[#This Row],[Order Date]],2)</f>
        <v>33</v>
      </c>
      <c r="Q383" s="14">
        <f>MEDIAN(SalesTbl[Quantity])</f>
        <v>3</v>
      </c>
      <c r="R383" s="14">
        <f>IF(ISBLANK(SalesTbl[[#This Row],[Quantity]]),$H$2,SalesTbl[[#This Row],[Quantity]])</f>
        <v>2</v>
      </c>
      <c r="S383">
        <f>ROW()-ROW(SalesTbl[[#Headers],[Customer ID]])</f>
        <v>382</v>
      </c>
      <c r="T383" s="9" t="str">
        <f>IF(SalesTbl[[#This Row],[RowIdx]]&lt;=ROUNDUP(COUNTA(SalesTbl[Customer ID])*0.8,0),"Train","Test")</f>
        <v>Train</v>
      </c>
    </row>
    <row r="384" spans="1:20" x14ac:dyDescent="0.25">
      <c r="A384" t="s">
        <v>104</v>
      </c>
      <c r="B384" t="s">
        <v>13</v>
      </c>
      <c r="C384" t="s">
        <v>320</v>
      </c>
      <c r="D384" t="s">
        <v>14</v>
      </c>
      <c r="E384" t="s">
        <v>15</v>
      </c>
      <c r="F384">
        <v>69</v>
      </c>
      <c r="G384">
        <v>300</v>
      </c>
      <c r="H384">
        <v>1</v>
      </c>
      <c r="I384">
        <v>300</v>
      </c>
      <c r="J384">
        <v>14.91</v>
      </c>
      <c r="K384" s="2">
        <v>45021</v>
      </c>
      <c r="L384" t="s">
        <v>318</v>
      </c>
      <c r="M384" s="6">
        <f>SalesTbl[[#This Row],[Unit Price]]*SalesTbl[[#This Row],[Quantity]]</f>
        <v>300</v>
      </c>
      <c r="N384" s="6">
        <f>YEAR(SalesTbl[[#This Row],[Order Date]])</f>
        <v>2023</v>
      </c>
      <c r="O384" s="6" t="str">
        <f>TEXT(SalesTbl[[#This Row],[Order Date]],"yyyy-mm")</f>
        <v>2023-04</v>
      </c>
      <c r="P384" s="13">
        <f>WEEKNUM(SalesTbl[[#This Row],[Order Date]],2)</f>
        <v>15</v>
      </c>
      <c r="Q384" s="14">
        <f>MEDIAN(SalesTbl[Quantity])</f>
        <v>3</v>
      </c>
      <c r="R384" s="14">
        <f>IF(ISBLANK(SalesTbl[[#This Row],[Quantity]]),$H$2,SalesTbl[[#This Row],[Quantity]])</f>
        <v>1</v>
      </c>
      <c r="S384">
        <f>ROW()-ROW(SalesTbl[[#Headers],[Customer ID]])</f>
        <v>383</v>
      </c>
      <c r="T384" s="9" t="str">
        <f>IF(SalesTbl[[#This Row],[RowIdx]]&lt;=ROUNDUP(COUNTA(SalesTbl[Customer ID])*0.8,0),"Train","Test")</f>
        <v>Train</v>
      </c>
    </row>
    <row r="385" spans="1:20" x14ac:dyDescent="0.25">
      <c r="A385" t="s">
        <v>213</v>
      </c>
      <c r="B385" t="s">
        <v>20</v>
      </c>
      <c r="C385" t="s">
        <v>320</v>
      </c>
      <c r="D385" t="s">
        <v>30</v>
      </c>
      <c r="E385" t="s">
        <v>18</v>
      </c>
      <c r="F385">
        <v>49</v>
      </c>
      <c r="G385">
        <v>30</v>
      </c>
      <c r="H385">
        <v>1</v>
      </c>
      <c r="I385">
        <v>30</v>
      </c>
      <c r="J385">
        <v>5.6</v>
      </c>
      <c r="K385" s="2">
        <v>45035</v>
      </c>
      <c r="L385" t="s">
        <v>318</v>
      </c>
      <c r="M385" s="6">
        <f>SalesTbl[[#This Row],[Unit Price]]*SalesTbl[[#This Row],[Quantity]]</f>
        <v>30</v>
      </c>
      <c r="N385" s="6">
        <f>YEAR(SalesTbl[[#This Row],[Order Date]])</f>
        <v>2023</v>
      </c>
      <c r="O385" s="6" t="str">
        <f>TEXT(SalesTbl[[#This Row],[Order Date]],"yyyy-mm")</f>
        <v>2023-04</v>
      </c>
      <c r="P385" s="13">
        <f>WEEKNUM(SalesTbl[[#This Row],[Order Date]],2)</f>
        <v>17</v>
      </c>
      <c r="Q385" s="14">
        <f>MEDIAN(SalesTbl[Quantity])</f>
        <v>3</v>
      </c>
      <c r="R385" s="14">
        <f>IF(ISBLANK(SalesTbl[[#This Row],[Quantity]]),$H$2,SalesTbl[[#This Row],[Quantity]])</f>
        <v>1</v>
      </c>
      <c r="S385">
        <f>ROW()-ROW(SalesTbl[[#Headers],[Customer ID]])</f>
        <v>384</v>
      </c>
      <c r="T385" s="9" t="str">
        <f>IF(SalesTbl[[#This Row],[RowIdx]]&lt;=ROUNDUP(COUNTA(SalesTbl[Customer ID])*0.8,0),"Train","Test")</f>
        <v>Train</v>
      </c>
    </row>
    <row r="386" spans="1:20" x14ac:dyDescent="0.25">
      <c r="A386" t="s">
        <v>207</v>
      </c>
      <c r="B386" t="s">
        <v>13</v>
      </c>
      <c r="C386" t="s">
        <v>321</v>
      </c>
      <c r="D386" t="s">
        <v>23</v>
      </c>
      <c r="E386" t="s">
        <v>15</v>
      </c>
      <c r="F386">
        <v>63</v>
      </c>
      <c r="G386">
        <v>1500</v>
      </c>
      <c r="H386">
        <v>3</v>
      </c>
      <c r="I386">
        <v>4500</v>
      </c>
      <c r="J386">
        <v>19.690000000000001</v>
      </c>
      <c r="K386" s="2">
        <v>45290</v>
      </c>
      <c r="L386" t="s">
        <v>317</v>
      </c>
      <c r="M386" s="6">
        <f>SalesTbl[[#This Row],[Unit Price]]*SalesTbl[[#This Row],[Quantity]]</f>
        <v>4500</v>
      </c>
      <c r="N386" s="6">
        <f>YEAR(SalesTbl[[#This Row],[Order Date]])</f>
        <v>2023</v>
      </c>
      <c r="O386" s="6" t="str">
        <f>TEXT(SalesTbl[[#This Row],[Order Date]],"yyyy-mm")</f>
        <v>2023-12</v>
      </c>
      <c r="P386" s="13">
        <f>WEEKNUM(SalesTbl[[#This Row],[Order Date]],2)</f>
        <v>53</v>
      </c>
      <c r="Q386" s="14">
        <f>MEDIAN(SalesTbl[Quantity])</f>
        <v>3</v>
      </c>
      <c r="R386" s="14">
        <f>IF(ISBLANK(SalesTbl[[#This Row],[Quantity]]),$H$2,SalesTbl[[#This Row],[Quantity]])</f>
        <v>3</v>
      </c>
      <c r="S386">
        <f>ROW()-ROW(SalesTbl[[#Headers],[Customer ID]])</f>
        <v>385</v>
      </c>
      <c r="T386" s="9" t="str">
        <f>IF(SalesTbl[[#This Row],[RowIdx]]&lt;=ROUNDUP(COUNTA(SalesTbl[Customer ID])*0.8,0),"Train","Test")</f>
        <v>Train</v>
      </c>
    </row>
    <row r="387" spans="1:20" x14ac:dyDescent="0.25">
      <c r="A387" t="s">
        <v>237</v>
      </c>
      <c r="B387" t="s">
        <v>13</v>
      </c>
      <c r="C387" t="s">
        <v>322</v>
      </c>
      <c r="D387" t="s">
        <v>23</v>
      </c>
      <c r="E387" t="s">
        <v>15</v>
      </c>
      <c r="F387">
        <v>49</v>
      </c>
      <c r="G387">
        <v>1500</v>
      </c>
      <c r="H387">
        <v>4</v>
      </c>
      <c r="I387">
        <v>6000</v>
      </c>
      <c r="J387">
        <v>15.12</v>
      </c>
      <c r="K387" s="2">
        <v>45240</v>
      </c>
      <c r="L387" t="s">
        <v>317</v>
      </c>
      <c r="M387" s="6">
        <f>SalesTbl[[#This Row],[Unit Price]]*SalesTbl[[#This Row],[Quantity]]</f>
        <v>6000</v>
      </c>
      <c r="N387" s="6">
        <f>YEAR(SalesTbl[[#This Row],[Order Date]])</f>
        <v>2023</v>
      </c>
      <c r="O387" s="6" t="str">
        <f>TEXT(SalesTbl[[#This Row],[Order Date]],"yyyy-mm")</f>
        <v>2023-11</v>
      </c>
      <c r="P387" s="13">
        <f>WEEKNUM(SalesTbl[[#This Row],[Order Date]],2)</f>
        <v>46</v>
      </c>
      <c r="Q387" s="14">
        <f>MEDIAN(SalesTbl[Quantity])</f>
        <v>3</v>
      </c>
      <c r="R387" s="14">
        <f>IF(ISBLANK(SalesTbl[[#This Row],[Quantity]]),$H$2,SalesTbl[[#This Row],[Quantity]])</f>
        <v>4</v>
      </c>
      <c r="S387">
        <f>ROW()-ROW(SalesTbl[[#Headers],[Customer ID]])</f>
        <v>386</v>
      </c>
      <c r="T387" s="9" t="str">
        <f>IF(SalesTbl[[#This Row],[RowIdx]]&lt;=ROUNDUP(COUNTA(SalesTbl[Customer ID])*0.8,0),"Train","Test")</f>
        <v>Train</v>
      </c>
    </row>
    <row r="388" spans="1:20" x14ac:dyDescent="0.25">
      <c r="A388" t="s">
        <v>238</v>
      </c>
      <c r="B388" t="s">
        <v>20</v>
      </c>
      <c r="C388" t="s">
        <v>320</v>
      </c>
      <c r="D388" t="s">
        <v>17</v>
      </c>
      <c r="E388" t="s">
        <v>18</v>
      </c>
      <c r="F388">
        <v>58</v>
      </c>
      <c r="G388">
        <v>100</v>
      </c>
      <c r="H388">
        <v>1</v>
      </c>
      <c r="I388">
        <v>100</v>
      </c>
      <c r="J388">
        <v>5.25</v>
      </c>
      <c r="K388" s="2">
        <v>44940</v>
      </c>
      <c r="L388" t="s">
        <v>318</v>
      </c>
      <c r="M388" s="6">
        <f>SalesTbl[[#This Row],[Unit Price]]*SalesTbl[[#This Row],[Quantity]]</f>
        <v>100</v>
      </c>
      <c r="N388" s="6">
        <f>YEAR(SalesTbl[[#This Row],[Order Date]])</f>
        <v>2023</v>
      </c>
      <c r="O388" s="6" t="str">
        <f>TEXT(SalesTbl[[#This Row],[Order Date]],"yyyy-mm")</f>
        <v>2023-01</v>
      </c>
      <c r="P388" s="13">
        <f>WEEKNUM(SalesTbl[[#This Row],[Order Date]],2)</f>
        <v>3</v>
      </c>
      <c r="Q388" s="14">
        <f>MEDIAN(SalesTbl[Quantity])</f>
        <v>3</v>
      </c>
      <c r="R388" s="14">
        <f>IF(ISBLANK(SalesTbl[[#This Row],[Quantity]]),$H$2,SalesTbl[[#This Row],[Quantity]])</f>
        <v>1</v>
      </c>
      <c r="S388">
        <f>ROW()-ROW(SalesTbl[[#Headers],[Customer ID]])</f>
        <v>387</v>
      </c>
      <c r="T388" s="9" t="str">
        <f>IF(SalesTbl[[#This Row],[RowIdx]]&lt;=ROUNDUP(COUNTA(SalesTbl[Customer ID])*0.8,0),"Train","Test")</f>
        <v>Train</v>
      </c>
    </row>
    <row r="389" spans="1:20" x14ac:dyDescent="0.25">
      <c r="A389" t="s">
        <v>34</v>
      </c>
      <c r="B389" t="s">
        <v>13</v>
      </c>
      <c r="C389" t="s">
        <v>320</v>
      </c>
      <c r="D389" t="s">
        <v>17</v>
      </c>
      <c r="E389" t="s">
        <v>18</v>
      </c>
      <c r="F389">
        <v>41</v>
      </c>
      <c r="G389">
        <v>100</v>
      </c>
      <c r="H389">
        <v>1</v>
      </c>
      <c r="I389">
        <v>100</v>
      </c>
      <c r="J389">
        <v>18.38</v>
      </c>
      <c r="K389" s="2">
        <v>45112</v>
      </c>
      <c r="L389" t="s">
        <v>316</v>
      </c>
      <c r="M389" s="6">
        <f>SalesTbl[[#This Row],[Unit Price]]*SalesTbl[[#This Row],[Quantity]]</f>
        <v>100</v>
      </c>
      <c r="N389" s="6">
        <f>YEAR(SalesTbl[[#This Row],[Order Date]])</f>
        <v>2023</v>
      </c>
      <c r="O389" s="6" t="str">
        <f>TEXT(SalesTbl[[#This Row],[Order Date]],"yyyy-mm")</f>
        <v>2023-07</v>
      </c>
      <c r="P389" s="13">
        <f>WEEKNUM(SalesTbl[[#This Row],[Order Date]],2)</f>
        <v>28</v>
      </c>
      <c r="Q389" s="14">
        <f>MEDIAN(SalesTbl[Quantity])</f>
        <v>3</v>
      </c>
      <c r="R389" s="14">
        <f>IF(ISBLANK(SalesTbl[[#This Row],[Quantity]]),$H$2,SalesTbl[[#This Row],[Quantity]])</f>
        <v>1</v>
      </c>
      <c r="S389">
        <f>ROW()-ROW(SalesTbl[[#Headers],[Customer ID]])</f>
        <v>388</v>
      </c>
      <c r="T389" s="9" t="str">
        <f>IF(SalesTbl[[#This Row],[RowIdx]]&lt;=ROUNDUP(COUNTA(SalesTbl[Customer ID])*0.8,0),"Train","Test")</f>
        <v>Train</v>
      </c>
    </row>
    <row r="390" spans="1:20" x14ac:dyDescent="0.25">
      <c r="A390" t="s">
        <v>87</v>
      </c>
      <c r="B390" t="s">
        <v>20</v>
      </c>
      <c r="C390" t="s">
        <v>323</v>
      </c>
      <c r="D390" t="s">
        <v>14</v>
      </c>
      <c r="E390" t="s">
        <v>15</v>
      </c>
      <c r="F390">
        <v>21</v>
      </c>
      <c r="G390">
        <v>300</v>
      </c>
      <c r="H390">
        <v>3</v>
      </c>
      <c r="I390">
        <v>900</v>
      </c>
      <c r="J390">
        <v>15.22</v>
      </c>
      <c r="K390" s="2">
        <v>45294</v>
      </c>
      <c r="L390" t="s">
        <v>317</v>
      </c>
      <c r="M390" s="6">
        <f>SalesTbl[[#This Row],[Unit Price]]*SalesTbl[[#This Row],[Quantity]]</f>
        <v>900</v>
      </c>
      <c r="N390" s="6">
        <f>YEAR(SalesTbl[[#This Row],[Order Date]])</f>
        <v>2024</v>
      </c>
      <c r="O390" s="6" t="str">
        <f>TEXT(SalesTbl[[#This Row],[Order Date]],"yyyy-mm")</f>
        <v>2024-01</v>
      </c>
      <c r="P390" s="13">
        <f>WEEKNUM(SalesTbl[[#This Row],[Order Date]],2)</f>
        <v>1</v>
      </c>
      <c r="Q390" s="14">
        <f>MEDIAN(SalesTbl[Quantity])</f>
        <v>3</v>
      </c>
      <c r="R390" s="14">
        <f>IF(ISBLANK(SalesTbl[[#This Row],[Quantity]]),$H$2,SalesTbl[[#This Row],[Quantity]])</f>
        <v>3</v>
      </c>
      <c r="S390">
        <f>ROW()-ROW(SalesTbl[[#Headers],[Customer ID]])</f>
        <v>389</v>
      </c>
      <c r="T390" s="9" t="str">
        <f>IF(SalesTbl[[#This Row],[RowIdx]]&lt;=ROUNDUP(COUNTA(SalesTbl[Customer ID])*0.8,0),"Train","Test")</f>
        <v>Train</v>
      </c>
    </row>
    <row r="391" spans="1:20" x14ac:dyDescent="0.25">
      <c r="A391" t="s">
        <v>223</v>
      </c>
      <c r="B391" t="s">
        <v>13</v>
      </c>
      <c r="C391" t="s">
        <v>320</v>
      </c>
      <c r="D391" t="s">
        <v>14</v>
      </c>
      <c r="E391" t="s">
        <v>15</v>
      </c>
      <c r="F391">
        <v>20</v>
      </c>
      <c r="G391">
        <v>300</v>
      </c>
      <c r="H391">
        <v>4</v>
      </c>
      <c r="I391">
        <v>1200</v>
      </c>
      <c r="J391">
        <v>15.57</v>
      </c>
      <c r="K391" s="2">
        <v>45236</v>
      </c>
      <c r="L391" t="s">
        <v>318</v>
      </c>
      <c r="M391" s="6">
        <f>SalesTbl[[#This Row],[Unit Price]]*SalesTbl[[#This Row],[Quantity]]</f>
        <v>1200</v>
      </c>
      <c r="N391" s="6">
        <f>YEAR(SalesTbl[[#This Row],[Order Date]])</f>
        <v>2023</v>
      </c>
      <c r="O391" s="6" t="str">
        <f>TEXT(SalesTbl[[#This Row],[Order Date]],"yyyy-mm")</f>
        <v>2023-11</v>
      </c>
      <c r="P391" s="13">
        <f>WEEKNUM(SalesTbl[[#This Row],[Order Date]],2)</f>
        <v>46</v>
      </c>
      <c r="Q391" s="14">
        <f>MEDIAN(SalesTbl[Quantity])</f>
        <v>3</v>
      </c>
      <c r="R391" s="14">
        <f>IF(ISBLANK(SalesTbl[[#This Row],[Quantity]]),$H$2,SalesTbl[[#This Row],[Quantity]])</f>
        <v>4</v>
      </c>
      <c r="S391">
        <f>ROW()-ROW(SalesTbl[[#Headers],[Customer ID]])</f>
        <v>390</v>
      </c>
      <c r="T391" s="9" t="str">
        <f>IF(SalesTbl[[#This Row],[RowIdx]]&lt;=ROUNDUP(COUNTA(SalesTbl[Customer ID])*0.8,0),"Train","Test")</f>
        <v>Train</v>
      </c>
    </row>
    <row r="392" spans="1:20" x14ac:dyDescent="0.25">
      <c r="A392" t="s">
        <v>68</v>
      </c>
      <c r="B392" t="s">
        <v>13</v>
      </c>
      <c r="C392" t="s">
        <v>323</v>
      </c>
      <c r="D392" t="s">
        <v>23</v>
      </c>
      <c r="E392" t="s">
        <v>15</v>
      </c>
      <c r="F392">
        <v>44</v>
      </c>
      <c r="G392">
        <v>1500</v>
      </c>
      <c r="H392">
        <v>5</v>
      </c>
      <c r="I392">
        <v>7500</v>
      </c>
      <c r="J392">
        <v>8.0299999999999994</v>
      </c>
      <c r="K392" s="2">
        <v>44946</v>
      </c>
      <c r="L392" t="s">
        <v>317</v>
      </c>
      <c r="M392" s="6">
        <f>SalesTbl[[#This Row],[Unit Price]]*SalesTbl[[#This Row],[Quantity]]</f>
        <v>7500</v>
      </c>
      <c r="N392" s="6">
        <f>YEAR(SalesTbl[[#This Row],[Order Date]])</f>
        <v>2023</v>
      </c>
      <c r="O392" s="6" t="str">
        <f>TEXT(SalesTbl[[#This Row],[Order Date]],"yyyy-mm")</f>
        <v>2023-01</v>
      </c>
      <c r="P392" s="13">
        <f>WEEKNUM(SalesTbl[[#This Row],[Order Date]],2)</f>
        <v>4</v>
      </c>
      <c r="Q392" s="14">
        <f>MEDIAN(SalesTbl[Quantity])</f>
        <v>3</v>
      </c>
      <c r="R392" s="14">
        <f>IF(ISBLANK(SalesTbl[[#This Row],[Quantity]]),$H$2,SalesTbl[[#This Row],[Quantity]])</f>
        <v>5</v>
      </c>
      <c r="S392">
        <f>ROW()-ROW(SalesTbl[[#Headers],[Customer ID]])</f>
        <v>391</v>
      </c>
      <c r="T392" s="9" t="str">
        <f>IF(SalesTbl[[#This Row],[RowIdx]]&lt;=ROUNDUP(COUNTA(SalesTbl[Customer ID])*0.8,0),"Train","Test")</f>
        <v>Train</v>
      </c>
    </row>
    <row r="393" spans="1:20" x14ac:dyDescent="0.25">
      <c r="A393" t="s">
        <v>39</v>
      </c>
      <c r="B393" t="s">
        <v>20</v>
      </c>
      <c r="C393" t="s">
        <v>320</v>
      </c>
      <c r="D393" t="s">
        <v>14</v>
      </c>
      <c r="E393" t="s">
        <v>15</v>
      </c>
      <c r="F393">
        <v>30</v>
      </c>
      <c r="G393">
        <v>300</v>
      </c>
      <c r="H393">
        <v>5</v>
      </c>
      <c r="I393">
        <v>1500</v>
      </c>
      <c r="J393">
        <v>16.68</v>
      </c>
      <c r="K393" s="2">
        <v>45052</v>
      </c>
      <c r="L393" t="s">
        <v>316</v>
      </c>
      <c r="M393" s="6">
        <f>SalesTbl[[#This Row],[Unit Price]]*SalesTbl[[#This Row],[Quantity]]</f>
        <v>1500</v>
      </c>
      <c r="N393" s="6">
        <f>YEAR(SalesTbl[[#This Row],[Order Date]])</f>
        <v>2023</v>
      </c>
      <c r="O393" s="6" t="str">
        <f>TEXT(SalesTbl[[#This Row],[Order Date]],"yyyy-mm")</f>
        <v>2023-05</v>
      </c>
      <c r="P393" s="13">
        <f>WEEKNUM(SalesTbl[[#This Row],[Order Date]],2)</f>
        <v>19</v>
      </c>
      <c r="Q393" s="14">
        <f>MEDIAN(SalesTbl[Quantity])</f>
        <v>3</v>
      </c>
      <c r="R393" s="14">
        <f>IF(ISBLANK(SalesTbl[[#This Row],[Quantity]]),$H$2,SalesTbl[[#This Row],[Quantity]])</f>
        <v>5</v>
      </c>
      <c r="S393">
        <f>ROW()-ROW(SalesTbl[[#Headers],[Customer ID]])</f>
        <v>392</v>
      </c>
      <c r="T393" s="9" t="str">
        <f>IF(SalesTbl[[#This Row],[RowIdx]]&lt;=ROUNDUP(COUNTA(SalesTbl[Customer ID])*0.8,0),"Train","Test")</f>
        <v>Train</v>
      </c>
    </row>
    <row r="394" spans="1:20" x14ac:dyDescent="0.25">
      <c r="A394" t="s">
        <v>160</v>
      </c>
      <c r="B394" t="s">
        <v>20</v>
      </c>
      <c r="C394" t="s">
        <v>320</v>
      </c>
      <c r="D394" t="s">
        <v>17</v>
      </c>
      <c r="E394" t="s">
        <v>18</v>
      </c>
      <c r="F394">
        <v>27</v>
      </c>
      <c r="G394">
        <v>100</v>
      </c>
      <c r="H394">
        <v>2</v>
      </c>
      <c r="I394">
        <v>200</v>
      </c>
      <c r="J394">
        <v>12.44</v>
      </c>
      <c r="K394" s="2">
        <v>45220</v>
      </c>
      <c r="L394" t="s">
        <v>317</v>
      </c>
      <c r="M394" s="6">
        <f>SalesTbl[[#This Row],[Unit Price]]*SalesTbl[[#This Row],[Quantity]]</f>
        <v>200</v>
      </c>
      <c r="N394" s="6">
        <f>YEAR(SalesTbl[[#This Row],[Order Date]])</f>
        <v>2023</v>
      </c>
      <c r="O394" s="6" t="str">
        <f>TEXT(SalesTbl[[#This Row],[Order Date]],"yyyy-mm")</f>
        <v>2023-10</v>
      </c>
      <c r="P394" s="13">
        <f>WEEKNUM(SalesTbl[[#This Row],[Order Date]],2)</f>
        <v>43</v>
      </c>
      <c r="Q394" s="14">
        <f>MEDIAN(SalesTbl[Quantity])</f>
        <v>3</v>
      </c>
      <c r="R394" s="14">
        <f>IF(ISBLANK(SalesTbl[[#This Row],[Quantity]]),$H$2,SalesTbl[[#This Row],[Quantity]])</f>
        <v>2</v>
      </c>
      <c r="S394">
        <f>ROW()-ROW(SalesTbl[[#Headers],[Customer ID]])</f>
        <v>393</v>
      </c>
      <c r="T394" s="9" t="str">
        <f>IF(SalesTbl[[#This Row],[RowIdx]]&lt;=ROUNDUP(COUNTA(SalesTbl[Customer ID])*0.8,0),"Train","Test")</f>
        <v>Train</v>
      </c>
    </row>
    <row r="395" spans="1:20" x14ac:dyDescent="0.25">
      <c r="A395" t="s">
        <v>239</v>
      </c>
      <c r="B395" t="s">
        <v>13</v>
      </c>
      <c r="C395" t="s">
        <v>322</v>
      </c>
      <c r="D395" t="s">
        <v>14</v>
      </c>
      <c r="E395" t="s">
        <v>15</v>
      </c>
      <c r="F395">
        <v>49</v>
      </c>
      <c r="G395">
        <v>300</v>
      </c>
      <c r="H395">
        <v>3</v>
      </c>
      <c r="I395">
        <v>900</v>
      </c>
      <c r="J395">
        <v>6.39</v>
      </c>
      <c r="K395" s="2">
        <v>45290</v>
      </c>
      <c r="L395" t="s">
        <v>316</v>
      </c>
      <c r="M395" s="6">
        <f>SalesTbl[[#This Row],[Unit Price]]*SalesTbl[[#This Row],[Quantity]]</f>
        <v>900</v>
      </c>
      <c r="N395" s="6">
        <f>YEAR(SalesTbl[[#This Row],[Order Date]])</f>
        <v>2023</v>
      </c>
      <c r="O395" s="6" t="str">
        <f>TEXT(SalesTbl[[#This Row],[Order Date]],"yyyy-mm")</f>
        <v>2023-12</v>
      </c>
      <c r="P395" s="13">
        <f>WEEKNUM(SalesTbl[[#This Row],[Order Date]],2)</f>
        <v>53</v>
      </c>
      <c r="Q395" s="14">
        <f>MEDIAN(SalesTbl[Quantity])</f>
        <v>3</v>
      </c>
      <c r="R395" s="14">
        <f>IF(ISBLANK(SalesTbl[[#This Row],[Quantity]]),$H$2,SalesTbl[[#This Row],[Quantity]])</f>
        <v>3</v>
      </c>
      <c r="S395">
        <f>ROW()-ROW(SalesTbl[[#Headers],[Customer ID]])</f>
        <v>394</v>
      </c>
      <c r="T395" s="9" t="str">
        <f>IF(SalesTbl[[#This Row],[RowIdx]]&lt;=ROUNDUP(COUNTA(SalesTbl[Customer ID])*0.8,0),"Train","Test")</f>
        <v>Train</v>
      </c>
    </row>
    <row r="396" spans="1:20" x14ac:dyDescent="0.25">
      <c r="A396" t="s">
        <v>240</v>
      </c>
      <c r="B396" t="s">
        <v>20</v>
      </c>
      <c r="C396" t="s">
        <v>323</v>
      </c>
      <c r="D396" t="s">
        <v>29</v>
      </c>
      <c r="E396" t="s">
        <v>18</v>
      </c>
      <c r="F396">
        <v>27</v>
      </c>
      <c r="G396">
        <v>50</v>
      </c>
      <c r="H396">
        <v>1</v>
      </c>
      <c r="I396">
        <v>50</v>
      </c>
      <c r="J396">
        <v>11.72</v>
      </c>
      <c r="K396" s="2">
        <v>45117</v>
      </c>
      <c r="L396" t="s">
        <v>317</v>
      </c>
      <c r="M396" s="6">
        <f>SalesTbl[[#This Row],[Unit Price]]*SalesTbl[[#This Row],[Quantity]]</f>
        <v>50</v>
      </c>
      <c r="N396" s="6">
        <f>YEAR(SalesTbl[[#This Row],[Order Date]])</f>
        <v>2023</v>
      </c>
      <c r="O396" s="6" t="str">
        <f>TEXT(SalesTbl[[#This Row],[Order Date]],"yyyy-mm")</f>
        <v>2023-07</v>
      </c>
      <c r="P396" s="13">
        <f>WEEKNUM(SalesTbl[[#This Row],[Order Date]],2)</f>
        <v>29</v>
      </c>
      <c r="Q396" s="14">
        <f>MEDIAN(SalesTbl[Quantity])</f>
        <v>3</v>
      </c>
      <c r="R396" s="14">
        <f>IF(ISBLANK(SalesTbl[[#This Row],[Quantity]]),$H$2,SalesTbl[[#This Row],[Quantity]])</f>
        <v>1</v>
      </c>
      <c r="S396">
        <f>ROW()-ROW(SalesTbl[[#Headers],[Customer ID]])</f>
        <v>395</v>
      </c>
      <c r="T396" s="9" t="str">
        <f>IF(SalesTbl[[#This Row],[RowIdx]]&lt;=ROUNDUP(COUNTA(SalesTbl[Customer ID])*0.8,0),"Train","Test")</f>
        <v>Train</v>
      </c>
    </row>
    <row r="397" spans="1:20" x14ac:dyDescent="0.25">
      <c r="A397" t="s">
        <v>32</v>
      </c>
      <c r="B397" t="s">
        <v>20</v>
      </c>
      <c r="C397" t="s">
        <v>321</v>
      </c>
      <c r="D397" t="s">
        <v>40</v>
      </c>
      <c r="E397" t="s">
        <v>15</v>
      </c>
      <c r="F397">
        <v>49</v>
      </c>
      <c r="G397">
        <v>800</v>
      </c>
      <c r="H397">
        <v>2</v>
      </c>
      <c r="I397">
        <v>1600</v>
      </c>
      <c r="J397">
        <v>6.85</v>
      </c>
      <c r="K397" s="2">
        <v>45294</v>
      </c>
      <c r="L397" t="s">
        <v>318</v>
      </c>
      <c r="M397" s="6">
        <f>SalesTbl[[#This Row],[Unit Price]]*SalesTbl[[#This Row],[Quantity]]</f>
        <v>1600</v>
      </c>
      <c r="N397" s="6">
        <f>YEAR(SalesTbl[[#This Row],[Order Date]])</f>
        <v>2024</v>
      </c>
      <c r="O397" s="6" t="str">
        <f>TEXT(SalesTbl[[#This Row],[Order Date]],"yyyy-mm")</f>
        <v>2024-01</v>
      </c>
      <c r="P397" s="13">
        <f>WEEKNUM(SalesTbl[[#This Row],[Order Date]],2)</f>
        <v>1</v>
      </c>
      <c r="Q397" s="14">
        <f>MEDIAN(SalesTbl[Quantity])</f>
        <v>3</v>
      </c>
      <c r="R397" s="14">
        <f>IF(ISBLANK(SalesTbl[[#This Row],[Quantity]]),$H$2,SalesTbl[[#This Row],[Quantity]])</f>
        <v>2</v>
      </c>
      <c r="S397">
        <f>ROW()-ROW(SalesTbl[[#Headers],[Customer ID]])</f>
        <v>396</v>
      </c>
      <c r="T397" s="9" t="str">
        <f>IF(SalesTbl[[#This Row],[RowIdx]]&lt;=ROUNDUP(COUNTA(SalesTbl[Customer ID])*0.8,0),"Train","Test")</f>
        <v>Train</v>
      </c>
    </row>
    <row r="398" spans="1:20" x14ac:dyDescent="0.25">
      <c r="A398" t="s">
        <v>165</v>
      </c>
      <c r="B398" t="s">
        <v>13</v>
      </c>
      <c r="C398" t="s">
        <v>322</v>
      </c>
      <c r="D398" t="s">
        <v>30</v>
      </c>
      <c r="E398" t="s">
        <v>18</v>
      </c>
      <c r="F398">
        <v>66</v>
      </c>
      <c r="G398">
        <v>30</v>
      </c>
      <c r="H398">
        <v>4</v>
      </c>
      <c r="I398">
        <v>120</v>
      </c>
      <c r="J398">
        <v>14.27</v>
      </c>
      <c r="K398" s="2">
        <v>44962</v>
      </c>
      <c r="L398" t="s">
        <v>317</v>
      </c>
      <c r="M398" s="6">
        <f>SalesTbl[[#This Row],[Unit Price]]*SalesTbl[[#This Row],[Quantity]]</f>
        <v>120</v>
      </c>
      <c r="N398" s="6">
        <f>YEAR(SalesTbl[[#This Row],[Order Date]])</f>
        <v>2023</v>
      </c>
      <c r="O398" s="6" t="str">
        <f>TEXT(SalesTbl[[#This Row],[Order Date]],"yyyy-mm")</f>
        <v>2023-02</v>
      </c>
      <c r="P398" s="13">
        <f>WEEKNUM(SalesTbl[[#This Row],[Order Date]],2)</f>
        <v>6</v>
      </c>
      <c r="Q398" s="14">
        <f>MEDIAN(SalesTbl[Quantity])</f>
        <v>3</v>
      </c>
      <c r="R398" s="14">
        <f>IF(ISBLANK(SalesTbl[[#This Row],[Quantity]]),$H$2,SalesTbl[[#This Row],[Quantity]])</f>
        <v>4</v>
      </c>
      <c r="S398">
        <f>ROW()-ROW(SalesTbl[[#Headers],[Customer ID]])</f>
        <v>397</v>
      </c>
      <c r="T398" s="9" t="str">
        <f>IF(SalesTbl[[#This Row],[RowIdx]]&lt;=ROUNDUP(COUNTA(SalesTbl[Customer ID])*0.8,0),"Train","Test")</f>
        <v>Train</v>
      </c>
    </row>
    <row r="399" spans="1:20" x14ac:dyDescent="0.25">
      <c r="A399" t="s">
        <v>141</v>
      </c>
      <c r="B399" t="s">
        <v>20</v>
      </c>
      <c r="C399" t="s">
        <v>320</v>
      </c>
      <c r="D399" t="s">
        <v>23</v>
      </c>
      <c r="E399" t="s">
        <v>15</v>
      </c>
      <c r="F399">
        <v>39</v>
      </c>
      <c r="G399">
        <v>1500</v>
      </c>
      <c r="H399">
        <v>3</v>
      </c>
      <c r="I399">
        <v>4500</v>
      </c>
      <c r="J399">
        <v>15.91</v>
      </c>
      <c r="K399" s="2">
        <v>44960</v>
      </c>
      <c r="L399" t="s">
        <v>316</v>
      </c>
      <c r="M399" s="6">
        <f>SalesTbl[[#This Row],[Unit Price]]*SalesTbl[[#This Row],[Quantity]]</f>
        <v>4500</v>
      </c>
      <c r="N399" s="6">
        <f>YEAR(SalesTbl[[#This Row],[Order Date]])</f>
        <v>2023</v>
      </c>
      <c r="O399" s="6" t="str">
        <f>TEXT(SalesTbl[[#This Row],[Order Date]],"yyyy-mm")</f>
        <v>2023-02</v>
      </c>
      <c r="P399" s="13">
        <f>WEEKNUM(SalesTbl[[#This Row],[Order Date]],2)</f>
        <v>6</v>
      </c>
      <c r="Q399" s="14">
        <f>MEDIAN(SalesTbl[Quantity])</f>
        <v>3</v>
      </c>
      <c r="R399" s="14">
        <f>IF(ISBLANK(SalesTbl[[#This Row],[Quantity]]),$H$2,SalesTbl[[#This Row],[Quantity]])</f>
        <v>3</v>
      </c>
      <c r="S399">
        <f>ROW()-ROW(SalesTbl[[#Headers],[Customer ID]])</f>
        <v>398</v>
      </c>
      <c r="T399" s="9" t="str">
        <f>IF(SalesTbl[[#This Row],[RowIdx]]&lt;=ROUNDUP(COUNTA(SalesTbl[Customer ID])*0.8,0),"Train","Test")</f>
        <v>Train</v>
      </c>
    </row>
    <row r="400" spans="1:20" x14ac:dyDescent="0.25">
      <c r="A400" t="s">
        <v>241</v>
      </c>
      <c r="B400" t="s">
        <v>13</v>
      </c>
      <c r="C400" t="s">
        <v>322</v>
      </c>
      <c r="D400" t="s">
        <v>23</v>
      </c>
      <c r="E400" t="s">
        <v>15</v>
      </c>
      <c r="F400">
        <v>52</v>
      </c>
      <c r="G400">
        <v>1500</v>
      </c>
      <c r="H400">
        <v>5</v>
      </c>
      <c r="I400">
        <v>7500</v>
      </c>
      <c r="J400">
        <v>16.010000000000002</v>
      </c>
      <c r="K400" s="2">
        <v>45252</v>
      </c>
      <c r="L400" t="s">
        <v>317</v>
      </c>
      <c r="M400" s="6">
        <f>SalesTbl[[#This Row],[Unit Price]]*SalesTbl[[#This Row],[Quantity]]</f>
        <v>7500</v>
      </c>
      <c r="N400" s="6">
        <f>YEAR(SalesTbl[[#This Row],[Order Date]])</f>
        <v>2023</v>
      </c>
      <c r="O400" s="6" t="str">
        <f>TEXT(SalesTbl[[#This Row],[Order Date]],"yyyy-mm")</f>
        <v>2023-11</v>
      </c>
      <c r="P400" s="13">
        <f>WEEKNUM(SalesTbl[[#This Row],[Order Date]],2)</f>
        <v>48</v>
      </c>
      <c r="Q400" s="14">
        <f>MEDIAN(SalesTbl[Quantity])</f>
        <v>3</v>
      </c>
      <c r="R400" s="14">
        <f>IF(ISBLANK(SalesTbl[[#This Row],[Quantity]]),$H$2,SalesTbl[[#This Row],[Quantity]])</f>
        <v>5</v>
      </c>
      <c r="S400">
        <f>ROW()-ROW(SalesTbl[[#Headers],[Customer ID]])</f>
        <v>399</v>
      </c>
      <c r="T400" s="9" t="str">
        <f>IF(SalesTbl[[#This Row],[RowIdx]]&lt;=ROUNDUP(COUNTA(SalesTbl[Customer ID])*0.8,0),"Train","Test")</f>
        <v>Train</v>
      </c>
    </row>
    <row r="401" spans="1:20" x14ac:dyDescent="0.25">
      <c r="A401" t="s">
        <v>238</v>
      </c>
      <c r="B401" t="s">
        <v>13</v>
      </c>
      <c r="C401" t="s">
        <v>322</v>
      </c>
      <c r="D401" t="s">
        <v>40</v>
      </c>
      <c r="E401" t="s">
        <v>15</v>
      </c>
      <c r="F401">
        <v>49</v>
      </c>
      <c r="G401">
        <v>800</v>
      </c>
      <c r="H401">
        <v>3</v>
      </c>
      <c r="I401">
        <v>2400</v>
      </c>
      <c r="J401">
        <v>19.440000000000001</v>
      </c>
      <c r="K401" s="2">
        <v>45080</v>
      </c>
      <c r="L401" t="s">
        <v>317</v>
      </c>
      <c r="M401" s="6">
        <f>SalesTbl[[#This Row],[Unit Price]]*SalesTbl[[#This Row],[Quantity]]</f>
        <v>2400</v>
      </c>
      <c r="N401" s="6">
        <f>YEAR(SalesTbl[[#This Row],[Order Date]])</f>
        <v>2023</v>
      </c>
      <c r="O401" s="6" t="str">
        <f>TEXT(SalesTbl[[#This Row],[Order Date]],"yyyy-mm")</f>
        <v>2023-06</v>
      </c>
      <c r="P401" s="13">
        <f>WEEKNUM(SalesTbl[[#This Row],[Order Date]],2)</f>
        <v>23</v>
      </c>
      <c r="Q401" s="14">
        <f>MEDIAN(SalesTbl[Quantity])</f>
        <v>3</v>
      </c>
      <c r="R401" s="14">
        <f>IF(ISBLANK(SalesTbl[[#This Row],[Quantity]]),$H$2,SalesTbl[[#This Row],[Quantity]])</f>
        <v>3</v>
      </c>
      <c r="S401">
        <f>ROW()-ROW(SalesTbl[[#Headers],[Customer ID]])</f>
        <v>400</v>
      </c>
      <c r="T401" s="9" t="str">
        <f>IF(SalesTbl[[#This Row],[RowIdx]]&lt;=ROUNDUP(COUNTA(SalesTbl[Customer ID])*0.8,0),"Train","Test")</f>
        <v>Train</v>
      </c>
    </row>
    <row r="402" spans="1:20" x14ac:dyDescent="0.25">
      <c r="A402" t="s">
        <v>190</v>
      </c>
      <c r="B402" t="s">
        <v>20</v>
      </c>
      <c r="C402" t="s">
        <v>321</v>
      </c>
      <c r="D402" t="s">
        <v>30</v>
      </c>
      <c r="E402" t="s">
        <v>18</v>
      </c>
      <c r="F402">
        <v>59</v>
      </c>
      <c r="G402">
        <v>30</v>
      </c>
      <c r="H402">
        <v>3</v>
      </c>
      <c r="I402">
        <v>90</v>
      </c>
      <c r="J402">
        <v>7.34</v>
      </c>
      <c r="K402" s="2">
        <v>45042</v>
      </c>
      <c r="L402" t="s">
        <v>316</v>
      </c>
      <c r="M402" s="6">
        <f>SalesTbl[[#This Row],[Unit Price]]*SalesTbl[[#This Row],[Quantity]]</f>
        <v>90</v>
      </c>
      <c r="N402" s="6">
        <f>YEAR(SalesTbl[[#This Row],[Order Date]])</f>
        <v>2023</v>
      </c>
      <c r="O402" s="6" t="str">
        <f>TEXT(SalesTbl[[#This Row],[Order Date]],"yyyy-mm")</f>
        <v>2023-04</v>
      </c>
      <c r="P402" s="13">
        <f>WEEKNUM(SalesTbl[[#This Row],[Order Date]],2)</f>
        <v>18</v>
      </c>
      <c r="Q402" s="14">
        <f>MEDIAN(SalesTbl[Quantity])</f>
        <v>3</v>
      </c>
      <c r="R402" s="14">
        <f>IF(ISBLANK(SalesTbl[[#This Row],[Quantity]]),$H$2,SalesTbl[[#This Row],[Quantity]])</f>
        <v>3</v>
      </c>
      <c r="S402">
        <f>ROW()-ROW(SalesTbl[[#Headers],[Customer ID]])</f>
        <v>401</v>
      </c>
      <c r="T402" s="9" t="str">
        <f>IF(SalesTbl[[#This Row],[RowIdx]]&lt;=ROUNDUP(COUNTA(SalesTbl[Customer ID])*0.8,0),"Train","Test")</f>
        <v>Train</v>
      </c>
    </row>
    <row r="403" spans="1:20" x14ac:dyDescent="0.25">
      <c r="A403" t="s">
        <v>165</v>
      </c>
      <c r="B403" t="s">
        <v>20</v>
      </c>
      <c r="C403" t="s">
        <v>323</v>
      </c>
      <c r="D403" t="s">
        <v>17</v>
      </c>
      <c r="E403" t="s">
        <v>18</v>
      </c>
      <c r="F403">
        <v>66</v>
      </c>
      <c r="G403">
        <v>100</v>
      </c>
      <c r="H403">
        <v>3</v>
      </c>
      <c r="I403">
        <v>300</v>
      </c>
      <c r="J403">
        <v>13.21</v>
      </c>
      <c r="K403" s="2">
        <v>44998</v>
      </c>
      <c r="L403" t="s">
        <v>317</v>
      </c>
      <c r="M403" s="6">
        <f>SalesTbl[[#This Row],[Unit Price]]*SalesTbl[[#This Row],[Quantity]]</f>
        <v>300</v>
      </c>
      <c r="N403" s="6">
        <f>YEAR(SalesTbl[[#This Row],[Order Date]])</f>
        <v>2023</v>
      </c>
      <c r="O403" s="6" t="str">
        <f>TEXT(SalesTbl[[#This Row],[Order Date]],"yyyy-mm")</f>
        <v>2023-03</v>
      </c>
      <c r="P403" s="13">
        <f>WEEKNUM(SalesTbl[[#This Row],[Order Date]],2)</f>
        <v>12</v>
      </c>
      <c r="Q403" s="14">
        <f>MEDIAN(SalesTbl[Quantity])</f>
        <v>3</v>
      </c>
      <c r="R403" s="14">
        <f>IF(ISBLANK(SalesTbl[[#This Row],[Quantity]]),$H$2,SalesTbl[[#This Row],[Quantity]])</f>
        <v>3</v>
      </c>
      <c r="S403">
        <f>ROW()-ROW(SalesTbl[[#Headers],[Customer ID]])</f>
        <v>402</v>
      </c>
      <c r="T403" s="9" t="str">
        <f>IF(SalesTbl[[#This Row],[RowIdx]]&lt;=ROUNDUP(COUNTA(SalesTbl[Customer ID])*0.8,0),"Train","Test")</f>
        <v>Train</v>
      </c>
    </row>
    <row r="404" spans="1:20" x14ac:dyDescent="0.25">
      <c r="A404" t="s">
        <v>242</v>
      </c>
      <c r="B404" t="s">
        <v>20</v>
      </c>
      <c r="C404" t="s">
        <v>321</v>
      </c>
      <c r="D404" t="s">
        <v>23</v>
      </c>
      <c r="E404" t="s">
        <v>15</v>
      </c>
      <c r="F404">
        <v>49</v>
      </c>
      <c r="G404">
        <v>1500</v>
      </c>
      <c r="H404">
        <v>5</v>
      </c>
      <c r="I404">
        <v>7500</v>
      </c>
      <c r="J404">
        <v>11.03</v>
      </c>
      <c r="K404" s="2">
        <v>44937</v>
      </c>
      <c r="L404" t="s">
        <v>316</v>
      </c>
      <c r="M404" s="6">
        <f>SalesTbl[[#This Row],[Unit Price]]*SalesTbl[[#This Row],[Quantity]]</f>
        <v>7500</v>
      </c>
      <c r="N404" s="6">
        <f>YEAR(SalesTbl[[#This Row],[Order Date]])</f>
        <v>2023</v>
      </c>
      <c r="O404" s="6" t="str">
        <f>TEXT(SalesTbl[[#This Row],[Order Date]],"yyyy-mm")</f>
        <v>2023-01</v>
      </c>
      <c r="P404" s="13">
        <f>WEEKNUM(SalesTbl[[#This Row],[Order Date]],2)</f>
        <v>3</v>
      </c>
      <c r="Q404" s="14">
        <f>MEDIAN(SalesTbl[Quantity])</f>
        <v>3</v>
      </c>
      <c r="R404" s="14">
        <f>IF(ISBLANK(SalesTbl[[#This Row],[Quantity]]),$H$2,SalesTbl[[#This Row],[Quantity]])</f>
        <v>5</v>
      </c>
      <c r="S404">
        <f>ROW()-ROW(SalesTbl[[#Headers],[Customer ID]])</f>
        <v>403</v>
      </c>
      <c r="T404" s="9" t="str">
        <f>IF(SalesTbl[[#This Row],[RowIdx]]&lt;=ROUNDUP(COUNTA(SalesTbl[Customer ID])*0.8,0),"Train","Test")</f>
        <v>Train</v>
      </c>
    </row>
    <row r="405" spans="1:20" x14ac:dyDescent="0.25">
      <c r="A405" t="s">
        <v>235</v>
      </c>
      <c r="B405" t="s">
        <v>20</v>
      </c>
      <c r="C405" t="s">
        <v>322</v>
      </c>
      <c r="D405" t="s">
        <v>29</v>
      </c>
      <c r="E405" t="s">
        <v>18</v>
      </c>
      <c r="F405">
        <v>23</v>
      </c>
      <c r="G405">
        <v>50</v>
      </c>
      <c r="H405">
        <v>5</v>
      </c>
      <c r="I405">
        <v>250</v>
      </c>
      <c r="J405">
        <v>14.12</v>
      </c>
      <c r="K405" s="2">
        <v>45026</v>
      </c>
      <c r="L405" t="s">
        <v>317</v>
      </c>
      <c r="M405" s="6">
        <f>SalesTbl[[#This Row],[Unit Price]]*SalesTbl[[#This Row],[Quantity]]</f>
        <v>250</v>
      </c>
      <c r="N405" s="6">
        <f>YEAR(SalesTbl[[#This Row],[Order Date]])</f>
        <v>2023</v>
      </c>
      <c r="O405" s="6" t="str">
        <f>TEXT(SalesTbl[[#This Row],[Order Date]],"yyyy-mm")</f>
        <v>2023-04</v>
      </c>
      <c r="P405" s="13">
        <f>WEEKNUM(SalesTbl[[#This Row],[Order Date]],2)</f>
        <v>16</v>
      </c>
      <c r="Q405" s="14">
        <f>MEDIAN(SalesTbl[Quantity])</f>
        <v>3</v>
      </c>
      <c r="R405" s="14">
        <f>IF(ISBLANK(SalesTbl[[#This Row],[Quantity]]),$H$2,SalesTbl[[#This Row],[Quantity]])</f>
        <v>5</v>
      </c>
      <c r="S405">
        <f>ROW()-ROW(SalesTbl[[#Headers],[Customer ID]])</f>
        <v>404</v>
      </c>
      <c r="T405" s="9" t="str">
        <f>IF(SalesTbl[[#This Row],[RowIdx]]&lt;=ROUNDUP(COUNTA(SalesTbl[Customer ID])*0.8,0),"Train","Test")</f>
        <v>Train</v>
      </c>
    </row>
    <row r="406" spans="1:20" x14ac:dyDescent="0.25">
      <c r="A406" t="s">
        <v>211</v>
      </c>
      <c r="B406" t="s">
        <v>20</v>
      </c>
      <c r="C406" t="s">
        <v>320</v>
      </c>
      <c r="D406" t="s">
        <v>25</v>
      </c>
      <c r="E406" t="s">
        <v>26</v>
      </c>
      <c r="F406">
        <v>66</v>
      </c>
      <c r="G406">
        <v>200</v>
      </c>
      <c r="H406">
        <v>5</v>
      </c>
      <c r="I406">
        <v>1000</v>
      </c>
      <c r="J406">
        <v>10.43</v>
      </c>
      <c r="K406" s="2">
        <v>44992</v>
      </c>
      <c r="L406" t="s">
        <v>318</v>
      </c>
      <c r="M406" s="6">
        <f>SalesTbl[[#This Row],[Unit Price]]*SalesTbl[[#This Row],[Quantity]]</f>
        <v>1000</v>
      </c>
      <c r="N406" s="6">
        <f>YEAR(SalesTbl[[#This Row],[Order Date]])</f>
        <v>2023</v>
      </c>
      <c r="O406" s="6" t="str">
        <f>TEXT(SalesTbl[[#This Row],[Order Date]],"yyyy-mm")</f>
        <v>2023-03</v>
      </c>
      <c r="P406" s="13">
        <f>WEEKNUM(SalesTbl[[#This Row],[Order Date]],2)</f>
        <v>11</v>
      </c>
      <c r="Q406" s="14">
        <f>MEDIAN(SalesTbl[Quantity])</f>
        <v>3</v>
      </c>
      <c r="R406" s="14">
        <f>IF(ISBLANK(SalesTbl[[#This Row],[Quantity]]),$H$2,SalesTbl[[#This Row],[Quantity]])</f>
        <v>5</v>
      </c>
      <c r="S406">
        <f>ROW()-ROW(SalesTbl[[#Headers],[Customer ID]])</f>
        <v>405</v>
      </c>
      <c r="T406" s="9" t="str">
        <f>IF(SalesTbl[[#This Row],[RowIdx]]&lt;=ROUNDUP(COUNTA(SalesTbl[Customer ID])*0.8,0),"Train","Test")</f>
        <v>Train</v>
      </c>
    </row>
    <row r="407" spans="1:20" x14ac:dyDescent="0.25">
      <c r="A407" t="s">
        <v>192</v>
      </c>
      <c r="B407" t="s">
        <v>20</v>
      </c>
      <c r="C407" t="s">
        <v>320</v>
      </c>
      <c r="D407" t="s">
        <v>23</v>
      </c>
      <c r="E407" t="s">
        <v>15</v>
      </c>
      <c r="F407">
        <v>28</v>
      </c>
      <c r="G407">
        <v>1500</v>
      </c>
      <c r="H407">
        <v>1</v>
      </c>
      <c r="I407">
        <v>1500</v>
      </c>
      <c r="J407">
        <v>12.71</v>
      </c>
      <c r="K407" s="2">
        <v>45169</v>
      </c>
      <c r="L407" t="s">
        <v>316</v>
      </c>
      <c r="M407" s="6">
        <f>SalesTbl[[#This Row],[Unit Price]]*SalesTbl[[#This Row],[Quantity]]</f>
        <v>1500</v>
      </c>
      <c r="N407" s="6">
        <f>YEAR(SalesTbl[[#This Row],[Order Date]])</f>
        <v>2023</v>
      </c>
      <c r="O407" s="6" t="str">
        <f>TEXT(SalesTbl[[#This Row],[Order Date]],"yyyy-mm")</f>
        <v>2023-08</v>
      </c>
      <c r="P407" s="13">
        <f>WEEKNUM(SalesTbl[[#This Row],[Order Date]],2)</f>
        <v>36</v>
      </c>
      <c r="Q407" s="14">
        <f>MEDIAN(SalesTbl[Quantity])</f>
        <v>3</v>
      </c>
      <c r="R407" s="14">
        <f>IF(ISBLANK(SalesTbl[[#This Row],[Quantity]]),$H$2,SalesTbl[[#This Row],[Quantity]])</f>
        <v>1</v>
      </c>
      <c r="S407">
        <f>ROW()-ROW(SalesTbl[[#Headers],[Customer ID]])</f>
        <v>406</v>
      </c>
      <c r="T407" s="9" t="str">
        <f>IF(SalesTbl[[#This Row],[RowIdx]]&lt;=ROUNDUP(COUNTA(SalesTbl[Customer ID])*0.8,0),"Train","Test")</f>
        <v>Train</v>
      </c>
    </row>
    <row r="408" spans="1:20" x14ac:dyDescent="0.25">
      <c r="A408" t="s">
        <v>38</v>
      </c>
      <c r="B408" t="s">
        <v>13</v>
      </c>
      <c r="C408" t="s">
        <v>323</v>
      </c>
      <c r="D408" t="s">
        <v>40</v>
      </c>
      <c r="E408" t="s">
        <v>15</v>
      </c>
      <c r="F408">
        <v>57</v>
      </c>
      <c r="G408">
        <v>800</v>
      </c>
      <c r="H408">
        <v>2</v>
      </c>
      <c r="I408">
        <v>1600</v>
      </c>
      <c r="J408">
        <v>12.55</v>
      </c>
      <c r="K408" s="2">
        <v>44928</v>
      </c>
      <c r="L408" t="s">
        <v>319</v>
      </c>
      <c r="M408" s="6">
        <f>SalesTbl[[#This Row],[Unit Price]]*SalesTbl[[#This Row],[Quantity]]</f>
        <v>1600</v>
      </c>
      <c r="N408" s="6">
        <f>YEAR(SalesTbl[[#This Row],[Order Date]])</f>
        <v>2023</v>
      </c>
      <c r="O408" s="6" t="str">
        <f>TEXT(SalesTbl[[#This Row],[Order Date]],"yyyy-mm")</f>
        <v>2023-01</v>
      </c>
      <c r="P408" s="13">
        <f>WEEKNUM(SalesTbl[[#This Row],[Order Date]],2)</f>
        <v>2</v>
      </c>
      <c r="Q408" s="14">
        <f>MEDIAN(SalesTbl[Quantity])</f>
        <v>3</v>
      </c>
      <c r="R408" s="14">
        <f>IF(ISBLANK(SalesTbl[[#This Row],[Quantity]]),$H$2,SalesTbl[[#This Row],[Quantity]])</f>
        <v>2</v>
      </c>
      <c r="S408">
        <f>ROW()-ROW(SalesTbl[[#Headers],[Customer ID]])</f>
        <v>407</v>
      </c>
      <c r="T408" s="9" t="str">
        <f>IF(SalesTbl[[#This Row],[RowIdx]]&lt;=ROUNDUP(COUNTA(SalesTbl[Customer ID])*0.8,0),"Train","Test")</f>
        <v>Train</v>
      </c>
    </row>
    <row r="409" spans="1:20" x14ac:dyDescent="0.25">
      <c r="A409" t="s">
        <v>243</v>
      </c>
      <c r="B409" t="s">
        <v>13</v>
      </c>
      <c r="C409" t="s">
        <v>322</v>
      </c>
      <c r="D409" t="s">
        <v>29</v>
      </c>
      <c r="E409" t="s">
        <v>18</v>
      </c>
      <c r="F409">
        <v>49</v>
      </c>
      <c r="G409">
        <v>50</v>
      </c>
      <c r="H409">
        <v>2</v>
      </c>
      <c r="I409">
        <v>100</v>
      </c>
      <c r="J409">
        <v>6.85</v>
      </c>
      <c r="K409" s="2">
        <v>45218</v>
      </c>
      <c r="L409" t="s">
        <v>316</v>
      </c>
      <c r="M409" s="6">
        <f>SalesTbl[[#This Row],[Unit Price]]*SalesTbl[[#This Row],[Quantity]]</f>
        <v>100</v>
      </c>
      <c r="N409" s="6">
        <f>YEAR(SalesTbl[[#This Row],[Order Date]])</f>
        <v>2023</v>
      </c>
      <c r="O409" s="6" t="str">
        <f>TEXT(SalesTbl[[#This Row],[Order Date]],"yyyy-mm")</f>
        <v>2023-10</v>
      </c>
      <c r="P409" s="13">
        <f>WEEKNUM(SalesTbl[[#This Row],[Order Date]],2)</f>
        <v>43</v>
      </c>
      <c r="Q409" s="14">
        <f>MEDIAN(SalesTbl[Quantity])</f>
        <v>3</v>
      </c>
      <c r="R409" s="14">
        <f>IF(ISBLANK(SalesTbl[[#This Row],[Quantity]]),$H$2,SalesTbl[[#This Row],[Quantity]])</f>
        <v>2</v>
      </c>
      <c r="S409">
        <f>ROW()-ROW(SalesTbl[[#Headers],[Customer ID]])</f>
        <v>408</v>
      </c>
      <c r="T409" s="9" t="str">
        <f>IF(SalesTbl[[#This Row],[RowIdx]]&lt;=ROUNDUP(COUNTA(SalesTbl[Customer ID])*0.8,0),"Train","Test")</f>
        <v>Train</v>
      </c>
    </row>
    <row r="410" spans="1:20" x14ac:dyDescent="0.25">
      <c r="A410" t="s">
        <v>43</v>
      </c>
      <c r="B410" t="s">
        <v>13</v>
      </c>
      <c r="C410" t="s">
        <v>321</v>
      </c>
      <c r="D410" t="s">
        <v>23</v>
      </c>
      <c r="E410" t="s">
        <v>15</v>
      </c>
      <c r="F410">
        <v>37</v>
      </c>
      <c r="G410">
        <v>1500</v>
      </c>
      <c r="H410">
        <v>2</v>
      </c>
      <c r="I410">
        <v>3000</v>
      </c>
      <c r="J410">
        <v>17.23</v>
      </c>
      <c r="K410" s="2">
        <v>44936</v>
      </c>
      <c r="L410" t="s">
        <v>316</v>
      </c>
      <c r="M410" s="6">
        <f>SalesTbl[[#This Row],[Unit Price]]*SalesTbl[[#This Row],[Quantity]]</f>
        <v>3000</v>
      </c>
      <c r="N410" s="6">
        <f>YEAR(SalesTbl[[#This Row],[Order Date]])</f>
        <v>2023</v>
      </c>
      <c r="O410" s="6" t="str">
        <f>TEXT(SalesTbl[[#This Row],[Order Date]],"yyyy-mm")</f>
        <v>2023-01</v>
      </c>
      <c r="P410" s="13">
        <f>WEEKNUM(SalesTbl[[#This Row],[Order Date]],2)</f>
        <v>3</v>
      </c>
      <c r="Q410" s="14">
        <f>MEDIAN(SalesTbl[Quantity])</f>
        <v>3</v>
      </c>
      <c r="R410" s="14">
        <f>IF(ISBLANK(SalesTbl[[#This Row],[Quantity]]),$H$2,SalesTbl[[#This Row],[Quantity]])</f>
        <v>2</v>
      </c>
      <c r="S410">
        <f>ROW()-ROW(SalesTbl[[#Headers],[Customer ID]])</f>
        <v>409</v>
      </c>
      <c r="T410" s="9" t="str">
        <f>IF(SalesTbl[[#This Row],[RowIdx]]&lt;=ROUNDUP(COUNTA(SalesTbl[Customer ID])*0.8,0),"Train","Test")</f>
        <v>Train</v>
      </c>
    </row>
    <row r="411" spans="1:20" x14ac:dyDescent="0.25">
      <c r="A411" t="s">
        <v>45</v>
      </c>
      <c r="B411" t="s">
        <v>13</v>
      </c>
      <c r="C411" t="s">
        <v>323</v>
      </c>
      <c r="D411" t="s">
        <v>17</v>
      </c>
      <c r="E411" t="s">
        <v>18</v>
      </c>
      <c r="F411">
        <v>52</v>
      </c>
      <c r="G411">
        <v>100</v>
      </c>
      <c r="H411">
        <v>3</v>
      </c>
      <c r="I411">
        <v>300</v>
      </c>
      <c r="J411">
        <v>19.53</v>
      </c>
      <c r="K411" s="2">
        <v>44942</v>
      </c>
      <c r="L411" t="s">
        <v>317</v>
      </c>
      <c r="M411" s="6">
        <f>SalesTbl[[#This Row],[Unit Price]]*SalesTbl[[#This Row],[Quantity]]</f>
        <v>300</v>
      </c>
      <c r="N411" s="6">
        <f>YEAR(SalesTbl[[#This Row],[Order Date]])</f>
        <v>2023</v>
      </c>
      <c r="O411" s="6" t="str">
        <f>TEXT(SalesTbl[[#This Row],[Order Date]],"yyyy-mm")</f>
        <v>2023-01</v>
      </c>
      <c r="P411" s="13">
        <f>WEEKNUM(SalesTbl[[#This Row],[Order Date]],2)</f>
        <v>4</v>
      </c>
      <c r="Q411" s="14">
        <f>MEDIAN(SalesTbl[Quantity])</f>
        <v>3</v>
      </c>
      <c r="R411" s="14">
        <f>IF(ISBLANK(SalesTbl[[#This Row],[Quantity]]),$H$2,SalesTbl[[#This Row],[Quantity]])</f>
        <v>3</v>
      </c>
      <c r="S411">
        <f>ROW()-ROW(SalesTbl[[#Headers],[Customer ID]])</f>
        <v>410</v>
      </c>
      <c r="T411" s="9" t="str">
        <f>IF(SalesTbl[[#This Row],[RowIdx]]&lt;=ROUNDUP(COUNTA(SalesTbl[Customer ID])*0.8,0),"Train","Test")</f>
        <v>Train</v>
      </c>
    </row>
    <row r="412" spans="1:20" x14ac:dyDescent="0.25">
      <c r="A412" t="s">
        <v>244</v>
      </c>
      <c r="B412" t="s">
        <v>13</v>
      </c>
      <c r="C412" t="s">
        <v>321</v>
      </c>
      <c r="D412" t="s">
        <v>25</v>
      </c>
      <c r="E412" t="s">
        <v>26</v>
      </c>
      <c r="F412">
        <v>49</v>
      </c>
      <c r="G412">
        <v>200</v>
      </c>
      <c r="H412">
        <v>3</v>
      </c>
      <c r="I412">
        <v>600</v>
      </c>
      <c r="J412">
        <v>18.62</v>
      </c>
      <c r="K412" s="2">
        <v>45130</v>
      </c>
      <c r="L412" t="s">
        <v>318</v>
      </c>
      <c r="M412" s="6">
        <f>SalesTbl[[#This Row],[Unit Price]]*SalesTbl[[#This Row],[Quantity]]</f>
        <v>600</v>
      </c>
      <c r="N412" s="6">
        <f>YEAR(SalesTbl[[#This Row],[Order Date]])</f>
        <v>2023</v>
      </c>
      <c r="O412" s="6" t="str">
        <f>TEXT(SalesTbl[[#This Row],[Order Date]],"yyyy-mm")</f>
        <v>2023-07</v>
      </c>
      <c r="P412" s="13">
        <f>WEEKNUM(SalesTbl[[#This Row],[Order Date]],2)</f>
        <v>30</v>
      </c>
      <c r="Q412" s="14">
        <f>MEDIAN(SalesTbl[Quantity])</f>
        <v>3</v>
      </c>
      <c r="R412" s="14">
        <f>IF(ISBLANK(SalesTbl[[#This Row],[Quantity]]),$H$2,SalesTbl[[#This Row],[Quantity]])</f>
        <v>3</v>
      </c>
      <c r="S412">
        <f>ROW()-ROW(SalesTbl[[#Headers],[Customer ID]])</f>
        <v>411</v>
      </c>
      <c r="T412" s="9" t="str">
        <f>IF(SalesTbl[[#This Row],[RowIdx]]&lt;=ROUNDUP(COUNTA(SalesTbl[Customer ID])*0.8,0),"Train","Test")</f>
        <v>Train</v>
      </c>
    </row>
    <row r="413" spans="1:20" x14ac:dyDescent="0.25">
      <c r="A413" t="s">
        <v>91</v>
      </c>
      <c r="B413" t="s">
        <v>20</v>
      </c>
      <c r="C413" t="s">
        <v>323</v>
      </c>
      <c r="D413" t="s">
        <v>30</v>
      </c>
      <c r="E413" t="s">
        <v>18</v>
      </c>
      <c r="F413">
        <v>54</v>
      </c>
      <c r="G413">
        <v>30</v>
      </c>
      <c r="H413">
        <v>5</v>
      </c>
      <c r="I413">
        <v>150</v>
      </c>
      <c r="J413">
        <v>14.71</v>
      </c>
      <c r="K413" s="2">
        <v>45264</v>
      </c>
      <c r="L413" t="s">
        <v>317</v>
      </c>
      <c r="M413" s="6">
        <f>SalesTbl[[#This Row],[Unit Price]]*SalesTbl[[#This Row],[Quantity]]</f>
        <v>150</v>
      </c>
      <c r="N413" s="6">
        <f>YEAR(SalesTbl[[#This Row],[Order Date]])</f>
        <v>2023</v>
      </c>
      <c r="O413" s="6" t="str">
        <f>TEXT(SalesTbl[[#This Row],[Order Date]],"yyyy-mm")</f>
        <v>2023-12</v>
      </c>
      <c r="P413" s="13">
        <f>WEEKNUM(SalesTbl[[#This Row],[Order Date]],2)</f>
        <v>50</v>
      </c>
      <c r="Q413" s="14">
        <f>MEDIAN(SalesTbl[Quantity])</f>
        <v>3</v>
      </c>
      <c r="R413" s="14">
        <f>IF(ISBLANK(SalesTbl[[#This Row],[Quantity]]),$H$2,SalesTbl[[#This Row],[Quantity]])</f>
        <v>5</v>
      </c>
      <c r="S413">
        <f>ROW()-ROW(SalesTbl[[#Headers],[Customer ID]])</f>
        <v>412</v>
      </c>
      <c r="T413" s="9" t="str">
        <f>IF(SalesTbl[[#This Row],[RowIdx]]&lt;=ROUNDUP(COUNTA(SalesTbl[Customer ID])*0.8,0),"Train","Test")</f>
        <v>Train</v>
      </c>
    </row>
    <row r="414" spans="1:20" x14ac:dyDescent="0.25">
      <c r="A414" t="s">
        <v>100</v>
      </c>
      <c r="B414" t="s">
        <v>20</v>
      </c>
      <c r="C414" t="s">
        <v>322</v>
      </c>
      <c r="D414" t="s">
        <v>29</v>
      </c>
      <c r="E414" t="s">
        <v>18</v>
      </c>
      <c r="F414">
        <v>48</v>
      </c>
      <c r="G414">
        <v>50</v>
      </c>
      <c r="H414">
        <v>2</v>
      </c>
      <c r="I414">
        <v>100</v>
      </c>
      <c r="J414">
        <v>12.46</v>
      </c>
      <c r="K414" s="2">
        <v>45025</v>
      </c>
      <c r="L414" t="s">
        <v>317</v>
      </c>
      <c r="M414" s="6">
        <f>SalesTbl[[#This Row],[Unit Price]]*SalesTbl[[#This Row],[Quantity]]</f>
        <v>100</v>
      </c>
      <c r="N414" s="6">
        <f>YEAR(SalesTbl[[#This Row],[Order Date]])</f>
        <v>2023</v>
      </c>
      <c r="O414" s="6" t="str">
        <f>TEXT(SalesTbl[[#This Row],[Order Date]],"yyyy-mm")</f>
        <v>2023-04</v>
      </c>
      <c r="P414" s="13">
        <f>WEEKNUM(SalesTbl[[#This Row],[Order Date]],2)</f>
        <v>15</v>
      </c>
      <c r="Q414" s="14">
        <f>MEDIAN(SalesTbl[Quantity])</f>
        <v>3</v>
      </c>
      <c r="R414" s="14">
        <f>IF(ISBLANK(SalesTbl[[#This Row],[Quantity]]),$H$2,SalesTbl[[#This Row],[Quantity]])</f>
        <v>2</v>
      </c>
      <c r="S414">
        <f>ROW()-ROW(SalesTbl[[#Headers],[Customer ID]])</f>
        <v>413</v>
      </c>
      <c r="T414" s="9" t="str">
        <f>IF(SalesTbl[[#This Row],[RowIdx]]&lt;=ROUNDUP(COUNTA(SalesTbl[Customer ID])*0.8,0),"Train","Test")</f>
        <v>Train</v>
      </c>
    </row>
    <row r="415" spans="1:20" x14ac:dyDescent="0.25">
      <c r="A415" t="s">
        <v>124</v>
      </c>
      <c r="B415" t="s">
        <v>13</v>
      </c>
      <c r="C415" t="s">
        <v>323</v>
      </c>
      <c r="D415" t="s">
        <v>14</v>
      </c>
      <c r="E415" t="s">
        <v>15</v>
      </c>
      <c r="F415">
        <v>61</v>
      </c>
      <c r="G415">
        <v>300</v>
      </c>
      <c r="H415">
        <v>2</v>
      </c>
      <c r="I415">
        <v>600</v>
      </c>
      <c r="J415">
        <v>12.26</v>
      </c>
      <c r="K415" s="2">
        <v>45041</v>
      </c>
      <c r="L415" t="s">
        <v>316</v>
      </c>
      <c r="M415" s="6">
        <f>SalesTbl[[#This Row],[Unit Price]]*SalesTbl[[#This Row],[Quantity]]</f>
        <v>600</v>
      </c>
      <c r="N415" s="6">
        <f>YEAR(SalesTbl[[#This Row],[Order Date]])</f>
        <v>2023</v>
      </c>
      <c r="O415" s="6" t="str">
        <f>TEXT(SalesTbl[[#This Row],[Order Date]],"yyyy-mm")</f>
        <v>2023-04</v>
      </c>
      <c r="P415" s="13">
        <f>WEEKNUM(SalesTbl[[#This Row],[Order Date]],2)</f>
        <v>18</v>
      </c>
      <c r="Q415" s="14">
        <f>MEDIAN(SalesTbl[Quantity])</f>
        <v>3</v>
      </c>
      <c r="R415" s="14">
        <f>IF(ISBLANK(SalesTbl[[#This Row],[Quantity]]),$H$2,SalesTbl[[#This Row],[Quantity]])</f>
        <v>2</v>
      </c>
      <c r="S415">
        <f>ROW()-ROW(SalesTbl[[#Headers],[Customer ID]])</f>
        <v>414</v>
      </c>
      <c r="T415" s="9" t="str">
        <f>IF(SalesTbl[[#This Row],[RowIdx]]&lt;=ROUNDUP(COUNTA(SalesTbl[Customer ID])*0.8,0),"Train","Test")</f>
        <v>Train</v>
      </c>
    </row>
    <row r="416" spans="1:20" x14ac:dyDescent="0.25">
      <c r="A416" t="s">
        <v>245</v>
      </c>
      <c r="B416" t="s">
        <v>20</v>
      </c>
      <c r="C416" t="s">
        <v>323</v>
      </c>
      <c r="D416" t="s">
        <v>17</v>
      </c>
      <c r="E416" t="s">
        <v>18</v>
      </c>
      <c r="F416">
        <v>57</v>
      </c>
      <c r="G416">
        <v>100</v>
      </c>
      <c r="H416">
        <v>4</v>
      </c>
      <c r="I416">
        <v>400</v>
      </c>
      <c r="J416">
        <v>8.84</v>
      </c>
      <c r="K416" s="2">
        <v>44985</v>
      </c>
      <c r="L416" t="s">
        <v>317</v>
      </c>
      <c r="M416" s="6">
        <f>SalesTbl[[#This Row],[Unit Price]]*SalesTbl[[#This Row],[Quantity]]</f>
        <v>400</v>
      </c>
      <c r="N416" s="6">
        <f>YEAR(SalesTbl[[#This Row],[Order Date]])</f>
        <v>2023</v>
      </c>
      <c r="O416" s="6" t="str">
        <f>TEXT(SalesTbl[[#This Row],[Order Date]],"yyyy-mm")</f>
        <v>2023-02</v>
      </c>
      <c r="P416" s="13">
        <f>WEEKNUM(SalesTbl[[#This Row],[Order Date]],2)</f>
        <v>10</v>
      </c>
      <c r="Q416" s="14">
        <f>MEDIAN(SalesTbl[Quantity])</f>
        <v>3</v>
      </c>
      <c r="R416" s="14">
        <f>IF(ISBLANK(SalesTbl[[#This Row],[Quantity]]),$H$2,SalesTbl[[#This Row],[Quantity]])</f>
        <v>4</v>
      </c>
      <c r="S416">
        <f>ROW()-ROW(SalesTbl[[#Headers],[Customer ID]])</f>
        <v>415</v>
      </c>
      <c r="T416" s="9" t="str">
        <f>IF(SalesTbl[[#This Row],[RowIdx]]&lt;=ROUNDUP(COUNTA(SalesTbl[Customer ID])*0.8,0),"Train","Test")</f>
        <v>Train</v>
      </c>
    </row>
    <row r="417" spans="1:20" x14ac:dyDescent="0.25">
      <c r="A417" t="s">
        <v>58</v>
      </c>
      <c r="B417" t="s">
        <v>20</v>
      </c>
      <c r="C417" t="s">
        <v>322</v>
      </c>
      <c r="D417" t="s">
        <v>25</v>
      </c>
      <c r="E417" t="s">
        <v>26</v>
      </c>
      <c r="F417">
        <v>64</v>
      </c>
      <c r="G417">
        <v>200</v>
      </c>
      <c r="H417">
        <v>5</v>
      </c>
      <c r="I417">
        <v>1000</v>
      </c>
      <c r="J417">
        <v>13.46</v>
      </c>
      <c r="K417" s="2">
        <v>45055</v>
      </c>
      <c r="L417" t="s">
        <v>317</v>
      </c>
      <c r="M417" s="6">
        <f>SalesTbl[[#This Row],[Unit Price]]*SalesTbl[[#This Row],[Quantity]]</f>
        <v>1000</v>
      </c>
      <c r="N417" s="6">
        <f>YEAR(SalesTbl[[#This Row],[Order Date]])</f>
        <v>2023</v>
      </c>
      <c r="O417" s="6" t="str">
        <f>TEXT(SalesTbl[[#This Row],[Order Date]],"yyyy-mm")</f>
        <v>2023-05</v>
      </c>
      <c r="P417" s="13">
        <f>WEEKNUM(SalesTbl[[#This Row],[Order Date]],2)</f>
        <v>20</v>
      </c>
      <c r="Q417" s="14">
        <f>MEDIAN(SalesTbl[Quantity])</f>
        <v>3</v>
      </c>
      <c r="R417" s="14">
        <f>IF(ISBLANK(SalesTbl[[#This Row],[Quantity]]),$H$2,SalesTbl[[#This Row],[Quantity]])</f>
        <v>5</v>
      </c>
      <c r="S417">
        <f>ROW()-ROW(SalesTbl[[#Headers],[Customer ID]])</f>
        <v>416</v>
      </c>
      <c r="T417" s="9" t="str">
        <f>IF(SalesTbl[[#This Row],[RowIdx]]&lt;=ROUNDUP(COUNTA(SalesTbl[Customer ID])*0.8,0),"Train","Test")</f>
        <v>Train</v>
      </c>
    </row>
    <row r="418" spans="1:20" x14ac:dyDescent="0.25">
      <c r="A418" t="s">
        <v>122</v>
      </c>
      <c r="B418" t="s">
        <v>20</v>
      </c>
      <c r="C418" t="s">
        <v>321</v>
      </c>
      <c r="D418" t="s">
        <v>14</v>
      </c>
      <c r="E418" t="s">
        <v>15</v>
      </c>
      <c r="F418">
        <v>19</v>
      </c>
      <c r="G418">
        <v>300</v>
      </c>
      <c r="H418">
        <v>5</v>
      </c>
      <c r="I418">
        <v>1500</v>
      </c>
      <c r="J418">
        <v>19.39</v>
      </c>
      <c r="K418" s="2">
        <v>45268</v>
      </c>
      <c r="L418" t="s">
        <v>316</v>
      </c>
      <c r="M418" s="6">
        <f>SalesTbl[[#This Row],[Unit Price]]*SalesTbl[[#This Row],[Quantity]]</f>
        <v>1500</v>
      </c>
      <c r="N418" s="6">
        <f>YEAR(SalesTbl[[#This Row],[Order Date]])</f>
        <v>2023</v>
      </c>
      <c r="O418" s="6" t="str">
        <f>TEXT(SalesTbl[[#This Row],[Order Date]],"yyyy-mm")</f>
        <v>2023-12</v>
      </c>
      <c r="P418" s="13">
        <f>WEEKNUM(SalesTbl[[#This Row],[Order Date]],2)</f>
        <v>50</v>
      </c>
      <c r="Q418" s="14">
        <f>MEDIAN(SalesTbl[Quantity])</f>
        <v>3</v>
      </c>
      <c r="R418" s="14">
        <f>IF(ISBLANK(SalesTbl[[#This Row],[Quantity]]),$H$2,SalesTbl[[#This Row],[Quantity]])</f>
        <v>5</v>
      </c>
      <c r="S418">
        <f>ROW()-ROW(SalesTbl[[#Headers],[Customer ID]])</f>
        <v>417</v>
      </c>
      <c r="T418" s="9" t="str">
        <f>IF(SalesTbl[[#This Row],[RowIdx]]&lt;=ROUNDUP(COUNTA(SalesTbl[Customer ID])*0.8,0),"Train","Test")</f>
        <v>Train</v>
      </c>
    </row>
    <row r="419" spans="1:20" x14ac:dyDescent="0.25">
      <c r="A419" t="s">
        <v>162</v>
      </c>
      <c r="B419" t="s">
        <v>13</v>
      </c>
      <c r="C419" t="s">
        <v>320</v>
      </c>
      <c r="D419" t="s">
        <v>17</v>
      </c>
      <c r="E419" t="s">
        <v>18</v>
      </c>
      <c r="F419">
        <v>62</v>
      </c>
      <c r="G419">
        <v>100</v>
      </c>
      <c r="H419">
        <v>2</v>
      </c>
      <c r="I419">
        <v>200</v>
      </c>
      <c r="J419">
        <v>5.13</v>
      </c>
      <c r="K419" s="2">
        <v>45231</v>
      </c>
      <c r="L419" t="s">
        <v>318</v>
      </c>
      <c r="M419" s="6">
        <f>SalesTbl[[#This Row],[Unit Price]]*SalesTbl[[#This Row],[Quantity]]</f>
        <v>200</v>
      </c>
      <c r="N419" s="6">
        <f>YEAR(SalesTbl[[#This Row],[Order Date]])</f>
        <v>2023</v>
      </c>
      <c r="O419" s="6" t="str">
        <f>TEXT(SalesTbl[[#This Row],[Order Date]],"yyyy-mm")</f>
        <v>2023-11</v>
      </c>
      <c r="P419" s="13">
        <f>WEEKNUM(SalesTbl[[#This Row],[Order Date]],2)</f>
        <v>45</v>
      </c>
      <c r="Q419" s="14">
        <f>MEDIAN(SalesTbl[Quantity])</f>
        <v>3</v>
      </c>
      <c r="R419" s="14">
        <f>IF(ISBLANK(SalesTbl[[#This Row],[Quantity]]),$H$2,SalesTbl[[#This Row],[Quantity]])</f>
        <v>2</v>
      </c>
      <c r="S419">
        <f>ROW()-ROW(SalesTbl[[#Headers],[Customer ID]])</f>
        <v>418</v>
      </c>
      <c r="T419" s="9" t="str">
        <f>IF(SalesTbl[[#This Row],[RowIdx]]&lt;=ROUNDUP(COUNTA(SalesTbl[Customer ID])*0.8,0),"Train","Test")</f>
        <v>Train</v>
      </c>
    </row>
    <row r="420" spans="1:20" x14ac:dyDescent="0.25">
      <c r="A420" t="s">
        <v>165</v>
      </c>
      <c r="B420" t="s">
        <v>13</v>
      </c>
      <c r="C420" t="s">
        <v>323</v>
      </c>
      <c r="D420" t="s">
        <v>30</v>
      </c>
      <c r="E420" t="s">
        <v>18</v>
      </c>
      <c r="F420">
        <v>66</v>
      </c>
      <c r="G420">
        <v>30</v>
      </c>
      <c r="H420">
        <v>2</v>
      </c>
      <c r="I420">
        <v>60</v>
      </c>
      <c r="J420">
        <v>6.23</v>
      </c>
      <c r="K420" s="2">
        <v>45088</v>
      </c>
      <c r="L420" t="s">
        <v>317</v>
      </c>
      <c r="M420" s="6">
        <f>SalesTbl[[#This Row],[Unit Price]]*SalesTbl[[#This Row],[Quantity]]</f>
        <v>60</v>
      </c>
      <c r="N420" s="6">
        <f>YEAR(SalesTbl[[#This Row],[Order Date]])</f>
        <v>2023</v>
      </c>
      <c r="O420" s="6" t="str">
        <f>TEXT(SalesTbl[[#This Row],[Order Date]],"yyyy-mm")</f>
        <v>2023-06</v>
      </c>
      <c r="P420" s="13">
        <f>WEEKNUM(SalesTbl[[#This Row],[Order Date]],2)</f>
        <v>24</v>
      </c>
      <c r="Q420" s="14">
        <f>MEDIAN(SalesTbl[Quantity])</f>
        <v>3</v>
      </c>
      <c r="R420" s="14">
        <f>IF(ISBLANK(SalesTbl[[#This Row],[Quantity]]),$H$2,SalesTbl[[#This Row],[Quantity]])</f>
        <v>2</v>
      </c>
      <c r="S420">
        <f>ROW()-ROW(SalesTbl[[#Headers],[Customer ID]])</f>
        <v>419</v>
      </c>
      <c r="T420" s="9" t="str">
        <f>IF(SalesTbl[[#This Row],[RowIdx]]&lt;=ROUNDUP(COUNTA(SalesTbl[Customer ID])*0.8,0),"Train","Test")</f>
        <v>Train</v>
      </c>
    </row>
    <row r="421" spans="1:20" x14ac:dyDescent="0.25">
      <c r="A421" t="s">
        <v>217</v>
      </c>
      <c r="B421" t="s">
        <v>20</v>
      </c>
      <c r="C421" t="s">
        <v>322</v>
      </c>
      <c r="D421" t="s">
        <v>25</v>
      </c>
      <c r="E421" t="s">
        <v>26</v>
      </c>
      <c r="F421">
        <v>69</v>
      </c>
      <c r="G421">
        <v>200</v>
      </c>
      <c r="H421">
        <v>4</v>
      </c>
      <c r="I421">
        <v>800</v>
      </c>
      <c r="J421">
        <v>12.26</v>
      </c>
      <c r="K421" s="2">
        <v>45208</v>
      </c>
      <c r="L421" t="s">
        <v>317</v>
      </c>
      <c r="M421" s="6">
        <f>SalesTbl[[#This Row],[Unit Price]]*SalesTbl[[#This Row],[Quantity]]</f>
        <v>800</v>
      </c>
      <c r="N421" s="6">
        <f>YEAR(SalesTbl[[#This Row],[Order Date]])</f>
        <v>2023</v>
      </c>
      <c r="O421" s="6" t="str">
        <f>TEXT(SalesTbl[[#This Row],[Order Date]],"yyyy-mm")</f>
        <v>2023-10</v>
      </c>
      <c r="P421" s="13">
        <f>WEEKNUM(SalesTbl[[#This Row],[Order Date]],2)</f>
        <v>42</v>
      </c>
      <c r="Q421" s="14">
        <f>MEDIAN(SalesTbl[Quantity])</f>
        <v>3</v>
      </c>
      <c r="R421" s="14">
        <f>IF(ISBLANK(SalesTbl[[#This Row],[Quantity]]),$H$2,SalesTbl[[#This Row],[Quantity]])</f>
        <v>4</v>
      </c>
      <c r="S421">
        <f>ROW()-ROW(SalesTbl[[#Headers],[Customer ID]])</f>
        <v>420</v>
      </c>
      <c r="T421" s="9" t="str">
        <f>IF(SalesTbl[[#This Row],[RowIdx]]&lt;=ROUNDUP(COUNTA(SalesTbl[Customer ID])*0.8,0),"Train","Test")</f>
        <v>Train</v>
      </c>
    </row>
    <row r="422" spans="1:20" x14ac:dyDescent="0.25">
      <c r="A422" t="s">
        <v>140</v>
      </c>
      <c r="B422" t="s">
        <v>20</v>
      </c>
      <c r="C422" t="s">
        <v>323</v>
      </c>
      <c r="D422" t="s">
        <v>23</v>
      </c>
      <c r="E422" t="s">
        <v>15</v>
      </c>
      <c r="F422">
        <v>66</v>
      </c>
      <c r="G422">
        <v>1500</v>
      </c>
      <c r="H422">
        <v>4</v>
      </c>
      <c r="I422">
        <v>6000</v>
      </c>
      <c r="J422">
        <v>16.920000000000002</v>
      </c>
      <c r="K422" s="2">
        <v>45192</v>
      </c>
      <c r="L422" t="s">
        <v>317</v>
      </c>
      <c r="M422" s="6">
        <f>SalesTbl[[#This Row],[Unit Price]]*SalesTbl[[#This Row],[Quantity]]</f>
        <v>6000</v>
      </c>
      <c r="N422" s="6">
        <f>YEAR(SalesTbl[[#This Row],[Order Date]])</f>
        <v>2023</v>
      </c>
      <c r="O422" s="6" t="str">
        <f>TEXT(SalesTbl[[#This Row],[Order Date]],"yyyy-mm")</f>
        <v>2023-09</v>
      </c>
      <c r="P422" s="13">
        <f>WEEKNUM(SalesTbl[[#This Row],[Order Date]],2)</f>
        <v>39</v>
      </c>
      <c r="Q422" s="14">
        <f>MEDIAN(SalesTbl[Quantity])</f>
        <v>3</v>
      </c>
      <c r="R422" s="14">
        <f>IF(ISBLANK(SalesTbl[[#This Row],[Quantity]]),$H$2,SalesTbl[[#This Row],[Quantity]])</f>
        <v>4</v>
      </c>
      <c r="S422">
        <f>ROW()-ROW(SalesTbl[[#Headers],[Customer ID]])</f>
        <v>421</v>
      </c>
      <c r="T422" s="9" t="str">
        <f>IF(SalesTbl[[#This Row],[RowIdx]]&lt;=ROUNDUP(COUNTA(SalesTbl[Customer ID])*0.8,0),"Train","Test")</f>
        <v>Train</v>
      </c>
    </row>
    <row r="423" spans="1:20" x14ac:dyDescent="0.25">
      <c r="A423" t="s">
        <v>246</v>
      </c>
      <c r="B423" t="s">
        <v>20</v>
      </c>
      <c r="C423" t="s">
        <v>321</v>
      </c>
      <c r="D423" t="s">
        <v>40</v>
      </c>
      <c r="E423" t="s">
        <v>15</v>
      </c>
      <c r="F423">
        <v>54</v>
      </c>
      <c r="G423">
        <v>1658.43232665954</v>
      </c>
      <c r="H423">
        <v>2</v>
      </c>
      <c r="I423">
        <v>1600</v>
      </c>
      <c r="J423">
        <v>15.8</v>
      </c>
      <c r="K423" s="2">
        <v>45022</v>
      </c>
      <c r="L423" t="s">
        <v>317</v>
      </c>
      <c r="M423" s="6">
        <f>SalesTbl[[#This Row],[Unit Price]]*SalesTbl[[#This Row],[Quantity]]</f>
        <v>3316.8646533190799</v>
      </c>
      <c r="N423" s="6">
        <f>YEAR(SalesTbl[[#This Row],[Order Date]])</f>
        <v>2023</v>
      </c>
      <c r="O423" s="6" t="str">
        <f>TEXT(SalesTbl[[#This Row],[Order Date]],"yyyy-mm")</f>
        <v>2023-04</v>
      </c>
      <c r="P423" s="13">
        <f>WEEKNUM(SalesTbl[[#This Row],[Order Date]],2)</f>
        <v>15</v>
      </c>
      <c r="Q423" s="14">
        <f>MEDIAN(SalesTbl[Quantity])</f>
        <v>3</v>
      </c>
      <c r="R423" s="14">
        <f>IF(ISBLANK(SalesTbl[[#This Row],[Quantity]]),$H$2,SalesTbl[[#This Row],[Quantity]])</f>
        <v>2</v>
      </c>
      <c r="S423">
        <f>ROW()-ROW(SalesTbl[[#Headers],[Customer ID]])</f>
        <v>422</v>
      </c>
      <c r="T423" s="9" t="str">
        <f>IF(SalesTbl[[#This Row],[RowIdx]]&lt;=ROUNDUP(COUNTA(SalesTbl[Customer ID])*0.8,0),"Train","Test")</f>
        <v>Train</v>
      </c>
    </row>
    <row r="424" spans="1:20" x14ac:dyDescent="0.25">
      <c r="A424" t="s">
        <v>41</v>
      </c>
      <c r="B424" t="s">
        <v>13</v>
      </c>
      <c r="C424" t="s">
        <v>322</v>
      </c>
      <c r="D424" t="s">
        <v>23</v>
      </c>
      <c r="E424" t="s">
        <v>15</v>
      </c>
      <c r="F424">
        <v>32</v>
      </c>
      <c r="G424">
        <v>1500</v>
      </c>
      <c r="H424">
        <v>3</v>
      </c>
      <c r="I424">
        <v>4500</v>
      </c>
      <c r="J424">
        <v>8.5299999999999994</v>
      </c>
      <c r="K424" s="2">
        <v>45247</v>
      </c>
      <c r="L424" t="s">
        <v>316</v>
      </c>
      <c r="M424" s="6">
        <f>SalesTbl[[#This Row],[Unit Price]]*SalesTbl[[#This Row],[Quantity]]</f>
        <v>4500</v>
      </c>
      <c r="N424" s="6">
        <f>YEAR(SalesTbl[[#This Row],[Order Date]])</f>
        <v>2023</v>
      </c>
      <c r="O424" s="6" t="str">
        <f>TEXT(SalesTbl[[#This Row],[Order Date]],"yyyy-mm")</f>
        <v>2023-11</v>
      </c>
      <c r="P424" s="13">
        <f>WEEKNUM(SalesTbl[[#This Row],[Order Date]],2)</f>
        <v>47</v>
      </c>
      <c r="Q424" s="14">
        <f>MEDIAN(SalesTbl[Quantity])</f>
        <v>3</v>
      </c>
      <c r="R424" s="14">
        <f>IF(ISBLANK(SalesTbl[[#This Row],[Quantity]]),$H$2,SalesTbl[[#This Row],[Quantity]])</f>
        <v>3</v>
      </c>
      <c r="S424">
        <f>ROW()-ROW(SalesTbl[[#Headers],[Customer ID]])</f>
        <v>423</v>
      </c>
      <c r="T424" s="9" t="str">
        <f>IF(SalesTbl[[#This Row],[RowIdx]]&lt;=ROUNDUP(COUNTA(SalesTbl[Customer ID])*0.8,0),"Train","Test")</f>
        <v>Train</v>
      </c>
    </row>
    <row r="425" spans="1:20" x14ac:dyDescent="0.25">
      <c r="A425" t="s">
        <v>127</v>
      </c>
      <c r="B425" t="s">
        <v>20</v>
      </c>
      <c r="C425" t="s">
        <v>323</v>
      </c>
      <c r="D425" t="s">
        <v>14</v>
      </c>
      <c r="E425" t="s">
        <v>15</v>
      </c>
      <c r="F425">
        <v>38</v>
      </c>
      <c r="G425">
        <v>300</v>
      </c>
      <c r="H425">
        <v>1</v>
      </c>
      <c r="I425">
        <v>300</v>
      </c>
      <c r="J425">
        <v>7.57</v>
      </c>
      <c r="K425" s="2">
        <v>44964</v>
      </c>
      <c r="L425" t="s">
        <v>318</v>
      </c>
      <c r="M425" s="6">
        <f>SalesTbl[[#This Row],[Unit Price]]*SalesTbl[[#This Row],[Quantity]]</f>
        <v>300</v>
      </c>
      <c r="N425" s="6">
        <f>YEAR(SalesTbl[[#This Row],[Order Date]])</f>
        <v>2023</v>
      </c>
      <c r="O425" s="6" t="str">
        <f>TEXT(SalesTbl[[#This Row],[Order Date]],"yyyy-mm")</f>
        <v>2023-02</v>
      </c>
      <c r="P425" s="13">
        <f>WEEKNUM(SalesTbl[[#This Row],[Order Date]],2)</f>
        <v>7</v>
      </c>
      <c r="Q425" s="14">
        <f>MEDIAN(SalesTbl[Quantity])</f>
        <v>3</v>
      </c>
      <c r="R425" s="14">
        <f>IF(ISBLANK(SalesTbl[[#This Row],[Quantity]]),$H$2,SalesTbl[[#This Row],[Quantity]])</f>
        <v>1</v>
      </c>
      <c r="S425">
        <f>ROW()-ROW(SalesTbl[[#Headers],[Customer ID]])</f>
        <v>424</v>
      </c>
      <c r="T425" s="9" t="str">
        <f>IF(SalesTbl[[#This Row],[RowIdx]]&lt;=ROUNDUP(COUNTA(SalesTbl[Customer ID])*0.8,0),"Train","Test")</f>
        <v>Train</v>
      </c>
    </row>
    <row r="426" spans="1:20" x14ac:dyDescent="0.25">
      <c r="A426" t="s">
        <v>247</v>
      </c>
      <c r="B426" t="s">
        <v>20</v>
      </c>
      <c r="C426" t="s">
        <v>319</v>
      </c>
      <c r="D426" t="s">
        <v>17</v>
      </c>
      <c r="E426" t="s">
        <v>18</v>
      </c>
      <c r="F426">
        <v>37</v>
      </c>
      <c r="G426">
        <v>100</v>
      </c>
      <c r="H426">
        <v>3</v>
      </c>
      <c r="I426">
        <v>300</v>
      </c>
      <c r="J426">
        <v>5.29</v>
      </c>
      <c r="K426" s="2">
        <v>45199</v>
      </c>
      <c r="L426" t="s">
        <v>316</v>
      </c>
      <c r="M426" s="6">
        <f>SalesTbl[[#This Row],[Unit Price]]*SalesTbl[[#This Row],[Quantity]]</f>
        <v>300</v>
      </c>
      <c r="N426" s="6">
        <f>YEAR(SalesTbl[[#This Row],[Order Date]])</f>
        <v>2023</v>
      </c>
      <c r="O426" s="6" t="str">
        <f>TEXT(SalesTbl[[#This Row],[Order Date]],"yyyy-mm")</f>
        <v>2023-09</v>
      </c>
      <c r="P426" s="13">
        <f>WEEKNUM(SalesTbl[[#This Row],[Order Date]],2)</f>
        <v>40</v>
      </c>
      <c r="Q426" s="14">
        <f>MEDIAN(SalesTbl[Quantity])</f>
        <v>3</v>
      </c>
      <c r="R426" s="14">
        <f>IF(ISBLANK(SalesTbl[[#This Row],[Quantity]]),$H$2,SalesTbl[[#This Row],[Quantity]])</f>
        <v>3</v>
      </c>
      <c r="S426">
        <f>ROW()-ROW(SalesTbl[[#Headers],[Customer ID]])</f>
        <v>425</v>
      </c>
      <c r="T426" s="9" t="str">
        <f>IF(SalesTbl[[#This Row],[RowIdx]]&lt;=ROUNDUP(COUNTA(SalesTbl[Customer ID])*0.8,0),"Train","Test")</f>
        <v>Train</v>
      </c>
    </row>
    <row r="427" spans="1:20" x14ac:dyDescent="0.25">
      <c r="A427" t="s">
        <v>67</v>
      </c>
      <c r="B427" t="s">
        <v>20</v>
      </c>
      <c r="C427" t="s">
        <v>321</v>
      </c>
      <c r="D427" t="s">
        <v>25</v>
      </c>
      <c r="E427" t="s">
        <v>26</v>
      </c>
      <c r="F427">
        <v>68</v>
      </c>
      <c r="G427">
        <v>200</v>
      </c>
      <c r="H427">
        <v>3</v>
      </c>
      <c r="I427">
        <v>600</v>
      </c>
      <c r="J427">
        <v>5.65</v>
      </c>
      <c r="K427" s="2">
        <v>45156</v>
      </c>
      <c r="L427" t="s">
        <v>317</v>
      </c>
      <c r="M427" s="6">
        <f>SalesTbl[[#This Row],[Unit Price]]*SalesTbl[[#This Row],[Quantity]]</f>
        <v>600</v>
      </c>
      <c r="N427" s="6">
        <f>YEAR(SalesTbl[[#This Row],[Order Date]])</f>
        <v>2023</v>
      </c>
      <c r="O427" s="6" t="str">
        <f>TEXT(SalesTbl[[#This Row],[Order Date]],"yyyy-mm")</f>
        <v>2023-08</v>
      </c>
      <c r="P427" s="13">
        <f>WEEKNUM(SalesTbl[[#This Row],[Order Date]],2)</f>
        <v>34</v>
      </c>
      <c r="Q427" s="14">
        <f>MEDIAN(SalesTbl[Quantity])</f>
        <v>3</v>
      </c>
      <c r="R427" s="14">
        <f>IF(ISBLANK(SalesTbl[[#This Row],[Quantity]]),$H$2,SalesTbl[[#This Row],[Quantity]])</f>
        <v>3</v>
      </c>
      <c r="S427">
        <f>ROW()-ROW(SalesTbl[[#Headers],[Customer ID]])</f>
        <v>426</v>
      </c>
      <c r="T427" s="9" t="str">
        <f>IF(SalesTbl[[#This Row],[RowIdx]]&lt;=ROUNDUP(COUNTA(SalesTbl[Customer ID])*0.8,0),"Train","Test")</f>
        <v>Train</v>
      </c>
    </row>
    <row r="428" spans="1:20" x14ac:dyDescent="0.25">
      <c r="A428" t="s">
        <v>171</v>
      </c>
      <c r="B428" t="s">
        <v>20</v>
      </c>
      <c r="C428" t="s">
        <v>323</v>
      </c>
      <c r="D428" t="s">
        <v>25</v>
      </c>
      <c r="E428" t="s">
        <v>26</v>
      </c>
      <c r="F428">
        <v>55</v>
      </c>
      <c r="G428">
        <v>200</v>
      </c>
      <c r="H428">
        <v>5</v>
      </c>
      <c r="I428">
        <v>1000</v>
      </c>
      <c r="J428">
        <v>18.29</v>
      </c>
      <c r="K428" s="2">
        <v>44936</v>
      </c>
      <c r="L428" t="s">
        <v>318</v>
      </c>
      <c r="M428" s="6">
        <f>SalesTbl[[#This Row],[Unit Price]]*SalesTbl[[#This Row],[Quantity]]</f>
        <v>1000</v>
      </c>
      <c r="N428" s="6">
        <f>YEAR(SalesTbl[[#This Row],[Order Date]])</f>
        <v>2023</v>
      </c>
      <c r="O428" s="6" t="str">
        <f>TEXT(SalesTbl[[#This Row],[Order Date]],"yyyy-mm")</f>
        <v>2023-01</v>
      </c>
      <c r="P428" s="13">
        <f>WEEKNUM(SalesTbl[[#This Row],[Order Date]],2)</f>
        <v>3</v>
      </c>
      <c r="Q428" s="14">
        <f>MEDIAN(SalesTbl[Quantity])</f>
        <v>3</v>
      </c>
      <c r="R428" s="14">
        <f>IF(ISBLANK(SalesTbl[[#This Row],[Quantity]]),$H$2,SalesTbl[[#This Row],[Quantity]])</f>
        <v>5</v>
      </c>
      <c r="S428">
        <f>ROW()-ROW(SalesTbl[[#Headers],[Customer ID]])</f>
        <v>427</v>
      </c>
      <c r="T428" s="9" t="str">
        <f>IF(SalesTbl[[#This Row],[RowIdx]]&lt;=ROUNDUP(COUNTA(SalesTbl[Customer ID])*0.8,0),"Train","Test")</f>
        <v>Train</v>
      </c>
    </row>
    <row r="429" spans="1:20" x14ac:dyDescent="0.25">
      <c r="A429" t="s">
        <v>248</v>
      </c>
      <c r="B429" t="s">
        <v>13</v>
      </c>
      <c r="C429" t="s">
        <v>322</v>
      </c>
      <c r="D429" t="s">
        <v>14</v>
      </c>
      <c r="E429" t="s">
        <v>15</v>
      </c>
      <c r="F429">
        <v>50</v>
      </c>
      <c r="G429">
        <v>300</v>
      </c>
      <c r="H429">
        <v>3</v>
      </c>
      <c r="I429">
        <v>900</v>
      </c>
      <c r="J429">
        <v>11.22</v>
      </c>
      <c r="K429" s="2">
        <v>45001</v>
      </c>
      <c r="L429" t="s">
        <v>317</v>
      </c>
      <c r="M429" s="6">
        <f>SalesTbl[[#This Row],[Unit Price]]*SalesTbl[[#This Row],[Quantity]]</f>
        <v>900</v>
      </c>
      <c r="N429" s="6">
        <f>YEAR(SalesTbl[[#This Row],[Order Date]])</f>
        <v>2023</v>
      </c>
      <c r="O429" s="6" t="str">
        <f>TEXT(SalesTbl[[#This Row],[Order Date]],"yyyy-mm")</f>
        <v>2023-03</v>
      </c>
      <c r="P429" s="13">
        <f>WEEKNUM(SalesTbl[[#This Row],[Order Date]],2)</f>
        <v>12</v>
      </c>
      <c r="Q429" s="14">
        <f>MEDIAN(SalesTbl[Quantity])</f>
        <v>3</v>
      </c>
      <c r="R429" s="14">
        <f>IF(ISBLANK(SalesTbl[[#This Row],[Quantity]]),$H$2,SalesTbl[[#This Row],[Quantity]])</f>
        <v>3</v>
      </c>
      <c r="S429">
        <f>ROW()-ROW(SalesTbl[[#Headers],[Customer ID]])</f>
        <v>428</v>
      </c>
      <c r="T429" s="9" t="str">
        <f>IF(SalesTbl[[#This Row],[RowIdx]]&lt;=ROUNDUP(COUNTA(SalesTbl[Customer ID])*0.8,0),"Train","Test")</f>
        <v>Train</v>
      </c>
    </row>
    <row r="430" spans="1:20" x14ac:dyDescent="0.25">
      <c r="A430" t="s">
        <v>109</v>
      </c>
      <c r="B430" t="s">
        <v>20</v>
      </c>
      <c r="C430" t="s">
        <v>319</v>
      </c>
      <c r="D430" t="s">
        <v>14</v>
      </c>
      <c r="E430" t="s">
        <v>15</v>
      </c>
      <c r="F430">
        <v>57</v>
      </c>
      <c r="G430">
        <v>300</v>
      </c>
      <c r="H430">
        <v>2</v>
      </c>
      <c r="I430">
        <v>600</v>
      </c>
      <c r="J430">
        <v>15.59</v>
      </c>
      <c r="K430" s="2">
        <v>45171</v>
      </c>
      <c r="L430" t="s">
        <v>316</v>
      </c>
      <c r="M430" s="6">
        <f>SalesTbl[[#This Row],[Unit Price]]*SalesTbl[[#This Row],[Quantity]]</f>
        <v>600</v>
      </c>
      <c r="N430" s="6">
        <f>YEAR(SalesTbl[[#This Row],[Order Date]])</f>
        <v>2023</v>
      </c>
      <c r="O430" s="6" t="str">
        <f>TEXT(SalesTbl[[#This Row],[Order Date]],"yyyy-mm")</f>
        <v>2023-09</v>
      </c>
      <c r="P430" s="13">
        <f>WEEKNUM(SalesTbl[[#This Row],[Order Date]],2)</f>
        <v>36</v>
      </c>
      <c r="Q430" s="14">
        <f>MEDIAN(SalesTbl[Quantity])</f>
        <v>3</v>
      </c>
      <c r="R430" s="14">
        <f>IF(ISBLANK(SalesTbl[[#This Row],[Quantity]]),$H$2,SalesTbl[[#This Row],[Quantity]])</f>
        <v>2</v>
      </c>
      <c r="S430">
        <f>ROW()-ROW(SalesTbl[[#Headers],[Customer ID]])</f>
        <v>429</v>
      </c>
      <c r="T430" s="9" t="str">
        <f>IF(SalesTbl[[#This Row],[RowIdx]]&lt;=ROUNDUP(COUNTA(SalesTbl[Customer ID])*0.8,0),"Train","Test")</f>
        <v>Train</v>
      </c>
    </row>
    <row r="431" spans="1:20" x14ac:dyDescent="0.25">
      <c r="A431" t="s">
        <v>79</v>
      </c>
      <c r="B431" t="s">
        <v>20</v>
      </c>
      <c r="C431" t="s">
        <v>323</v>
      </c>
      <c r="D431" t="s">
        <v>25</v>
      </c>
      <c r="E431" t="s">
        <v>26</v>
      </c>
      <c r="F431">
        <v>49</v>
      </c>
      <c r="G431">
        <v>200</v>
      </c>
      <c r="H431">
        <v>3</v>
      </c>
      <c r="I431">
        <v>600</v>
      </c>
      <c r="J431">
        <v>13.94</v>
      </c>
      <c r="K431" s="2">
        <v>45023</v>
      </c>
      <c r="L431" t="s">
        <v>318</v>
      </c>
      <c r="M431" s="6">
        <f>SalesTbl[[#This Row],[Unit Price]]*SalesTbl[[#This Row],[Quantity]]</f>
        <v>600</v>
      </c>
      <c r="N431" s="6">
        <f>YEAR(SalesTbl[[#This Row],[Order Date]])</f>
        <v>2023</v>
      </c>
      <c r="O431" s="6" t="str">
        <f>TEXT(SalesTbl[[#This Row],[Order Date]],"yyyy-mm")</f>
        <v>2023-04</v>
      </c>
      <c r="P431" s="13">
        <f>WEEKNUM(SalesTbl[[#This Row],[Order Date]],2)</f>
        <v>15</v>
      </c>
      <c r="Q431" s="14">
        <f>MEDIAN(SalesTbl[Quantity])</f>
        <v>3</v>
      </c>
      <c r="R431" s="14">
        <f>IF(ISBLANK(SalesTbl[[#This Row],[Quantity]]),$H$2,SalesTbl[[#This Row],[Quantity]])</f>
        <v>3</v>
      </c>
      <c r="S431">
        <f>ROW()-ROW(SalesTbl[[#Headers],[Customer ID]])</f>
        <v>430</v>
      </c>
      <c r="T431" s="9" t="str">
        <f>IF(SalesTbl[[#This Row],[RowIdx]]&lt;=ROUNDUP(COUNTA(SalesTbl[Customer ID])*0.8,0),"Train","Test")</f>
        <v>Train</v>
      </c>
    </row>
    <row r="432" spans="1:20" x14ac:dyDescent="0.25">
      <c r="A432" t="s">
        <v>54</v>
      </c>
      <c r="B432" t="s">
        <v>20</v>
      </c>
      <c r="C432" t="s">
        <v>320</v>
      </c>
      <c r="D432" t="s">
        <v>14</v>
      </c>
      <c r="E432" t="s">
        <v>15</v>
      </c>
      <c r="F432">
        <v>53</v>
      </c>
      <c r="G432">
        <v>300</v>
      </c>
      <c r="H432">
        <v>1</v>
      </c>
      <c r="I432">
        <v>300</v>
      </c>
      <c r="J432">
        <v>16.32</v>
      </c>
      <c r="K432" s="2">
        <v>45154</v>
      </c>
      <c r="L432" t="s">
        <v>318</v>
      </c>
      <c r="M432" s="6">
        <f>SalesTbl[[#This Row],[Unit Price]]*SalesTbl[[#This Row],[Quantity]]</f>
        <v>300</v>
      </c>
      <c r="N432" s="6">
        <f>YEAR(SalesTbl[[#This Row],[Order Date]])</f>
        <v>2023</v>
      </c>
      <c r="O432" s="6" t="str">
        <f>TEXT(SalesTbl[[#This Row],[Order Date]],"yyyy-mm")</f>
        <v>2023-08</v>
      </c>
      <c r="P432" s="13">
        <f>WEEKNUM(SalesTbl[[#This Row],[Order Date]],2)</f>
        <v>34</v>
      </c>
      <c r="Q432" s="14">
        <f>MEDIAN(SalesTbl[Quantity])</f>
        <v>3</v>
      </c>
      <c r="R432" s="14">
        <f>IF(ISBLANK(SalesTbl[[#This Row],[Quantity]]),$H$2,SalesTbl[[#This Row],[Quantity]])</f>
        <v>1</v>
      </c>
      <c r="S432">
        <f>ROW()-ROW(SalesTbl[[#Headers],[Customer ID]])</f>
        <v>431</v>
      </c>
      <c r="T432" s="9" t="str">
        <f>IF(SalesTbl[[#This Row],[RowIdx]]&lt;=ROUNDUP(COUNTA(SalesTbl[Customer ID])*0.8,0),"Train","Test")</f>
        <v>Train</v>
      </c>
    </row>
    <row r="433" spans="1:20" x14ac:dyDescent="0.25">
      <c r="A433" t="s">
        <v>57</v>
      </c>
      <c r="B433" t="s">
        <v>20</v>
      </c>
      <c r="C433" t="s">
        <v>321</v>
      </c>
      <c r="D433" t="s">
        <v>17</v>
      </c>
      <c r="E433" t="s">
        <v>18</v>
      </c>
      <c r="F433">
        <v>41</v>
      </c>
      <c r="G433">
        <v>100</v>
      </c>
      <c r="H433">
        <v>5</v>
      </c>
      <c r="I433">
        <v>500</v>
      </c>
      <c r="J433">
        <v>18.059999999999999</v>
      </c>
      <c r="K433" s="2">
        <v>45000</v>
      </c>
      <c r="L433" t="s">
        <v>318</v>
      </c>
      <c r="M433" s="6">
        <f>SalesTbl[[#This Row],[Unit Price]]*SalesTbl[[#This Row],[Quantity]]</f>
        <v>500</v>
      </c>
      <c r="N433" s="6">
        <f>YEAR(SalesTbl[[#This Row],[Order Date]])</f>
        <v>2023</v>
      </c>
      <c r="O433" s="6" t="str">
        <f>TEXT(SalesTbl[[#This Row],[Order Date]],"yyyy-mm")</f>
        <v>2023-03</v>
      </c>
      <c r="P433" s="13">
        <f>WEEKNUM(SalesTbl[[#This Row],[Order Date]],2)</f>
        <v>12</v>
      </c>
      <c r="Q433" s="14">
        <f>MEDIAN(SalesTbl[Quantity])</f>
        <v>3</v>
      </c>
      <c r="R433" s="14">
        <f>IF(ISBLANK(SalesTbl[[#This Row],[Quantity]]),$H$2,SalesTbl[[#This Row],[Quantity]])</f>
        <v>5</v>
      </c>
      <c r="S433">
        <f>ROW()-ROW(SalesTbl[[#Headers],[Customer ID]])</f>
        <v>432</v>
      </c>
      <c r="T433" s="9" t="str">
        <f>IF(SalesTbl[[#This Row],[RowIdx]]&lt;=ROUNDUP(COUNTA(SalesTbl[Customer ID])*0.8,0),"Train","Test")</f>
        <v>Train</v>
      </c>
    </row>
    <row r="434" spans="1:20" x14ac:dyDescent="0.25">
      <c r="A434" t="s">
        <v>16</v>
      </c>
      <c r="B434" t="s">
        <v>20</v>
      </c>
      <c r="C434" t="s">
        <v>320</v>
      </c>
      <c r="D434" t="s">
        <v>30</v>
      </c>
      <c r="E434" t="s">
        <v>18</v>
      </c>
      <c r="F434">
        <v>22</v>
      </c>
      <c r="G434">
        <v>30</v>
      </c>
      <c r="H434">
        <v>1</v>
      </c>
      <c r="I434">
        <v>30</v>
      </c>
      <c r="J434">
        <v>8.9600000000000009</v>
      </c>
      <c r="K434" s="2">
        <v>44988</v>
      </c>
      <c r="L434" t="s">
        <v>316</v>
      </c>
      <c r="M434" s="6">
        <f>SalesTbl[[#This Row],[Unit Price]]*SalesTbl[[#This Row],[Quantity]]</f>
        <v>30</v>
      </c>
      <c r="N434" s="6">
        <f>YEAR(SalesTbl[[#This Row],[Order Date]])</f>
        <v>2023</v>
      </c>
      <c r="O434" s="6" t="str">
        <f>TEXT(SalesTbl[[#This Row],[Order Date]],"yyyy-mm")</f>
        <v>2023-03</v>
      </c>
      <c r="P434" s="13">
        <f>WEEKNUM(SalesTbl[[#This Row],[Order Date]],2)</f>
        <v>10</v>
      </c>
      <c r="Q434" s="14">
        <f>MEDIAN(SalesTbl[Quantity])</f>
        <v>3</v>
      </c>
      <c r="R434" s="14">
        <f>IF(ISBLANK(SalesTbl[[#This Row],[Quantity]]),$H$2,SalesTbl[[#This Row],[Quantity]])</f>
        <v>1</v>
      </c>
      <c r="S434">
        <f>ROW()-ROW(SalesTbl[[#Headers],[Customer ID]])</f>
        <v>433</v>
      </c>
      <c r="T434" s="9" t="str">
        <f>IF(SalesTbl[[#This Row],[RowIdx]]&lt;=ROUNDUP(COUNTA(SalesTbl[Customer ID])*0.8,0),"Train","Test")</f>
        <v>Train</v>
      </c>
    </row>
    <row r="435" spans="1:20" x14ac:dyDescent="0.25">
      <c r="A435" t="s">
        <v>200</v>
      </c>
      <c r="B435" t="s">
        <v>13</v>
      </c>
      <c r="C435" t="s">
        <v>322</v>
      </c>
      <c r="D435" t="s">
        <v>25</v>
      </c>
      <c r="E435" t="s">
        <v>26</v>
      </c>
      <c r="F435">
        <v>44</v>
      </c>
      <c r="G435">
        <v>200</v>
      </c>
      <c r="H435">
        <v>4</v>
      </c>
      <c r="I435">
        <v>800</v>
      </c>
      <c r="J435">
        <v>6.43</v>
      </c>
      <c r="K435" s="2">
        <v>44988</v>
      </c>
      <c r="L435" t="s">
        <v>319</v>
      </c>
      <c r="M435" s="6">
        <f>SalesTbl[[#This Row],[Unit Price]]*SalesTbl[[#This Row],[Quantity]]</f>
        <v>800</v>
      </c>
      <c r="N435" s="6">
        <f>YEAR(SalesTbl[[#This Row],[Order Date]])</f>
        <v>2023</v>
      </c>
      <c r="O435" s="6" t="str">
        <f>TEXT(SalesTbl[[#This Row],[Order Date]],"yyyy-mm")</f>
        <v>2023-03</v>
      </c>
      <c r="P435" s="13">
        <f>WEEKNUM(SalesTbl[[#This Row],[Order Date]],2)</f>
        <v>10</v>
      </c>
      <c r="Q435" s="14">
        <f>MEDIAN(SalesTbl[Quantity])</f>
        <v>3</v>
      </c>
      <c r="R435" s="14">
        <f>IF(ISBLANK(SalesTbl[[#This Row],[Quantity]]),$H$2,SalesTbl[[#This Row],[Quantity]])</f>
        <v>4</v>
      </c>
      <c r="S435">
        <f>ROW()-ROW(SalesTbl[[#Headers],[Customer ID]])</f>
        <v>434</v>
      </c>
      <c r="T435" s="9" t="str">
        <f>IF(SalesTbl[[#This Row],[RowIdx]]&lt;=ROUNDUP(COUNTA(SalesTbl[Customer ID])*0.8,0),"Train","Test")</f>
        <v>Train</v>
      </c>
    </row>
    <row r="436" spans="1:20" x14ac:dyDescent="0.25">
      <c r="A436" t="s">
        <v>192</v>
      </c>
      <c r="B436" t="s">
        <v>13</v>
      </c>
      <c r="C436" t="s">
        <v>322</v>
      </c>
      <c r="D436" t="s">
        <v>17</v>
      </c>
      <c r="E436" t="s">
        <v>18</v>
      </c>
      <c r="F436">
        <v>28</v>
      </c>
      <c r="G436">
        <v>100</v>
      </c>
      <c r="H436">
        <v>3</v>
      </c>
      <c r="I436">
        <v>300</v>
      </c>
      <c r="J436">
        <v>17.16</v>
      </c>
      <c r="K436" s="2">
        <v>45148</v>
      </c>
      <c r="L436" t="s">
        <v>316</v>
      </c>
      <c r="M436" s="6">
        <f>SalesTbl[[#This Row],[Unit Price]]*SalesTbl[[#This Row],[Quantity]]</f>
        <v>300</v>
      </c>
      <c r="N436" s="6">
        <f>YEAR(SalesTbl[[#This Row],[Order Date]])</f>
        <v>2023</v>
      </c>
      <c r="O436" s="6" t="str">
        <f>TEXT(SalesTbl[[#This Row],[Order Date]],"yyyy-mm")</f>
        <v>2023-08</v>
      </c>
      <c r="P436" s="13">
        <f>WEEKNUM(SalesTbl[[#This Row],[Order Date]],2)</f>
        <v>33</v>
      </c>
      <c r="Q436" s="14">
        <f>MEDIAN(SalesTbl[Quantity])</f>
        <v>3</v>
      </c>
      <c r="R436" s="14">
        <f>IF(ISBLANK(SalesTbl[[#This Row],[Quantity]]),$H$2,SalesTbl[[#This Row],[Quantity]])</f>
        <v>3</v>
      </c>
      <c r="S436">
        <f>ROW()-ROW(SalesTbl[[#Headers],[Customer ID]])</f>
        <v>435</v>
      </c>
      <c r="T436" s="9" t="str">
        <f>IF(SalesTbl[[#This Row],[RowIdx]]&lt;=ROUNDUP(COUNTA(SalesTbl[Customer ID])*0.8,0),"Train","Test")</f>
        <v>Train</v>
      </c>
    </row>
    <row r="437" spans="1:20" x14ac:dyDescent="0.25">
      <c r="A437" t="s">
        <v>173</v>
      </c>
      <c r="B437" t="s">
        <v>13</v>
      </c>
      <c r="C437" t="s">
        <v>323</v>
      </c>
      <c r="D437" t="s">
        <v>30</v>
      </c>
      <c r="E437" t="s">
        <v>18</v>
      </c>
      <c r="F437">
        <v>60</v>
      </c>
      <c r="G437">
        <v>30</v>
      </c>
      <c r="H437">
        <v>3</v>
      </c>
      <c r="I437">
        <v>90</v>
      </c>
      <c r="J437">
        <v>18.420000000000002</v>
      </c>
      <c r="K437" s="2">
        <v>44951</v>
      </c>
      <c r="L437" t="s">
        <v>318</v>
      </c>
      <c r="M437" s="6">
        <f>SalesTbl[[#This Row],[Unit Price]]*SalesTbl[[#This Row],[Quantity]]</f>
        <v>90</v>
      </c>
      <c r="N437" s="6">
        <f>YEAR(SalesTbl[[#This Row],[Order Date]])</f>
        <v>2023</v>
      </c>
      <c r="O437" s="6" t="str">
        <f>TEXT(SalesTbl[[#This Row],[Order Date]],"yyyy-mm")</f>
        <v>2023-01</v>
      </c>
      <c r="P437" s="13">
        <f>WEEKNUM(SalesTbl[[#This Row],[Order Date]],2)</f>
        <v>5</v>
      </c>
      <c r="Q437" s="14">
        <f>MEDIAN(SalesTbl[Quantity])</f>
        <v>3</v>
      </c>
      <c r="R437" s="14">
        <f>IF(ISBLANK(SalesTbl[[#This Row],[Quantity]]),$H$2,SalesTbl[[#This Row],[Quantity]])</f>
        <v>3</v>
      </c>
      <c r="S437">
        <f>ROW()-ROW(SalesTbl[[#Headers],[Customer ID]])</f>
        <v>436</v>
      </c>
      <c r="T437" s="9" t="str">
        <f>IF(SalesTbl[[#This Row],[RowIdx]]&lt;=ROUNDUP(COUNTA(SalesTbl[Customer ID])*0.8,0),"Train","Test")</f>
        <v>Train</v>
      </c>
    </row>
    <row r="438" spans="1:20" x14ac:dyDescent="0.25">
      <c r="A438" t="s">
        <v>190</v>
      </c>
      <c r="B438" t="s">
        <v>20</v>
      </c>
      <c r="C438" t="s">
        <v>319</v>
      </c>
      <c r="D438" t="s">
        <v>30</v>
      </c>
      <c r="E438" t="s">
        <v>18</v>
      </c>
      <c r="F438">
        <v>49</v>
      </c>
      <c r="G438">
        <v>30</v>
      </c>
      <c r="H438">
        <v>2</v>
      </c>
      <c r="I438">
        <v>60</v>
      </c>
      <c r="J438">
        <v>11.28</v>
      </c>
      <c r="K438" s="2">
        <v>45188</v>
      </c>
      <c r="L438" t="s">
        <v>316</v>
      </c>
      <c r="M438" s="6">
        <f>SalesTbl[[#This Row],[Unit Price]]*SalesTbl[[#This Row],[Quantity]]</f>
        <v>60</v>
      </c>
      <c r="N438" s="6">
        <f>YEAR(SalesTbl[[#This Row],[Order Date]])</f>
        <v>2023</v>
      </c>
      <c r="O438" s="6" t="str">
        <f>TEXT(SalesTbl[[#This Row],[Order Date]],"yyyy-mm")</f>
        <v>2023-09</v>
      </c>
      <c r="P438" s="13">
        <f>WEEKNUM(SalesTbl[[#This Row],[Order Date]],2)</f>
        <v>39</v>
      </c>
      <c r="Q438" s="14">
        <f>MEDIAN(SalesTbl[Quantity])</f>
        <v>3</v>
      </c>
      <c r="R438" s="14">
        <f>IF(ISBLANK(SalesTbl[[#This Row],[Quantity]]),$H$2,SalesTbl[[#This Row],[Quantity]])</f>
        <v>2</v>
      </c>
      <c r="S438">
        <f>ROW()-ROW(SalesTbl[[#Headers],[Customer ID]])</f>
        <v>437</v>
      </c>
      <c r="T438" s="9" t="str">
        <f>IF(SalesTbl[[#This Row],[RowIdx]]&lt;=ROUNDUP(COUNTA(SalesTbl[Customer ID])*0.8,0),"Train","Test")</f>
        <v>Train</v>
      </c>
    </row>
    <row r="439" spans="1:20" x14ac:dyDescent="0.25">
      <c r="A439" t="s">
        <v>195</v>
      </c>
      <c r="B439" t="s">
        <v>20</v>
      </c>
      <c r="C439" t="s">
        <v>319</v>
      </c>
      <c r="D439" t="s">
        <v>14</v>
      </c>
      <c r="E439" t="s">
        <v>15</v>
      </c>
      <c r="F439">
        <v>51</v>
      </c>
      <c r="G439">
        <v>300</v>
      </c>
      <c r="H439">
        <v>4</v>
      </c>
      <c r="I439">
        <v>1200</v>
      </c>
      <c r="J439">
        <v>6.91</v>
      </c>
      <c r="K439" s="2">
        <v>45182</v>
      </c>
      <c r="L439" t="s">
        <v>317</v>
      </c>
      <c r="M439" s="6">
        <f>SalesTbl[[#This Row],[Unit Price]]*SalesTbl[[#This Row],[Quantity]]</f>
        <v>1200</v>
      </c>
      <c r="N439" s="6">
        <f>YEAR(SalesTbl[[#This Row],[Order Date]])</f>
        <v>2023</v>
      </c>
      <c r="O439" s="6" t="str">
        <f>TEXT(SalesTbl[[#This Row],[Order Date]],"yyyy-mm")</f>
        <v>2023-09</v>
      </c>
      <c r="P439" s="13">
        <f>WEEKNUM(SalesTbl[[#This Row],[Order Date]],2)</f>
        <v>38</v>
      </c>
      <c r="Q439" s="14">
        <f>MEDIAN(SalesTbl[Quantity])</f>
        <v>3</v>
      </c>
      <c r="R439" s="14">
        <f>IF(ISBLANK(SalesTbl[[#This Row],[Quantity]]),$H$2,SalesTbl[[#This Row],[Quantity]])</f>
        <v>4</v>
      </c>
      <c r="S439">
        <f>ROW()-ROW(SalesTbl[[#Headers],[Customer ID]])</f>
        <v>438</v>
      </c>
      <c r="T439" s="9" t="str">
        <f>IF(SalesTbl[[#This Row],[RowIdx]]&lt;=ROUNDUP(COUNTA(SalesTbl[Customer ID])*0.8,0),"Train","Test")</f>
        <v>Train</v>
      </c>
    </row>
    <row r="440" spans="1:20" x14ac:dyDescent="0.25">
      <c r="A440" t="s">
        <v>249</v>
      </c>
      <c r="B440" t="s">
        <v>13</v>
      </c>
      <c r="C440" t="s">
        <v>322</v>
      </c>
      <c r="D440" t="s">
        <v>29</v>
      </c>
      <c r="E440" t="s">
        <v>18</v>
      </c>
      <c r="F440">
        <v>64</v>
      </c>
      <c r="G440">
        <v>50</v>
      </c>
      <c r="H440">
        <v>4</v>
      </c>
      <c r="I440">
        <v>200</v>
      </c>
      <c r="J440">
        <v>17.18</v>
      </c>
      <c r="K440" s="2">
        <v>45236</v>
      </c>
      <c r="L440" t="s">
        <v>317</v>
      </c>
      <c r="M440" s="6">
        <f>SalesTbl[[#This Row],[Unit Price]]*SalesTbl[[#This Row],[Quantity]]</f>
        <v>200</v>
      </c>
      <c r="N440" s="6">
        <f>YEAR(SalesTbl[[#This Row],[Order Date]])</f>
        <v>2023</v>
      </c>
      <c r="O440" s="6" t="str">
        <f>TEXT(SalesTbl[[#This Row],[Order Date]],"yyyy-mm")</f>
        <v>2023-11</v>
      </c>
      <c r="P440" s="13">
        <f>WEEKNUM(SalesTbl[[#This Row],[Order Date]],2)</f>
        <v>46</v>
      </c>
      <c r="Q440" s="14">
        <f>MEDIAN(SalesTbl[Quantity])</f>
        <v>3</v>
      </c>
      <c r="R440" s="14">
        <f>IF(ISBLANK(SalesTbl[[#This Row],[Quantity]]),$H$2,SalesTbl[[#This Row],[Quantity]])</f>
        <v>4</v>
      </c>
      <c r="S440">
        <f>ROW()-ROW(SalesTbl[[#Headers],[Customer ID]])</f>
        <v>439</v>
      </c>
      <c r="T440" s="9" t="str">
        <f>IF(SalesTbl[[#This Row],[RowIdx]]&lt;=ROUNDUP(COUNTA(SalesTbl[Customer ID])*0.8,0),"Train","Test")</f>
        <v>Train</v>
      </c>
    </row>
    <row r="441" spans="1:20" x14ac:dyDescent="0.25">
      <c r="A441" t="s">
        <v>167</v>
      </c>
      <c r="B441" t="s">
        <v>13</v>
      </c>
      <c r="C441" t="s">
        <v>323</v>
      </c>
      <c r="D441" t="s">
        <v>29</v>
      </c>
      <c r="E441" t="s">
        <v>18</v>
      </c>
      <c r="F441">
        <v>64</v>
      </c>
      <c r="G441">
        <v>50</v>
      </c>
      <c r="H441">
        <v>1</v>
      </c>
      <c r="I441">
        <v>50</v>
      </c>
      <c r="J441">
        <v>18.23</v>
      </c>
      <c r="K441" s="2">
        <v>45070</v>
      </c>
      <c r="L441" t="s">
        <v>318</v>
      </c>
      <c r="M441" s="6">
        <f>SalesTbl[[#This Row],[Unit Price]]*SalesTbl[[#This Row],[Quantity]]</f>
        <v>50</v>
      </c>
      <c r="N441" s="6">
        <f>YEAR(SalesTbl[[#This Row],[Order Date]])</f>
        <v>2023</v>
      </c>
      <c r="O441" s="6" t="str">
        <f>TEXT(SalesTbl[[#This Row],[Order Date]],"yyyy-mm")</f>
        <v>2023-05</v>
      </c>
      <c r="P441" s="13">
        <f>WEEKNUM(SalesTbl[[#This Row],[Order Date]],2)</f>
        <v>22</v>
      </c>
      <c r="Q441" s="14">
        <f>MEDIAN(SalesTbl[Quantity])</f>
        <v>3</v>
      </c>
      <c r="R441" s="14">
        <f>IF(ISBLANK(SalesTbl[[#This Row],[Quantity]]),$H$2,SalesTbl[[#This Row],[Quantity]])</f>
        <v>1</v>
      </c>
      <c r="S441">
        <f>ROW()-ROW(SalesTbl[[#Headers],[Customer ID]])</f>
        <v>440</v>
      </c>
      <c r="T441" s="9" t="str">
        <f>IF(SalesTbl[[#This Row],[RowIdx]]&lt;=ROUNDUP(COUNTA(SalesTbl[Customer ID])*0.8,0),"Train","Test")</f>
        <v>Train</v>
      </c>
    </row>
    <row r="442" spans="1:20" x14ac:dyDescent="0.25">
      <c r="A442" t="s">
        <v>250</v>
      </c>
      <c r="B442" t="s">
        <v>20</v>
      </c>
      <c r="C442" t="s">
        <v>323</v>
      </c>
      <c r="D442" t="s">
        <v>30</v>
      </c>
      <c r="E442" t="s">
        <v>18</v>
      </c>
      <c r="F442">
        <v>56</v>
      </c>
      <c r="G442">
        <v>30</v>
      </c>
      <c r="H442">
        <v>2</v>
      </c>
      <c r="I442">
        <v>60</v>
      </c>
      <c r="J442">
        <v>7.58</v>
      </c>
      <c r="K442" s="2">
        <v>44972</v>
      </c>
      <c r="L442" t="s">
        <v>317</v>
      </c>
      <c r="M442" s="6">
        <f>SalesTbl[[#This Row],[Unit Price]]*SalesTbl[[#This Row],[Quantity]]</f>
        <v>60</v>
      </c>
      <c r="N442" s="6">
        <f>YEAR(SalesTbl[[#This Row],[Order Date]])</f>
        <v>2023</v>
      </c>
      <c r="O442" s="6" t="str">
        <f>TEXT(SalesTbl[[#This Row],[Order Date]],"yyyy-mm")</f>
        <v>2023-02</v>
      </c>
      <c r="P442" s="13">
        <f>WEEKNUM(SalesTbl[[#This Row],[Order Date]],2)</f>
        <v>8</v>
      </c>
      <c r="Q442" s="14">
        <f>MEDIAN(SalesTbl[Quantity])</f>
        <v>3</v>
      </c>
      <c r="R442" s="14">
        <f>IF(ISBLANK(SalesTbl[[#This Row],[Quantity]]),$H$2,SalesTbl[[#This Row],[Quantity]])</f>
        <v>2</v>
      </c>
      <c r="S442">
        <f>ROW()-ROW(SalesTbl[[#Headers],[Customer ID]])</f>
        <v>441</v>
      </c>
      <c r="T442" s="9" t="str">
        <f>IF(SalesTbl[[#This Row],[RowIdx]]&lt;=ROUNDUP(COUNTA(SalesTbl[Customer ID])*0.8,0),"Train","Test")</f>
        <v>Train</v>
      </c>
    </row>
    <row r="443" spans="1:20" x14ac:dyDescent="0.25">
      <c r="A443" t="s">
        <v>244</v>
      </c>
      <c r="B443" t="s">
        <v>20</v>
      </c>
      <c r="C443" t="s">
        <v>321</v>
      </c>
      <c r="D443" t="s">
        <v>40</v>
      </c>
      <c r="E443" t="s">
        <v>15</v>
      </c>
      <c r="F443">
        <v>23</v>
      </c>
      <c r="G443">
        <v>800</v>
      </c>
      <c r="H443">
        <v>2</v>
      </c>
      <c r="I443">
        <v>1600</v>
      </c>
      <c r="J443">
        <v>9.07</v>
      </c>
      <c r="K443" s="2">
        <v>45218</v>
      </c>
      <c r="L443" t="s">
        <v>317</v>
      </c>
      <c r="M443" s="6">
        <f>SalesTbl[[#This Row],[Unit Price]]*SalesTbl[[#This Row],[Quantity]]</f>
        <v>1600</v>
      </c>
      <c r="N443" s="6">
        <f>YEAR(SalesTbl[[#This Row],[Order Date]])</f>
        <v>2023</v>
      </c>
      <c r="O443" s="6" t="str">
        <f>TEXT(SalesTbl[[#This Row],[Order Date]],"yyyy-mm")</f>
        <v>2023-10</v>
      </c>
      <c r="P443" s="13">
        <f>WEEKNUM(SalesTbl[[#This Row],[Order Date]],2)</f>
        <v>43</v>
      </c>
      <c r="Q443" s="14">
        <f>MEDIAN(SalesTbl[Quantity])</f>
        <v>3</v>
      </c>
      <c r="R443" s="14">
        <f>IF(ISBLANK(SalesTbl[[#This Row],[Quantity]]),$H$2,SalesTbl[[#This Row],[Quantity]])</f>
        <v>2</v>
      </c>
      <c r="S443">
        <f>ROW()-ROW(SalesTbl[[#Headers],[Customer ID]])</f>
        <v>442</v>
      </c>
      <c r="T443" s="9" t="str">
        <f>IF(SalesTbl[[#This Row],[RowIdx]]&lt;=ROUNDUP(COUNTA(SalesTbl[Customer ID])*0.8,0),"Train","Test")</f>
        <v>Train</v>
      </c>
    </row>
    <row r="444" spans="1:20" x14ac:dyDescent="0.25">
      <c r="A444" t="s">
        <v>203</v>
      </c>
      <c r="B444" t="s">
        <v>20</v>
      </c>
      <c r="C444" t="s">
        <v>320</v>
      </c>
      <c r="D444" t="s">
        <v>29</v>
      </c>
      <c r="E444" t="s">
        <v>18</v>
      </c>
      <c r="F444">
        <v>61</v>
      </c>
      <c r="G444">
        <v>50</v>
      </c>
      <c r="H444">
        <v>1</v>
      </c>
      <c r="I444">
        <v>50</v>
      </c>
      <c r="J444">
        <v>19.39</v>
      </c>
      <c r="K444" s="2">
        <v>45135</v>
      </c>
      <c r="L444" t="s">
        <v>318</v>
      </c>
      <c r="M444" s="6">
        <f>SalesTbl[[#This Row],[Unit Price]]*SalesTbl[[#This Row],[Quantity]]</f>
        <v>50</v>
      </c>
      <c r="N444" s="6">
        <f>YEAR(SalesTbl[[#This Row],[Order Date]])</f>
        <v>2023</v>
      </c>
      <c r="O444" s="6" t="str">
        <f>TEXT(SalesTbl[[#This Row],[Order Date]],"yyyy-mm")</f>
        <v>2023-07</v>
      </c>
      <c r="P444" s="13">
        <f>WEEKNUM(SalesTbl[[#This Row],[Order Date]],2)</f>
        <v>31</v>
      </c>
      <c r="Q444" s="14">
        <f>MEDIAN(SalesTbl[Quantity])</f>
        <v>3</v>
      </c>
      <c r="R444" s="14">
        <f>IF(ISBLANK(SalesTbl[[#This Row],[Quantity]]),$H$2,SalesTbl[[#This Row],[Quantity]])</f>
        <v>1</v>
      </c>
      <c r="S444">
        <f>ROW()-ROW(SalesTbl[[#Headers],[Customer ID]])</f>
        <v>443</v>
      </c>
      <c r="T444" s="9" t="str">
        <f>IF(SalesTbl[[#This Row],[RowIdx]]&lt;=ROUNDUP(COUNTA(SalesTbl[Customer ID])*0.8,0),"Train","Test")</f>
        <v>Train</v>
      </c>
    </row>
    <row r="445" spans="1:20" x14ac:dyDescent="0.25">
      <c r="A445" t="s">
        <v>72</v>
      </c>
      <c r="B445" t="s">
        <v>20</v>
      </c>
      <c r="C445" t="s">
        <v>322</v>
      </c>
      <c r="D445" t="s">
        <v>29</v>
      </c>
      <c r="E445" t="s">
        <v>18</v>
      </c>
      <c r="F445">
        <v>42</v>
      </c>
      <c r="G445">
        <v>50</v>
      </c>
      <c r="H445">
        <v>2</v>
      </c>
      <c r="I445">
        <v>100</v>
      </c>
      <c r="J445">
        <v>12.44</v>
      </c>
      <c r="K445" s="2">
        <v>44978</v>
      </c>
      <c r="L445" t="s">
        <v>317</v>
      </c>
      <c r="M445" s="6">
        <f>SalesTbl[[#This Row],[Unit Price]]*SalesTbl[[#This Row],[Quantity]]</f>
        <v>100</v>
      </c>
      <c r="N445" s="6">
        <f>YEAR(SalesTbl[[#This Row],[Order Date]])</f>
        <v>2023</v>
      </c>
      <c r="O445" s="6" t="str">
        <f>TEXT(SalesTbl[[#This Row],[Order Date]],"yyyy-mm")</f>
        <v>2023-02</v>
      </c>
      <c r="P445" s="13">
        <f>WEEKNUM(SalesTbl[[#This Row],[Order Date]],2)</f>
        <v>9</v>
      </c>
      <c r="Q445" s="14">
        <f>MEDIAN(SalesTbl[Quantity])</f>
        <v>3</v>
      </c>
      <c r="R445" s="14">
        <f>IF(ISBLANK(SalesTbl[[#This Row],[Quantity]]),$H$2,SalesTbl[[#This Row],[Quantity]])</f>
        <v>2</v>
      </c>
      <c r="S445">
        <f>ROW()-ROW(SalesTbl[[#Headers],[Customer ID]])</f>
        <v>444</v>
      </c>
      <c r="T445" s="9" t="str">
        <f>IF(SalesTbl[[#This Row],[RowIdx]]&lt;=ROUNDUP(COUNTA(SalesTbl[Customer ID])*0.8,0),"Train","Test")</f>
        <v>Train</v>
      </c>
    </row>
    <row r="446" spans="1:20" x14ac:dyDescent="0.25">
      <c r="A446" t="s">
        <v>102</v>
      </c>
      <c r="B446" t="s">
        <v>13</v>
      </c>
      <c r="C446" t="s">
        <v>320</v>
      </c>
      <c r="D446" t="s">
        <v>29</v>
      </c>
      <c r="E446" t="s">
        <v>18</v>
      </c>
      <c r="F446">
        <v>30</v>
      </c>
      <c r="G446">
        <v>50</v>
      </c>
      <c r="H446">
        <v>1</v>
      </c>
      <c r="I446">
        <v>50</v>
      </c>
      <c r="J446">
        <v>19.02</v>
      </c>
      <c r="K446" s="2">
        <v>45274</v>
      </c>
      <c r="L446" t="s">
        <v>318</v>
      </c>
      <c r="M446" s="6">
        <f>SalesTbl[[#This Row],[Unit Price]]*SalesTbl[[#This Row],[Quantity]]</f>
        <v>50</v>
      </c>
      <c r="N446" s="6">
        <f>YEAR(SalesTbl[[#This Row],[Order Date]])</f>
        <v>2023</v>
      </c>
      <c r="O446" s="6" t="str">
        <f>TEXT(SalesTbl[[#This Row],[Order Date]],"yyyy-mm")</f>
        <v>2023-12</v>
      </c>
      <c r="P446" s="13">
        <f>WEEKNUM(SalesTbl[[#This Row],[Order Date]],2)</f>
        <v>51</v>
      </c>
      <c r="Q446" s="14">
        <f>MEDIAN(SalesTbl[Quantity])</f>
        <v>3</v>
      </c>
      <c r="R446" s="14">
        <f>IF(ISBLANK(SalesTbl[[#This Row],[Quantity]]),$H$2,SalesTbl[[#This Row],[Quantity]])</f>
        <v>1</v>
      </c>
      <c r="S446">
        <f>ROW()-ROW(SalesTbl[[#Headers],[Customer ID]])</f>
        <v>445</v>
      </c>
      <c r="T446" s="9" t="str">
        <f>IF(SalesTbl[[#This Row],[RowIdx]]&lt;=ROUNDUP(COUNTA(SalesTbl[Customer ID])*0.8,0),"Train","Test")</f>
        <v>Train</v>
      </c>
    </row>
    <row r="447" spans="1:20" x14ac:dyDescent="0.25">
      <c r="A447" t="s">
        <v>136</v>
      </c>
      <c r="B447" t="s">
        <v>20</v>
      </c>
      <c r="C447" t="s">
        <v>321</v>
      </c>
      <c r="D447" t="s">
        <v>17</v>
      </c>
      <c r="E447" t="s">
        <v>18</v>
      </c>
      <c r="F447">
        <v>37</v>
      </c>
      <c r="G447">
        <v>100</v>
      </c>
      <c r="H447">
        <v>3</v>
      </c>
      <c r="I447">
        <v>300</v>
      </c>
      <c r="J447">
        <v>16.670000000000002</v>
      </c>
      <c r="K447" s="2">
        <v>44992</v>
      </c>
      <c r="L447" t="s">
        <v>316</v>
      </c>
      <c r="M447" s="6">
        <f>SalesTbl[[#This Row],[Unit Price]]*SalesTbl[[#This Row],[Quantity]]</f>
        <v>300</v>
      </c>
      <c r="N447" s="6">
        <f>YEAR(SalesTbl[[#This Row],[Order Date]])</f>
        <v>2023</v>
      </c>
      <c r="O447" s="6" t="str">
        <f>TEXT(SalesTbl[[#This Row],[Order Date]],"yyyy-mm")</f>
        <v>2023-03</v>
      </c>
      <c r="P447" s="13">
        <f>WEEKNUM(SalesTbl[[#This Row],[Order Date]],2)</f>
        <v>11</v>
      </c>
      <c r="Q447" s="14">
        <f>MEDIAN(SalesTbl[Quantity])</f>
        <v>3</v>
      </c>
      <c r="R447" s="14">
        <f>IF(ISBLANK(SalesTbl[[#This Row],[Quantity]]),$H$2,SalesTbl[[#This Row],[Quantity]])</f>
        <v>3</v>
      </c>
      <c r="S447">
        <f>ROW()-ROW(SalesTbl[[#Headers],[Customer ID]])</f>
        <v>446</v>
      </c>
      <c r="T447" s="9" t="str">
        <f>IF(SalesTbl[[#This Row],[RowIdx]]&lt;=ROUNDUP(COUNTA(SalesTbl[Customer ID])*0.8,0),"Train","Test")</f>
        <v>Train</v>
      </c>
    </row>
    <row r="448" spans="1:20" x14ac:dyDescent="0.25">
      <c r="A448" t="s">
        <v>171</v>
      </c>
      <c r="B448" t="s">
        <v>20</v>
      </c>
      <c r="C448" t="s">
        <v>323</v>
      </c>
      <c r="D448" t="s">
        <v>30</v>
      </c>
      <c r="E448" t="s">
        <v>18</v>
      </c>
      <c r="F448">
        <v>55</v>
      </c>
      <c r="G448">
        <v>30</v>
      </c>
      <c r="H448">
        <v>1</v>
      </c>
      <c r="I448">
        <v>30</v>
      </c>
      <c r="J448">
        <v>5.24</v>
      </c>
      <c r="K448" s="2">
        <v>45071</v>
      </c>
      <c r="L448" t="s">
        <v>316</v>
      </c>
      <c r="M448" s="6">
        <f>SalesTbl[[#This Row],[Unit Price]]*SalesTbl[[#This Row],[Quantity]]</f>
        <v>30</v>
      </c>
      <c r="N448" s="6">
        <f>YEAR(SalesTbl[[#This Row],[Order Date]])</f>
        <v>2023</v>
      </c>
      <c r="O448" s="6" t="str">
        <f>TEXT(SalesTbl[[#This Row],[Order Date]],"yyyy-mm")</f>
        <v>2023-05</v>
      </c>
      <c r="P448" s="13">
        <f>WEEKNUM(SalesTbl[[#This Row],[Order Date]],2)</f>
        <v>22</v>
      </c>
      <c r="Q448" s="14">
        <f>MEDIAN(SalesTbl[Quantity])</f>
        <v>3</v>
      </c>
      <c r="R448" s="14">
        <f>IF(ISBLANK(SalesTbl[[#This Row],[Quantity]]),$H$2,SalesTbl[[#This Row],[Quantity]])</f>
        <v>1</v>
      </c>
      <c r="S448">
        <f>ROW()-ROW(SalesTbl[[#Headers],[Customer ID]])</f>
        <v>447</v>
      </c>
      <c r="T448" s="9" t="str">
        <f>IF(SalesTbl[[#This Row],[RowIdx]]&lt;=ROUNDUP(COUNTA(SalesTbl[Customer ID])*0.8,0),"Train","Test")</f>
        <v>Train</v>
      </c>
    </row>
    <row r="449" spans="1:20" x14ac:dyDescent="0.25">
      <c r="A449" t="s">
        <v>67</v>
      </c>
      <c r="B449" t="s">
        <v>20</v>
      </c>
      <c r="C449" t="s">
        <v>320</v>
      </c>
      <c r="D449" t="s">
        <v>14</v>
      </c>
      <c r="E449" t="s">
        <v>15</v>
      </c>
      <c r="F449">
        <v>68</v>
      </c>
      <c r="G449">
        <v>300</v>
      </c>
      <c r="H449">
        <v>3</v>
      </c>
      <c r="I449">
        <v>900</v>
      </c>
      <c r="J449">
        <v>10.39</v>
      </c>
      <c r="K449" s="2">
        <v>44966</v>
      </c>
      <c r="L449" t="s">
        <v>316</v>
      </c>
      <c r="M449" s="6">
        <f>SalesTbl[[#This Row],[Unit Price]]*SalesTbl[[#This Row],[Quantity]]</f>
        <v>900</v>
      </c>
      <c r="N449" s="6">
        <f>YEAR(SalesTbl[[#This Row],[Order Date]])</f>
        <v>2023</v>
      </c>
      <c r="O449" s="6" t="str">
        <f>TEXT(SalesTbl[[#This Row],[Order Date]],"yyyy-mm")</f>
        <v>2023-02</v>
      </c>
      <c r="P449" s="13">
        <f>WEEKNUM(SalesTbl[[#This Row],[Order Date]],2)</f>
        <v>7</v>
      </c>
      <c r="Q449" s="14">
        <f>MEDIAN(SalesTbl[Quantity])</f>
        <v>3</v>
      </c>
      <c r="R449" s="14">
        <f>IF(ISBLANK(SalesTbl[[#This Row],[Quantity]]),$H$2,SalesTbl[[#This Row],[Quantity]])</f>
        <v>3</v>
      </c>
      <c r="S449">
        <f>ROW()-ROW(SalesTbl[[#Headers],[Customer ID]])</f>
        <v>448</v>
      </c>
      <c r="T449" s="9" t="str">
        <f>IF(SalesTbl[[#This Row],[RowIdx]]&lt;=ROUNDUP(COUNTA(SalesTbl[Customer ID])*0.8,0),"Train","Test")</f>
        <v>Train</v>
      </c>
    </row>
    <row r="450" spans="1:20" x14ac:dyDescent="0.25">
      <c r="A450" t="s">
        <v>251</v>
      </c>
      <c r="B450" t="s">
        <v>20</v>
      </c>
      <c r="C450" t="s">
        <v>321</v>
      </c>
      <c r="D450" t="s">
        <v>29</v>
      </c>
      <c r="E450" t="s">
        <v>18</v>
      </c>
      <c r="F450">
        <v>51</v>
      </c>
      <c r="G450">
        <v>50</v>
      </c>
      <c r="H450">
        <v>3</v>
      </c>
      <c r="I450">
        <v>150</v>
      </c>
      <c r="J450">
        <v>19.79</v>
      </c>
      <c r="K450" s="2">
        <v>45294</v>
      </c>
      <c r="L450" t="s">
        <v>318</v>
      </c>
      <c r="M450" s="6">
        <f>SalesTbl[[#This Row],[Unit Price]]*SalesTbl[[#This Row],[Quantity]]</f>
        <v>150</v>
      </c>
      <c r="N450" s="6">
        <f>YEAR(SalesTbl[[#This Row],[Order Date]])</f>
        <v>2024</v>
      </c>
      <c r="O450" s="6" t="str">
        <f>TEXT(SalesTbl[[#This Row],[Order Date]],"yyyy-mm")</f>
        <v>2024-01</v>
      </c>
      <c r="P450" s="13">
        <f>WEEKNUM(SalesTbl[[#This Row],[Order Date]],2)</f>
        <v>1</v>
      </c>
      <c r="Q450" s="14">
        <f>MEDIAN(SalesTbl[Quantity])</f>
        <v>3</v>
      </c>
      <c r="R450" s="14">
        <f>IF(ISBLANK(SalesTbl[[#This Row],[Quantity]]),$H$2,SalesTbl[[#This Row],[Quantity]])</f>
        <v>3</v>
      </c>
      <c r="S450">
        <f>ROW()-ROW(SalesTbl[[#Headers],[Customer ID]])</f>
        <v>449</v>
      </c>
      <c r="T450" s="9" t="str">
        <f>IF(SalesTbl[[#This Row],[RowIdx]]&lt;=ROUNDUP(COUNTA(SalesTbl[Customer ID])*0.8,0),"Train","Test")</f>
        <v>Train</v>
      </c>
    </row>
    <row r="451" spans="1:20" x14ac:dyDescent="0.25">
      <c r="A451" t="s">
        <v>173</v>
      </c>
      <c r="B451" t="s">
        <v>20</v>
      </c>
      <c r="C451" t="s">
        <v>323</v>
      </c>
      <c r="D451" t="s">
        <v>14</v>
      </c>
      <c r="E451" t="s">
        <v>15</v>
      </c>
      <c r="F451">
        <v>60</v>
      </c>
      <c r="G451">
        <v>300</v>
      </c>
      <c r="H451">
        <v>4</v>
      </c>
      <c r="I451">
        <v>1200</v>
      </c>
      <c r="J451">
        <v>7.26</v>
      </c>
      <c r="K451" s="2">
        <v>45158</v>
      </c>
      <c r="L451" t="s">
        <v>317</v>
      </c>
      <c r="M451" s="6">
        <f>SalesTbl[[#This Row],[Unit Price]]*SalesTbl[[#This Row],[Quantity]]</f>
        <v>1200</v>
      </c>
      <c r="N451" s="6">
        <f>YEAR(SalesTbl[[#This Row],[Order Date]])</f>
        <v>2023</v>
      </c>
      <c r="O451" s="6" t="str">
        <f>TEXT(SalesTbl[[#This Row],[Order Date]],"yyyy-mm")</f>
        <v>2023-08</v>
      </c>
      <c r="P451" s="13">
        <f>WEEKNUM(SalesTbl[[#This Row],[Order Date]],2)</f>
        <v>34</v>
      </c>
      <c r="Q451" s="14">
        <f>MEDIAN(SalesTbl[Quantity])</f>
        <v>3</v>
      </c>
      <c r="R451" s="14">
        <f>IF(ISBLANK(SalesTbl[[#This Row],[Quantity]]),$H$2,SalesTbl[[#This Row],[Quantity]])</f>
        <v>4</v>
      </c>
      <c r="S451">
        <f>ROW()-ROW(SalesTbl[[#Headers],[Customer ID]])</f>
        <v>450</v>
      </c>
      <c r="T451" s="9" t="str">
        <f>IF(SalesTbl[[#This Row],[RowIdx]]&lt;=ROUNDUP(COUNTA(SalesTbl[Customer ID])*0.8,0),"Train","Test")</f>
        <v>Train</v>
      </c>
    </row>
    <row r="452" spans="1:20" x14ac:dyDescent="0.25">
      <c r="A452" t="s">
        <v>193</v>
      </c>
      <c r="B452" t="s">
        <v>20</v>
      </c>
      <c r="C452" t="s">
        <v>323</v>
      </c>
      <c r="D452" t="s">
        <v>25</v>
      </c>
      <c r="E452" t="s">
        <v>26</v>
      </c>
      <c r="F452">
        <v>52</v>
      </c>
      <c r="G452">
        <v>200</v>
      </c>
      <c r="H452">
        <v>5</v>
      </c>
      <c r="I452">
        <v>1000</v>
      </c>
      <c r="J452">
        <v>18.72</v>
      </c>
      <c r="K452" s="2">
        <v>44987</v>
      </c>
      <c r="L452" t="s">
        <v>318</v>
      </c>
      <c r="M452" s="6">
        <f>SalesTbl[[#This Row],[Unit Price]]*SalesTbl[[#This Row],[Quantity]]</f>
        <v>1000</v>
      </c>
      <c r="N452" s="6">
        <f>YEAR(SalesTbl[[#This Row],[Order Date]])</f>
        <v>2023</v>
      </c>
      <c r="O452" s="6" t="str">
        <f>TEXT(SalesTbl[[#This Row],[Order Date]],"yyyy-mm")</f>
        <v>2023-03</v>
      </c>
      <c r="P452" s="13">
        <f>WEEKNUM(SalesTbl[[#This Row],[Order Date]],2)</f>
        <v>10</v>
      </c>
      <c r="Q452" s="14">
        <f>MEDIAN(SalesTbl[Quantity])</f>
        <v>3</v>
      </c>
      <c r="R452" s="14">
        <f>IF(ISBLANK(SalesTbl[[#This Row],[Quantity]]),$H$2,SalesTbl[[#This Row],[Quantity]])</f>
        <v>5</v>
      </c>
      <c r="S452">
        <f>ROW()-ROW(SalesTbl[[#Headers],[Customer ID]])</f>
        <v>451</v>
      </c>
      <c r="T452" s="9" t="str">
        <f>IF(SalesTbl[[#This Row],[RowIdx]]&lt;=ROUNDUP(COUNTA(SalesTbl[Customer ID])*0.8,0),"Train","Test")</f>
        <v>Train</v>
      </c>
    </row>
    <row r="453" spans="1:20" x14ac:dyDescent="0.25">
      <c r="A453" t="s">
        <v>132</v>
      </c>
      <c r="B453" t="s">
        <v>13</v>
      </c>
      <c r="C453" t="s">
        <v>322</v>
      </c>
      <c r="D453" t="s">
        <v>29</v>
      </c>
      <c r="E453" t="s">
        <v>18</v>
      </c>
      <c r="F453">
        <v>49</v>
      </c>
      <c r="G453">
        <v>50</v>
      </c>
      <c r="H453">
        <v>3</v>
      </c>
      <c r="I453">
        <v>150</v>
      </c>
      <c r="J453">
        <v>9.99</v>
      </c>
      <c r="K453" s="2">
        <v>45053</v>
      </c>
      <c r="L453" t="s">
        <v>319</v>
      </c>
      <c r="M453" s="6">
        <f>SalesTbl[[#This Row],[Unit Price]]*SalesTbl[[#This Row],[Quantity]]</f>
        <v>150</v>
      </c>
      <c r="N453" s="6">
        <f>YEAR(SalesTbl[[#This Row],[Order Date]])</f>
        <v>2023</v>
      </c>
      <c r="O453" s="6" t="str">
        <f>TEXT(SalesTbl[[#This Row],[Order Date]],"yyyy-mm")</f>
        <v>2023-05</v>
      </c>
      <c r="P453" s="13">
        <f>WEEKNUM(SalesTbl[[#This Row],[Order Date]],2)</f>
        <v>19</v>
      </c>
      <c r="Q453" s="14">
        <f>MEDIAN(SalesTbl[Quantity])</f>
        <v>3</v>
      </c>
      <c r="R453" s="14">
        <f>IF(ISBLANK(SalesTbl[[#This Row],[Quantity]]),$H$2,SalesTbl[[#This Row],[Quantity]])</f>
        <v>3</v>
      </c>
      <c r="S453">
        <f>ROW()-ROW(SalesTbl[[#Headers],[Customer ID]])</f>
        <v>452</v>
      </c>
      <c r="T453" s="9" t="str">
        <f>IF(SalesTbl[[#This Row],[RowIdx]]&lt;=ROUNDUP(COUNTA(SalesTbl[Customer ID])*0.8,0),"Train","Test")</f>
        <v>Train</v>
      </c>
    </row>
    <row r="454" spans="1:20" x14ac:dyDescent="0.25">
      <c r="A454" t="s">
        <v>203</v>
      </c>
      <c r="B454" t="s">
        <v>20</v>
      </c>
      <c r="C454" t="s">
        <v>323</v>
      </c>
      <c r="D454" t="s">
        <v>14</v>
      </c>
      <c r="E454" t="s">
        <v>15</v>
      </c>
      <c r="F454">
        <v>61</v>
      </c>
      <c r="G454">
        <v>300</v>
      </c>
      <c r="H454">
        <v>1</v>
      </c>
      <c r="I454">
        <v>300</v>
      </c>
      <c r="J454">
        <v>6.63</v>
      </c>
      <c r="K454" s="2">
        <v>44940</v>
      </c>
      <c r="L454" t="s">
        <v>317</v>
      </c>
      <c r="M454" s="6">
        <f>SalesTbl[[#This Row],[Unit Price]]*SalesTbl[[#This Row],[Quantity]]</f>
        <v>300</v>
      </c>
      <c r="N454" s="6">
        <f>YEAR(SalesTbl[[#This Row],[Order Date]])</f>
        <v>2023</v>
      </c>
      <c r="O454" s="6" t="str">
        <f>TEXT(SalesTbl[[#This Row],[Order Date]],"yyyy-mm")</f>
        <v>2023-01</v>
      </c>
      <c r="P454" s="13">
        <f>WEEKNUM(SalesTbl[[#This Row],[Order Date]],2)</f>
        <v>3</v>
      </c>
      <c r="Q454" s="14">
        <f>MEDIAN(SalesTbl[Quantity])</f>
        <v>3</v>
      </c>
      <c r="R454" s="14">
        <f>IF(ISBLANK(SalesTbl[[#This Row],[Quantity]]),$H$2,SalesTbl[[#This Row],[Quantity]])</f>
        <v>1</v>
      </c>
      <c r="S454">
        <f>ROW()-ROW(SalesTbl[[#Headers],[Customer ID]])</f>
        <v>453</v>
      </c>
      <c r="T454" s="9" t="str">
        <f>IF(SalesTbl[[#This Row],[RowIdx]]&lt;=ROUNDUP(COUNTA(SalesTbl[Customer ID])*0.8,0),"Train","Test")</f>
        <v>Train</v>
      </c>
    </row>
    <row r="455" spans="1:20" x14ac:dyDescent="0.25">
      <c r="A455" t="s">
        <v>111</v>
      </c>
      <c r="B455" t="s">
        <v>13</v>
      </c>
      <c r="C455" t="s">
        <v>322</v>
      </c>
      <c r="D455" t="s">
        <v>30</v>
      </c>
      <c r="E455" t="s">
        <v>18</v>
      </c>
      <c r="F455">
        <v>58</v>
      </c>
      <c r="G455">
        <v>30</v>
      </c>
      <c r="H455">
        <v>1</v>
      </c>
      <c r="I455">
        <v>30</v>
      </c>
      <c r="J455">
        <v>11.39</v>
      </c>
      <c r="K455" s="2">
        <v>45061</v>
      </c>
      <c r="L455" t="s">
        <v>317</v>
      </c>
      <c r="M455" s="6">
        <f>SalesTbl[[#This Row],[Unit Price]]*SalesTbl[[#This Row],[Quantity]]</f>
        <v>30</v>
      </c>
      <c r="N455" s="6">
        <f>YEAR(SalesTbl[[#This Row],[Order Date]])</f>
        <v>2023</v>
      </c>
      <c r="O455" s="6" t="str">
        <f>TEXT(SalesTbl[[#This Row],[Order Date]],"yyyy-mm")</f>
        <v>2023-05</v>
      </c>
      <c r="P455" s="13">
        <f>WEEKNUM(SalesTbl[[#This Row],[Order Date]],2)</f>
        <v>21</v>
      </c>
      <c r="Q455" s="14">
        <f>MEDIAN(SalesTbl[Quantity])</f>
        <v>3</v>
      </c>
      <c r="R455" s="14">
        <f>IF(ISBLANK(SalesTbl[[#This Row],[Quantity]]),$H$2,SalesTbl[[#This Row],[Quantity]])</f>
        <v>1</v>
      </c>
      <c r="S455">
        <f>ROW()-ROW(SalesTbl[[#Headers],[Customer ID]])</f>
        <v>454</v>
      </c>
      <c r="T455" s="9" t="str">
        <f>IF(SalesTbl[[#This Row],[RowIdx]]&lt;=ROUNDUP(COUNTA(SalesTbl[Customer ID])*0.8,0),"Train","Test")</f>
        <v>Train</v>
      </c>
    </row>
    <row r="456" spans="1:20" x14ac:dyDescent="0.25">
      <c r="A456" t="s">
        <v>252</v>
      </c>
      <c r="B456" t="s">
        <v>20</v>
      </c>
      <c r="C456" t="s">
        <v>323</v>
      </c>
      <c r="D456" t="s">
        <v>29</v>
      </c>
      <c r="E456" t="s">
        <v>18</v>
      </c>
      <c r="F456">
        <v>55</v>
      </c>
      <c r="G456">
        <v>50</v>
      </c>
      <c r="H456">
        <v>4</v>
      </c>
      <c r="I456">
        <v>200</v>
      </c>
      <c r="J456">
        <v>6.66</v>
      </c>
      <c r="K456" s="2">
        <v>45151</v>
      </c>
      <c r="L456" t="s">
        <v>319</v>
      </c>
      <c r="M456" s="6">
        <f>SalesTbl[[#This Row],[Unit Price]]*SalesTbl[[#This Row],[Quantity]]</f>
        <v>200</v>
      </c>
      <c r="N456" s="6">
        <f>YEAR(SalesTbl[[#This Row],[Order Date]])</f>
        <v>2023</v>
      </c>
      <c r="O456" s="6" t="str">
        <f>TEXT(SalesTbl[[#This Row],[Order Date]],"yyyy-mm")</f>
        <v>2023-08</v>
      </c>
      <c r="P456" s="13">
        <f>WEEKNUM(SalesTbl[[#This Row],[Order Date]],2)</f>
        <v>33</v>
      </c>
      <c r="Q456" s="14">
        <f>MEDIAN(SalesTbl[Quantity])</f>
        <v>3</v>
      </c>
      <c r="R456" s="14">
        <f>IF(ISBLANK(SalesTbl[[#This Row],[Quantity]]),$H$2,SalesTbl[[#This Row],[Quantity]])</f>
        <v>4</v>
      </c>
      <c r="S456">
        <f>ROW()-ROW(SalesTbl[[#Headers],[Customer ID]])</f>
        <v>455</v>
      </c>
      <c r="T456" s="9" t="str">
        <f>IF(SalesTbl[[#This Row],[RowIdx]]&lt;=ROUNDUP(COUNTA(SalesTbl[Customer ID])*0.8,0),"Train","Test")</f>
        <v>Train</v>
      </c>
    </row>
    <row r="457" spans="1:20" x14ac:dyDescent="0.25">
      <c r="A457" t="s">
        <v>234</v>
      </c>
      <c r="B457" t="s">
        <v>20</v>
      </c>
      <c r="C457" t="s">
        <v>323</v>
      </c>
      <c r="D457" t="s">
        <v>29</v>
      </c>
      <c r="E457" t="s">
        <v>18</v>
      </c>
      <c r="F457">
        <v>18</v>
      </c>
      <c r="G457">
        <v>50</v>
      </c>
      <c r="H457">
        <v>4</v>
      </c>
      <c r="I457">
        <v>200</v>
      </c>
      <c r="J457">
        <v>7.76</v>
      </c>
      <c r="K457" s="2">
        <v>45158</v>
      </c>
      <c r="L457" t="s">
        <v>317</v>
      </c>
      <c r="M457" s="6">
        <f>SalesTbl[[#This Row],[Unit Price]]*SalesTbl[[#This Row],[Quantity]]</f>
        <v>200</v>
      </c>
      <c r="N457" s="6">
        <f>YEAR(SalesTbl[[#This Row],[Order Date]])</f>
        <v>2023</v>
      </c>
      <c r="O457" s="6" t="str">
        <f>TEXT(SalesTbl[[#This Row],[Order Date]],"yyyy-mm")</f>
        <v>2023-08</v>
      </c>
      <c r="P457" s="13">
        <f>WEEKNUM(SalesTbl[[#This Row],[Order Date]],2)</f>
        <v>34</v>
      </c>
      <c r="Q457" s="14">
        <f>MEDIAN(SalesTbl[Quantity])</f>
        <v>3</v>
      </c>
      <c r="R457" s="14">
        <f>IF(ISBLANK(SalesTbl[[#This Row],[Quantity]]),$H$2,SalesTbl[[#This Row],[Quantity]])</f>
        <v>4</v>
      </c>
      <c r="S457">
        <f>ROW()-ROW(SalesTbl[[#Headers],[Customer ID]])</f>
        <v>456</v>
      </c>
      <c r="T457" s="9" t="str">
        <f>IF(SalesTbl[[#This Row],[RowIdx]]&lt;=ROUNDUP(COUNTA(SalesTbl[Customer ID])*0.8,0),"Train","Test")</f>
        <v>Train</v>
      </c>
    </row>
    <row r="458" spans="1:20" x14ac:dyDescent="0.25">
      <c r="A458" t="s">
        <v>85</v>
      </c>
      <c r="B458" t="s">
        <v>20</v>
      </c>
      <c r="C458" t="s">
        <v>322</v>
      </c>
      <c r="D458" t="s">
        <v>40</v>
      </c>
      <c r="E458" t="s">
        <v>15</v>
      </c>
      <c r="F458">
        <v>41</v>
      </c>
      <c r="G458">
        <v>800</v>
      </c>
      <c r="H458">
        <v>1</v>
      </c>
      <c r="I458">
        <v>800</v>
      </c>
      <c r="J458">
        <v>6.24</v>
      </c>
      <c r="K458" s="2">
        <v>45141</v>
      </c>
      <c r="L458" t="s">
        <v>318</v>
      </c>
      <c r="M458" s="6">
        <f>SalesTbl[[#This Row],[Unit Price]]*SalesTbl[[#This Row],[Quantity]]</f>
        <v>800</v>
      </c>
      <c r="N458" s="6">
        <f>YEAR(SalesTbl[[#This Row],[Order Date]])</f>
        <v>2023</v>
      </c>
      <c r="O458" s="6" t="str">
        <f>TEXT(SalesTbl[[#This Row],[Order Date]],"yyyy-mm")</f>
        <v>2023-08</v>
      </c>
      <c r="P458" s="13">
        <f>WEEKNUM(SalesTbl[[#This Row],[Order Date]],2)</f>
        <v>32</v>
      </c>
      <c r="Q458" s="14">
        <f>MEDIAN(SalesTbl[Quantity])</f>
        <v>3</v>
      </c>
      <c r="R458" s="14">
        <f>IF(ISBLANK(SalesTbl[[#This Row],[Quantity]]),$H$2,SalesTbl[[#This Row],[Quantity]])</f>
        <v>1</v>
      </c>
      <c r="S458">
        <f>ROW()-ROW(SalesTbl[[#Headers],[Customer ID]])</f>
        <v>457</v>
      </c>
      <c r="T458" s="9" t="str">
        <f>IF(SalesTbl[[#This Row],[RowIdx]]&lt;=ROUNDUP(COUNTA(SalesTbl[Customer ID])*0.8,0),"Train","Test")</f>
        <v>Train</v>
      </c>
    </row>
    <row r="459" spans="1:20" x14ac:dyDescent="0.25">
      <c r="A459" t="s">
        <v>253</v>
      </c>
      <c r="B459" t="s">
        <v>20</v>
      </c>
      <c r="C459" t="s">
        <v>322</v>
      </c>
      <c r="D459" t="s">
        <v>17</v>
      </c>
      <c r="E459" t="s">
        <v>18</v>
      </c>
      <c r="F459">
        <v>56</v>
      </c>
      <c r="G459">
        <v>100</v>
      </c>
      <c r="H459">
        <v>3</v>
      </c>
      <c r="I459">
        <v>300</v>
      </c>
      <c r="J459">
        <v>5.86</v>
      </c>
      <c r="K459" s="2">
        <v>45255</v>
      </c>
      <c r="L459" t="s">
        <v>317</v>
      </c>
      <c r="M459" s="6">
        <f>SalesTbl[[#This Row],[Unit Price]]*SalesTbl[[#This Row],[Quantity]]</f>
        <v>300</v>
      </c>
      <c r="N459" s="6">
        <f>YEAR(SalesTbl[[#This Row],[Order Date]])</f>
        <v>2023</v>
      </c>
      <c r="O459" s="6" t="str">
        <f>TEXT(SalesTbl[[#This Row],[Order Date]],"yyyy-mm")</f>
        <v>2023-11</v>
      </c>
      <c r="P459" s="13">
        <f>WEEKNUM(SalesTbl[[#This Row],[Order Date]],2)</f>
        <v>48</v>
      </c>
      <c r="Q459" s="14">
        <f>MEDIAN(SalesTbl[Quantity])</f>
        <v>3</v>
      </c>
      <c r="R459" s="14">
        <f>IF(ISBLANK(SalesTbl[[#This Row],[Quantity]]),$H$2,SalesTbl[[#This Row],[Quantity]])</f>
        <v>3</v>
      </c>
      <c r="S459">
        <f>ROW()-ROW(SalesTbl[[#Headers],[Customer ID]])</f>
        <v>458</v>
      </c>
      <c r="T459" s="9" t="str">
        <f>IF(SalesTbl[[#This Row],[RowIdx]]&lt;=ROUNDUP(COUNTA(SalesTbl[Customer ID])*0.8,0),"Train","Test")</f>
        <v>Train</v>
      </c>
    </row>
    <row r="460" spans="1:20" x14ac:dyDescent="0.25">
      <c r="A460" t="s">
        <v>254</v>
      </c>
      <c r="B460" t="s">
        <v>20</v>
      </c>
      <c r="C460" t="s">
        <v>322</v>
      </c>
      <c r="D460" t="s">
        <v>23</v>
      </c>
      <c r="E460" t="s">
        <v>15</v>
      </c>
      <c r="F460">
        <v>69</v>
      </c>
      <c r="G460">
        <v>1500</v>
      </c>
      <c r="H460">
        <v>2</v>
      </c>
      <c r="I460">
        <v>3000</v>
      </c>
      <c r="J460">
        <v>5.35</v>
      </c>
      <c r="K460" s="2">
        <v>45229</v>
      </c>
      <c r="L460" t="s">
        <v>316</v>
      </c>
      <c r="M460" s="6">
        <f>SalesTbl[[#This Row],[Unit Price]]*SalesTbl[[#This Row],[Quantity]]</f>
        <v>3000</v>
      </c>
      <c r="N460" s="6">
        <f>YEAR(SalesTbl[[#This Row],[Order Date]])</f>
        <v>2023</v>
      </c>
      <c r="O460" s="6" t="str">
        <f>TEXT(SalesTbl[[#This Row],[Order Date]],"yyyy-mm")</f>
        <v>2023-10</v>
      </c>
      <c r="P460" s="13">
        <f>WEEKNUM(SalesTbl[[#This Row],[Order Date]],2)</f>
        <v>45</v>
      </c>
      <c r="Q460" s="14">
        <f>MEDIAN(SalesTbl[Quantity])</f>
        <v>3</v>
      </c>
      <c r="R460" s="14">
        <f>IF(ISBLANK(SalesTbl[[#This Row],[Quantity]]),$H$2,SalesTbl[[#This Row],[Quantity]])</f>
        <v>2</v>
      </c>
      <c r="S460">
        <f>ROW()-ROW(SalesTbl[[#Headers],[Customer ID]])</f>
        <v>459</v>
      </c>
      <c r="T460" s="9" t="str">
        <f>IF(SalesTbl[[#This Row],[RowIdx]]&lt;=ROUNDUP(COUNTA(SalesTbl[Customer ID])*0.8,0),"Train","Test")</f>
        <v>Train</v>
      </c>
    </row>
    <row r="461" spans="1:20" x14ac:dyDescent="0.25">
      <c r="A461" t="s">
        <v>86</v>
      </c>
      <c r="B461" t="s">
        <v>20</v>
      </c>
      <c r="C461" t="s">
        <v>320</v>
      </c>
      <c r="D461" t="s">
        <v>40</v>
      </c>
      <c r="E461" t="s">
        <v>15</v>
      </c>
      <c r="F461">
        <v>61</v>
      </c>
      <c r="G461">
        <v>800</v>
      </c>
      <c r="H461">
        <v>5</v>
      </c>
      <c r="I461">
        <v>4000</v>
      </c>
      <c r="J461">
        <v>13.72</v>
      </c>
      <c r="K461" s="2">
        <v>44994</v>
      </c>
      <c r="L461" t="s">
        <v>319</v>
      </c>
      <c r="M461" s="6">
        <f>SalesTbl[[#This Row],[Unit Price]]*SalesTbl[[#This Row],[Quantity]]</f>
        <v>4000</v>
      </c>
      <c r="N461" s="6">
        <f>YEAR(SalesTbl[[#This Row],[Order Date]])</f>
        <v>2023</v>
      </c>
      <c r="O461" s="6" t="str">
        <f>TEXT(SalesTbl[[#This Row],[Order Date]],"yyyy-mm")</f>
        <v>2023-03</v>
      </c>
      <c r="P461" s="13">
        <f>WEEKNUM(SalesTbl[[#This Row],[Order Date]],2)</f>
        <v>11</v>
      </c>
      <c r="Q461" s="14">
        <f>MEDIAN(SalesTbl[Quantity])</f>
        <v>3</v>
      </c>
      <c r="R461" s="14">
        <f>IF(ISBLANK(SalesTbl[[#This Row],[Quantity]]),$H$2,SalesTbl[[#This Row],[Quantity]])</f>
        <v>5</v>
      </c>
      <c r="S461">
        <f>ROW()-ROW(SalesTbl[[#Headers],[Customer ID]])</f>
        <v>460</v>
      </c>
      <c r="T461" s="9" t="str">
        <f>IF(SalesTbl[[#This Row],[RowIdx]]&lt;=ROUNDUP(COUNTA(SalesTbl[Customer ID])*0.8,0),"Train","Test")</f>
        <v>Train</v>
      </c>
    </row>
    <row r="462" spans="1:20" x14ac:dyDescent="0.25">
      <c r="A462" t="s">
        <v>198</v>
      </c>
      <c r="B462" t="s">
        <v>13</v>
      </c>
      <c r="C462" t="s">
        <v>323</v>
      </c>
      <c r="D462" t="s">
        <v>40</v>
      </c>
      <c r="E462" t="s">
        <v>15</v>
      </c>
      <c r="F462">
        <v>46</v>
      </c>
      <c r="G462">
        <v>800</v>
      </c>
      <c r="H462">
        <v>2</v>
      </c>
      <c r="I462">
        <v>1600</v>
      </c>
      <c r="J462">
        <v>13.1</v>
      </c>
      <c r="K462" s="2">
        <v>44933</v>
      </c>
      <c r="L462" t="s">
        <v>317</v>
      </c>
      <c r="M462" s="6">
        <f>SalesTbl[[#This Row],[Unit Price]]*SalesTbl[[#This Row],[Quantity]]</f>
        <v>1600</v>
      </c>
      <c r="N462" s="6">
        <f>YEAR(SalesTbl[[#This Row],[Order Date]])</f>
        <v>2023</v>
      </c>
      <c r="O462" s="6" t="str">
        <f>TEXT(SalesTbl[[#This Row],[Order Date]],"yyyy-mm")</f>
        <v>2023-01</v>
      </c>
      <c r="P462" s="13">
        <f>WEEKNUM(SalesTbl[[#This Row],[Order Date]],2)</f>
        <v>2</v>
      </c>
      <c r="Q462" s="14">
        <f>MEDIAN(SalesTbl[Quantity])</f>
        <v>3</v>
      </c>
      <c r="R462" s="14">
        <f>IF(ISBLANK(SalesTbl[[#This Row],[Quantity]]),$H$2,SalesTbl[[#This Row],[Quantity]])</f>
        <v>2</v>
      </c>
      <c r="S462">
        <f>ROW()-ROW(SalesTbl[[#Headers],[Customer ID]])</f>
        <v>461</v>
      </c>
      <c r="T462" s="9" t="str">
        <f>IF(SalesTbl[[#This Row],[RowIdx]]&lt;=ROUNDUP(COUNTA(SalesTbl[Customer ID])*0.8,0),"Train","Test")</f>
        <v>Train</v>
      </c>
    </row>
    <row r="463" spans="1:20" x14ac:dyDescent="0.25">
      <c r="A463" t="s">
        <v>145</v>
      </c>
      <c r="B463" t="s">
        <v>13</v>
      </c>
      <c r="C463" t="s">
        <v>323</v>
      </c>
      <c r="D463" t="s">
        <v>25</v>
      </c>
      <c r="E463" t="s">
        <v>26</v>
      </c>
      <c r="F463">
        <v>30</v>
      </c>
      <c r="G463">
        <v>200</v>
      </c>
      <c r="H463">
        <v>2</v>
      </c>
      <c r="I463">
        <v>400</v>
      </c>
      <c r="J463">
        <v>13.54</v>
      </c>
      <c r="K463" s="2">
        <v>45146</v>
      </c>
      <c r="L463" t="s">
        <v>317</v>
      </c>
      <c r="M463" s="6">
        <f>SalesTbl[[#This Row],[Unit Price]]*SalesTbl[[#This Row],[Quantity]]</f>
        <v>400</v>
      </c>
      <c r="N463" s="6">
        <f>YEAR(SalesTbl[[#This Row],[Order Date]])</f>
        <v>2023</v>
      </c>
      <c r="O463" s="6" t="str">
        <f>TEXT(SalesTbl[[#This Row],[Order Date]],"yyyy-mm")</f>
        <v>2023-08</v>
      </c>
      <c r="P463" s="13">
        <f>WEEKNUM(SalesTbl[[#This Row],[Order Date]],2)</f>
        <v>33</v>
      </c>
      <c r="Q463" s="14">
        <f>MEDIAN(SalesTbl[Quantity])</f>
        <v>3</v>
      </c>
      <c r="R463" s="14">
        <f>IF(ISBLANK(SalesTbl[[#This Row],[Quantity]]),$H$2,SalesTbl[[#This Row],[Quantity]])</f>
        <v>2</v>
      </c>
      <c r="S463">
        <f>ROW()-ROW(SalesTbl[[#Headers],[Customer ID]])</f>
        <v>462</v>
      </c>
      <c r="T463" s="9" t="str">
        <f>IF(SalesTbl[[#This Row],[RowIdx]]&lt;=ROUNDUP(COUNTA(SalesTbl[Customer ID])*0.8,0),"Train","Test")</f>
        <v>Train</v>
      </c>
    </row>
    <row r="464" spans="1:20" x14ac:dyDescent="0.25">
      <c r="A464" t="s">
        <v>62</v>
      </c>
      <c r="B464" t="s">
        <v>20</v>
      </c>
      <c r="C464" t="s">
        <v>323</v>
      </c>
      <c r="D464" t="s">
        <v>40</v>
      </c>
      <c r="E464" t="s">
        <v>15</v>
      </c>
      <c r="F464">
        <v>58</v>
      </c>
      <c r="G464">
        <v>800</v>
      </c>
      <c r="H464">
        <v>5</v>
      </c>
      <c r="I464">
        <v>4000</v>
      </c>
      <c r="J464">
        <v>5.65</v>
      </c>
      <c r="K464" s="2">
        <v>45276</v>
      </c>
      <c r="L464" t="s">
        <v>318</v>
      </c>
      <c r="M464" s="6">
        <f>SalesTbl[[#This Row],[Unit Price]]*SalesTbl[[#This Row],[Quantity]]</f>
        <v>4000</v>
      </c>
      <c r="N464" s="6">
        <f>YEAR(SalesTbl[[#This Row],[Order Date]])</f>
        <v>2023</v>
      </c>
      <c r="O464" s="6" t="str">
        <f>TEXT(SalesTbl[[#This Row],[Order Date]],"yyyy-mm")</f>
        <v>2023-12</v>
      </c>
      <c r="P464" s="13">
        <f>WEEKNUM(SalesTbl[[#This Row],[Order Date]],2)</f>
        <v>51</v>
      </c>
      <c r="Q464" s="14">
        <f>MEDIAN(SalesTbl[Quantity])</f>
        <v>3</v>
      </c>
      <c r="R464" s="14">
        <f>IF(ISBLANK(SalesTbl[[#This Row],[Quantity]]),$H$2,SalesTbl[[#This Row],[Quantity]])</f>
        <v>5</v>
      </c>
      <c r="S464">
        <f>ROW()-ROW(SalesTbl[[#Headers],[Customer ID]])</f>
        <v>463</v>
      </c>
      <c r="T464" s="9" t="str">
        <f>IF(SalesTbl[[#This Row],[RowIdx]]&lt;=ROUNDUP(COUNTA(SalesTbl[Customer ID])*0.8,0),"Train","Test")</f>
        <v>Train</v>
      </c>
    </row>
    <row r="465" spans="1:20" x14ac:dyDescent="0.25">
      <c r="A465" t="s">
        <v>213</v>
      </c>
      <c r="B465" t="s">
        <v>20</v>
      </c>
      <c r="C465" t="s">
        <v>322</v>
      </c>
      <c r="D465" t="s">
        <v>14</v>
      </c>
      <c r="E465" t="s">
        <v>15</v>
      </c>
      <c r="F465">
        <v>49</v>
      </c>
      <c r="G465">
        <v>300</v>
      </c>
      <c r="H465">
        <v>3</v>
      </c>
      <c r="I465">
        <v>900</v>
      </c>
      <c r="J465">
        <v>17.93</v>
      </c>
      <c r="K465" s="2">
        <v>45075</v>
      </c>
      <c r="L465" t="s">
        <v>318</v>
      </c>
      <c r="M465" s="6">
        <f>SalesTbl[[#This Row],[Unit Price]]*SalesTbl[[#This Row],[Quantity]]</f>
        <v>900</v>
      </c>
      <c r="N465" s="6">
        <f>YEAR(SalesTbl[[#This Row],[Order Date]])</f>
        <v>2023</v>
      </c>
      <c r="O465" s="6" t="str">
        <f>TEXT(SalesTbl[[#This Row],[Order Date]],"yyyy-mm")</f>
        <v>2023-05</v>
      </c>
      <c r="P465" s="13">
        <f>WEEKNUM(SalesTbl[[#This Row],[Order Date]],2)</f>
        <v>23</v>
      </c>
      <c r="Q465" s="14">
        <f>MEDIAN(SalesTbl[Quantity])</f>
        <v>3</v>
      </c>
      <c r="R465" s="14">
        <f>IF(ISBLANK(SalesTbl[[#This Row],[Quantity]]),$H$2,SalesTbl[[#This Row],[Quantity]])</f>
        <v>3</v>
      </c>
      <c r="S465">
        <f>ROW()-ROW(SalesTbl[[#Headers],[Customer ID]])</f>
        <v>464</v>
      </c>
      <c r="T465" s="9" t="str">
        <f>IF(SalesTbl[[#This Row],[RowIdx]]&lt;=ROUNDUP(COUNTA(SalesTbl[Customer ID])*0.8,0),"Train","Test")</f>
        <v>Train</v>
      </c>
    </row>
    <row r="466" spans="1:20" x14ac:dyDescent="0.25">
      <c r="A466" t="s">
        <v>117</v>
      </c>
      <c r="B466" t="s">
        <v>20</v>
      </c>
      <c r="C466" t="s">
        <v>320</v>
      </c>
      <c r="D466" t="s">
        <v>14</v>
      </c>
      <c r="E466" t="s">
        <v>15</v>
      </c>
      <c r="F466">
        <v>29</v>
      </c>
      <c r="G466">
        <v>300</v>
      </c>
      <c r="H466">
        <v>4</v>
      </c>
      <c r="I466">
        <v>1200</v>
      </c>
      <c r="J466">
        <v>5.79</v>
      </c>
      <c r="K466" s="2">
        <v>45173</v>
      </c>
      <c r="L466" t="s">
        <v>317</v>
      </c>
      <c r="M466" s="6">
        <f>SalesTbl[[#This Row],[Unit Price]]*SalesTbl[[#This Row],[Quantity]]</f>
        <v>1200</v>
      </c>
      <c r="N466" s="6">
        <f>YEAR(SalesTbl[[#This Row],[Order Date]])</f>
        <v>2023</v>
      </c>
      <c r="O466" s="6" t="str">
        <f>TEXT(SalesTbl[[#This Row],[Order Date]],"yyyy-mm")</f>
        <v>2023-09</v>
      </c>
      <c r="P466" s="13">
        <f>WEEKNUM(SalesTbl[[#This Row],[Order Date]],2)</f>
        <v>37</v>
      </c>
      <c r="Q466" s="14">
        <f>MEDIAN(SalesTbl[Quantity])</f>
        <v>3</v>
      </c>
      <c r="R466" s="14">
        <f>IF(ISBLANK(SalesTbl[[#This Row],[Quantity]]),$H$2,SalesTbl[[#This Row],[Quantity]])</f>
        <v>4</v>
      </c>
      <c r="S466">
        <f>ROW()-ROW(SalesTbl[[#Headers],[Customer ID]])</f>
        <v>465</v>
      </c>
      <c r="T466" s="9" t="str">
        <f>IF(SalesTbl[[#This Row],[RowIdx]]&lt;=ROUNDUP(COUNTA(SalesTbl[Customer ID])*0.8,0),"Train","Test")</f>
        <v>Train</v>
      </c>
    </row>
    <row r="467" spans="1:20" x14ac:dyDescent="0.25">
      <c r="A467" t="s">
        <v>156</v>
      </c>
      <c r="B467" t="s">
        <v>20</v>
      </c>
      <c r="C467" t="s">
        <v>320</v>
      </c>
      <c r="D467" t="s">
        <v>40</v>
      </c>
      <c r="E467" t="s">
        <v>15</v>
      </c>
      <c r="F467">
        <v>54</v>
      </c>
      <c r="G467">
        <v>800</v>
      </c>
      <c r="H467">
        <v>1</v>
      </c>
      <c r="I467">
        <v>800</v>
      </c>
      <c r="J467">
        <v>13.72</v>
      </c>
      <c r="K467" s="2">
        <v>45168</v>
      </c>
      <c r="L467" t="s">
        <v>317</v>
      </c>
      <c r="M467" s="6">
        <f>SalesTbl[[#This Row],[Unit Price]]*SalesTbl[[#This Row],[Quantity]]</f>
        <v>800</v>
      </c>
      <c r="N467" s="6">
        <f>YEAR(SalesTbl[[#This Row],[Order Date]])</f>
        <v>2023</v>
      </c>
      <c r="O467" s="6" t="str">
        <f>TEXT(SalesTbl[[#This Row],[Order Date]],"yyyy-mm")</f>
        <v>2023-08</v>
      </c>
      <c r="P467" s="13">
        <f>WEEKNUM(SalesTbl[[#This Row],[Order Date]],2)</f>
        <v>36</v>
      </c>
      <c r="Q467" s="14">
        <f>MEDIAN(SalesTbl[Quantity])</f>
        <v>3</v>
      </c>
      <c r="R467" s="14">
        <f>IF(ISBLANK(SalesTbl[[#This Row],[Quantity]]),$H$2,SalesTbl[[#This Row],[Quantity]])</f>
        <v>1</v>
      </c>
      <c r="S467">
        <f>ROW()-ROW(SalesTbl[[#Headers],[Customer ID]])</f>
        <v>466</v>
      </c>
      <c r="T467" s="9" t="str">
        <f>IF(SalesTbl[[#This Row],[RowIdx]]&lt;=ROUNDUP(COUNTA(SalesTbl[Customer ID])*0.8,0),"Train","Test")</f>
        <v>Train</v>
      </c>
    </row>
    <row r="468" spans="1:20" x14ac:dyDescent="0.25">
      <c r="A468" t="s">
        <v>67</v>
      </c>
      <c r="B468" t="s">
        <v>13</v>
      </c>
      <c r="C468" t="s">
        <v>321</v>
      </c>
      <c r="D468" t="s">
        <v>29</v>
      </c>
      <c r="E468" t="s">
        <v>18</v>
      </c>
      <c r="F468">
        <v>68</v>
      </c>
      <c r="G468">
        <v>50</v>
      </c>
      <c r="H468">
        <v>3</v>
      </c>
      <c r="I468">
        <v>150</v>
      </c>
      <c r="J468">
        <v>8.99</v>
      </c>
      <c r="K468" s="2">
        <v>44959</v>
      </c>
      <c r="L468" t="s">
        <v>318</v>
      </c>
      <c r="M468" s="6">
        <f>SalesTbl[[#This Row],[Unit Price]]*SalesTbl[[#This Row],[Quantity]]</f>
        <v>150</v>
      </c>
      <c r="N468" s="6">
        <f>YEAR(SalesTbl[[#This Row],[Order Date]])</f>
        <v>2023</v>
      </c>
      <c r="O468" s="6" t="str">
        <f>TEXT(SalesTbl[[#This Row],[Order Date]],"yyyy-mm")</f>
        <v>2023-02</v>
      </c>
      <c r="P468" s="13">
        <f>WEEKNUM(SalesTbl[[#This Row],[Order Date]],2)</f>
        <v>6</v>
      </c>
      <c r="Q468" s="14">
        <f>MEDIAN(SalesTbl[Quantity])</f>
        <v>3</v>
      </c>
      <c r="R468" s="14">
        <f>IF(ISBLANK(SalesTbl[[#This Row],[Quantity]]),$H$2,SalesTbl[[#This Row],[Quantity]])</f>
        <v>3</v>
      </c>
      <c r="S468">
        <f>ROW()-ROW(SalesTbl[[#Headers],[Customer ID]])</f>
        <v>467</v>
      </c>
      <c r="T468" s="9" t="str">
        <f>IF(SalesTbl[[#This Row],[RowIdx]]&lt;=ROUNDUP(COUNTA(SalesTbl[Customer ID])*0.8,0),"Train","Test")</f>
        <v>Train</v>
      </c>
    </row>
    <row r="469" spans="1:20" x14ac:dyDescent="0.25">
      <c r="A469" t="s">
        <v>165</v>
      </c>
      <c r="B469" t="s">
        <v>13</v>
      </c>
      <c r="C469" t="s">
        <v>322</v>
      </c>
      <c r="D469" t="s">
        <v>14</v>
      </c>
      <c r="E469" t="s">
        <v>15</v>
      </c>
      <c r="F469">
        <v>66</v>
      </c>
      <c r="G469">
        <v>300</v>
      </c>
      <c r="H469">
        <v>4</v>
      </c>
      <c r="I469">
        <v>1200</v>
      </c>
      <c r="J469">
        <v>17.59</v>
      </c>
      <c r="K469" s="2">
        <v>45181</v>
      </c>
      <c r="L469" t="s">
        <v>316</v>
      </c>
      <c r="M469" s="6">
        <f>SalesTbl[[#This Row],[Unit Price]]*SalesTbl[[#This Row],[Quantity]]</f>
        <v>1200</v>
      </c>
      <c r="N469" s="6">
        <f>YEAR(SalesTbl[[#This Row],[Order Date]])</f>
        <v>2023</v>
      </c>
      <c r="O469" s="6" t="str">
        <f>TEXT(SalesTbl[[#This Row],[Order Date]],"yyyy-mm")</f>
        <v>2023-09</v>
      </c>
      <c r="P469" s="13">
        <f>WEEKNUM(SalesTbl[[#This Row],[Order Date]],2)</f>
        <v>38</v>
      </c>
      <c r="Q469" s="14">
        <f>MEDIAN(SalesTbl[Quantity])</f>
        <v>3</v>
      </c>
      <c r="R469" s="14">
        <f>IF(ISBLANK(SalesTbl[[#This Row],[Quantity]]),$H$2,SalesTbl[[#This Row],[Quantity]])</f>
        <v>4</v>
      </c>
      <c r="S469">
        <f>ROW()-ROW(SalesTbl[[#Headers],[Customer ID]])</f>
        <v>468</v>
      </c>
      <c r="T469" s="9" t="str">
        <f>IF(SalesTbl[[#This Row],[RowIdx]]&lt;=ROUNDUP(COUNTA(SalesTbl[Customer ID])*0.8,0),"Train","Test")</f>
        <v>Train</v>
      </c>
    </row>
    <row r="470" spans="1:20" x14ac:dyDescent="0.25">
      <c r="A470" t="s">
        <v>255</v>
      </c>
      <c r="B470" t="s">
        <v>13</v>
      </c>
      <c r="C470" t="s">
        <v>323</v>
      </c>
      <c r="D470" t="s">
        <v>29</v>
      </c>
      <c r="E470" t="s">
        <v>18</v>
      </c>
      <c r="F470">
        <v>39</v>
      </c>
      <c r="G470">
        <v>50</v>
      </c>
      <c r="H470">
        <v>4</v>
      </c>
      <c r="I470">
        <v>200</v>
      </c>
      <c r="J470">
        <v>13.51</v>
      </c>
      <c r="K470" s="2">
        <v>45281</v>
      </c>
      <c r="L470" t="s">
        <v>318</v>
      </c>
      <c r="M470" s="6">
        <f>SalesTbl[[#This Row],[Unit Price]]*SalesTbl[[#This Row],[Quantity]]</f>
        <v>200</v>
      </c>
      <c r="N470" s="6">
        <f>YEAR(SalesTbl[[#This Row],[Order Date]])</f>
        <v>2023</v>
      </c>
      <c r="O470" s="6" t="str">
        <f>TEXT(SalesTbl[[#This Row],[Order Date]],"yyyy-mm")</f>
        <v>2023-12</v>
      </c>
      <c r="P470" s="13">
        <f>WEEKNUM(SalesTbl[[#This Row],[Order Date]],2)</f>
        <v>52</v>
      </c>
      <c r="Q470" s="14">
        <f>MEDIAN(SalesTbl[Quantity])</f>
        <v>3</v>
      </c>
      <c r="R470" s="14">
        <f>IF(ISBLANK(SalesTbl[[#This Row],[Quantity]]),$H$2,SalesTbl[[#This Row],[Quantity]])</f>
        <v>4</v>
      </c>
      <c r="S470">
        <f>ROW()-ROW(SalesTbl[[#Headers],[Customer ID]])</f>
        <v>469</v>
      </c>
      <c r="T470" s="9" t="str">
        <f>IF(SalesTbl[[#This Row],[RowIdx]]&lt;=ROUNDUP(COUNTA(SalesTbl[Customer ID])*0.8,0),"Train","Test")</f>
        <v>Train</v>
      </c>
    </row>
    <row r="471" spans="1:20" x14ac:dyDescent="0.25">
      <c r="A471" t="s">
        <v>231</v>
      </c>
      <c r="B471" t="s">
        <v>13</v>
      </c>
      <c r="C471" t="s">
        <v>322</v>
      </c>
      <c r="D471" t="s">
        <v>40</v>
      </c>
      <c r="E471" t="s">
        <v>15</v>
      </c>
      <c r="F471">
        <v>64</v>
      </c>
      <c r="G471">
        <v>800</v>
      </c>
      <c r="H471">
        <v>1</v>
      </c>
      <c r="I471">
        <v>800</v>
      </c>
      <c r="J471">
        <v>19.149999999999999</v>
      </c>
      <c r="K471" s="2">
        <v>45206</v>
      </c>
      <c r="L471" t="s">
        <v>318</v>
      </c>
      <c r="M471" s="6">
        <f>SalesTbl[[#This Row],[Unit Price]]*SalesTbl[[#This Row],[Quantity]]</f>
        <v>800</v>
      </c>
      <c r="N471" s="6">
        <f>YEAR(SalesTbl[[#This Row],[Order Date]])</f>
        <v>2023</v>
      </c>
      <c r="O471" s="6" t="str">
        <f>TEXT(SalesTbl[[#This Row],[Order Date]],"yyyy-mm")</f>
        <v>2023-10</v>
      </c>
      <c r="P471" s="13">
        <f>WEEKNUM(SalesTbl[[#This Row],[Order Date]],2)</f>
        <v>41</v>
      </c>
      <c r="Q471" s="14">
        <f>MEDIAN(SalesTbl[Quantity])</f>
        <v>3</v>
      </c>
      <c r="R471" s="14">
        <f>IF(ISBLANK(SalesTbl[[#This Row],[Quantity]]),$H$2,SalesTbl[[#This Row],[Quantity]])</f>
        <v>1</v>
      </c>
      <c r="S471">
        <f>ROW()-ROW(SalesTbl[[#Headers],[Customer ID]])</f>
        <v>470</v>
      </c>
      <c r="T471" s="9" t="str">
        <f>IF(SalesTbl[[#This Row],[RowIdx]]&lt;=ROUNDUP(COUNTA(SalesTbl[Customer ID])*0.8,0),"Train","Test")</f>
        <v>Train</v>
      </c>
    </row>
    <row r="472" spans="1:20" x14ac:dyDescent="0.25">
      <c r="A472" t="s">
        <v>52</v>
      </c>
      <c r="B472" t="s">
        <v>20</v>
      </c>
      <c r="C472" t="s">
        <v>320</v>
      </c>
      <c r="D472" t="s">
        <v>29</v>
      </c>
      <c r="E472" t="s">
        <v>18</v>
      </c>
      <c r="F472">
        <v>57</v>
      </c>
      <c r="G472">
        <v>50</v>
      </c>
      <c r="H472">
        <v>2</v>
      </c>
      <c r="I472">
        <v>100</v>
      </c>
      <c r="J472">
        <v>16.78</v>
      </c>
      <c r="K472" s="2">
        <v>45246</v>
      </c>
      <c r="L472" t="s">
        <v>319</v>
      </c>
      <c r="M472" s="6">
        <f>SalesTbl[[#This Row],[Unit Price]]*SalesTbl[[#This Row],[Quantity]]</f>
        <v>100</v>
      </c>
      <c r="N472" s="6">
        <f>YEAR(SalesTbl[[#This Row],[Order Date]])</f>
        <v>2023</v>
      </c>
      <c r="O472" s="6" t="str">
        <f>TEXT(SalesTbl[[#This Row],[Order Date]],"yyyy-mm")</f>
        <v>2023-11</v>
      </c>
      <c r="P472" s="13">
        <f>WEEKNUM(SalesTbl[[#This Row],[Order Date]],2)</f>
        <v>47</v>
      </c>
      <c r="Q472" s="14">
        <f>MEDIAN(SalesTbl[Quantity])</f>
        <v>3</v>
      </c>
      <c r="R472" s="14">
        <f>IF(ISBLANK(SalesTbl[[#This Row],[Quantity]]),$H$2,SalesTbl[[#This Row],[Quantity]])</f>
        <v>2</v>
      </c>
      <c r="S472">
        <f>ROW()-ROW(SalesTbl[[#Headers],[Customer ID]])</f>
        <v>471</v>
      </c>
      <c r="T472" s="9" t="str">
        <f>IF(SalesTbl[[#This Row],[RowIdx]]&lt;=ROUNDUP(COUNTA(SalesTbl[Customer ID])*0.8,0),"Train","Test")</f>
        <v>Train</v>
      </c>
    </row>
    <row r="473" spans="1:20" x14ac:dyDescent="0.25">
      <c r="A473" t="s">
        <v>31</v>
      </c>
      <c r="B473" t="s">
        <v>13</v>
      </c>
      <c r="C473" t="s">
        <v>323</v>
      </c>
      <c r="D473" t="s">
        <v>14</v>
      </c>
      <c r="E473" t="s">
        <v>15</v>
      </c>
      <c r="F473">
        <v>49</v>
      </c>
      <c r="G473">
        <v>300</v>
      </c>
      <c r="H473">
        <v>5</v>
      </c>
      <c r="I473">
        <v>1500</v>
      </c>
      <c r="J473">
        <v>8.56</v>
      </c>
      <c r="K473" s="2">
        <v>45229</v>
      </c>
      <c r="L473" t="s">
        <v>317</v>
      </c>
      <c r="M473" s="6">
        <f>SalesTbl[[#This Row],[Unit Price]]*SalesTbl[[#This Row],[Quantity]]</f>
        <v>1500</v>
      </c>
      <c r="N473" s="6">
        <f>YEAR(SalesTbl[[#This Row],[Order Date]])</f>
        <v>2023</v>
      </c>
      <c r="O473" s="6" t="str">
        <f>TEXT(SalesTbl[[#This Row],[Order Date]],"yyyy-mm")</f>
        <v>2023-10</v>
      </c>
      <c r="P473" s="13">
        <f>WEEKNUM(SalesTbl[[#This Row],[Order Date]],2)</f>
        <v>45</v>
      </c>
      <c r="Q473" s="14">
        <f>MEDIAN(SalesTbl[Quantity])</f>
        <v>3</v>
      </c>
      <c r="R473" s="14">
        <f>IF(ISBLANK(SalesTbl[[#This Row],[Quantity]]),$H$2,SalesTbl[[#This Row],[Quantity]])</f>
        <v>5</v>
      </c>
      <c r="S473">
        <f>ROW()-ROW(SalesTbl[[#Headers],[Customer ID]])</f>
        <v>472</v>
      </c>
      <c r="T473" s="9" t="str">
        <f>IF(SalesTbl[[#This Row],[RowIdx]]&lt;=ROUNDUP(COUNTA(SalesTbl[Customer ID])*0.8,0),"Train","Test")</f>
        <v>Train</v>
      </c>
    </row>
    <row r="474" spans="1:20" x14ac:dyDescent="0.25">
      <c r="A474" t="s">
        <v>168</v>
      </c>
      <c r="B474" t="s">
        <v>13</v>
      </c>
      <c r="C474" t="s">
        <v>320</v>
      </c>
      <c r="D474" t="s">
        <v>30</v>
      </c>
      <c r="E474" t="s">
        <v>18</v>
      </c>
      <c r="F474">
        <v>42</v>
      </c>
      <c r="G474">
        <v>30</v>
      </c>
      <c r="H474">
        <v>5</v>
      </c>
      <c r="I474">
        <v>150</v>
      </c>
      <c r="J474">
        <v>9.26</v>
      </c>
      <c r="K474" s="2">
        <v>44978</v>
      </c>
      <c r="L474" t="s">
        <v>318</v>
      </c>
      <c r="M474" s="6">
        <f>SalesTbl[[#This Row],[Unit Price]]*SalesTbl[[#This Row],[Quantity]]</f>
        <v>150</v>
      </c>
      <c r="N474" s="6">
        <f>YEAR(SalesTbl[[#This Row],[Order Date]])</f>
        <v>2023</v>
      </c>
      <c r="O474" s="6" t="str">
        <f>TEXT(SalesTbl[[#This Row],[Order Date]],"yyyy-mm")</f>
        <v>2023-02</v>
      </c>
      <c r="P474" s="13">
        <f>WEEKNUM(SalesTbl[[#This Row],[Order Date]],2)</f>
        <v>9</v>
      </c>
      <c r="Q474" s="14">
        <f>MEDIAN(SalesTbl[Quantity])</f>
        <v>3</v>
      </c>
      <c r="R474" s="14">
        <f>IF(ISBLANK(SalesTbl[[#This Row],[Quantity]]),$H$2,SalesTbl[[#This Row],[Quantity]])</f>
        <v>5</v>
      </c>
      <c r="S474">
        <f>ROW()-ROW(SalesTbl[[#Headers],[Customer ID]])</f>
        <v>473</v>
      </c>
      <c r="T474" s="9" t="str">
        <f>IF(SalesTbl[[#This Row],[RowIdx]]&lt;=ROUNDUP(COUNTA(SalesTbl[Customer ID])*0.8,0),"Train","Test")</f>
        <v>Train</v>
      </c>
    </row>
    <row r="475" spans="1:20" x14ac:dyDescent="0.25">
      <c r="A475" t="s">
        <v>192</v>
      </c>
      <c r="B475" t="s">
        <v>13</v>
      </c>
      <c r="C475" t="s">
        <v>319</v>
      </c>
      <c r="D475" t="s">
        <v>14</v>
      </c>
      <c r="E475" t="s">
        <v>15</v>
      </c>
      <c r="F475">
        <v>28</v>
      </c>
      <c r="G475">
        <v>300</v>
      </c>
      <c r="H475">
        <v>5</v>
      </c>
      <c r="I475">
        <v>1500</v>
      </c>
      <c r="J475">
        <v>13.09</v>
      </c>
      <c r="K475" s="2">
        <v>44997</v>
      </c>
      <c r="L475" t="s">
        <v>318</v>
      </c>
      <c r="M475" s="6">
        <f>SalesTbl[[#This Row],[Unit Price]]*SalesTbl[[#This Row],[Quantity]]</f>
        <v>1500</v>
      </c>
      <c r="N475" s="6">
        <f>YEAR(SalesTbl[[#This Row],[Order Date]])</f>
        <v>2023</v>
      </c>
      <c r="O475" s="6" t="str">
        <f>TEXT(SalesTbl[[#This Row],[Order Date]],"yyyy-mm")</f>
        <v>2023-03</v>
      </c>
      <c r="P475" s="13">
        <f>WEEKNUM(SalesTbl[[#This Row],[Order Date]],2)</f>
        <v>11</v>
      </c>
      <c r="Q475" s="14">
        <f>MEDIAN(SalesTbl[Quantity])</f>
        <v>3</v>
      </c>
      <c r="R475" s="14">
        <f>IF(ISBLANK(SalesTbl[[#This Row],[Quantity]]),$H$2,SalesTbl[[#This Row],[Quantity]])</f>
        <v>5</v>
      </c>
      <c r="S475">
        <f>ROW()-ROW(SalesTbl[[#Headers],[Customer ID]])</f>
        <v>474</v>
      </c>
      <c r="T475" s="9" t="str">
        <f>IF(SalesTbl[[#This Row],[RowIdx]]&lt;=ROUNDUP(COUNTA(SalesTbl[Customer ID])*0.8,0),"Train","Test")</f>
        <v>Train</v>
      </c>
    </row>
    <row r="476" spans="1:20" x14ac:dyDescent="0.25">
      <c r="A476" t="s">
        <v>256</v>
      </c>
      <c r="B476" t="s">
        <v>20</v>
      </c>
      <c r="C476" t="s">
        <v>322</v>
      </c>
      <c r="D476" t="s">
        <v>30</v>
      </c>
      <c r="E476" t="s">
        <v>18</v>
      </c>
      <c r="F476">
        <v>36</v>
      </c>
      <c r="G476">
        <v>30</v>
      </c>
      <c r="H476">
        <v>5</v>
      </c>
      <c r="I476">
        <v>150</v>
      </c>
      <c r="J476">
        <v>6.58</v>
      </c>
      <c r="K476" s="2">
        <v>45216</v>
      </c>
      <c r="L476" t="s">
        <v>317</v>
      </c>
      <c r="M476" s="6">
        <f>SalesTbl[[#This Row],[Unit Price]]*SalesTbl[[#This Row],[Quantity]]</f>
        <v>150</v>
      </c>
      <c r="N476" s="6">
        <f>YEAR(SalesTbl[[#This Row],[Order Date]])</f>
        <v>2023</v>
      </c>
      <c r="O476" s="6" t="str">
        <f>TEXT(SalesTbl[[#This Row],[Order Date]],"yyyy-mm")</f>
        <v>2023-10</v>
      </c>
      <c r="P476" s="13">
        <f>WEEKNUM(SalesTbl[[#This Row],[Order Date]],2)</f>
        <v>43</v>
      </c>
      <c r="Q476" s="14">
        <f>MEDIAN(SalesTbl[Quantity])</f>
        <v>3</v>
      </c>
      <c r="R476" s="14">
        <f>IF(ISBLANK(SalesTbl[[#This Row],[Quantity]]),$H$2,SalesTbl[[#This Row],[Quantity]])</f>
        <v>5</v>
      </c>
      <c r="S476">
        <f>ROW()-ROW(SalesTbl[[#Headers],[Customer ID]])</f>
        <v>475</v>
      </c>
      <c r="T476" s="9" t="str">
        <f>IF(SalesTbl[[#This Row],[RowIdx]]&lt;=ROUNDUP(COUNTA(SalesTbl[Customer ID])*0.8,0),"Train","Test")</f>
        <v>Train</v>
      </c>
    </row>
    <row r="477" spans="1:20" x14ac:dyDescent="0.25">
      <c r="A477" t="s">
        <v>165</v>
      </c>
      <c r="B477" t="s">
        <v>20</v>
      </c>
      <c r="C477" t="s">
        <v>322</v>
      </c>
      <c r="D477" t="s">
        <v>30</v>
      </c>
      <c r="E477" t="s">
        <v>18</v>
      </c>
      <c r="F477">
        <v>66</v>
      </c>
      <c r="G477">
        <v>30</v>
      </c>
      <c r="H477">
        <v>2</v>
      </c>
      <c r="I477">
        <v>60</v>
      </c>
      <c r="J477">
        <v>12.21</v>
      </c>
      <c r="K477" s="2">
        <v>45082</v>
      </c>
      <c r="L477" t="s">
        <v>318</v>
      </c>
      <c r="M477" s="6">
        <f>SalesTbl[[#This Row],[Unit Price]]*SalesTbl[[#This Row],[Quantity]]</f>
        <v>60</v>
      </c>
      <c r="N477" s="6">
        <f>YEAR(SalesTbl[[#This Row],[Order Date]])</f>
        <v>2023</v>
      </c>
      <c r="O477" s="6" t="str">
        <f>TEXT(SalesTbl[[#This Row],[Order Date]],"yyyy-mm")</f>
        <v>2023-06</v>
      </c>
      <c r="P477" s="13">
        <f>WEEKNUM(SalesTbl[[#This Row],[Order Date]],2)</f>
        <v>24</v>
      </c>
      <c r="Q477" s="14">
        <f>MEDIAN(SalesTbl[Quantity])</f>
        <v>3</v>
      </c>
      <c r="R477" s="14">
        <f>IF(ISBLANK(SalesTbl[[#This Row],[Quantity]]),$H$2,SalesTbl[[#This Row],[Quantity]])</f>
        <v>2</v>
      </c>
      <c r="S477">
        <f>ROW()-ROW(SalesTbl[[#Headers],[Customer ID]])</f>
        <v>476</v>
      </c>
      <c r="T477" s="9" t="str">
        <f>IF(SalesTbl[[#This Row],[RowIdx]]&lt;=ROUNDUP(COUNTA(SalesTbl[Customer ID])*0.8,0),"Train","Test")</f>
        <v>Train</v>
      </c>
    </row>
    <row r="478" spans="1:20" x14ac:dyDescent="0.25">
      <c r="A478" t="s">
        <v>147</v>
      </c>
      <c r="B478" t="s">
        <v>13</v>
      </c>
      <c r="C478" t="s">
        <v>321</v>
      </c>
      <c r="D478" t="s">
        <v>14</v>
      </c>
      <c r="E478" t="s">
        <v>15</v>
      </c>
      <c r="F478">
        <v>58</v>
      </c>
      <c r="G478">
        <v>300</v>
      </c>
      <c r="H478">
        <v>4</v>
      </c>
      <c r="I478">
        <v>1200</v>
      </c>
      <c r="J478">
        <v>6.4</v>
      </c>
      <c r="K478" s="2">
        <v>44988</v>
      </c>
      <c r="L478" t="s">
        <v>318</v>
      </c>
      <c r="M478" s="6">
        <f>SalesTbl[[#This Row],[Unit Price]]*SalesTbl[[#This Row],[Quantity]]</f>
        <v>1200</v>
      </c>
      <c r="N478" s="6">
        <f>YEAR(SalesTbl[[#This Row],[Order Date]])</f>
        <v>2023</v>
      </c>
      <c r="O478" s="6" t="str">
        <f>TEXT(SalesTbl[[#This Row],[Order Date]],"yyyy-mm")</f>
        <v>2023-03</v>
      </c>
      <c r="P478" s="13">
        <f>WEEKNUM(SalesTbl[[#This Row],[Order Date]],2)</f>
        <v>10</v>
      </c>
      <c r="Q478" s="14">
        <f>MEDIAN(SalesTbl[Quantity])</f>
        <v>3</v>
      </c>
      <c r="R478" s="14">
        <f>IF(ISBLANK(SalesTbl[[#This Row],[Quantity]]),$H$2,SalesTbl[[#This Row],[Quantity]])</f>
        <v>4</v>
      </c>
      <c r="S478">
        <f>ROW()-ROW(SalesTbl[[#Headers],[Customer ID]])</f>
        <v>477</v>
      </c>
      <c r="T478" s="9" t="str">
        <f>IF(SalesTbl[[#This Row],[RowIdx]]&lt;=ROUNDUP(COUNTA(SalesTbl[Customer ID])*0.8,0),"Train","Test")</f>
        <v>Train</v>
      </c>
    </row>
    <row r="479" spans="1:20" x14ac:dyDescent="0.25">
      <c r="A479" t="s">
        <v>210</v>
      </c>
      <c r="B479" t="s">
        <v>13</v>
      </c>
      <c r="C479" t="s">
        <v>322</v>
      </c>
      <c r="D479" t="s">
        <v>40</v>
      </c>
      <c r="E479" t="s">
        <v>15</v>
      </c>
      <c r="F479">
        <v>54</v>
      </c>
      <c r="G479">
        <v>800</v>
      </c>
      <c r="H479">
        <v>5</v>
      </c>
      <c r="I479">
        <v>4000</v>
      </c>
      <c r="J479">
        <v>19.43</v>
      </c>
      <c r="K479" s="2">
        <v>45119</v>
      </c>
      <c r="L479" t="s">
        <v>317</v>
      </c>
      <c r="M479" s="6">
        <f>SalesTbl[[#This Row],[Unit Price]]*SalesTbl[[#This Row],[Quantity]]</f>
        <v>4000</v>
      </c>
      <c r="N479" s="6">
        <f>YEAR(SalesTbl[[#This Row],[Order Date]])</f>
        <v>2023</v>
      </c>
      <c r="O479" s="6" t="str">
        <f>TEXT(SalesTbl[[#This Row],[Order Date]],"yyyy-mm")</f>
        <v>2023-07</v>
      </c>
      <c r="P479" s="13">
        <f>WEEKNUM(SalesTbl[[#This Row],[Order Date]],2)</f>
        <v>29</v>
      </c>
      <c r="Q479" s="14">
        <f>MEDIAN(SalesTbl[Quantity])</f>
        <v>3</v>
      </c>
      <c r="R479" s="14">
        <f>IF(ISBLANK(SalesTbl[[#This Row],[Quantity]]),$H$2,SalesTbl[[#This Row],[Quantity]])</f>
        <v>5</v>
      </c>
      <c r="S479">
        <f>ROW()-ROW(SalesTbl[[#Headers],[Customer ID]])</f>
        <v>478</v>
      </c>
      <c r="T479" s="9" t="str">
        <f>IF(SalesTbl[[#This Row],[RowIdx]]&lt;=ROUNDUP(COUNTA(SalesTbl[Customer ID])*0.8,0),"Train","Test")</f>
        <v>Train</v>
      </c>
    </row>
    <row r="480" spans="1:20" x14ac:dyDescent="0.25">
      <c r="A480" t="s">
        <v>164</v>
      </c>
      <c r="B480" t="s">
        <v>20</v>
      </c>
      <c r="C480" t="s">
        <v>320</v>
      </c>
      <c r="D480" t="s">
        <v>14</v>
      </c>
      <c r="E480" t="s">
        <v>15</v>
      </c>
      <c r="F480">
        <v>57</v>
      </c>
      <c r="G480">
        <v>300</v>
      </c>
      <c r="H480">
        <v>1</v>
      </c>
      <c r="I480">
        <v>300</v>
      </c>
      <c r="J480">
        <v>15.49</v>
      </c>
      <c r="K480" s="2">
        <v>44962</v>
      </c>
      <c r="L480" t="s">
        <v>317</v>
      </c>
      <c r="M480" s="6">
        <f>SalesTbl[[#This Row],[Unit Price]]*SalesTbl[[#This Row],[Quantity]]</f>
        <v>300</v>
      </c>
      <c r="N480" s="6">
        <f>YEAR(SalesTbl[[#This Row],[Order Date]])</f>
        <v>2023</v>
      </c>
      <c r="O480" s="6" t="str">
        <f>TEXT(SalesTbl[[#This Row],[Order Date]],"yyyy-mm")</f>
        <v>2023-02</v>
      </c>
      <c r="P480" s="13">
        <f>WEEKNUM(SalesTbl[[#This Row],[Order Date]],2)</f>
        <v>6</v>
      </c>
      <c r="Q480" s="14">
        <f>MEDIAN(SalesTbl[Quantity])</f>
        <v>3</v>
      </c>
      <c r="R480" s="14">
        <f>IF(ISBLANK(SalesTbl[[#This Row],[Quantity]]),$H$2,SalesTbl[[#This Row],[Quantity]])</f>
        <v>1</v>
      </c>
      <c r="S480">
        <f>ROW()-ROW(SalesTbl[[#Headers],[Customer ID]])</f>
        <v>479</v>
      </c>
      <c r="T480" s="9" t="str">
        <f>IF(SalesTbl[[#This Row],[RowIdx]]&lt;=ROUNDUP(COUNTA(SalesTbl[Customer ID])*0.8,0),"Train","Test")</f>
        <v>Train</v>
      </c>
    </row>
    <row r="481" spans="1:20" x14ac:dyDescent="0.25">
      <c r="A481" t="s">
        <v>34</v>
      </c>
      <c r="B481" t="s">
        <v>13</v>
      </c>
      <c r="C481" t="s">
        <v>321</v>
      </c>
      <c r="D481" t="s">
        <v>40</v>
      </c>
      <c r="E481" t="s">
        <v>15</v>
      </c>
      <c r="F481">
        <v>49</v>
      </c>
      <c r="G481">
        <v>800</v>
      </c>
      <c r="H481">
        <v>3</v>
      </c>
      <c r="I481">
        <v>2400</v>
      </c>
      <c r="J481">
        <v>6.95</v>
      </c>
      <c r="K481" s="2">
        <v>45191</v>
      </c>
      <c r="L481" t="s">
        <v>316</v>
      </c>
      <c r="M481" s="6">
        <f>SalesTbl[[#This Row],[Unit Price]]*SalesTbl[[#This Row],[Quantity]]</f>
        <v>2400</v>
      </c>
      <c r="N481" s="6">
        <f>YEAR(SalesTbl[[#This Row],[Order Date]])</f>
        <v>2023</v>
      </c>
      <c r="O481" s="6" t="str">
        <f>TEXT(SalesTbl[[#This Row],[Order Date]],"yyyy-mm")</f>
        <v>2023-09</v>
      </c>
      <c r="P481" s="13">
        <f>WEEKNUM(SalesTbl[[#This Row],[Order Date]],2)</f>
        <v>39</v>
      </c>
      <c r="Q481" s="14">
        <f>MEDIAN(SalesTbl[Quantity])</f>
        <v>3</v>
      </c>
      <c r="R481" s="14">
        <f>IF(ISBLANK(SalesTbl[[#This Row],[Quantity]]),$H$2,SalesTbl[[#This Row],[Quantity]])</f>
        <v>3</v>
      </c>
      <c r="S481">
        <f>ROW()-ROW(SalesTbl[[#Headers],[Customer ID]])</f>
        <v>480</v>
      </c>
      <c r="T481" s="9" t="str">
        <f>IF(SalesTbl[[#This Row],[RowIdx]]&lt;=ROUNDUP(COUNTA(SalesTbl[Customer ID])*0.8,0),"Train","Test")</f>
        <v>Train</v>
      </c>
    </row>
    <row r="482" spans="1:20" x14ac:dyDescent="0.25">
      <c r="A482" t="s">
        <v>135</v>
      </c>
      <c r="B482" t="s">
        <v>13</v>
      </c>
      <c r="C482" t="s">
        <v>320</v>
      </c>
      <c r="D482" t="s">
        <v>23</v>
      </c>
      <c r="E482" t="s">
        <v>15</v>
      </c>
      <c r="F482">
        <v>54</v>
      </c>
      <c r="G482">
        <v>1500</v>
      </c>
      <c r="H482">
        <v>4</v>
      </c>
      <c r="I482">
        <v>6000</v>
      </c>
      <c r="J482">
        <v>5.05</v>
      </c>
      <c r="K482" s="2">
        <v>45119</v>
      </c>
      <c r="L482" t="s">
        <v>318</v>
      </c>
      <c r="M482" s="6">
        <f>SalesTbl[[#This Row],[Unit Price]]*SalesTbl[[#This Row],[Quantity]]</f>
        <v>6000</v>
      </c>
      <c r="N482" s="6">
        <f>YEAR(SalesTbl[[#This Row],[Order Date]])</f>
        <v>2023</v>
      </c>
      <c r="O482" s="6" t="str">
        <f>TEXT(SalesTbl[[#This Row],[Order Date]],"yyyy-mm")</f>
        <v>2023-07</v>
      </c>
      <c r="P482" s="13">
        <f>WEEKNUM(SalesTbl[[#This Row],[Order Date]],2)</f>
        <v>29</v>
      </c>
      <c r="Q482" s="14">
        <f>MEDIAN(SalesTbl[Quantity])</f>
        <v>3</v>
      </c>
      <c r="R482" s="14">
        <f>IF(ISBLANK(SalesTbl[[#This Row],[Quantity]]),$H$2,SalesTbl[[#This Row],[Quantity]])</f>
        <v>4</v>
      </c>
      <c r="S482">
        <f>ROW()-ROW(SalesTbl[[#Headers],[Customer ID]])</f>
        <v>481</v>
      </c>
      <c r="T482" s="9" t="str">
        <f>IF(SalesTbl[[#This Row],[RowIdx]]&lt;=ROUNDUP(COUNTA(SalesTbl[Customer ID])*0.8,0),"Train","Test")</f>
        <v>Train</v>
      </c>
    </row>
    <row r="483" spans="1:20" x14ac:dyDescent="0.25">
      <c r="A483" t="s">
        <v>43</v>
      </c>
      <c r="B483" t="s">
        <v>20</v>
      </c>
      <c r="C483" t="s">
        <v>321</v>
      </c>
      <c r="D483" t="s">
        <v>23</v>
      </c>
      <c r="E483" t="s">
        <v>15</v>
      </c>
      <c r="F483">
        <v>37</v>
      </c>
      <c r="G483">
        <v>1500</v>
      </c>
      <c r="H483">
        <v>1</v>
      </c>
      <c r="I483">
        <v>1500</v>
      </c>
      <c r="J483">
        <v>12.95</v>
      </c>
      <c r="K483" s="2">
        <v>45236</v>
      </c>
      <c r="L483" t="s">
        <v>316</v>
      </c>
      <c r="M483" s="6">
        <f>SalesTbl[[#This Row],[Unit Price]]*SalesTbl[[#This Row],[Quantity]]</f>
        <v>1500</v>
      </c>
      <c r="N483" s="6">
        <f>YEAR(SalesTbl[[#This Row],[Order Date]])</f>
        <v>2023</v>
      </c>
      <c r="O483" s="6" t="str">
        <f>TEXT(SalesTbl[[#This Row],[Order Date]],"yyyy-mm")</f>
        <v>2023-11</v>
      </c>
      <c r="P483" s="13">
        <f>WEEKNUM(SalesTbl[[#This Row],[Order Date]],2)</f>
        <v>46</v>
      </c>
      <c r="Q483" s="14">
        <f>MEDIAN(SalesTbl[Quantity])</f>
        <v>3</v>
      </c>
      <c r="R483" s="14">
        <f>IF(ISBLANK(SalesTbl[[#This Row],[Quantity]]),$H$2,SalesTbl[[#This Row],[Quantity]])</f>
        <v>1</v>
      </c>
      <c r="S483">
        <f>ROW()-ROW(SalesTbl[[#Headers],[Customer ID]])</f>
        <v>482</v>
      </c>
      <c r="T483" s="9" t="str">
        <f>IF(SalesTbl[[#This Row],[RowIdx]]&lt;=ROUNDUP(COUNTA(SalesTbl[Customer ID])*0.8,0),"Train","Test")</f>
        <v>Train</v>
      </c>
    </row>
    <row r="484" spans="1:20" x14ac:dyDescent="0.25">
      <c r="A484" t="s">
        <v>257</v>
      </c>
      <c r="B484" t="s">
        <v>20</v>
      </c>
      <c r="C484" t="s">
        <v>321</v>
      </c>
      <c r="D484" t="s">
        <v>17</v>
      </c>
      <c r="E484" t="s">
        <v>18</v>
      </c>
      <c r="F484">
        <v>58</v>
      </c>
      <c r="G484">
        <v>100</v>
      </c>
      <c r="H484">
        <v>5</v>
      </c>
      <c r="I484">
        <v>500</v>
      </c>
      <c r="J484">
        <v>19.98</v>
      </c>
      <c r="K484" s="2">
        <v>45151</v>
      </c>
      <c r="L484" t="s">
        <v>316</v>
      </c>
      <c r="M484" s="6">
        <f>SalesTbl[[#This Row],[Unit Price]]*SalesTbl[[#This Row],[Quantity]]</f>
        <v>500</v>
      </c>
      <c r="N484" s="6">
        <f>YEAR(SalesTbl[[#This Row],[Order Date]])</f>
        <v>2023</v>
      </c>
      <c r="O484" s="6" t="str">
        <f>TEXT(SalesTbl[[#This Row],[Order Date]],"yyyy-mm")</f>
        <v>2023-08</v>
      </c>
      <c r="P484" s="13">
        <f>WEEKNUM(SalesTbl[[#This Row],[Order Date]],2)</f>
        <v>33</v>
      </c>
      <c r="Q484" s="14">
        <f>MEDIAN(SalesTbl[Quantity])</f>
        <v>3</v>
      </c>
      <c r="R484" s="14">
        <f>IF(ISBLANK(SalesTbl[[#This Row],[Quantity]]),$H$2,SalesTbl[[#This Row],[Quantity]])</f>
        <v>5</v>
      </c>
      <c r="S484">
        <f>ROW()-ROW(SalesTbl[[#Headers],[Customer ID]])</f>
        <v>483</v>
      </c>
      <c r="T484" s="9" t="str">
        <f>IF(SalesTbl[[#This Row],[RowIdx]]&lt;=ROUNDUP(COUNTA(SalesTbl[Customer ID])*0.8,0),"Train","Test")</f>
        <v>Train</v>
      </c>
    </row>
    <row r="485" spans="1:20" x14ac:dyDescent="0.25">
      <c r="A485" t="s">
        <v>99</v>
      </c>
      <c r="B485" t="s">
        <v>13</v>
      </c>
      <c r="C485" t="s">
        <v>322</v>
      </c>
      <c r="D485" t="s">
        <v>40</v>
      </c>
      <c r="E485" t="s">
        <v>15</v>
      </c>
      <c r="F485">
        <v>19</v>
      </c>
      <c r="G485">
        <v>800</v>
      </c>
      <c r="H485">
        <v>4</v>
      </c>
      <c r="I485">
        <v>3200</v>
      </c>
      <c r="J485">
        <v>12.3</v>
      </c>
      <c r="K485" s="2">
        <v>44949</v>
      </c>
      <c r="L485" t="s">
        <v>318</v>
      </c>
      <c r="M485" s="6">
        <f>SalesTbl[[#This Row],[Unit Price]]*SalesTbl[[#This Row],[Quantity]]</f>
        <v>3200</v>
      </c>
      <c r="N485" s="6">
        <f>YEAR(SalesTbl[[#This Row],[Order Date]])</f>
        <v>2023</v>
      </c>
      <c r="O485" s="6" t="str">
        <f>TEXT(SalesTbl[[#This Row],[Order Date]],"yyyy-mm")</f>
        <v>2023-01</v>
      </c>
      <c r="P485" s="13">
        <f>WEEKNUM(SalesTbl[[#This Row],[Order Date]],2)</f>
        <v>5</v>
      </c>
      <c r="Q485" s="14">
        <f>MEDIAN(SalesTbl[Quantity])</f>
        <v>3</v>
      </c>
      <c r="R485" s="14">
        <f>IF(ISBLANK(SalesTbl[[#This Row],[Quantity]]),$H$2,SalesTbl[[#This Row],[Quantity]])</f>
        <v>4</v>
      </c>
      <c r="S485">
        <f>ROW()-ROW(SalesTbl[[#Headers],[Customer ID]])</f>
        <v>484</v>
      </c>
      <c r="T485" s="9" t="str">
        <f>IF(SalesTbl[[#This Row],[RowIdx]]&lt;=ROUNDUP(COUNTA(SalesTbl[Customer ID])*0.8,0),"Train","Test")</f>
        <v>Train</v>
      </c>
    </row>
    <row r="486" spans="1:20" x14ac:dyDescent="0.25">
      <c r="A486" t="s">
        <v>88</v>
      </c>
      <c r="B486" t="s">
        <v>20</v>
      </c>
      <c r="C486" t="s">
        <v>322</v>
      </c>
      <c r="D486" t="s">
        <v>14</v>
      </c>
      <c r="E486" t="s">
        <v>15</v>
      </c>
      <c r="F486">
        <v>50</v>
      </c>
      <c r="G486">
        <v>300</v>
      </c>
      <c r="H486">
        <v>4</v>
      </c>
      <c r="I486">
        <v>1200</v>
      </c>
      <c r="J486">
        <v>7.42</v>
      </c>
      <c r="K486" s="2">
        <v>45206</v>
      </c>
      <c r="L486" t="s">
        <v>318</v>
      </c>
      <c r="M486" s="6">
        <f>SalesTbl[[#This Row],[Unit Price]]*SalesTbl[[#This Row],[Quantity]]</f>
        <v>1200</v>
      </c>
      <c r="N486" s="6">
        <f>YEAR(SalesTbl[[#This Row],[Order Date]])</f>
        <v>2023</v>
      </c>
      <c r="O486" s="6" t="str">
        <f>TEXT(SalesTbl[[#This Row],[Order Date]],"yyyy-mm")</f>
        <v>2023-10</v>
      </c>
      <c r="P486" s="13">
        <f>WEEKNUM(SalesTbl[[#This Row],[Order Date]],2)</f>
        <v>41</v>
      </c>
      <c r="Q486" s="14">
        <f>MEDIAN(SalesTbl[Quantity])</f>
        <v>3</v>
      </c>
      <c r="R486" s="14">
        <f>IF(ISBLANK(SalesTbl[[#This Row],[Quantity]]),$H$2,SalesTbl[[#This Row],[Quantity]])</f>
        <v>4</v>
      </c>
      <c r="S486">
        <f>ROW()-ROW(SalesTbl[[#Headers],[Customer ID]])</f>
        <v>485</v>
      </c>
      <c r="T486" s="9" t="str">
        <f>IF(SalesTbl[[#This Row],[RowIdx]]&lt;=ROUNDUP(COUNTA(SalesTbl[Customer ID])*0.8,0),"Train","Test")</f>
        <v>Train</v>
      </c>
    </row>
    <row r="487" spans="1:20" x14ac:dyDescent="0.25">
      <c r="A487" t="s">
        <v>88</v>
      </c>
      <c r="B487" t="s">
        <v>20</v>
      </c>
      <c r="C487" t="s">
        <v>321</v>
      </c>
      <c r="D487" t="s">
        <v>30</v>
      </c>
      <c r="E487" t="s">
        <v>18</v>
      </c>
      <c r="F487">
        <v>50</v>
      </c>
      <c r="G487">
        <v>30</v>
      </c>
      <c r="H487">
        <v>1</v>
      </c>
      <c r="I487">
        <v>30</v>
      </c>
      <c r="J487">
        <v>15.21</v>
      </c>
      <c r="K487" s="2">
        <v>45245</v>
      </c>
      <c r="L487" t="s">
        <v>317</v>
      </c>
      <c r="M487" s="6">
        <f>SalesTbl[[#This Row],[Unit Price]]*SalesTbl[[#This Row],[Quantity]]</f>
        <v>30</v>
      </c>
      <c r="N487" s="6">
        <f>YEAR(SalesTbl[[#This Row],[Order Date]])</f>
        <v>2023</v>
      </c>
      <c r="O487" s="6" t="str">
        <f>TEXT(SalesTbl[[#This Row],[Order Date]],"yyyy-mm")</f>
        <v>2023-11</v>
      </c>
      <c r="P487" s="13">
        <f>WEEKNUM(SalesTbl[[#This Row],[Order Date]],2)</f>
        <v>47</v>
      </c>
      <c r="Q487" s="14">
        <f>MEDIAN(SalesTbl[Quantity])</f>
        <v>3</v>
      </c>
      <c r="R487" s="14">
        <f>IF(ISBLANK(SalesTbl[[#This Row],[Quantity]]),$H$2,SalesTbl[[#This Row],[Quantity]])</f>
        <v>1</v>
      </c>
      <c r="S487">
        <f>ROW()-ROW(SalesTbl[[#Headers],[Customer ID]])</f>
        <v>486</v>
      </c>
      <c r="T487" s="9" t="str">
        <f>IF(SalesTbl[[#This Row],[RowIdx]]&lt;=ROUNDUP(COUNTA(SalesTbl[Customer ID])*0.8,0),"Train","Test")</f>
        <v>Train</v>
      </c>
    </row>
    <row r="488" spans="1:20" x14ac:dyDescent="0.25">
      <c r="A488" t="s">
        <v>48</v>
      </c>
      <c r="B488" t="s">
        <v>20</v>
      </c>
      <c r="C488" t="s">
        <v>321</v>
      </c>
      <c r="D488" t="s">
        <v>14</v>
      </c>
      <c r="E488" t="s">
        <v>15</v>
      </c>
      <c r="F488">
        <v>59</v>
      </c>
      <c r="G488">
        <v>300</v>
      </c>
      <c r="H488">
        <v>3</v>
      </c>
      <c r="I488">
        <v>900</v>
      </c>
      <c r="J488">
        <v>19.8</v>
      </c>
      <c r="K488" s="2">
        <v>45286</v>
      </c>
      <c r="L488" t="s">
        <v>317</v>
      </c>
      <c r="M488" s="6">
        <f>SalesTbl[[#This Row],[Unit Price]]*SalesTbl[[#This Row],[Quantity]]</f>
        <v>900</v>
      </c>
      <c r="N488" s="6">
        <f>YEAR(SalesTbl[[#This Row],[Order Date]])</f>
        <v>2023</v>
      </c>
      <c r="O488" s="6" t="str">
        <f>TEXT(SalesTbl[[#This Row],[Order Date]],"yyyy-mm")</f>
        <v>2023-12</v>
      </c>
      <c r="P488" s="13">
        <f>WEEKNUM(SalesTbl[[#This Row],[Order Date]],2)</f>
        <v>53</v>
      </c>
      <c r="Q488" s="14">
        <f>MEDIAN(SalesTbl[Quantity])</f>
        <v>3</v>
      </c>
      <c r="R488" s="14">
        <f>IF(ISBLANK(SalesTbl[[#This Row],[Quantity]]),$H$2,SalesTbl[[#This Row],[Quantity]])</f>
        <v>3</v>
      </c>
      <c r="S488">
        <f>ROW()-ROW(SalesTbl[[#Headers],[Customer ID]])</f>
        <v>487</v>
      </c>
      <c r="T488" s="9" t="str">
        <f>IF(SalesTbl[[#This Row],[RowIdx]]&lt;=ROUNDUP(COUNTA(SalesTbl[Customer ID])*0.8,0),"Train","Test")</f>
        <v>Train</v>
      </c>
    </row>
    <row r="489" spans="1:20" x14ac:dyDescent="0.25">
      <c r="A489" t="s">
        <v>256</v>
      </c>
      <c r="B489" t="s">
        <v>20</v>
      </c>
      <c r="C489" t="s">
        <v>321</v>
      </c>
      <c r="D489" t="s">
        <v>30</v>
      </c>
      <c r="E489" t="s">
        <v>18</v>
      </c>
      <c r="F489">
        <v>49</v>
      </c>
      <c r="G489">
        <v>30</v>
      </c>
      <c r="H489">
        <v>5</v>
      </c>
      <c r="I489">
        <v>150</v>
      </c>
      <c r="J489">
        <v>13.14</v>
      </c>
      <c r="K489" s="2">
        <v>45241</v>
      </c>
      <c r="L489" t="s">
        <v>316</v>
      </c>
      <c r="M489" s="6">
        <f>SalesTbl[[#This Row],[Unit Price]]*SalesTbl[[#This Row],[Quantity]]</f>
        <v>150</v>
      </c>
      <c r="N489" s="6">
        <f>YEAR(SalesTbl[[#This Row],[Order Date]])</f>
        <v>2023</v>
      </c>
      <c r="O489" s="6" t="str">
        <f>TEXT(SalesTbl[[#This Row],[Order Date]],"yyyy-mm")</f>
        <v>2023-11</v>
      </c>
      <c r="P489" s="13">
        <f>WEEKNUM(SalesTbl[[#This Row],[Order Date]],2)</f>
        <v>46</v>
      </c>
      <c r="Q489" s="14">
        <f>MEDIAN(SalesTbl[Quantity])</f>
        <v>3</v>
      </c>
      <c r="R489" s="14">
        <f>IF(ISBLANK(SalesTbl[[#This Row],[Quantity]]),$H$2,SalesTbl[[#This Row],[Quantity]])</f>
        <v>5</v>
      </c>
      <c r="S489">
        <f>ROW()-ROW(SalesTbl[[#Headers],[Customer ID]])</f>
        <v>488</v>
      </c>
      <c r="T489" s="9" t="str">
        <f>IF(SalesTbl[[#This Row],[RowIdx]]&lt;=ROUNDUP(COUNTA(SalesTbl[Customer ID])*0.8,0),"Train","Test")</f>
        <v>Train</v>
      </c>
    </row>
    <row r="490" spans="1:20" x14ac:dyDescent="0.25">
      <c r="A490" t="s">
        <v>221</v>
      </c>
      <c r="B490" t="s">
        <v>13</v>
      </c>
      <c r="C490" t="s">
        <v>321</v>
      </c>
      <c r="D490" t="s">
        <v>17</v>
      </c>
      <c r="E490" t="s">
        <v>18</v>
      </c>
      <c r="F490">
        <v>49</v>
      </c>
      <c r="G490">
        <v>100</v>
      </c>
      <c r="H490">
        <v>5</v>
      </c>
      <c r="I490">
        <v>500</v>
      </c>
      <c r="J490">
        <v>15.78</v>
      </c>
      <c r="K490" s="2">
        <v>45037</v>
      </c>
      <c r="L490" t="s">
        <v>318</v>
      </c>
      <c r="M490" s="6">
        <f>SalesTbl[[#This Row],[Unit Price]]*SalesTbl[[#This Row],[Quantity]]</f>
        <v>500</v>
      </c>
      <c r="N490" s="6">
        <f>YEAR(SalesTbl[[#This Row],[Order Date]])</f>
        <v>2023</v>
      </c>
      <c r="O490" s="6" t="str">
        <f>TEXT(SalesTbl[[#This Row],[Order Date]],"yyyy-mm")</f>
        <v>2023-04</v>
      </c>
      <c r="P490" s="13">
        <f>WEEKNUM(SalesTbl[[#This Row],[Order Date]],2)</f>
        <v>17</v>
      </c>
      <c r="Q490" s="14">
        <f>MEDIAN(SalesTbl[Quantity])</f>
        <v>3</v>
      </c>
      <c r="R490" s="14">
        <f>IF(ISBLANK(SalesTbl[[#This Row],[Quantity]]),$H$2,SalesTbl[[#This Row],[Quantity]])</f>
        <v>5</v>
      </c>
      <c r="S490">
        <f>ROW()-ROW(SalesTbl[[#Headers],[Customer ID]])</f>
        <v>489</v>
      </c>
      <c r="T490" s="9" t="str">
        <f>IF(SalesTbl[[#This Row],[RowIdx]]&lt;=ROUNDUP(COUNTA(SalesTbl[Customer ID])*0.8,0),"Train","Test")</f>
        <v>Train</v>
      </c>
    </row>
    <row r="491" spans="1:20" x14ac:dyDescent="0.25">
      <c r="A491" t="s">
        <v>69</v>
      </c>
      <c r="B491" t="s">
        <v>13</v>
      </c>
      <c r="C491" t="s">
        <v>321</v>
      </c>
      <c r="D491" t="s">
        <v>29</v>
      </c>
      <c r="E491" t="s">
        <v>18</v>
      </c>
      <c r="F491">
        <v>67</v>
      </c>
      <c r="G491">
        <v>50</v>
      </c>
      <c r="H491">
        <v>5</v>
      </c>
      <c r="I491">
        <v>250</v>
      </c>
      <c r="J491">
        <v>5.81</v>
      </c>
      <c r="K491" s="2">
        <v>45064</v>
      </c>
      <c r="L491" t="s">
        <v>318</v>
      </c>
      <c r="M491" s="6">
        <f>SalesTbl[[#This Row],[Unit Price]]*SalesTbl[[#This Row],[Quantity]]</f>
        <v>250</v>
      </c>
      <c r="N491" s="6">
        <f>YEAR(SalesTbl[[#This Row],[Order Date]])</f>
        <v>2023</v>
      </c>
      <c r="O491" s="6" t="str">
        <f>TEXT(SalesTbl[[#This Row],[Order Date]],"yyyy-mm")</f>
        <v>2023-05</v>
      </c>
      <c r="P491" s="13">
        <f>WEEKNUM(SalesTbl[[#This Row],[Order Date]],2)</f>
        <v>21</v>
      </c>
      <c r="Q491" s="14">
        <f>MEDIAN(SalesTbl[Quantity])</f>
        <v>3</v>
      </c>
      <c r="R491" s="14">
        <f>IF(ISBLANK(SalesTbl[[#This Row],[Quantity]]),$H$2,SalesTbl[[#This Row],[Quantity]])</f>
        <v>5</v>
      </c>
      <c r="S491">
        <f>ROW()-ROW(SalesTbl[[#Headers],[Customer ID]])</f>
        <v>490</v>
      </c>
      <c r="T491" s="9" t="str">
        <f>IF(SalesTbl[[#This Row],[RowIdx]]&lt;=ROUNDUP(COUNTA(SalesTbl[Customer ID])*0.8,0),"Train","Test")</f>
        <v>Train</v>
      </c>
    </row>
    <row r="492" spans="1:20" x14ac:dyDescent="0.25">
      <c r="A492" t="s">
        <v>258</v>
      </c>
      <c r="B492" t="s">
        <v>13</v>
      </c>
      <c r="C492" t="s">
        <v>321</v>
      </c>
      <c r="D492" t="s">
        <v>17</v>
      </c>
      <c r="E492" t="s">
        <v>18</v>
      </c>
      <c r="F492">
        <v>55</v>
      </c>
      <c r="G492">
        <v>100</v>
      </c>
      <c r="H492">
        <v>5</v>
      </c>
      <c r="I492">
        <v>500</v>
      </c>
      <c r="J492">
        <v>7.98</v>
      </c>
      <c r="K492" s="2">
        <v>45062</v>
      </c>
      <c r="L492" t="s">
        <v>316</v>
      </c>
      <c r="M492" s="6">
        <f>SalesTbl[[#This Row],[Unit Price]]*SalesTbl[[#This Row],[Quantity]]</f>
        <v>500</v>
      </c>
      <c r="N492" s="6">
        <f>YEAR(SalesTbl[[#This Row],[Order Date]])</f>
        <v>2023</v>
      </c>
      <c r="O492" s="6" t="str">
        <f>TEXT(SalesTbl[[#This Row],[Order Date]],"yyyy-mm")</f>
        <v>2023-05</v>
      </c>
      <c r="P492" s="13">
        <f>WEEKNUM(SalesTbl[[#This Row],[Order Date]],2)</f>
        <v>21</v>
      </c>
      <c r="Q492" s="14">
        <f>MEDIAN(SalesTbl[Quantity])</f>
        <v>3</v>
      </c>
      <c r="R492" s="14">
        <f>IF(ISBLANK(SalesTbl[[#This Row],[Quantity]]),$H$2,SalesTbl[[#This Row],[Quantity]])</f>
        <v>5</v>
      </c>
      <c r="S492">
        <f>ROW()-ROW(SalesTbl[[#Headers],[Customer ID]])</f>
        <v>491</v>
      </c>
      <c r="T492" s="9" t="str">
        <f>IF(SalesTbl[[#This Row],[RowIdx]]&lt;=ROUNDUP(COUNTA(SalesTbl[Customer ID])*0.8,0),"Train","Test")</f>
        <v>Train</v>
      </c>
    </row>
    <row r="493" spans="1:20" x14ac:dyDescent="0.25">
      <c r="A493" t="s">
        <v>259</v>
      </c>
      <c r="B493" t="s">
        <v>20</v>
      </c>
      <c r="C493" t="s">
        <v>323</v>
      </c>
      <c r="D493" t="s">
        <v>30</v>
      </c>
      <c r="E493" t="s">
        <v>18</v>
      </c>
      <c r="F493">
        <v>49</v>
      </c>
      <c r="G493">
        <v>30</v>
      </c>
      <c r="H493">
        <v>5</v>
      </c>
      <c r="I493">
        <v>150</v>
      </c>
      <c r="J493">
        <v>19.829999999999998</v>
      </c>
      <c r="K493" s="2">
        <v>45180</v>
      </c>
      <c r="L493" t="s">
        <v>317</v>
      </c>
      <c r="M493" s="6">
        <f>SalesTbl[[#This Row],[Unit Price]]*SalesTbl[[#This Row],[Quantity]]</f>
        <v>150</v>
      </c>
      <c r="N493" s="6">
        <f>YEAR(SalesTbl[[#This Row],[Order Date]])</f>
        <v>2023</v>
      </c>
      <c r="O493" s="6" t="str">
        <f>TEXT(SalesTbl[[#This Row],[Order Date]],"yyyy-mm")</f>
        <v>2023-09</v>
      </c>
      <c r="P493" s="13">
        <f>WEEKNUM(SalesTbl[[#This Row],[Order Date]],2)</f>
        <v>38</v>
      </c>
      <c r="Q493" s="14">
        <f>MEDIAN(SalesTbl[Quantity])</f>
        <v>3</v>
      </c>
      <c r="R493" s="14">
        <f>IF(ISBLANK(SalesTbl[[#This Row],[Quantity]]),$H$2,SalesTbl[[#This Row],[Quantity]])</f>
        <v>5</v>
      </c>
      <c r="S493">
        <f>ROW()-ROW(SalesTbl[[#Headers],[Customer ID]])</f>
        <v>492</v>
      </c>
      <c r="T493" s="9" t="str">
        <f>IF(SalesTbl[[#This Row],[RowIdx]]&lt;=ROUNDUP(COUNTA(SalesTbl[Customer ID])*0.8,0),"Train","Test")</f>
        <v>Train</v>
      </c>
    </row>
    <row r="494" spans="1:20" x14ac:dyDescent="0.25">
      <c r="A494" t="s">
        <v>184</v>
      </c>
      <c r="B494" t="s">
        <v>13</v>
      </c>
      <c r="C494" t="s">
        <v>321</v>
      </c>
      <c r="D494" t="s">
        <v>40</v>
      </c>
      <c r="E494" t="s">
        <v>15</v>
      </c>
      <c r="F494">
        <v>51</v>
      </c>
      <c r="G494">
        <v>800</v>
      </c>
      <c r="H494">
        <v>5</v>
      </c>
      <c r="I494">
        <v>4000</v>
      </c>
      <c r="J494">
        <v>16.14</v>
      </c>
      <c r="K494" s="2">
        <v>45089</v>
      </c>
      <c r="L494" t="s">
        <v>316</v>
      </c>
      <c r="M494" s="6">
        <f>SalesTbl[[#This Row],[Unit Price]]*SalesTbl[[#This Row],[Quantity]]</f>
        <v>4000</v>
      </c>
      <c r="N494" s="6">
        <f>YEAR(SalesTbl[[#This Row],[Order Date]])</f>
        <v>2023</v>
      </c>
      <c r="O494" s="6" t="str">
        <f>TEXT(SalesTbl[[#This Row],[Order Date]],"yyyy-mm")</f>
        <v>2023-06</v>
      </c>
      <c r="P494" s="13">
        <f>WEEKNUM(SalesTbl[[#This Row],[Order Date]],2)</f>
        <v>25</v>
      </c>
      <c r="Q494" s="14">
        <f>MEDIAN(SalesTbl[Quantity])</f>
        <v>3</v>
      </c>
      <c r="R494" s="14">
        <f>IF(ISBLANK(SalesTbl[[#This Row],[Quantity]]),$H$2,SalesTbl[[#This Row],[Quantity]])</f>
        <v>5</v>
      </c>
      <c r="S494">
        <f>ROW()-ROW(SalesTbl[[#Headers],[Customer ID]])</f>
        <v>493</v>
      </c>
      <c r="T494" s="9" t="str">
        <f>IF(SalesTbl[[#This Row],[RowIdx]]&lt;=ROUNDUP(COUNTA(SalesTbl[Customer ID])*0.8,0),"Train","Test")</f>
        <v>Train</v>
      </c>
    </row>
    <row r="495" spans="1:20" x14ac:dyDescent="0.25">
      <c r="A495" t="s">
        <v>118</v>
      </c>
      <c r="B495" t="s">
        <v>20</v>
      </c>
      <c r="C495" t="s">
        <v>320</v>
      </c>
      <c r="D495" t="s">
        <v>30</v>
      </c>
      <c r="E495" t="s">
        <v>18</v>
      </c>
      <c r="F495">
        <v>37</v>
      </c>
      <c r="G495">
        <v>30</v>
      </c>
      <c r="H495">
        <v>4</v>
      </c>
      <c r="I495">
        <v>120</v>
      </c>
      <c r="J495">
        <v>9</v>
      </c>
      <c r="K495" s="2">
        <v>45294</v>
      </c>
      <c r="L495" t="s">
        <v>316</v>
      </c>
      <c r="M495" s="6">
        <f>SalesTbl[[#This Row],[Unit Price]]*SalesTbl[[#This Row],[Quantity]]</f>
        <v>120</v>
      </c>
      <c r="N495" s="6">
        <f>YEAR(SalesTbl[[#This Row],[Order Date]])</f>
        <v>2024</v>
      </c>
      <c r="O495" s="6" t="str">
        <f>TEXT(SalesTbl[[#This Row],[Order Date]],"yyyy-mm")</f>
        <v>2024-01</v>
      </c>
      <c r="P495" s="13">
        <f>WEEKNUM(SalesTbl[[#This Row],[Order Date]],2)</f>
        <v>1</v>
      </c>
      <c r="Q495" s="14">
        <f>MEDIAN(SalesTbl[Quantity])</f>
        <v>3</v>
      </c>
      <c r="R495" s="14">
        <f>IF(ISBLANK(SalesTbl[[#This Row],[Quantity]]),$H$2,SalesTbl[[#This Row],[Quantity]])</f>
        <v>4</v>
      </c>
      <c r="S495">
        <f>ROW()-ROW(SalesTbl[[#Headers],[Customer ID]])</f>
        <v>494</v>
      </c>
      <c r="T495" s="9" t="str">
        <f>IF(SalesTbl[[#This Row],[RowIdx]]&lt;=ROUNDUP(COUNTA(SalesTbl[Customer ID])*0.8,0),"Train","Test")</f>
        <v>Train</v>
      </c>
    </row>
    <row r="496" spans="1:20" x14ac:dyDescent="0.25">
      <c r="A496" t="s">
        <v>227</v>
      </c>
      <c r="B496" t="s">
        <v>20</v>
      </c>
      <c r="C496" t="s">
        <v>320</v>
      </c>
      <c r="D496" t="s">
        <v>40</v>
      </c>
      <c r="E496" t="s">
        <v>15</v>
      </c>
      <c r="F496">
        <v>66</v>
      </c>
      <c r="G496">
        <v>800</v>
      </c>
      <c r="H496">
        <v>1</v>
      </c>
      <c r="I496">
        <v>800</v>
      </c>
      <c r="J496">
        <v>16.420000000000002</v>
      </c>
      <c r="K496" s="2">
        <v>45195</v>
      </c>
      <c r="L496" t="s">
        <v>317</v>
      </c>
      <c r="M496" s="6">
        <f>SalesTbl[[#This Row],[Unit Price]]*SalesTbl[[#This Row],[Quantity]]</f>
        <v>800</v>
      </c>
      <c r="N496" s="6">
        <f>YEAR(SalesTbl[[#This Row],[Order Date]])</f>
        <v>2023</v>
      </c>
      <c r="O496" s="6" t="str">
        <f>TEXT(SalesTbl[[#This Row],[Order Date]],"yyyy-mm")</f>
        <v>2023-09</v>
      </c>
      <c r="P496" s="13">
        <f>WEEKNUM(SalesTbl[[#This Row],[Order Date]],2)</f>
        <v>40</v>
      </c>
      <c r="Q496" s="14">
        <f>MEDIAN(SalesTbl[Quantity])</f>
        <v>3</v>
      </c>
      <c r="R496" s="14">
        <f>IF(ISBLANK(SalesTbl[[#This Row],[Quantity]]),$H$2,SalesTbl[[#This Row],[Quantity]])</f>
        <v>1</v>
      </c>
      <c r="S496">
        <f>ROW()-ROW(SalesTbl[[#Headers],[Customer ID]])</f>
        <v>495</v>
      </c>
      <c r="T496" s="9" t="str">
        <f>IF(SalesTbl[[#This Row],[RowIdx]]&lt;=ROUNDUP(COUNTA(SalesTbl[Customer ID])*0.8,0),"Train","Test")</f>
        <v>Train</v>
      </c>
    </row>
    <row r="497" spans="1:20" x14ac:dyDescent="0.25">
      <c r="A497" t="s">
        <v>109</v>
      </c>
      <c r="B497" t="s">
        <v>20</v>
      </c>
      <c r="C497" t="s">
        <v>322</v>
      </c>
      <c r="D497" t="s">
        <v>23</v>
      </c>
      <c r="E497" t="s">
        <v>15</v>
      </c>
      <c r="F497">
        <v>57</v>
      </c>
      <c r="G497">
        <v>1500</v>
      </c>
      <c r="H497">
        <v>1</v>
      </c>
      <c r="I497">
        <v>1500</v>
      </c>
      <c r="J497">
        <v>9.69</v>
      </c>
      <c r="K497" s="2">
        <v>45252</v>
      </c>
      <c r="L497" t="s">
        <v>318</v>
      </c>
      <c r="M497" s="6">
        <f>SalesTbl[[#This Row],[Unit Price]]*SalesTbl[[#This Row],[Quantity]]</f>
        <v>1500</v>
      </c>
      <c r="N497" s="6">
        <f>YEAR(SalesTbl[[#This Row],[Order Date]])</f>
        <v>2023</v>
      </c>
      <c r="O497" s="6" t="str">
        <f>TEXT(SalesTbl[[#This Row],[Order Date]],"yyyy-mm")</f>
        <v>2023-11</v>
      </c>
      <c r="P497" s="13">
        <f>WEEKNUM(SalesTbl[[#This Row],[Order Date]],2)</f>
        <v>48</v>
      </c>
      <c r="Q497" s="14">
        <f>MEDIAN(SalesTbl[Quantity])</f>
        <v>3</v>
      </c>
      <c r="R497" s="14">
        <f>IF(ISBLANK(SalesTbl[[#This Row],[Quantity]]),$H$2,SalesTbl[[#This Row],[Quantity]])</f>
        <v>1</v>
      </c>
      <c r="S497">
        <f>ROW()-ROW(SalesTbl[[#Headers],[Customer ID]])</f>
        <v>496</v>
      </c>
      <c r="T497" s="9" t="str">
        <f>IF(SalesTbl[[#This Row],[RowIdx]]&lt;=ROUNDUP(COUNTA(SalesTbl[Customer ID])*0.8,0),"Train","Test")</f>
        <v>Train</v>
      </c>
    </row>
    <row r="498" spans="1:20" x14ac:dyDescent="0.25">
      <c r="A498" t="s">
        <v>230</v>
      </c>
      <c r="B498" t="s">
        <v>13</v>
      </c>
      <c r="C498" t="s">
        <v>323</v>
      </c>
      <c r="D498" t="s">
        <v>23</v>
      </c>
      <c r="E498" t="s">
        <v>15</v>
      </c>
      <c r="F498">
        <v>49</v>
      </c>
      <c r="G498">
        <v>1500</v>
      </c>
      <c r="H498">
        <v>4</v>
      </c>
      <c r="I498">
        <v>6000</v>
      </c>
      <c r="J498">
        <v>16.489999999999998</v>
      </c>
      <c r="K498" s="2">
        <v>45117</v>
      </c>
      <c r="L498" t="s">
        <v>318</v>
      </c>
      <c r="M498" s="6">
        <f>SalesTbl[[#This Row],[Unit Price]]*SalesTbl[[#This Row],[Quantity]]</f>
        <v>6000</v>
      </c>
      <c r="N498" s="6">
        <f>YEAR(SalesTbl[[#This Row],[Order Date]])</f>
        <v>2023</v>
      </c>
      <c r="O498" s="6" t="str">
        <f>TEXT(SalesTbl[[#This Row],[Order Date]],"yyyy-mm")</f>
        <v>2023-07</v>
      </c>
      <c r="P498" s="13">
        <f>WEEKNUM(SalesTbl[[#This Row],[Order Date]],2)</f>
        <v>29</v>
      </c>
      <c r="Q498" s="14">
        <f>MEDIAN(SalesTbl[Quantity])</f>
        <v>3</v>
      </c>
      <c r="R498" s="14">
        <f>IF(ISBLANK(SalesTbl[[#This Row],[Quantity]]),$H$2,SalesTbl[[#This Row],[Quantity]])</f>
        <v>4</v>
      </c>
      <c r="S498">
        <f>ROW()-ROW(SalesTbl[[#Headers],[Customer ID]])</f>
        <v>497</v>
      </c>
      <c r="T498" s="9" t="str">
        <f>IF(SalesTbl[[#This Row],[RowIdx]]&lt;=ROUNDUP(COUNTA(SalesTbl[Customer ID])*0.8,0),"Train","Test")</f>
        <v>Train</v>
      </c>
    </row>
    <row r="499" spans="1:20" x14ac:dyDescent="0.25">
      <c r="A499" t="s">
        <v>98</v>
      </c>
      <c r="B499" t="s">
        <v>13</v>
      </c>
      <c r="C499" t="s">
        <v>321</v>
      </c>
      <c r="D499" t="s">
        <v>29</v>
      </c>
      <c r="E499" t="s">
        <v>18</v>
      </c>
      <c r="F499">
        <v>40</v>
      </c>
      <c r="G499">
        <v>50</v>
      </c>
      <c r="H499">
        <v>2</v>
      </c>
      <c r="I499">
        <v>100</v>
      </c>
      <c r="J499">
        <v>14</v>
      </c>
      <c r="K499" s="2">
        <v>45253</v>
      </c>
      <c r="L499" t="s">
        <v>318</v>
      </c>
      <c r="M499" s="6">
        <f>SalesTbl[[#This Row],[Unit Price]]*SalesTbl[[#This Row],[Quantity]]</f>
        <v>100</v>
      </c>
      <c r="N499" s="6">
        <f>YEAR(SalesTbl[[#This Row],[Order Date]])</f>
        <v>2023</v>
      </c>
      <c r="O499" s="6" t="str">
        <f>TEXT(SalesTbl[[#This Row],[Order Date]],"yyyy-mm")</f>
        <v>2023-11</v>
      </c>
      <c r="P499" s="13">
        <f>WEEKNUM(SalesTbl[[#This Row],[Order Date]],2)</f>
        <v>48</v>
      </c>
      <c r="Q499" s="14">
        <f>MEDIAN(SalesTbl[Quantity])</f>
        <v>3</v>
      </c>
      <c r="R499" s="14">
        <f>IF(ISBLANK(SalesTbl[[#This Row],[Quantity]]),$H$2,SalesTbl[[#This Row],[Quantity]])</f>
        <v>2</v>
      </c>
      <c r="S499">
        <f>ROW()-ROW(SalesTbl[[#Headers],[Customer ID]])</f>
        <v>498</v>
      </c>
      <c r="T499" s="9" t="str">
        <f>IF(SalesTbl[[#This Row],[RowIdx]]&lt;=ROUNDUP(COUNTA(SalesTbl[Customer ID])*0.8,0),"Train","Test")</f>
        <v>Train</v>
      </c>
    </row>
    <row r="500" spans="1:20" x14ac:dyDescent="0.25">
      <c r="A500" t="s">
        <v>63</v>
      </c>
      <c r="B500" t="s">
        <v>20</v>
      </c>
      <c r="C500" t="s">
        <v>323</v>
      </c>
      <c r="D500" t="s">
        <v>23</v>
      </c>
      <c r="E500" t="s">
        <v>15</v>
      </c>
      <c r="F500">
        <v>61</v>
      </c>
      <c r="G500">
        <v>1500</v>
      </c>
      <c r="H500">
        <v>3</v>
      </c>
      <c r="I500">
        <v>4500</v>
      </c>
      <c r="J500">
        <v>12.21</v>
      </c>
      <c r="K500" s="2">
        <v>45227</v>
      </c>
      <c r="L500" t="s">
        <v>316</v>
      </c>
      <c r="M500" s="6">
        <f>SalesTbl[[#This Row],[Unit Price]]*SalesTbl[[#This Row],[Quantity]]</f>
        <v>4500</v>
      </c>
      <c r="N500" s="6">
        <f>YEAR(SalesTbl[[#This Row],[Order Date]])</f>
        <v>2023</v>
      </c>
      <c r="O500" s="6" t="str">
        <f>TEXT(SalesTbl[[#This Row],[Order Date]],"yyyy-mm")</f>
        <v>2023-10</v>
      </c>
      <c r="P500" s="13">
        <f>WEEKNUM(SalesTbl[[#This Row],[Order Date]],2)</f>
        <v>44</v>
      </c>
      <c r="Q500" s="14">
        <f>MEDIAN(SalesTbl[Quantity])</f>
        <v>3</v>
      </c>
      <c r="R500" s="14">
        <f>IF(ISBLANK(SalesTbl[[#This Row],[Quantity]]),$H$2,SalesTbl[[#This Row],[Quantity]])</f>
        <v>3</v>
      </c>
      <c r="S500">
        <f>ROW()-ROW(SalesTbl[[#Headers],[Customer ID]])</f>
        <v>499</v>
      </c>
      <c r="T500" s="9" t="str">
        <f>IF(SalesTbl[[#This Row],[RowIdx]]&lt;=ROUNDUP(COUNTA(SalesTbl[Customer ID])*0.8,0),"Train","Test")</f>
        <v>Train</v>
      </c>
    </row>
    <row r="501" spans="1:20" x14ac:dyDescent="0.25">
      <c r="A501" t="s">
        <v>228</v>
      </c>
      <c r="B501" t="s">
        <v>13</v>
      </c>
      <c r="C501" t="s">
        <v>320</v>
      </c>
      <c r="D501" t="s">
        <v>29</v>
      </c>
      <c r="E501" t="s">
        <v>18</v>
      </c>
      <c r="F501">
        <v>22</v>
      </c>
      <c r="G501">
        <v>50</v>
      </c>
      <c r="H501">
        <v>4</v>
      </c>
      <c r="I501">
        <v>200</v>
      </c>
      <c r="J501">
        <v>9.82</v>
      </c>
      <c r="K501" s="2">
        <v>44931</v>
      </c>
      <c r="L501" t="s">
        <v>318</v>
      </c>
      <c r="M501" s="6">
        <f>SalesTbl[[#This Row],[Unit Price]]*SalesTbl[[#This Row],[Quantity]]</f>
        <v>200</v>
      </c>
      <c r="N501" s="6">
        <f>YEAR(SalesTbl[[#This Row],[Order Date]])</f>
        <v>2023</v>
      </c>
      <c r="O501" s="6" t="str">
        <f>TEXT(SalesTbl[[#This Row],[Order Date]],"yyyy-mm")</f>
        <v>2023-01</v>
      </c>
      <c r="P501" s="13">
        <f>WEEKNUM(SalesTbl[[#This Row],[Order Date]],2)</f>
        <v>2</v>
      </c>
      <c r="Q501" s="14">
        <f>MEDIAN(SalesTbl[Quantity])</f>
        <v>3</v>
      </c>
      <c r="R501" s="14">
        <f>IF(ISBLANK(SalesTbl[[#This Row],[Quantity]]),$H$2,SalesTbl[[#This Row],[Quantity]])</f>
        <v>4</v>
      </c>
      <c r="S501">
        <f>ROW()-ROW(SalesTbl[[#Headers],[Customer ID]])</f>
        <v>500</v>
      </c>
      <c r="T501" s="9" t="str">
        <f>IF(SalesTbl[[#This Row],[RowIdx]]&lt;=ROUNDUP(COUNTA(SalesTbl[Customer ID])*0.8,0),"Train","Test")</f>
        <v>Train</v>
      </c>
    </row>
    <row r="502" spans="1:20" x14ac:dyDescent="0.25">
      <c r="A502" t="s">
        <v>235</v>
      </c>
      <c r="B502" t="s">
        <v>13</v>
      </c>
      <c r="C502" t="s">
        <v>320</v>
      </c>
      <c r="D502" t="s">
        <v>25</v>
      </c>
      <c r="E502" t="s">
        <v>26</v>
      </c>
      <c r="F502">
        <v>23</v>
      </c>
      <c r="G502">
        <v>200</v>
      </c>
      <c r="H502">
        <v>5</v>
      </c>
      <c r="I502">
        <v>1000</v>
      </c>
      <c r="J502">
        <v>14.5</v>
      </c>
      <c r="K502" s="2">
        <v>45245</v>
      </c>
      <c r="L502" t="s">
        <v>318</v>
      </c>
      <c r="M502" s="6">
        <f>SalesTbl[[#This Row],[Unit Price]]*SalesTbl[[#This Row],[Quantity]]</f>
        <v>1000</v>
      </c>
      <c r="N502" s="6">
        <f>YEAR(SalesTbl[[#This Row],[Order Date]])</f>
        <v>2023</v>
      </c>
      <c r="O502" s="6" t="str">
        <f>TEXT(SalesTbl[[#This Row],[Order Date]],"yyyy-mm")</f>
        <v>2023-11</v>
      </c>
      <c r="P502" s="13">
        <f>WEEKNUM(SalesTbl[[#This Row],[Order Date]],2)</f>
        <v>47</v>
      </c>
      <c r="Q502" s="14">
        <f>MEDIAN(SalesTbl[Quantity])</f>
        <v>3</v>
      </c>
      <c r="R502" s="14">
        <f>IF(ISBLANK(SalesTbl[[#This Row],[Quantity]]),$H$2,SalesTbl[[#This Row],[Quantity]])</f>
        <v>5</v>
      </c>
      <c r="S502">
        <f>ROW()-ROW(SalesTbl[[#Headers],[Customer ID]])</f>
        <v>501</v>
      </c>
      <c r="T502" s="9" t="str">
        <f>IF(SalesTbl[[#This Row],[RowIdx]]&lt;=ROUNDUP(COUNTA(SalesTbl[Customer ID])*0.8,0),"Train","Test")</f>
        <v>Train</v>
      </c>
    </row>
    <row r="503" spans="1:20" x14ac:dyDescent="0.25">
      <c r="A503" t="s">
        <v>207</v>
      </c>
      <c r="B503" t="s">
        <v>13</v>
      </c>
      <c r="C503" t="s">
        <v>320</v>
      </c>
      <c r="D503" t="s">
        <v>30</v>
      </c>
      <c r="E503" t="s">
        <v>18</v>
      </c>
      <c r="F503">
        <v>63</v>
      </c>
      <c r="G503">
        <v>30</v>
      </c>
      <c r="H503">
        <v>4</v>
      </c>
      <c r="I503">
        <v>120</v>
      </c>
      <c r="J503">
        <v>14.68</v>
      </c>
      <c r="K503" s="2">
        <v>44996</v>
      </c>
      <c r="L503" t="s">
        <v>316</v>
      </c>
      <c r="M503" s="6">
        <f>SalesTbl[[#This Row],[Unit Price]]*SalesTbl[[#This Row],[Quantity]]</f>
        <v>120</v>
      </c>
      <c r="N503" s="6">
        <f>YEAR(SalesTbl[[#This Row],[Order Date]])</f>
        <v>2023</v>
      </c>
      <c r="O503" s="6" t="str">
        <f>TEXT(SalesTbl[[#This Row],[Order Date]],"yyyy-mm")</f>
        <v>2023-03</v>
      </c>
      <c r="P503" s="13">
        <f>WEEKNUM(SalesTbl[[#This Row],[Order Date]],2)</f>
        <v>11</v>
      </c>
      <c r="Q503" s="14">
        <f>MEDIAN(SalesTbl[Quantity])</f>
        <v>3</v>
      </c>
      <c r="R503" s="14">
        <f>IF(ISBLANK(SalesTbl[[#This Row],[Quantity]]),$H$2,SalesTbl[[#This Row],[Quantity]])</f>
        <v>4</v>
      </c>
      <c r="S503">
        <f>ROW()-ROW(SalesTbl[[#Headers],[Customer ID]])</f>
        <v>502</v>
      </c>
      <c r="T503" s="9" t="str">
        <f>IF(SalesTbl[[#This Row],[RowIdx]]&lt;=ROUNDUP(COUNTA(SalesTbl[Customer ID])*0.8,0),"Train","Test")</f>
        <v>Train</v>
      </c>
    </row>
    <row r="504" spans="1:20" x14ac:dyDescent="0.25">
      <c r="A504" t="s">
        <v>99</v>
      </c>
      <c r="B504" t="s">
        <v>13</v>
      </c>
      <c r="C504" t="s">
        <v>321</v>
      </c>
      <c r="D504" t="s">
        <v>30</v>
      </c>
      <c r="E504" t="s">
        <v>18</v>
      </c>
      <c r="F504">
        <v>19</v>
      </c>
      <c r="G504">
        <v>30</v>
      </c>
      <c r="H504">
        <v>1</v>
      </c>
      <c r="I504">
        <v>30</v>
      </c>
      <c r="J504">
        <v>17.329999999999998</v>
      </c>
      <c r="K504" s="2">
        <v>45169</v>
      </c>
      <c r="L504" t="s">
        <v>318</v>
      </c>
      <c r="M504" s="6">
        <f>SalesTbl[[#This Row],[Unit Price]]*SalesTbl[[#This Row],[Quantity]]</f>
        <v>30</v>
      </c>
      <c r="N504" s="6">
        <f>YEAR(SalesTbl[[#This Row],[Order Date]])</f>
        <v>2023</v>
      </c>
      <c r="O504" s="6" t="str">
        <f>TEXT(SalesTbl[[#This Row],[Order Date]],"yyyy-mm")</f>
        <v>2023-08</v>
      </c>
      <c r="P504" s="13">
        <f>WEEKNUM(SalesTbl[[#This Row],[Order Date]],2)</f>
        <v>36</v>
      </c>
      <c r="Q504" s="14">
        <f>MEDIAN(SalesTbl[Quantity])</f>
        <v>3</v>
      </c>
      <c r="R504" s="14">
        <f>IF(ISBLANK(SalesTbl[[#This Row],[Quantity]]),$H$2,SalesTbl[[#This Row],[Quantity]])</f>
        <v>1</v>
      </c>
      <c r="S504">
        <f>ROW()-ROW(SalesTbl[[#Headers],[Customer ID]])</f>
        <v>503</v>
      </c>
      <c r="T504" s="9" t="str">
        <f>IF(SalesTbl[[#This Row],[RowIdx]]&lt;=ROUNDUP(COUNTA(SalesTbl[Customer ID])*0.8,0),"Train","Test")</f>
        <v>Train</v>
      </c>
    </row>
    <row r="505" spans="1:20" x14ac:dyDescent="0.25">
      <c r="A505" t="s">
        <v>159</v>
      </c>
      <c r="B505" t="s">
        <v>13</v>
      </c>
      <c r="C505" t="s">
        <v>320</v>
      </c>
      <c r="D505" t="s">
        <v>17</v>
      </c>
      <c r="E505" t="s">
        <v>18</v>
      </c>
      <c r="F505">
        <v>26</v>
      </c>
      <c r="G505">
        <v>100</v>
      </c>
      <c r="H505">
        <v>2</v>
      </c>
      <c r="I505">
        <v>200</v>
      </c>
      <c r="J505">
        <v>17.84</v>
      </c>
      <c r="K505" s="2">
        <v>45272</v>
      </c>
      <c r="L505" t="s">
        <v>318</v>
      </c>
      <c r="M505" s="6">
        <f>SalesTbl[[#This Row],[Unit Price]]*SalesTbl[[#This Row],[Quantity]]</f>
        <v>200</v>
      </c>
      <c r="N505" s="6">
        <f>YEAR(SalesTbl[[#This Row],[Order Date]])</f>
        <v>2023</v>
      </c>
      <c r="O505" s="6" t="str">
        <f>TEXT(SalesTbl[[#This Row],[Order Date]],"yyyy-mm")</f>
        <v>2023-12</v>
      </c>
      <c r="P505" s="13">
        <f>WEEKNUM(SalesTbl[[#This Row],[Order Date]],2)</f>
        <v>51</v>
      </c>
      <c r="Q505" s="14">
        <f>MEDIAN(SalesTbl[Quantity])</f>
        <v>3</v>
      </c>
      <c r="R505" s="14">
        <f>IF(ISBLANK(SalesTbl[[#This Row],[Quantity]]),$H$2,SalesTbl[[#This Row],[Quantity]])</f>
        <v>2</v>
      </c>
      <c r="S505">
        <f>ROW()-ROW(SalesTbl[[#Headers],[Customer ID]])</f>
        <v>504</v>
      </c>
      <c r="T505" s="9" t="str">
        <f>IF(SalesTbl[[#This Row],[RowIdx]]&lt;=ROUNDUP(COUNTA(SalesTbl[Customer ID])*0.8,0),"Train","Test")</f>
        <v>Train</v>
      </c>
    </row>
    <row r="506" spans="1:20" x14ac:dyDescent="0.25">
      <c r="A506" t="s">
        <v>260</v>
      </c>
      <c r="B506" t="s">
        <v>20</v>
      </c>
      <c r="C506" t="s">
        <v>320</v>
      </c>
      <c r="D506" t="s">
        <v>14</v>
      </c>
      <c r="E506" t="s">
        <v>15</v>
      </c>
      <c r="F506">
        <v>35</v>
      </c>
      <c r="G506">
        <v>300</v>
      </c>
      <c r="H506">
        <v>5</v>
      </c>
      <c r="I506">
        <v>1500</v>
      </c>
      <c r="J506">
        <v>19.579999999999998</v>
      </c>
      <c r="K506" s="2">
        <v>44948</v>
      </c>
      <c r="L506" t="s">
        <v>318</v>
      </c>
      <c r="M506" s="6">
        <f>SalesTbl[[#This Row],[Unit Price]]*SalesTbl[[#This Row],[Quantity]]</f>
        <v>1500</v>
      </c>
      <c r="N506" s="6">
        <f>YEAR(SalesTbl[[#This Row],[Order Date]])</f>
        <v>2023</v>
      </c>
      <c r="O506" s="6" t="str">
        <f>TEXT(SalesTbl[[#This Row],[Order Date]],"yyyy-mm")</f>
        <v>2023-01</v>
      </c>
      <c r="P506" s="13">
        <f>WEEKNUM(SalesTbl[[#This Row],[Order Date]],2)</f>
        <v>4</v>
      </c>
      <c r="Q506" s="14">
        <f>MEDIAN(SalesTbl[Quantity])</f>
        <v>3</v>
      </c>
      <c r="R506" s="14">
        <f>IF(ISBLANK(SalesTbl[[#This Row],[Quantity]]),$H$2,SalesTbl[[#This Row],[Quantity]])</f>
        <v>5</v>
      </c>
      <c r="S506">
        <f>ROW()-ROW(SalesTbl[[#Headers],[Customer ID]])</f>
        <v>505</v>
      </c>
      <c r="T506" s="9" t="str">
        <f>IF(SalesTbl[[#This Row],[RowIdx]]&lt;=ROUNDUP(COUNTA(SalesTbl[Customer ID])*0.8,0),"Train","Test")</f>
        <v>Train</v>
      </c>
    </row>
    <row r="507" spans="1:20" x14ac:dyDescent="0.25">
      <c r="A507" t="s">
        <v>160</v>
      </c>
      <c r="B507" t="s">
        <v>13</v>
      </c>
      <c r="C507" t="s">
        <v>322</v>
      </c>
      <c r="D507" t="s">
        <v>29</v>
      </c>
      <c r="E507" t="s">
        <v>18</v>
      </c>
      <c r="F507">
        <v>27</v>
      </c>
      <c r="G507">
        <v>50</v>
      </c>
      <c r="H507">
        <v>5</v>
      </c>
      <c r="I507">
        <v>250</v>
      </c>
      <c r="J507">
        <v>17.690000000000001</v>
      </c>
      <c r="K507" s="2">
        <v>45291</v>
      </c>
      <c r="L507" t="s">
        <v>317</v>
      </c>
      <c r="M507" s="6">
        <f>SalesTbl[[#This Row],[Unit Price]]*SalesTbl[[#This Row],[Quantity]]</f>
        <v>250</v>
      </c>
      <c r="N507" s="6">
        <f>YEAR(SalesTbl[[#This Row],[Order Date]])</f>
        <v>2023</v>
      </c>
      <c r="O507" s="6" t="str">
        <f>TEXT(SalesTbl[[#This Row],[Order Date]],"yyyy-mm")</f>
        <v>2023-12</v>
      </c>
      <c r="P507" s="13">
        <f>WEEKNUM(SalesTbl[[#This Row],[Order Date]],2)</f>
        <v>53</v>
      </c>
      <c r="Q507" s="14">
        <f>MEDIAN(SalesTbl[Quantity])</f>
        <v>3</v>
      </c>
      <c r="R507" s="14">
        <f>IF(ISBLANK(SalesTbl[[#This Row],[Quantity]]),$H$2,SalesTbl[[#This Row],[Quantity]])</f>
        <v>5</v>
      </c>
      <c r="S507">
        <f>ROW()-ROW(SalesTbl[[#Headers],[Customer ID]])</f>
        <v>506</v>
      </c>
      <c r="T507" s="9" t="str">
        <f>IF(SalesTbl[[#This Row],[RowIdx]]&lt;=ROUNDUP(COUNTA(SalesTbl[Customer ID])*0.8,0),"Train","Test")</f>
        <v>Train</v>
      </c>
    </row>
    <row r="508" spans="1:20" x14ac:dyDescent="0.25">
      <c r="A508" t="s">
        <v>261</v>
      </c>
      <c r="B508" t="s">
        <v>20</v>
      </c>
      <c r="C508" t="s">
        <v>323</v>
      </c>
      <c r="D508" t="s">
        <v>40</v>
      </c>
      <c r="E508" t="s">
        <v>15</v>
      </c>
      <c r="F508">
        <v>26</v>
      </c>
      <c r="G508">
        <v>800</v>
      </c>
      <c r="H508">
        <v>5</v>
      </c>
      <c r="I508">
        <v>4000</v>
      </c>
      <c r="J508">
        <v>18.989999999999998</v>
      </c>
      <c r="K508" s="2">
        <v>45291</v>
      </c>
      <c r="L508" t="s">
        <v>317</v>
      </c>
      <c r="M508" s="6">
        <f>SalesTbl[[#This Row],[Unit Price]]*SalesTbl[[#This Row],[Quantity]]</f>
        <v>4000</v>
      </c>
      <c r="N508" s="6">
        <f>YEAR(SalesTbl[[#This Row],[Order Date]])</f>
        <v>2023</v>
      </c>
      <c r="O508" s="6" t="str">
        <f>TEXT(SalesTbl[[#This Row],[Order Date]],"yyyy-mm")</f>
        <v>2023-12</v>
      </c>
      <c r="P508" s="13">
        <f>WEEKNUM(SalesTbl[[#This Row],[Order Date]],2)</f>
        <v>53</v>
      </c>
      <c r="Q508" s="14">
        <f>MEDIAN(SalesTbl[Quantity])</f>
        <v>3</v>
      </c>
      <c r="R508" s="14">
        <f>IF(ISBLANK(SalesTbl[[#This Row],[Quantity]]),$H$2,SalesTbl[[#This Row],[Quantity]])</f>
        <v>5</v>
      </c>
      <c r="S508">
        <f>ROW()-ROW(SalesTbl[[#Headers],[Customer ID]])</f>
        <v>507</v>
      </c>
      <c r="T508" s="9" t="str">
        <f>IF(SalesTbl[[#This Row],[RowIdx]]&lt;=ROUNDUP(COUNTA(SalesTbl[Customer ID])*0.8,0),"Train","Test")</f>
        <v>Train</v>
      </c>
    </row>
    <row r="509" spans="1:20" x14ac:dyDescent="0.25">
      <c r="A509" t="s">
        <v>21</v>
      </c>
      <c r="B509" t="s">
        <v>20</v>
      </c>
      <c r="C509" t="s">
        <v>322</v>
      </c>
      <c r="D509" t="s">
        <v>29</v>
      </c>
      <c r="E509" t="s">
        <v>18</v>
      </c>
      <c r="F509">
        <v>23</v>
      </c>
      <c r="G509">
        <v>50</v>
      </c>
      <c r="H509">
        <v>5</v>
      </c>
      <c r="I509">
        <v>250</v>
      </c>
      <c r="J509">
        <v>17.96</v>
      </c>
      <c r="K509" s="2">
        <v>45156</v>
      </c>
      <c r="L509" t="s">
        <v>317</v>
      </c>
      <c r="M509" s="6">
        <f>SalesTbl[[#This Row],[Unit Price]]*SalesTbl[[#This Row],[Quantity]]</f>
        <v>250</v>
      </c>
      <c r="N509" s="6">
        <f>YEAR(SalesTbl[[#This Row],[Order Date]])</f>
        <v>2023</v>
      </c>
      <c r="O509" s="6" t="str">
        <f>TEXT(SalesTbl[[#This Row],[Order Date]],"yyyy-mm")</f>
        <v>2023-08</v>
      </c>
      <c r="P509" s="13">
        <f>WEEKNUM(SalesTbl[[#This Row],[Order Date]],2)</f>
        <v>34</v>
      </c>
      <c r="Q509" s="14">
        <f>MEDIAN(SalesTbl[Quantity])</f>
        <v>3</v>
      </c>
      <c r="R509" s="14">
        <f>IF(ISBLANK(SalesTbl[[#This Row],[Quantity]]),$H$2,SalesTbl[[#This Row],[Quantity]])</f>
        <v>5</v>
      </c>
      <c r="S509">
        <f>ROW()-ROW(SalesTbl[[#Headers],[Customer ID]])</f>
        <v>508</v>
      </c>
      <c r="T509" s="9" t="str">
        <f>IF(SalesTbl[[#This Row],[RowIdx]]&lt;=ROUNDUP(COUNTA(SalesTbl[Customer ID])*0.8,0),"Train","Test")</f>
        <v>Train</v>
      </c>
    </row>
    <row r="510" spans="1:20" x14ac:dyDescent="0.25">
      <c r="A510" t="s">
        <v>33</v>
      </c>
      <c r="B510" t="s">
        <v>20</v>
      </c>
      <c r="C510" t="s">
        <v>323</v>
      </c>
      <c r="D510" t="s">
        <v>23</v>
      </c>
      <c r="E510" t="s">
        <v>15</v>
      </c>
      <c r="F510">
        <v>67</v>
      </c>
      <c r="G510">
        <v>1500</v>
      </c>
      <c r="H510">
        <v>1</v>
      </c>
      <c r="I510">
        <v>1500</v>
      </c>
      <c r="J510">
        <v>11.14</v>
      </c>
      <c r="K510" s="2">
        <v>45102</v>
      </c>
      <c r="L510" t="s">
        <v>317</v>
      </c>
      <c r="M510" s="6">
        <f>SalesTbl[[#This Row],[Unit Price]]*SalesTbl[[#This Row],[Quantity]]</f>
        <v>1500</v>
      </c>
      <c r="N510" s="6">
        <f>YEAR(SalesTbl[[#This Row],[Order Date]])</f>
        <v>2023</v>
      </c>
      <c r="O510" s="6" t="str">
        <f>TEXT(SalesTbl[[#This Row],[Order Date]],"yyyy-mm")</f>
        <v>2023-06</v>
      </c>
      <c r="P510" s="13">
        <f>WEEKNUM(SalesTbl[[#This Row],[Order Date]],2)</f>
        <v>26</v>
      </c>
      <c r="Q510" s="14">
        <f>MEDIAN(SalesTbl[Quantity])</f>
        <v>3</v>
      </c>
      <c r="R510" s="14">
        <f>IF(ISBLANK(SalesTbl[[#This Row],[Quantity]]),$H$2,SalesTbl[[#This Row],[Quantity]])</f>
        <v>1</v>
      </c>
      <c r="S510">
        <f>ROW()-ROW(SalesTbl[[#Headers],[Customer ID]])</f>
        <v>509</v>
      </c>
      <c r="T510" s="9" t="str">
        <f>IF(SalesTbl[[#This Row],[RowIdx]]&lt;=ROUNDUP(COUNTA(SalesTbl[Customer ID])*0.8,0),"Train","Test")</f>
        <v>Train</v>
      </c>
    </row>
    <row r="511" spans="1:20" x14ac:dyDescent="0.25">
      <c r="A511" t="s">
        <v>219</v>
      </c>
      <c r="B511" t="s">
        <v>20</v>
      </c>
      <c r="C511" t="s">
        <v>321</v>
      </c>
      <c r="D511" t="s">
        <v>23</v>
      </c>
      <c r="E511" t="s">
        <v>15</v>
      </c>
      <c r="F511">
        <v>41</v>
      </c>
      <c r="G511">
        <v>1500</v>
      </c>
      <c r="H511">
        <v>1</v>
      </c>
      <c r="I511">
        <v>1500</v>
      </c>
      <c r="J511">
        <v>14.86</v>
      </c>
      <c r="K511" s="2">
        <v>45220</v>
      </c>
      <c r="L511" t="s">
        <v>316</v>
      </c>
      <c r="M511" s="6">
        <f>SalesTbl[[#This Row],[Unit Price]]*SalesTbl[[#This Row],[Quantity]]</f>
        <v>1500</v>
      </c>
      <c r="N511" s="6">
        <f>YEAR(SalesTbl[[#This Row],[Order Date]])</f>
        <v>2023</v>
      </c>
      <c r="O511" s="6" t="str">
        <f>TEXT(SalesTbl[[#This Row],[Order Date]],"yyyy-mm")</f>
        <v>2023-10</v>
      </c>
      <c r="P511" s="13">
        <f>WEEKNUM(SalesTbl[[#This Row],[Order Date]],2)</f>
        <v>43</v>
      </c>
      <c r="Q511" s="14">
        <f>MEDIAN(SalesTbl[Quantity])</f>
        <v>3</v>
      </c>
      <c r="R511" s="14">
        <f>IF(ISBLANK(SalesTbl[[#This Row],[Quantity]]),$H$2,SalesTbl[[#This Row],[Quantity]])</f>
        <v>1</v>
      </c>
      <c r="S511">
        <f>ROW()-ROW(SalesTbl[[#Headers],[Customer ID]])</f>
        <v>510</v>
      </c>
      <c r="T511" s="9" t="str">
        <f>IF(SalesTbl[[#This Row],[RowIdx]]&lt;=ROUNDUP(COUNTA(SalesTbl[Customer ID])*0.8,0),"Train","Test")</f>
        <v>Train</v>
      </c>
    </row>
    <row r="512" spans="1:20" x14ac:dyDescent="0.25">
      <c r="A512" t="s">
        <v>112</v>
      </c>
      <c r="B512" t="s">
        <v>13</v>
      </c>
      <c r="C512" t="s">
        <v>321</v>
      </c>
      <c r="D512" t="s">
        <v>30</v>
      </c>
      <c r="E512" t="s">
        <v>18</v>
      </c>
      <c r="F512">
        <v>49</v>
      </c>
      <c r="G512">
        <v>30</v>
      </c>
      <c r="H512">
        <v>2</v>
      </c>
      <c r="I512">
        <v>60</v>
      </c>
      <c r="J512">
        <v>6.54</v>
      </c>
      <c r="K512" s="2">
        <v>45251</v>
      </c>
      <c r="L512" t="s">
        <v>316</v>
      </c>
      <c r="M512" s="6">
        <f>SalesTbl[[#This Row],[Unit Price]]*SalesTbl[[#This Row],[Quantity]]</f>
        <v>60</v>
      </c>
      <c r="N512" s="6">
        <f>YEAR(SalesTbl[[#This Row],[Order Date]])</f>
        <v>2023</v>
      </c>
      <c r="O512" s="6" t="str">
        <f>TEXT(SalesTbl[[#This Row],[Order Date]],"yyyy-mm")</f>
        <v>2023-11</v>
      </c>
      <c r="P512" s="13">
        <f>WEEKNUM(SalesTbl[[#This Row],[Order Date]],2)</f>
        <v>48</v>
      </c>
      <c r="Q512" s="14">
        <f>MEDIAN(SalesTbl[Quantity])</f>
        <v>3</v>
      </c>
      <c r="R512" s="14">
        <f>IF(ISBLANK(SalesTbl[[#This Row],[Quantity]]),$H$2,SalesTbl[[#This Row],[Quantity]])</f>
        <v>2</v>
      </c>
      <c r="S512">
        <f>ROW()-ROW(SalesTbl[[#Headers],[Customer ID]])</f>
        <v>511</v>
      </c>
      <c r="T512" s="9" t="str">
        <f>IF(SalesTbl[[#This Row],[RowIdx]]&lt;=ROUNDUP(COUNTA(SalesTbl[Customer ID])*0.8,0),"Train","Test")</f>
        <v>Train</v>
      </c>
    </row>
    <row r="513" spans="1:20" x14ac:dyDescent="0.25">
      <c r="A513" t="s">
        <v>219</v>
      </c>
      <c r="B513" t="s">
        <v>13</v>
      </c>
      <c r="C513" t="s">
        <v>323</v>
      </c>
      <c r="D513" t="s">
        <v>17</v>
      </c>
      <c r="E513" t="s">
        <v>18</v>
      </c>
      <c r="F513">
        <v>41</v>
      </c>
      <c r="G513">
        <v>207.30404083244301</v>
      </c>
      <c r="H513">
        <v>2</v>
      </c>
      <c r="I513">
        <v>200</v>
      </c>
      <c r="J513">
        <v>9.15</v>
      </c>
      <c r="K513" s="2">
        <v>45039</v>
      </c>
      <c r="L513" t="s">
        <v>316</v>
      </c>
      <c r="M513" s="6">
        <f>SalesTbl[[#This Row],[Unit Price]]*SalesTbl[[#This Row],[Quantity]]</f>
        <v>414.60808166488602</v>
      </c>
      <c r="N513" s="6">
        <f>YEAR(SalesTbl[[#This Row],[Order Date]])</f>
        <v>2023</v>
      </c>
      <c r="O513" s="6" t="str">
        <f>TEXT(SalesTbl[[#This Row],[Order Date]],"yyyy-mm")</f>
        <v>2023-04</v>
      </c>
      <c r="P513" s="13">
        <f>WEEKNUM(SalesTbl[[#This Row],[Order Date]],2)</f>
        <v>17</v>
      </c>
      <c r="Q513" s="14">
        <f>MEDIAN(SalesTbl[Quantity])</f>
        <v>3</v>
      </c>
      <c r="R513" s="14">
        <f>IF(ISBLANK(SalesTbl[[#This Row],[Quantity]]),$H$2,SalesTbl[[#This Row],[Quantity]])</f>
        <v>2</v>
      </c>
      <c r="S513">
        <f>ROW()-ROW(SalesTbl[[#Headers],[Customer ID]])</f>
        <v>512</v>
      </c>
      <c r="T513" s="9" t="str">
        <f>IF(SalesTbl[[#This Row],[RowIdx]]&lt;=ROUNDUP(COUNTA(SalesTbl[Customer ID])*0.8,0),"Train","Test")</f>
        <v>Train</v>
      </c>
    </row>
    <row r="514" spans="1:20" x14ac:dyDescent="0.25">
      <c r="A514" t="s">
        <v>96</v>
      </c>
      <c r="B514" t="s">
        <v>13</v>
      </c>
      <c r="C514" t="s">
        <v>323</v>
      </c>
      <c r="D514" t="s">
        <v>14</v>
      </c>
      <c r="E514" t="s">
        <v>15</v>
      </c>
      <c r="F514">
        <v>64</v>
      </c>
      <c r="G514">
        <v>300</v>
      </c>
      <c r="H514">
        <v>4</v>
      </c>
      <c r="I514">
        <v>1200</v>
      </c>
      <c r="J514">
        <v>13.49</v>
      </c>
      <c r="K514" s="2">
        <v>45178</v>
      </c>
      <c r="L514" t="s">
        <v>316</v>
      </c>
      <c r="M514" s="6">
        <f>SalesTbl[[#This Row],[Unit Price]]*SalesTbl[[#This Row],[Quantity]]</f>
        <v>1200</v>
      </c>
      <c r="N514" s="6">
        <f>YEAR(SalesTbl[[#This Row],[Order Date]])</f>
        <v>2023</v>
      </c>
      <c r="O514" s="6" t="str">
        <f>TEXT(SalesTbl[[#This Row],[Order Date]],"yyyy-mm")</f>
        <v>2023-09</v>
      </c>
      <c r="P514" s="13">
        <f>WEEKNUM(SalesTbl[[#This Row],[Order Date]],2)</f>
        <v>37</v>
      </c>
      <c r="Q514" s="14">
        <f>MEDIAN(SalesTbl[Quantity])</f>
        <v>3</v>
      </c>
      <c r="R514" s="14">
        <f>IF(ISBLANK(SalesTbl[[#This Row],[Quantity]]),$H$2,SalesTbl[[#This Row],[Quantity]])</f>
        <v>4</v>
      </c>
      <c r="S514">
        <f>ROW()-ROW(SalesTbl[[#Headers],[Customer ID]])</f>
        <v>513</v>
      </c>
      <c r="T514" s="9" t="str">
        <f>IF(SalesTbl[[#This Row],[RowIdx]]&lt;=ROUNDUP(COUNTA(SalesTbl[Customer ID])*0.8,0),"Train","Test")</f>
        <v>Train</v>
      </c>
    </row>
    <row r="515" spans="1:20" x14ac:dyDescent="0.25">
      <c r="A515" t="s">
        <v>95</v>
      </c>
      <c r="B515" t="s">
        <v>13</v>
      </c>
      <c r="C515" t="s">
        <v>320</v>
      </c>
      <c r="D515" t="s">
        <v>23</v>
      </c>
      <c r="E515" t="s">
        <v>15</v>
      </c>
      <c r="F515">
        <v>49</v>
      </c>
      <c r="G515">
        <v>1500</v>
      </c>
      <c r="H515">
        <v>2</v>
      </c>
      <c r="I515">
        <v>3000</v>
      </c>
      <c r="J515">
        <v>8.24</v>
      </c>
      <c r="K515" s="2">
        <v>45031</v>
      </c>
      <c r="L515" t="s">
        <v>318</v>
      </c>
      <c r="M515" s="6">
        <f>SalesTbl[[#This Row],[Unit Price]]*SalesTbl[[#This Row],[Quantity]]</f>
        <v>3000</v>
      </c>
      <c r="N515" s="6">
        <f>YEAR(SalesTbl[[#This Row],[Order Date]])</f>
        <v>2023</v>
      </c>
      <c r="O515" s="6" t="str">
        <f>TEXT(SalesTbl[[#This Row],[Order Date]],"yyyy-mm")</f>
        <v>2023-04</v>
      </c>
      <c r="P515" s="13">
        <f>WEEKNUM(SalesTbl[[#This Row],[Order Date]],2)</f>
        <v>16</v>
      </c>
      <c r="Q515" s="14">
        <f>MEDIAN(SalesTbl[Quantity])</f>
        <v>3</v>
      </c>
      <c r="R515" s="14">
        <f>IF(ISBLANK(SalesTbl[[#This Row],[Quantity]]),$H$2,SalesTbl[[#This Row],[Quantity]])</f>
        <v>2</v>
      </c>
      <c r="S515">
        <f>ROW()-ROW(SalesTbl[[#Headers],[Customer ID]])</f>
        <v>514</v>
      </c>
      <c r="T515" s="9" t="str">
        <f>IF(SalesTbl[[#This Row],[RowIdx]]&lt;=ROUNDUP(COUNTA(SalesTbl[Customer ID])*0.8,0),"Train","Test")</f>
        <v>Train</v>
      </c>
    </row>
    <row r="516" spans="1:20" x14ac:dyDescent="0.25">
      <c r="A516" t="s">
        <v>199</v>
      </c>
      <c r="B516" t="s">
        <v>20</v>
      </c>
      <c r="C516" t="s">
        <v>323</v>
      </c>
      <c r="D516" t="s">
        <v>40</v>
      </c>
      <c r="E516" t="s">
        <v>15</v>
      </c>
      <c r="F516">
        <v>50</v>
      </c>
      <c r="G516">
        <v>800</v>
      </c>
      <c r="H516">
        <v>3</v>
      </c>
      <c r="I516">
        <v>2400</v>
      </c>
      <c r="J516">
        <v>10.130000000000001</v>
      </c>
      <c r="K516" s="2">
        <v>45103</v>
      </c>
      <c r="L516" t="s">
        <v>316</v>
      </c>
      <c r="M516" s="6">
        <f>SalesTbl[[#This Row],[Unit Price]]*SalesTbl[[#This Row],[Quantity]]</f>
        <v>2400</v>
      </c>
      <c r="N516" s="6">
        <f>YEAR(SalesTbl[[#This Row],[Order Date]])</f>
        <v>2023</v>
      </c>
      <c r="O516" s="6" t="str">
        <f>TEXT(SalesTbl[[#This Row],[Order Date]],"yyyy-mm")</f>
        <v>2023-06</v>
      </c>
      <c r="P516" s="13">
        <f>WEEKNUM(SalesTbl[[#This Row],[Order Date]],2)</f>
        <v>27</v>
      </c>
      <c r="Q516" s="14">
        <f>MEDIAN(SalesTbl[Quantity])</f>
        <v>3</v>
      </c>
      <c r="R516" s="14">
        <f>IF(ISBLANK(SalesTbl[[#This Row],[Quantity]]),$H$2,SalesTbl[[#This Row],[Quantity]])</f>
        <v>3</v>
      </c>
      <c r="S516">
        <f>ROW()-ROW(SalesTbl[[#Headers],[Customer ID]])</f>
        <v>515</v>
      </c>
      <c r="T516" s="9" t="str">
        <f>IF(SalesTbl[[#This Row],[RowIdx]]&lt;=ROUNDUP(COUNTA(SalesTbl[Customer ID])*0.8,0),"Train","Test")</f>
        <v>Train</v>
      </c>
    </row>
    <row r="517" spans="1:20" x14ac:dyDescent="0.25">
      <c r="A517" t="s">
        <v>58</v>
      </c>
      <c r="B517" t="s">
        <v>13</v>
      </c>
      <c r="C517" t="s">
        <v>322</v>
      </c>
      <c r="D517" t="s">
        <v>17</v>
      </c>
      <c r="E517" t="s">
        <v>18</v>
      </c>
      <c r="F517">
        <v>64</v>
      </c>
      <c r="G517">
        <v>100</v>
      </c>
      <c r="H517">
        <v>2</v>
      </c>
      <c r="I517">
        <v>200</v>
      </c>
      <c r="J517">
        <v>10.57</v>
      </c>
      <c r="K517" s="2">
        <v>45080</v>
      </c>
      <c r="L517" t="s">
        <v>317</v>
      </c>
      <c r="M517" s="6">
        <f>SalesTbl[[#This Row],[Unit Price]]*SalesTbl[[#This Row],[Quantity]]</f>
        <v>200</v>
      </c>
      <c r="N517" s="6">
        <f>YEAR(SalesTbl[[#This Row],[Order Date]])</f>
        <v>2023</v>
      </c>
      <c r="O517" s="6" t="str">
        <f>TEXT(SalesTbl[[#This Row],[Order Date]],"yyyy-mm")</f>
        <v>2023-06</v>
      </c>
      <c r="P517" s="13">
        <f>WEEKNUM(SalesTbl[[#This Row],[Order Date]],2)</f>
        <v>23</v>
      </c>
      <c r="Q517" s="14">
        <f>MEDIAN(SalesTbl[Quantity])</f>
        <v>3</v>
      </c>
      <c r="R517" s="14">
        <f>IF(ISBLANK(SalesTbl[[#This Row],[Quantity]]),$H$2,SalesTbl[[#This Row],[Quantity]])</f>
        <v>2</v>
      </c>
      <c r="S517">
        <f>ROW()-ROW(SalesTbl[[#Headers],[Customer ID]])</f>
        <v>516</v>
      </c>
      <c r="T517" s="9" t="str">
        <f>IF(SalesTbl[[#This Row],[RowIdx]]&lt;=ROUNDUP(COUNTA(SalesTbl[Customer ID])*0.8,0),"Train","Test")</f>
        <v>Train</v>
      </c>
    </row>
    <row r="518" spans="1:20" x14ac:dyDescent="0.25">
      <c r="A518" t="s">
        <v>262</v>
      </c>
      <c r="B518" t="s">
        <v>13</v>
      </c>
      <c r="C518" t="s">
        <v>322</v>
      </c>
      <c r="D518" t="s">
        <v>23</v>
      </c>
      <c r="E518" t="s">
        <v>15</v>
      </c>
      <c r="F518">
        <v>40</v>
      </c>
      <c r="G518">
        <v>1500</v>
      </c>
      <c r="H518">
        <v>1</v>
      </c>
      <c r="I518">
        <v>1500</v>
      </c>
      <c r="J518">
        <v>14.19</v>
      </c>
      <c r="K518" s="2">
        <v>45066</v>
      </c>
      <c r="L518" t="s">
        <v>317</v>
      </c>
      <c r="M518" s="6">
        <f>SalesTbl[[#This Row],[Unit Price]]*SalesTbl[[#This Row],[Quantity]]</f>
        <v>1500</v>
      </c>
      <c r="N518" s="6">
        <f>YEAR(SalesTbl[[#This Row],[Order Date]])</f>
        <v>2023</v>
      </c>
      <c r="O518" s="6" t="str">
        <f>TEXT(SalesTbl[[#This Row],[Order Date]],"yyyy-mm")</f>
        <v>2023-05</v>
      </c>
      <c r="P518" s="13">
        <f>WEEKNUM(SalesTbl[[#This Row],[Order Date]],2)</f>
        <v>21</v>
      </c>
      <c r="Q518" s="14">
        <f>MEDIAN(SalesTbl[Quantity])</f>
        <v>3</v>
      </c>
      <c r="R518" s="14">
        <f>IF(ISBLANK(SalesTbl[[#This Row],[Quantity]]),$H$2,SalesTbl[[#This Row],[Quantity]])</f>
        <v>1</v>
      </c>
      <c r="S518">
        <f>ROW()-ROW(SalesTbl[[#Headers],[Customer ID]])</f>
        <v>517</v>
      </c>
      <c r="T518" s="9" t="str">
        <f>IF(SalesTbl[[#This Row],[RowIdx]]&lt;=ROUNDUP(COUNTA(SalesTbl[Customer ID])*0.8,0),"Train","Test")</f>
        <v>Train</v>
      </c>
    </row>
    <row r="519" spans="1:20" x14ac:dyDescent="0.25">
      <c r="A519" t="s">
        <v>263</v>
      </c>
      <c r="B519" t="s">
        <v>13</v>
      </c>
      <c r="C519" t="s">
        <v>323</v>
      </c>
      <c r="D519" t="s">
        <v>25</v>
      </c>
      <c r="E519" t="s">
        <v>26</v>
      </c>
      <c r="F519">
        <v>64</v>
      </c>
      <c r="G519">
        <v>200</v>
      </c>
      <c r="H519">
        <v>3</v>
      </c>
      <c r="I519">
        <v>600</v>
      </c>
      <c r="J519">
        <v>5.7</v>
      </c>
      <c r="K519" s="2">
        <v>45023</v>
      </c>
      <c r="L519" t="s">
        <v>317</v>
      </c>
      <c r="M519" s="6">
        <f>SalesTbl[[#This Row],[Unit Price]]*SalesTbl[[#This Row],[Quantity]]</f>
        <v>600</v>
      </c>
      <c r="N519" s="6">
        <f>YEAR(SalesTbl[[#This Row],[Order Date]])</f>
        <v>2023</v>
      </c>
      <c r="O519" s="6" t="str">
        <f>TEXT(SalesTbl[[#This Row],[Order Date]],"yyyy-mm")</f>
        <v>2023-04</v>
      </c>
      <c r="P519" s="13">
        <f>WEEKNUM(SalesTbl[[#This Row],[Order Date]],2)</f>
        <v>15</v>
      </c>
      <c r="Q519" s="14">
        <f>MEDIAN(SalesTbl[Quantity])</f>
        <v>3</v>
      </c>
      <c r="R519" s="14">
        <f>IF(ISBLANK(SalesTbl[[#This Row],[Quantity]]),$H$2,SalesTbl[[#This Row],[Quantity]])</f>
        <v>3</v>
      </c>
      <c r="S519">
        <f>ROW()-ROW(SalesTbl[[#Headers],[Customer ID]])</f>
        <v>518</v>
      </c>
      <c r="T519" s="9" t="str">
        <f>IF(SalesTbl[[#This Row],[RowIdx]]&lt;=ROUNDUP(COUNTA(SalesTbl[Customer ID])*0.8,0),"Train","Test")</f>
        <v>Train</v>
      </c>
    </row>
    <row r="520" spans="1:20" x14ac:dyDescent="0.25">
      <c r="A520" t="s">
        <v>118</v>
      </c>
      <c r="B520" t="s">
        <v>20</v>
      </c>
      <c r="C520" t="s">
        <v>323</v>
      </c>
      <c r="D520" t="s">
        <v>25</v>
      </c>
      <c r="E520" t="s">
        <v>26</v>
      </c>
      <c r="F520">
        <v>37</v>
      </c>
      <c r="G520">
        <v>200</v>
      </c>
      <c r="H520">
        <v>5</v>
      </c>
      <c r="I520">
        <v>1000</v>
      </c>
      <c r="J520">
        <v>5.6</v>
      </c>
      <c r="K520" s="2">
        <v>45248</v>
      </c>
      <c r="L520" t="s">
        <v>316</v>
      </c>
      <c r="M520" s="6">
        <f>SalesTbl[[#This Row],[Unit Price]]*SalesTbl[[#This Row],[Quantity]]</f>
        <v>1000</v>
      </c>
      <c r="N520" s="6">
        <f>YEAR(SalesTbl[[#This Row],[Order Date]])</f>
        <v>2023</v>
      </c>
      <c r="O520" s="6" t="str">
        <f>TEXT(SalesTbl[[#This Row],[Order Date]],"yyyy-mm")</f>
        <v>2023-11</v>
      </c>
      <c r="P520" s="13">
        <f>WEEKNUM(SalesTbl[[#This Row],[Order Date]],2)</f>
        <v>47</v>
      </c>
      <c r="Q520" s="14">
        <f>MEDIAN(SalesTbl[Quantity])</f>
        <v>3</v>
      </c>
      <c r="R520" s="14">
        <f>IF(ISBLANK(SalesTbl[[#This Row],[Quantity]]),$H$2,SalesTbl[[#This Row],[Quantity]])</f>
        <v>5</v>
      </c>
      <c r="S520">
        <f>ROW()-ROW(SalesTbl[[#Headers],[Customer ID]])</f>
        <v>519</v>
      </c>
      <c r="T520" s="9" t="str">
        <f>IF(SalesTbl[[#This Row],[RowIdx]]&lt;=ROUNDUP(COUNTA(SalesTbl[Customer ID])*0.8,0),"Train","Test")</f>
        <v>Train</v>
      </c>
    </row>
    <row r="521" spans="1:20" x14ac:dyDescent="0.25">
      <c r="A521" t="s">
        <v>66</v>
      </c>
      <c r="B521" t="s">
        <v>13</v>
      </c>
      <c r="C521" t="s">
        <v>322</v>
      </c>
      <c r="D521" t="s">
        <v>23</v>
      </c>
      <c r="E521" t="s">
        <v>15</v>
      </c>
      <c r="F521">
        <v>44</v>
      </c>
      <c r="G521">
        <v>1500</v>
      </c>
      <c r="H521">
        <v>3</v>
      </c>
      <c r="I521">
        <v>4500</v>
      </c>
      <c r="J521">
        <v>18.21</v>
      </c>
      <c r="K521" s="2">
        <v>45047</v>
      </c>
      <c r="L521" t="s">
        <v>317</v>
      </c>
      <c r="M521" s="6">
        <f>SalesTbl[[#This Row],[Unit Price]]*SalesTbl[[#This Row],[Quantity]]</f>
        <v>4500</v>
      </c>
      <c r="N521" s="6">
        <f>YEAR(SalesTbl[[#This Row],[Order Date]])</f>
        <v>2023</v>
      </c>
      <c r="O521" s="6" t="str">
        <f>TEXT(SalesTbl[[#This Row],[Order Date]],"yyyy-mm")</f>
        <v>2023-05</v>
      </c>
      <c r="P521" s="13">
        <f>WEEKNUM(SalesTbl[[#This Row],[Order Date]],2)</f>
        <v>19</v>
      </c>
      <c r="Q521" s="14">
        <f>MEDIAN(SalesTbl[Quantity])</f>
        <v>3</v>
      </c>
      <c r="R521" s="14">
        <f>IF(ISBLANK(SalesTbl[[#This Row],[Quantity]]),$H$2,SalesTbl[[#This Row],[Quantity]])</f>
        <v>3</v>
      </c>
      <c r="S521">
        <f>ROW()-ROW(SalesTbl[[#Headers],[Customer ID]])</f>
        <v>520</v>
      </c>
      <c r="T521" s="9" t="str">
        <f>IF(SalesTbl[[#This Row],[RowIdx]]&lt;=ROUNDUP(COUNTA(SalesTbl[Customer ID])*0.8,0),"Train","Test")</f>
        <v>Train</v>
      </c>
    </row>
    <row r="522" spans="1:20" x14ac:dyDescent="0.25">
      <c r="A522" t="s">
        <v>261</v>
      </c>
      <c r="B522" t="s">
        <v>13</v>
      </c>
      <c r="C522" t="s">
        <v>321</v>
      </c>
      <c r="D522" t="s">
        <v>23</v>
      </c>
      <c r="E522" t="s">
        <v>15</v>
      </c>
      <c r="F522">
        <v>26</v>
      </c>
      <c r="G522">
        <v>1500</v>
      </c>
      <c r="H522">
        <v>3</v>
      </c>
      <c r="I522">
        <v>4500</v>
      </c>
      <c r="J522">
        <v>12.84</v>
      </c>
      <c r="K522" s="2">
        <v>45073</v>
      </c>
      <c r="L522" t="s">
        <v>319</v>
      </c>
      <c r="M522" s="6">
        <f>SalesTbl[[#This Row],[Unit Price]]*SalesTbl[[#This Row],[Quantity]]</f>
        <v>4500</v>
      </c>
      <c r="N522" s="6">
        <f>YEAR(SalesTbl[[#This Row],[Order Date]])</f>
        <v>2023</v>
      </c>
      <c r="O522" s="6" t="str">
        <f>TEXT(SalesTbl[[#This Row],[Order Date]],"yyyy-mm")</f>
        <v>2023-05</v>
      </c>
      <c r="P522" s="13">
        <f>WEEKNUM(SalesTbl[[#This Row],[Order Date]],2)</f>
        <v>22</v>
      </c>
      <c r="Q522" s="14">
        <f>MEDIAN(SalesTbl[Quantity])</f>
        <v>3</v>
      </c>
      <c r="R522" s="14">
        <f>IF(ISBLANK(SalesTbl[[#This Row],[Quantity]]),$H$2,SalesTbl[[#This Row],[Quantity]])</f>
        <v>3</v>
      </c>
      <c r="S522">
        <f>ROW()-ROW(SalesTbl[[#Headers],[Customer ID]])</f>
        <v>521</v>
      </c>
      <c r="T522" s="9" t="str">
        <f>IF(SalesTbl[[#This Row],[RowIdx]]&lt;=ROUNDUP(COUNTA(SalesTbl[Customer ID])*0.8,0),"Train","Test")</f>
        <v>Train</v>
      </c>
    </row>
    <row r="523" spans="1:20" x14ac:dyDescent="0.25">
      <c r="A523" t="s">
        <v>105</v>
      </c>
      <c r="B523" t="s">
        <v>13</v>
      </c>
      <c r="C523" t="s">
        <v>321</v>
      </c>
      <c r="D523" t="s">
        <v>23</v>
      </c>
      <c r="E523" t="s">
        <v>15</v>
      </c>
      <c r="F523">
        <v>18</v>
      </c>
      <c r="G523">
        <v>1500</v>
      </c>
      <c r="H523">
        <v>2</v>
      </c>
      <c r="I523">
        <v>3000</v>
      </c>
      <c r="J523">
        <v>18.07</v>
      </c>
      <c r="K523" s="2">
        <v>44949</v>
      </c>
      <c r="L523" t="s">
        <v>316</v>
      </c>
      <c r="M523" s="6">
        <f>SalesTbl[[#This Row],[Unit Price]]*SalesTbl[[#This Row],[Quantity]]</f>
        <v>3000</v>
      </c>
      <c r="N523" s="6">
        <f>YEAR(SalesTbl[[#This Row],[Order Date]])</f>
        <v>2023</v>
      </c>
      <c r="O523" s="6" t="str">
        <f>TEXT(SalesTbl[[#This Row],[Order Date]],"yyyy-mm")</f>
        <v>2023-01</v>
      </c>
      <c r="P523" s="13">
        <f>WEEKNUM(SalesTbl[[#This Row],[Order Date]],2)</f>
        <v>5</v>
      </c>
      <c r="Q523" s="14">
        <f>MEDIAN(SalesTbl[Quantity])</f>
        <v>3</v>
      </c>
      <c r="R523" s="14">
        <f>IF(ISBLANK(SalesTbl[[#This Row],[Quantity]]),$H$2,SalesTbl[[#This Row],[Quantity]])</f>
        <v>2</v>
      </c>
      <c r="S523">
        <f>ROW()-ROW(SalesTbl[[#Headers],[Customer ID]])</f>
        <v>522</v>
      </c>
      <c r="T523" s="9" t="str">
        <f>IF(SalesTbl[[#This Row],[RowIdx]]&lt;=ROUNDUP(COUNTA(SalesTbl[Customer ID])*0.8,0),"Train","Test")</f>
        <v>Train</v>
      </c>
    </row>
    <row r="524" spans="1:20" x14ac:dyDescent="0.25">
      <c r="A524" t="s">
        <v>212</v>
      </c>
      <c r="B524" t="s">
        <v>13</v>
      </c>
      <c r="C524" t="s">
        <v>321</v>
      </c>
      <c r="D524" t="s">
        <v>29</v>
      </c>
      <c r="E524" t="s">
        <v>18</v>
      </c>
      <c r="F524">
        <v>49</v>
      </c>
      <c r="G524">
        <v>50</v>
      </c>
      <c r="H524">
        <v>4</v>
      </c>
      <c r="I524">
        <v>200</v>
      </c>
      <c r="J524">
        <v>14.29</v>
      </c>
      <c r="K524" s="2">
        <v>45207</v>
      </c>
      <c r="L524" t="s">
        <v>318</v>
      </c>
      <c r="M524" s="6">
        <f>SalesTbl[[#This Row],[Unit Price]]*SalesTbl[[#This Row],[Quantity]]</f>
        <v>200</v>
      </c>
      <c r="N524" s="6">
        <f>YEAR(SalesTbl[[#This Row],[Order Date]])</f>
        <v>2023</v>
      </c>
      <c r="O524" s="6" t="str">
        <f>TEXT(SalesTbl[[#This Row],[Order Date]],"yyyy-mm")</f>
        <v>2023-10</v>
      </c>
      <c r="P524" s="13">
        <f>WEEKNUM(SalesTbl[[#This Row],[Order Date]],2)</f>
        <v>41</v>
      </c>
      <c r="Q524" s="14">
        <f>MEDIAN(SalesTbl[Quantity])</f>
        <v>3</v>
      </c>
      <c r="R524" s="14">
        <f>IF(ISBLANK(SalesTbl[[#This Row],[Quantity]]),$H$2,SalesTbl[[#This Row],[Quantity]])</f>
        <v>4</v>
      </c>
      <c r="S524">
        <f>ROW()-ROW(SalesTbl[[#Headers],[Customer ID]])</f>
        <v>523</v>
      </c>
      <c r="T524" s="9" t="str">
        <f>IF(SalesTbl[[#This Row],[RowIdx]]&lt;=ROUNDUP(COUNTA(SalesTbl[Customer ID])*0.8,0),"Train","Test")</f>
        <v>Train</v>
      </c>
    </row>
    <row r="525" spans="1:20" x14ac:dyDescent="0.25">
      <c r="A525" t="s">
        <v>71</v>
      </c>
      <c r="B525" t="s">
        <v>13</v>
      </c>
      <c r="C525" t="s">
        <v>320</v>
      </c>
      <c r="D525" t="s">
        <v>17</v>
      </c>
      <c r="E525" t="s">
        <v>18</v>
      </c>
      <c r="F525">
        <v>68</v>
      </c>
      <c r="G525">
        <v>100</v>
      </c>
      <c r="H525">
        <v>4</v>
      </c>
      <c r="I525">
        <v>400</v>
      </c>
      <c r="J525">
        <v>11.52</v>
      </c>
      <c r="K525" s="2">
        <v>45259</v>
      </c>
      <c r="L525" t="s">
        <v>316</v>
      </c>
      <c r="M525" s="6">
        <f>SalesTbl[[#This Row],[Unit Price]]*SalesTbl[[#This Row],[Quantity]]</f>
        <v>400</v>
      </c>
      <c r="N525" s="6">
        <f>YEAR(SalesTbl[[#This Row],[Order Date]])</f>
        <v>2023</v>
      </c>
      <c r="O525" s="6" t="str">
        <f>TEXT(SalesTbl[[#This Row],[Order Date]],"yyyy-mm")</f>
        <v>2023-11</v>
      </c>
      <c r="P525" s="13">
        <f>WEEKNUM(SalesTbl[[#This Row],[Order Date]],2)</f>
        <v>49</v>
      </c>
      <c r="Q525" s="14">
        <f>MEDIAN(SalesTbl[Quantity])</f>
        <v>3</v>
      </c>
      <c r="R525" s="14">
        <f>IF(ISBLANK(SalesTbl[[#This Row],[Quantity]]),$H$2,SalesTbl[[#This Row],[Quantity]])</f>
        <v>4</v>
      </c>
      <c r="S525">
        <f>ROW()-ROW(SalesTbl[[#Headers],[Customer ID]])</f>
        <v>524</v>
      </c>
      <c r="T525" s="9" t="str">
        <f>IF(SalesTbl[[#This Row],[RowIdx]]&lt;=ROUNDUP(COUNTA(SalesTbl[Customer ID])*0.8,0),"Train","Test")</f>
        <v>Train</v>
      </c>
    </row>
    <row r="526" spans="1:20" x14ac:dyDescent="0.25">
      <c r="A526" t="s">
        <v>264</v>
      </c>
      <c r="B526" t="s">
        <v>20</v>
      </c>
      <c r="C526" t="s">
        <v>322</v>
      </c>
      <c r="D526" t="s">
        <v>14</v>
      </c>
      <c r="E526" t="s">
        <v>15</v>
      </c>
      <c r="F526">
        <v>64</v>
      </c>
      <c r="G526">
        <v>300</v>
      </c>
      <c r="H526">
        <v>3</v>
      </c>
      <c r="I526">
        <v>900</v>
      </c>
      <c r="J526">
        <v>15.77</v>
      </c>
      <c r="K526" s="2">
        <v>45198</v>
      </c>
      <c r="L526" t="s">
        <v>318</v>
      </c>
      <c r="M526" s="6">
        <f>SalesTbl[[#This Row],[Unit Price]]*SalesTbl[[#This Row],[Quantity]]</f>
        <v>900</v>
      </c>
      <c r="N526" s="6">
        <f>YEAR(SalesTbl[[#This Row],[Order Date]])</f>
        <v>2023</v>
      </c>
      <c r="O526" s="6" t="str">
        <f>TEXT(SalesTbl[[#This Row],[Order Date]],"yyyy-mm")</f>
        <v>2023-09</v>
      </c>
      <c r="P526" s="13">
        <f>WEEKNUM(SalesTbl[[#This Row],[Order Date]],2)</f>
        <v>40</v>
      </c>
      <c r="Q526" s="14">
        <f>MEDIAN(SalesTbl[Quantity])</f>
        <v>3</v>
      </c>
      <c r="R526" s="14">
        <f>IF(ISBLANK(SalesTbl[[#This Row],[Quantity]]),$H$2,SalesTbl[[#This Row],[Quantity]])</f>
        <v>3</v>
      </c>
      <c r="S526">
        <f>ROW()-ROW(SalesTbl[[#Headers],[Customer ID]])</f>
        <v>525</v>
      </c>
      <c r="T526" s="9" t="str">
        <f>IF(SalesTbl[[#This Row],[RowIdx]]&lt;=ROUNDUP(COUNTA(SalesTbl[Customer ID])*0.8,0),"Train","Test")</f>
        <v>Train</v>
      </c>
    </row>
    <row r="527" spans="1:20" x14ac:dyDescent="0.25">
      <c r="A527" t="s">
        <v>59</v>
      </c>
      <c r="B527" t="s">
        <v>13</v>
      </c>
      <c r="C527" t="s">
        <v>320</v>
      </c>
      <c r="D527" t="s">
        <v>23</v>
      </c>
      <c r="E527" t="s">
        <v>15</v>
      </c>
      <c r="F527">
        <v>68</v>
      </c>
      <c r="G527">
        <v>1500</v>
      </c>
      <c r="H527">
        <v>4</v>
      </c>
      <c r="I527">
        <v>6000</v>
      </c>
      <c r="J527">
        <v>5.24</v>
      </c>
      <c r="K527" s="2">
        <v>45237</v>
      </c>
      <c r="L527" t="s">
        <v>318</v>
      </c>
      <c r="M527" s="6">
        <f>SalesTbl[[#This Row],[Unit Price]]*SalesTbl[[#This Row],[Quantity]]</f>
        <v>6000</v>
      </c>
      <c r="N527" s="6">
        <f>YEAR(SalesTbl[[#This Row],[Order Date]])</f>
        <v>2023</v>
      </c>
      <c r="O527" s="6" t="str">
        <f>TEXT(SalesTbl[[#This Row],[Order Date]],"yyyy-mm")</f>
        <v>2023-11</v>
      </c>
      <c r="P527" s="13">
        <f>WEEKNUM(SalesTbl[[#This Row],[Order Date]],2)</f>
        <v>46</v>
      </c>
      <c r="Q527" s="14">
        <f>MEDIAN(SalesTbl[Quantity])</f>
        <v>3</v>
      </c>
      <c r="R527" s="14">
        <f>IF(ISBLANK(SalesTbl[[#This Row],[Quantity]]),$H$2,SalesTbl[[#This Row],[Quantity]])</f>
        <v>4</v>
      </c>
      <c r="S527">
        <f>ROW()-ROW(SalesTbl[[#Headers],[Customer ID]])</f>
        <v>526</v>
      </c>
      <c r="T527" s="9" t="str">
        <f>IF(SalesTbl[[#This Row],[RowIdx]]&lt;=ROUNDUP(COUNTA(SalesTbl[Customer ID])*0.8,0),"Train","Test")</f>
        <v>Train</v>
      </c>
    </row>
    <row r="528" spans="1:20" x14ac:dyDescent="0.25">
      <c r="A528" t="s">
        <v>174</v>
      </c>
      <c r="B528" t="s">
        <v>13</v>
      </c>
      <c r="C528" t="s">
        <v>321</v>
      </c>
      <c r="D528" t="s">
        <v>17</v>
      </c>
      <c r="E528" t="s">
        <v>18</v>
      </c>
      <c r="F528">
        <v>54</v>
      </c>
      <c r="G528">
        <v>100</v>
      </c>
      <c r="H528">
        <v>5</v>
      </c>
      <c r="I528">
        <v>500</v>
      </c>
      <c r="J528">
        <v>8.64</v>
      </c>
      <c r="K528" s="2">
        <v>45219</v>
      </c>
      <c r="L528" t="s">
        <v>318</v>
      </c>
      <c r="M528" s="6">
        <f>SalesTbl[[#This Row],[Unit Price]]*SalesTbl[[#This Row],[Quantity]]</f>
        <v>500</v>
      </c>
      <c r="N528" s="6">
        <f>YEAR(SalesTbl[[#This Row],[Order Date]])</f>
        <v>2023</v>
      </c>
      <c r="O528" s="6" t="str">
        <f>TEXT(SalesTbl[[#This Row],[Order Date]],"yyyy-mm")</f>
        <v>2023-10</v>
      </c>
      <c r="P528" s="13">
        <f>WEEKNUM(SalesTbl[[#This Row],[Order Date]],2)</f>
        <v>43</v>
      </c>
      <c r="Q528" s="14">
        <f>MEDIAN(SalesTbl[Quantity])</f>
        <v>3</v>
      </c>
      <c r="R528" s="14">
        <f>IF(ISBLANK(SalesTbl[[#This Row],[Quantity]]),$H$2,SalesTbl[[#This Row],[Quantity]])</f>
        <v>5</v>
      </c>
      <c r="S528">
        <f>ROW()-ROW(SalesTbl[[#Headers],[Customer ID]])</f>
        <v>527</v>
      </c>
      <c r="T528" s="9" t="str">
        <f>IF(SalesTbl[[#This Row],[RowIdx]]&lt;=ROUNDUP(COUNTA(SalesTbl[Customer ID])*0.8,0),"Train","Test")</f>
        <v>Train</v>
      </c>
    </row>
    <row r="529" spans="1:20" x14ac:dyDescent="0.25">
      <c r="A529" t="s">
        <v>49</v>
      </c>
      <c r="B529" t="s">
        <v>13</v>
      </c>
      <c r="C529" t="s">
        <v>320</v>
      </c>
      <c r="D529" t="s">
        <v>23</v>
      </c>
      <c r="E529" t="s">
        <v>15</v>
      </c>
      <c r="F529">
        <v>25</v>
      </c>
      <c r="G529">
        <v>1500</v>
      </c>
      <c r="H529">
        <v>4</v>
      </c>
      <c r="I529">
        <v>6000</v>
      </c>
      <c r="J529">
        <v>13.08</v>
      </c>
      <c r="K529" s="2">
        <v>45187</v>
      </c>
      <c r="L529" t="s">
        <v>317</v>
      </c>
      <c r="M529" s="6">
        <f>SalesTbl[[#This Row],[Unit Price]]*SalesTbl[[#This Row],[Quantity]]</f>
        <v>6000</v>
      </c>
      <c r="N529" s="6">
        <f>YEAR(SalesTbl[[#This Row],[Order Date]])</f>
        <v>2023</v>
      </c>
      <c r="O529" s="6" t="str">
        <f>TEXT(SalesTbl[[#This Row],[Order Date]],"yyyy-mm")</f>
        <v>2023-09</v>
      </c>
      <c r="P529" s="13">
        <f>WEEKNUM(SalesTbl[[#This Row],[Order Date]],2)</f>
        <v>39</v>
      </c>
      <c r="Q529" s="14">
        <f>MEDIAN(SalesTbl[Quantity])</f>
        <v>3</v>
      </c>
      <c r="R529" s="14">
        <f>IF(ISBLANK(SalesTbl[[#This Row],[Quantity]]),$H$2,SalesTbl[[#This Row],[Quantity]])</f>
        <v>4</v>
      </c>
      <c r="S529">
        <f>ROW()-ROW(SalesTbl[[#Headers],[Customer ID]])</f>
        <v>528</v>
      </c>
      <c r="T529" s="9" t="str">
        <f>IF(SalesTbl[[#This Row],[RowIdx]]&lt;=ROUNDUP(COUNTA(SalesTbl[Customer ID])*0.8,0),"Train","Test")</f>
        <v>Train</v>
      </c>
    </row>
    <row r="530" spans="1:20" x14ac:dyDescent="0.25">
      <c r="A530" t="s">
        <v>132</v>
      </c>
      <c r="B530" t="s">
        <v>13</v>
      </c>
      <c r="C530" t="s">
        <v>319</v>
      </c>
      <c r="D530" t="s">
        <v>40</v>
      </c>
      <c r="E530" t="s">
        <v>15</v>
      </c>
      <c r="F530">
        <v>33</v>
      </c>
      <c r="G530">
        <v>800</v>
      </c>
      <c r="H530">
        <v>4</v>
      </c>
      <c r="I530">
        <v>3200</v>
      </c>
      <c r="J530">
        <v>13.29</v>
      </c>
      <c r="K530" s="2">
        <v>45130</v>
      </c>
      <c r="L530" t="s">
        <v>316</v>
      </c>
      <c r="M530" s="6">
        <f>SalesTbl[[#This Row],[Unit Price]]*SalesTbl[[#This Row],[Quantity]]</f>
        <v>3200</v>
      </c>
      <c r="N530" s="6">
        <f>YEAR(SalesTbl[[#This Row],[Order Date]])</f>
        <v>2023</v>
      </c>
      <c r="O530" s="6" t="str">
        <f>TEXT(SalesTbl[[#This Row],[Order Date]],"yyyy-mm")</f>
        <v>2023-07</v>
      </c>
      <c r="P530" s="13">
        <f>WEEKNUM(SalesTbl[[#This Row],[Order Date]],2)</f>
        <v>30</v>
      </c>
      <c r="Q530" s="14">
        <f>MEDIAN(SalesTbl[Quantity])</f>
        <v>3</v>
      </c>
      <c r="R530" s="14">
        <f>IF(ISBLANK(SalesTbl[[#This Row],[Quantity]]),$H$2,SalesTbl[[#This Row],[Quantity]])</f>
        <v>4</v>
      </c>
      <c r="S530">
        <f>ROW()-ROW(SalesTbl[[#Headers],[Customer ID]])</f>
        <v>529</v>
      </c>
      <c r="T530" s="9" t="str">
        <f>IF(SalesTbl[[#This Row],[RowIdx]]&lt;=ROUNDUP(COUNTA(SalesTbl[Customer ID])*0.8,0),"Train","Test")</f>
        <v>Train</v>
      </c>
    </row>
    <row r="531" spans="1:20" x14ac:dyDescent="0.25">
      <c r="A531" t="s">
        <v>220</v>
      </c>
      <c r="B531" t="s">
        <v>13</v>
      </c>
      <c r="C531" t="s">
        <v>321</v>
      </c>
      <c r="D531" t="s">
        <v>40</v>
      </c>
      <c r="E531" t="s">
        <v>15</v>
      </c>
      <c r="F531">
        <v>18</v>
      </c>
      <c r="G531">
        <v>800</v>
      </c>
      <c r="H531">
        <v>5</v>
      </c>
      <c r="I531">
        <v>4000</v>
      </c>
      <c r="J531">
        <v>13.44</v>
      </c>
      <c r="K531" s="2">
        <v>45048</v>
      </c>
      <c r="L531" t="s">
        <v>318</v>
      </c>
      <c r="M531" s="6">
        <f>SalesTbl[[#This Row],[Unit Price]]*SalesTbl[[#This Row],[Quantity]]</f>
        <v>4000</v>
      </c>
      <c r="N531" s="6">
        <f>YEAR(SalesTbl[[#This Row],[Order Date]])</f>
        <v>2023</v>
      </c>
      <c r="O531" s="6" t="str">
        <f>TEXT(SalesTbl[[#This Row],[Order Date]],"yyyy-mm")</f>
        <v>2023-05</v>
      </c>
      <c r="P531" s="13">
        <f>WEEKNUM(SalesTbl[[#This Row],[Order Date]],2)</f>
        <v>19</v>
      </c>
      <c r="Q531" s="14">
        <f>MEDIAN(SalesTbl[Quantity])</f>
        <v>3</v>
      </c>
      <c r="R531" s="14">
        <f>IF(ISBLANK(SalesTbl[[#This Row],[Quantity]]),$H$2,SalesTbl[[#This Row],[Quantity]])</f>
        <v>5</v>
      </c>
      <c r="S531">
        <f>ROW()-ROW(SalesTbl[[#Headers],[Customer ID]])</f>
        <v>530</v>
      </c>
      <c r="T531" s="9" t="str">
        <f>IF(SalesTbl[[#This Row],[RowIdx]]&lt;=ROUNDUP(COUNTA(SalesTbl[Customer ID])*0.8,0),"Train","Test")</f>
        <v>Train</v>
      </c>
    </row>
    <row r="532" spans="1:20" x14ac:dyDescent="0.25">
      <c r="A532" t="s">
        <v>198</v>
      </c>
      <c r="B532" t="s">
        <v>20</v>
      </c>
      <c r="C532" t="s">
        <v>322</v>
      </c>
      <c r="D532" t="s">
        <v>17</v>
      </c>
      <c r="E532" t="s">
        <v>18</v>
      </c>
      <c r="F532">
        <v>49</v>
      </c>
      <c r="G532">
        <v>100</v>
      </c>
      <c r="H532">
        <v>1</v>
      </c>
      <c r="I532">
        <v>100</v>
      </c>
      <c r="J532">
        <v>14.98</v>
      </c>
      <c r="K532" s="2">
        <v>45264</v>
      </c>
      <c r="L532" t="s">
        <v>318</v>
      </c>
      <c r="M532" s="6">
        <f>SalesTbl[[#This Row],[Unit Price]]*SalesTbl[[#This Row],[Quantity]]</f>
        <v>100</v>
      </c>
      <c r="N532" s="6">
        <f>YEAR(SalesTbl[[#This Row],[Order Date]])</f>
        <v>2023</v>
      </c>
      <c r="O532" s="6" t="str">
        <f>TEXT(SalesTbl[[#This Row],[Order Date]],"yyyy-mm")</f>
        <v>2023-12</v>
      </c>
      <c r="P532" s="13">
        <f>WEEKNUM(SalesTbl[[#This Row],[Order Date]],2)</f>
        <v>50</v>
      </c>
      <c r="Q532" s="14">
        <f>MEDIAN(SalesTbl[Quantity])</f>
        <v>3</v>
      </c>
      <c r="R532" s="14">
        <f>IF(ISBLANK(SalesTbl[[#This Row],[Quantity]]),$H$2,SalesTbl[[#This Row],[Quantity]])</f>
        <v>1</v>
      </c>
      <c r="S532">
        <f>ROW()-ROW(SalesTbl[[#Headers],[Customer ID]])</f>
        <v>531</v>
      </c>
      <c r="T532" s="9" t="str">
        <f>IF(SalesTbl[[#This Row],[RowIdx]]&lt;=ROUNDUP(COUNTA(SalesTbl[Customer ID])*0.8,0),"Train","Test")</f>
        <v>Train</v>
      </c>
    </row>
    <row r="533" spans="1:20" x14ac:dyDescent="0.25">
      <c r="A533" t="s">
        <v>265</v>
      </c>
      <c r="B533" t="s">
        <v>13</v>
      </c>
      <c r="C533" t="s">
        <v>323</v>
      </c>
      <c r="D533" t="s">
        <v>14</v>
      </c>
      <c r="E533" t="s">
        <v>15</v>
      </c>
      <c r="F533">
        <v>67</v>
      </c>
      <c r="G533">
        <v>300</v>
      </c>
      <c r="H533">
        <v>1</v>
      </c>
      <c r="I533">
        <v>300</v>
      </c>
      <c r="J533">
        <v>8.65</v>
      </c>
      <c r="K533" s="2">
        <v>45165</v>
      </c>
      <c r="L533" t="s">
        <v>316</v>
      </c>
      <c r="M533" s="6">
        <f>SalesTbl[[#This Row],[Unit Price]]*SalesTbl[[#This Row],[Quantity]]</f>
        <v>300</v>
      </c>
      <c r="N533" s="6">
        <f>YEAR(SalesTbl[[#This Row],[Order Date]])</f>
        <v>2023</v>
      </c>
      <c r="O533" s="6" t="str">
        <f>TEXT(SalesTbl[[#This Row],[Order Date]],"yyyy-mm")</f>
        <v>2023-08</v>
      </c>
      <c r="P533" s="13">
        <f>WEEKNUM(SalesTbl[[#This Row],[Order Date]],2)</f>
        <v>35</v>
      </c>
      <c r="Q533" s="14">
        <f>MEDIAN(SalesTbl[Quantity])</f>
        <v>3</v>
      </c>
      <c r="R533" s="14">
        <f>IF(ISBLANK(SalesTbl[[#This Row],[Quantity]]),$H$2,SalesTbl[[#This Row],[Quantity]])</f>
        <v>1</v>
      </c>
      <c r="S533">
        <f>ROW()-ROW(SalesTbl[[#Headers],[Customer ID]])</f>
        <v>532</v>
      </c>
      <c r="T533" s="9" t="str">
        <f>IF(SalesTbl[[#This Row],[RowIdx]]&lt;=ROUNDUP(COUNTA(SalesTbl[Customer ID])*0.8,0),"Train","Test")</f>
        <v>Train</v>
      </c>
    </row>
    <row r="534" spans="1:20" x14ac:dyDescent="0.25">
      <c r="A534" t="s">
        <v>196</v>
      </c>
      <c r="B534" t="s">
        <v>20</v>
      </c>
      <c r="C534" t="s">
        <v>321</v>
      </c>
      <c r="D534" t="s">
        <v>17</v>
      </c>
      <c r="E534" t="s">
        <v>18</v>
      </c>
      <c r="F534">
        <v>66</v>
      </c>
      <c r="G534">
        <v>100</v>
      </c>
      <c r="H534">
        <v>5</v>
      </c>
      <c r="I534">
        <v>500</v>
      </c>
      <c r="J534">
        <v>14.84</v>
      </c>
      <c r="K534" s="2">
        <v>45085</v>
      </c>
      <c r="L534" t="s">
        <v>318</v>
      </c>
      <c r="M534" s="6">
        <f>SalesTbl[[#This Row],[Unit Price]]*SalesTbl[[#This Row],[Quantity]]</f>
        <v>500</v>
      </c>
      <c r="N534" s="6">
        <f>YEAR(SalesTbl[[#This Row],[Order Date]])</f>
        <v>2023</v>
      </c>
      <c r="O534" s="6" t="str">
        <f>TEXT(SalesTbl[[#This Row],[Order Date]],"yyyy-mm")</f>
        <v>2023-06</v>
      </c>
      <c r="P534" s="13">
        <f>WEEKNUM(SalesTbl[[#This Row],[Order Date]],2)</f>
        <v>24</v>
      </c>
      <c r="Q534" s="14">
        <f>MEDIAN(SalesTbl[Quantity])</f>
        <v>3</v>
      </c>
      <c r="R534" s="14">
        <f>IF(ISBLANK(SalesTbl[[#This Row],[Quantity]]),$H$2,SalesTbl[[#This Row],[Quantity]])</f>
        <v>5</v>
      </c>
      <c r="S534">
        <f>ROW()-ROW(SalesTbl[[#Headers],[Customer ID]])</f>
        <v>533</v>
      </c>
      <c r="T534" s="9" t="str">
        <f>IF(SalesTbl[[#This Row],[RowIdx]]&lt;=ROUNDUP(COUNTA(SalesTbl[Customer ID])*0.8,0),"Train","Test")</f>
        <v>Train</v>
      </c>
    </row>
    <row r="535" spans="1:20" x14ac:dyDescent="0.25">
      <c r="A535" t="s">
        <v>266</v>
      </c>
      <c r="B535" t="s">
        <v>20</v>
      </c>
      <c r="C535" t="s">
        <v>320</v>
      </c>
      <c r="D535" t="s">
        <v>14</v>
      </c>
      <c r="E535" t="s">
        <v>15</v>
      </c>
      <c r="F535">
        <v>55</v>
      </c>
      <c r="G535">
        <v>300</v>
      </c>
      <c r="H535">
        <v>1</v>
      </c>
      <c r="I535">
        <v>300</v>
      </c>
      <c r="J535">
        <v>7.38</v>
      </c>
      <c r="K535" s="2">
        <v>45225</v>
      </c>
      <c r="L535" t="s">
        <v>318</v>
      </c>
      <c r="M535" s="6">
        <f>SalesTbl[[#This Row],[Unit Price]]*SalesTbl[[#This Row],[Quantity]]</f>
        <v>300</v>
      </c>
      <c r="N535" s="6">
        <f>YEAR(SalesTbl[[#This Row],[Order Date]])</f>
        <v>2023</v>
      </c>
      <c r="O535" s="6" t="str">
        <f>TEXT(SalesTbl[[#This Row],[Order Date]],"yyyy-mm")</f>
        <v>2023-10</v>
      </c>
      <c r="P535" s="13">
        <f>WEEKNUM(SalesTbl[[#This Row],[Order Date]],2)</f>
        <v>44</v>
      </c>
      <c r="Q535" s="14">
        <f>MEDIAN(SalesTbl[Quantity])</f>
        <v>3</v>
      </c>
      <c r="R535" s="14">
        <f>IF(ISBLANK(SalesTbl[[#This Row],[Quantity]]),$H$2,SalesTbl[[#This Row],[Quantity]])</f>
        <v>1</v>
      </c>
      <c r="S535">
        <f>ROW()-ROW(SalesTbl[[#Headers],[Customer ID]])</f>
        <v>534</v>
      </c>
      <c r="T535" s="9" t="str">
        <f>IF(SalesTbl[[#This Row],[RowIdx]]&lt;=ROUNDUP(COUNTA(SalesTbl[Customer ID])*0.8,0),"Train","Test")</f>
        <v>Train</v>
      </c>
    </row>
    <row r="536" spans="1:20" x14ac:dyDescent="0.25">
      <c r="A536" t="s">
        <v>251</v>
      </c>
      <c r="B536" t="s">
        <v>20</v>
      </c>
      <c r="C536" t="s">
        <v>323</v>
      </c>
      <c r="D536" t="s">
        <v>23</v>
      </c>
      <c r="E536" t="s">
        <v>15</v>
      </c>
      <c r="F536">
        <v>51</v>
      </c>
      <c r="G536">
        <v>1500</v>
      </c>
      <c r="H536">
        <v>5</v>
      </c>
      <c r="I536">
        <v>7500</v>
      </c>
      <c r="J536">
        <v>12.33</v>
      </c>
      <c r="K536" s="2">
        <v>44933</v>
      </c>
      <c r="L536" t="s">
        <v>317</v>
      </c>
      <c r="M536" s="6">
        <f>SalesTbl[[#This Row],[Unit Price]]*SalesTbl[[#This Row],[Quantity]]</f>
        <v>7500</v>
      </c>
      <c r="N536" s="6">
        <f>YEAR(SalesTbl[[#This Row],[Order Date]])</f>
        <v>2023</v>
      </c>
      <c r="O536" s="6" t="str">
        <f>TEXT(SalesTbl[[#This Row],[Order Date]],"yyyy-mm")</f>
        <v>2023-01</v>
      </c>
      <c r="P536" s="13">
        <f>WEEKNUM(SalesTbl[[#This Row],[Order Date]],2)</f>
        <v>2</v>
      </c>
      <c r="Q536" s="14">
        <f>MEDIAN(SalesTbl[Quantity])</f>
        <v>3</v>
      </c>
      <c r="R536" s="14">
        <f>IF(ISBLANK(SalesTbl[[#This Row],[Quantity]]),$H$2,SalesTbl[[#This Row],[Quantity]])</f>
        <v>5</v>
      </c>
      <c r="S536">
        <f>ROW()-ROW(SalesTbl[[#Headers],[Customer ID]])</f>
        <v>535</v>
      </c>
      <c r="T536" s="9" t="str">
        <f>IF(SalesTbl[[#This Row],[RowIdx]]&lt;=ROUNDUP(COUNTA(SalesTbl[Customer ID])*0.8,0),"Train","Test")</f>
        <v>Train</v>
      </c>
    </row>
    <row r="537" spans="1:20" x14ac:dyDescent="0.25">
      <c r="A537" t="s">
        <v>43</v>
      </c>
      <c r="B537" t="s">
        <v>13</v>
      </c>
      <c r="C537" t="s">
        <v>323</v>
      </c>
      <c r="D537" t="s">
        <v>25</v>
      </c>
      <c r="E537" t="s">
        <v>26</v>
      </c>
      <c r="F537">
        <v>37</v>
      </c>
      <c r="G537">
        <v>200</v>
      </c>
      <c r="H537">
        <v>5</v>
      </c>
      <c r="I537">
        <v>1000</v>
      </c>
      <c r="J537">
        <v>19.55</v>
      </c>
      <c r="K537" s="2">
        <v>45039</v>
      </c>
      <c r="L537" t="s">
        <v>318</v>
      </c>
      <c r="M537" s="6">
        <f>SalesTbl[[#This Row],[Unit Price]]*SalesTbl[[#This Row],[Quantity]]</f>
        <v>1000</v>
      </c>
      <c r="N537" s="6">
        <f>YEAR(SalesTbl[[#This Row],[Order Date]])</f>
        <v>2023</v>
      </c>
      <c r="O537" s="6" t="str">
        <f>TEXT(SalesTbl[[#This Row],[Order Date]],"yyyy-mm")</f>
        <v>2023-04</v>
      </c>
      <c r="P537" s="13">
        <f>WEEKNUM(SalesTbl[[#This Row],[Order Date]],2)</f>
        <v>17</v>
      </c>
      <c r="Q537" s="14">
        <f>MEDIAN(SalesTbl[Quantity])</f>
        <v>3</v>
      </c>
      <c r="R537" s="14">
        <f>IF(ISBLANK(SalesTbl[[#This Row],[Quantity]]),$H$2,SalesTbl[[#This Row],[Quantity]])</f>
        <v>5</v>
      </c>
      <c r="S537">
        <f>ROW()-ROW(SalesTbl[[#Headers],[Customer ID]])</f>
        <v>536</v>
      </c>
      <c r="T537" s="9" t="str">
        <f>IF(SalesTbl[[#This Row],[RowIdx]]&lt;=ROUNDUP(COUNTA(SalesTbl[Customer ID])*0.8,0),"Train","Test")</f>
        <v>Train</v>
      </c>
    </row>
    <row r="538" spans="1:20" x14ac:dyDescent="0.25">
      <c r="A538" t="s">
        <v>95</v>
      </c>
      <c r="B538" t="s">
        <v>13</v>
      </c>
      <c r="C538" t="s">
        <v>319</v>
      </c>
      <c r="D538" t="s">
        <v>40</v>
      </c>
      <c r="E538" t="s">
        <v>15</v>
      </c>
      <c r="F538">
        <v>33</v>
      </c>
      <c r="G538">
        <v>800</v>
      </c>
      <c r="H538">
        <v>3</v>
      </c>
      <c r="I538">
        <v>2400</v>
      </c>
      <c r="J538">
        <v>5.22</v>
      </c>
      <c r="K538" s="2">
        <v>45181</v>
      </c>
      <c r="L538" t="s">
        <v>316</v>
      </c>
      <c r="M538" s="6">
        <f>SalesTbl[[#This Row],[Unit Price]]*SalesTbl[[#This Row],[Quantity]]</f>
        <v>2400</v>
      </c>
      <c r="N538" s="6">
        <f>YEAR(SalesTbl[[#This Row],[Order Date]])</f>
        <v>2023</v>
      </c>
      <c r="O538" s="6" t="str">
        <f>TEXT(SalesTbl[[#This Row],[Order Date]],"yyyy-mm")</f>
        <v>2023-09</v>
      </c>
      <c r="P538" s="13">
        <f>WEEKNUM(SalesTbl[[#This Row],[Order Date]],2)</f>
        <v>38</v>
      </c>
      <c r="Q538" s="14">
        <f>MEDIAN(SalesTbl[Quantity])</f>
        <v>3</v>
      </c>
      <c r="R538" s="14">
        <f>IF(ISBLANK(SalesTbl[[#This Row],[Quantity]]),$H$2,SalesTbl[[#This Row],[Quantity]])</f>
        <v>3</v>
      </c>
      <c r="S538">
        <f>ROW()-ROW(SalesTbl[[#Headers],[Customer ID]])</f>
        <v>537</v>
      </c>
      <c r="T538" s="9" t="str">
        <f>IF(SalesTbl[[#This Row],[RowIdx]]&lt;=ROUNDUP(COUNTA(SalesTbl[Customer ID])*0.8,0),"Train","Test")</f>
        <v>Train</v>
      </c>
    </row>
    <row r="539" spans="1:20" x14ac:dyDescent="0.25">
      <c r="A539" t="s">
        <v>56</v>
      </c>
      <c r="B539" t="s">
        <v>13</v>
      </c>
      <c r="C539" t="s">
        <v>321</v>
      </c>
      <c r="D539" t="s">
        <v>29</v>
      </c>
      <c r="E539" t="s">
        <v>18</v>
      </c>
      <c r="F539">
        <v>49</v>
      </c>
      <c r="G539">
        <v>50</v>
      </c>
      <c r="H539">
        <v>1</v>
      </c>
      <c r="I539">
        <v>50</v>
      </c>
      <c r="J539">
        <v>14.62</v>
      </c>
      <c r="K539" s="2">
        <v>44954</v>
      </c>
      <c r="L539" t="s">
        <v>316</v>
      </c>
      <c r="M539" s="6">
        <f>SalesTbl[[#This Row],[Unit Price]]*SalesTbl[[#This Row],[Quantity]]</f>
        <v>50</v>
      </c>
      <c r="N539" s="6">
        <f>YEAR(SalesTbl[[#This Row],[Order Date]])</f>
        <v>2023</v>
      </c>
      <c r="O539" s="6" t="str">
        <f>TEXT(SalesTbl[[#This Row],[Order Date]],"yyyy-mm")</f>
        <v>2023-01</v>
      </c>
      <c r="P539" s="13">
        <f>WEEKNUM(SalesTbl[[#This Row],[Order Date]],2)</f>
        <v>5</v>
      </c>
      <c r="Q539" s="14">
        <f>MEDIAN(SalesTbl[Quantity])</f>
        <v>3</v>
      </c>
      <c r="R539" s="14">
        <f>IF(ISBLANK(SalesTbl[[#This Row],[Quantity]]),$H$2,SalesTbl[[#This Row],[Quantity]])</f>
        <v>1</v>
      </c>
      <c r="S539">
        <f>ROW()-ROW(SalesTbl[[#Headers],[Customer ID]])</f>
        <v>538</v>
      </c>
      <c r="T539" s="9" t="str">
        <f>IF(SalesTbl[[#This Row],[RowIdx]]&lt;=ROUNDUP(COUNTA(SalesTbl[Customer ID])*0.8,0),"Train","Test")</f>
        <v>Train</v>
      </c>
    </row>
    <row r="540" spans="1:20" x14ac:dyDescent="0.25">
      <c r="A540" t="s">
        <v>204</v>
      </c>
      <c r="B540" t="s">
        <v>20</v>
      </c>
      <c r="C540" t="s">
        <v>322</v>
      </c>
      <c r="D540" t="s">
        <v>25</v>
      </c>
      <c r="E540" t="s">
        <v>26</v>
      </c>
      <c r="F540">
        <v>69</v>
      </c>
      <c r="G540">
        <v>200</v>
      </c>
      <c r="H540">
        <v>3</v>
      </c>
      <c r="I540">
        <v>600</v>
      </c>
      <c r="J540">
        <v>19.07</v>
      </c>
      <c r="K540" s="2">
        <v>45123</v>
      </c>
      <c r="L540" t="s">
        <v>318</v>
      </c>
      <c r="M540" s="6">
        <f>SalesTbl[[#This Row],[Unit Price]]*SalesTbl[[#This Row],[Quantity]]</f>
        <v>600</v>
      </c>
      <c r="N540" s="6">
        <f>YEAR(SalesTbl[[#This Row],[Order Date]])</f>
        <v>2023</v>
      </c>
      <c r="O540" s="6" t="str">
        <f>TEXT(SalesTbl[[#This Row],[Order Date]],"yyyy-mm")</f>
        <v>2023-07</v>
      </c>
      <c r="P540" s="13">
        <f>WEEKNUM(SalesTbl[[#This Row],[Order Date]],2)</f>
        <v>29</v>
      </c>
      <c r="Q540" s="14">
        <f>MEDIAN(SalesTbl[Quantity])</f>
        <v>3</v>
      </c>
      <c r="R540" s="14">
        <f>IF(ISBLANK(SalesTbl[[#This Row],[Quantity]]),$H$2,SalesTbl[[#This Row],[Quantity]])</f>
        <v>3</v>
      </c>
      <c r="S540">
        <f>ROW()-ROW(SalesTbl[[#Headers],[Customer ID]])</f>
        <v>539</v>
      </c>
      <c r="T540" s="9" t="str">
        <f>IF(SalesTbl[[#This Row],[RowIdx]]&lt;=ROUNDUP(COUNTA(SalesTbl[Customer ID])*0.8,0),"Train","Test")</f>
        <v>Train</v>
      </c>
    </row>
    <row r="541" spans="1:20" x14ac:dyDescent="0.25">
      <c r="A541" t="s">
        <v>47</v>
      </c>
      <c r="B541" t="s">
        <v>13</v>
      </c>
      <c r="C541" t="s">
        <v>323</v>
      </c>
      <c r="D541" t="s">
        <v>25</v>
      </c>
      <c r="E541" t="s">
        <v>26</v>
      </c>
      <c r="F541">
        <v>57</v>
      </c>
      <c r="G541">
        <v>200</v>
      </c>
      <c r="H541">
        <v>5</v>
      </c>
      <c r="I541">
        <v>1000</v>
      </c>
      <c r="J541">
        <v>15.99</v>
      </c>
      <c r="K541" s="2">
        <v>44930</v>
      </c>
      <c r="L541" t="s">
        <v>316</v>
      </c>
      <c r="M541" s="6">
        <f>SalesTbl[[#This Row],[Unit Price]]*SalesTbl[[#This Row],[Quantity]]</f>
        <v>1000</v>
      </c>
      <c r="N541" s="6">
        <f>YEAR(SalesTbl[[#This Row],[Order Date]])</f>
        <v>2023</v>
      </c>
      <c r="O541" s="6" t="str">
        <f>TEXT(SalesTbl[[#This Row],[Order Date]],"yyyy-mm")</f>
        <v>2023-01</v>
      </c>
      <c r="P541" s="13">
        <f>WEEKNUM(SalesTbl[[#This Row],[Order Date]],2)</f>
        <v>2</v>
      </c>
      <c r="Q541" s="14">
        <f>MEDIAN(SalesTbl[Quantity])</f>
        <v>3</v>
      </c>
      <c r="R541" s="14">
        <f>IF(ISBLANK(SalesTbl[[#This Row],[Quantity]]),$H$2,SalesTbl[[#This Row],[Quantity]])</f>
        <v>5</v>
      </c>
      <c r="S541">
        <f>ROW()-ROW(SalesTbl[[#Headers],[Customer ID]])</f>
        <v>540</v>
      </c>
      <c r="T541" s="9" t="str">
        <f>IF(SalesTbl[[#This Row],[RowIdx]]&lt;=ROUNDUP(COUNTA(SalesTbl[Customer ID])*0.8,0),"Train","Test")</f>
        <v>Train</v>
      </c>
    </row>
    <row r="542" spans="1:20" x14ac:dyDescent="0.25">
      <c r="A542" t="s">
        <v>267</v>
      </c>
      <c r="B542" t="s">
        <v>13</v>
      </c>
      <c r="C542" t="s">
        <v>323</v>
      </c>
      <c r="D542" t="s">
        <v>17</v>
      </c>
      <c r="E542" t="s">
        <v>18</v>
      </c>
      <c r="F542">
        <v>19</v>
      </c>
      <c r="G542">
        <v>100</v>
      </c>
      <c r="H542">
        <v>5</v>
      </c>
      <c r="I542">
        <v>500</v>
      </c>
      <c r="J542">
        <v>19.53</v>
      </c>
      <c r="K542" s="2">
        <v>45024</v>
      </c>
      <c r="L542" t="s">
        <v>317</v>
      </c>
      <c r="M542" s="6">
        <f>SalesTbl[[#This Row],[Unit Price]]*SalesTbl[[#This Row],[Quantity]]</f>
        <v>500</v>
      </c>
      <c r="N542" s="6">
        <f>YEAR(SalesTbl[[#This Row],[Order Date]])</f>
        <v>2023</v>
      </c>
      <c r="O542" s="6" t="str">
        <f>TEXT(SalesTbl[[#This Row],[Order Date]],"yyyy-mm")</f>
        <v>2023-04</v>
      </c>
      <c r="P542" s="13">
        <f>WEEKNUM(SalesTbl[[#This Row],[Order Date]],2)</f>
        <v>15</v>
      </c>
      <c r="Q542" s="14">
        <f>MEDIAN(SalesTbl[Quantity])</f>
        <v>3</v>
      </c>
      <c r="R542" s="14">
        <f>IF(ISBLANK(SalesTbl[[#This Row],[Quantity]]),$H$2,SalesTbl[[#This Row],[Quantity]])</f>
        <v>5</v>
      </c>
      <c r="S542">
        <f>ROW()-ROW(SalesTbl[[#Headers],[Customer ID]])</f>
        <v>541</v>
      </c>
      <c r="T542" s="9" t="str">
        <f>IF(SalesTbl[[#This Row],[RowIdx]]&lt;=ROUNDUP(COUNTA(SalesTbl[Customer ID])*0.8,0),"Train","Test")</f>
        <v>Train</v>
      </c>
    </row>
    <row r="543" spans="1:20" x14ac:dyDescent="0.25">
      <c r="A543" t="s">
        <v>268</v>
      </c>
      <c r="B543" t="s">
        <v>13</v>
      </c>
      <c r="C543" t="s">
        <v>322</v>
      </c>
      <c r="D543" t="s">
        <v>23</v>
      </c>
      <c r="E543" t="s">
        <v>15</v>
      </c>
      <c r="F543">
        <v>43</v>
      </c>
      <c r="G543">
        <v>1500</v>
      </c>
      <c r="H543">
        <v>5</v>
      </c>
      <c r="I543">
        <v>7500</v>
      </c>
      <c r="J543">
        <v>13.04</v>
      </c>
      <c r="K543" s="2">
        <v>45049</v>
      </c>
      <c r="L543" t="s">
        <v>317</v>
      </c>
      <c r="M543" s="6">
        <f>SalesTbl[[#This Row],[Unit Price]]*SalesTbl[[#This Row],[Quantity]]</f>
        <v>7500</v>
      </c>
      <c r="N543" s="6">
        <f>YEAR(SalesTbl[[#This Row],[Order Date]])</f>
        <v>2023</v>
      </c>
      <c r="O543" s="6" t="str">
        <f>TEXT(SalesTbl[[#This Row],[Order Date]],"yyyy-mm")</f>
        <v>2023-05</v>
      </c>
      <c r="P543" s="13">
        <f>WEEKNUM(SalesTbl[[#This Row],[Order Date]],2)</f>
        <v>19</v>
      </c>
      <c r="Q543" s="14">
        <f>MEDIAN(SalesTbl[Quantity])</f>
        <v>3</v>
      </c>
      <c r="R543" s="14">
        <f>IF(ISBLANK(SalesTbl[[#This Row],[Quantity]]),$H$2,SalesTbl[[#This Row],[Quantity]])</f>
        <v>5</v>
      </c>
      <c r="S543">
        <f>ROW()-ROW(SalesTbl[[#Headers],[Customer ID]])</f>
        <v>542</v>
      </c>
      <c r="T543" s="9" t="str">
        <f>IF(SalesTbl[[#This Row],[RowIdx]]&lt;=ROUNDUP(COUNTA(SalesTbl[Customer ID])*0.8,0),"Train","Test")</f>
        <v>Train</v>
      </c>
    </row>
    <row r="544" spans="1:20" x14ac:dyDescent="0.25">
      <c r="A544" t="s">
        <v>235</v>
      </c>
      <c r="B544" t="s">
        <v>20</v>
      </c>
      <c r="C544" t="s">
        <v>319</v>
      </c>
      <c r="D544" t="s">
        <v>30</v>
      </c>
      <c r="E544" t="s">
        <v>18</v>
      </c>
      <c r="F544">
        <v>23</v>
      </c>
      <c r="G544">
        <v>30</v>
      </c>
      <c r="H544">
        <v>2</v>
      </c>
      <c r="I544">
        <v>60</v>
      </c>
      <c r="J544">
        <v>18.45</v>
      </c>
      <c r="K544" s="2">
        <v>45122</v>
      </c>
      <c r="L544" t="s">
        <v>316</v>
      </c>
      <c r="M544" s="6">
        <f>SalesTbl[[#This Row],[Unit Price]]*SalesTbl[[#This Row],[Quantity]]</f>
        <v>60</v>
      </c>
      <c r="N544" s="6">
        <f>YEAR(SalesTbl[[#This Row],[Order Date]])</f>
        <v>2023</v>
      </c>
      <c r="O544" s="6" t="str">
        <f>TEXT(SalesTbl[[#This Row],[Order Date]],"yyyy-mm")</f>
        <v>2023-07</v>
      </c>
      <c r="P544" s="13">
        <f>WEEKNUM(SalesTbl[[#This Row],[Order Date]],2)</f>
        <v>29</v>
      </c>
      <c r="Q544" s="14">
        <f>MEDIAN(SalesTbl[Quantity])</f>
        <v>3</v>
      </c>
      <c r="R544" s="14">
        <f>IF(ISBLANK(SalesTbl[[#This Row],[Quantity]]),$H$2,SalesTbl[[#This Row],[Quantity]])</f>
        <v>2</v>
      </c>
      <c r="S544">
        <f>ROW()-ROW(SalesTbl[[#Headers],[Customer ID]])</f>
        <v>543</v>
      </c>
      <c r="T544" s="9" t="str">
        <f>IF(SalesTbl[[#This Row],[RowIdx]]&lt;=ROUNDUP(COUNTA(SalesTbl[Customer ID])*0.8,0),"Train","Test")</f>
        <v>Train</v>
      </c>
    </row>
    <row r="545" spans="1:20" x14ac:dyDescent="0.25">
      <c r="A545" t="s">
        <v>94</v>
      </c>
      <c r="B545" t="s">
        <v>13</v>
      </c>
      <c r="C545" t="s">
        <v>320</v>
      </c>
      <c r="D545" t="s">
        <v>40</v>
      </c>
      <c r="E545" t="s">
        <v>15</v>
      </c>
      <c r="F545">
        <v>45</v>
      </c>
      <c r="G545">
        <v>800</v>
      </c>
      <c r="H545">
        <v>4</v>
      </c>
      <c r="I545">
        <v>3200</v>
      </c>
      <c r="J545">
        <v>15.02</v>
      </c>
      <c r="K545" s="2">
        <v>45197</v>
      </c>
      <c r="L545" t="s">
        <v>316</v>
      </c>
      <c r="M545" s="6">
        <f>SalesTbl[[#This Row],[Unit Price]]*SalesTbl[[#This Row],[Quantity]]</f>
        <v>3200</v>
      </c>
      <c r="N545" s="6">
        <f>YEAR(SalesTbl[[#This Row],[Order Date]])</f>
        <v>2023</v>
      </c>
      <c r="O545" s="6" t="str">
        <f>TEXT(SalesTbl[[#This Row],[Order Date]],"yyyy-mm")</f>
        <v>2023-09</v>
      </c>
      <c r="P545" s="13">
        <f>WEEKNUM(SalesTbl[[#This Row],[Order Date]],2)</f>
        <v>40</v>
      </c>
      <c r="Q545" s="14">
        <f>MEDIAN(SalesTbl[Quantity])</f>
        <v>3</v>
      </c>
      <c r="R545" s="14">
        <f>IF(ISBLANK(SalesTbl[[#This Row],[Quantity]]),$H$2,SalesTbl[[#This Row],[Quantity]])</f>
        <v>4</v>
      </c>
      <c r="S545">
        <f>ROW()-ROW(SalesTbl[[#Headers],[Customer ID]])</f>
        <v>544</v>
      </c>
      <c r="T545" s="9" t="str">
        <f>IF(SalesTbl[[#This Row],[RowIdx]]&lt;=ROUNDUP(COUNTA(SalesTbl[Customer ID])*0.8,0),"Train","Test")</f>
        <v>Train</v>
      </c>
    </row>
    <row r="546" spans="1:20" x14ac:dyDescent="0.25">
      <c r="A546" t="s">
        <v>269</v>
      </c>
      <c r="B546" t="s">
        <v>20</v>
      </c>
      <c r="C546" t="s">
        <v>323</v>
      </c>
      <c r="D546" t="s">
        <v>29</v>
      </c>
      <c r="E546" t="s">
        <v>18</v>
      </c>
      <c r="F546">
        <v>48</v>
      </c>
      <c r="G546">
        <v>50</v>
      </c>
      <c r="H546">
        <v>4</v>
      </c>
      <c r="I546">
        <v>200</v>
      </c>
      <c r="J546">
        <v>8.27</v>
      </c>
      <c r="K546" s="2">
        <v>45068</v>
      </c>
      <c r="L546" t="s">
        <v>317</v>
      </c>
      <c r="M546" s="6">
        <f>SalesTbl[[#This Row],[Unit Price]]*SalesTbl[[#This Row],[Quantity]]</f>
        <v>200</v>
      </c>
      <c r="N546" s="6">
        <f>YEAR(SalesTbl[[#This Row],[Order Date]])</f>
        <v>2023</v>
      </c>
      <c r="O546" s="6" t="str">
        <f>TEXT(SalesTbl[[#This Row],[Order Date]],"yyyy-mm")</f>
        <v>2023-05</v>
      </c>
      <c r="P546" s="13">
        <f>WEEKNUM(SalesTbl[[#This Row],[Order Date]],2)</f>
        <v>22</v>
      </c>
      <c r="Q546" s="14">
        <f>MEDIAN(SalesTbl[Quantity])</f>
        <v>3</v>
      </c>
      <c r="R546" s="14">
        <f>IF(ISBLANK(SalesTbl[[#This Row],[Quantity]]),$H$2,SalesTbl[[#This Row],[Quantity]])</f>
        <v>4</v>
      </c>
      <c r="S546">
        <f>ROW()-ROW(SalesTbl[[#Headers],[Customer ID]])</f>
        <v>545</v>
      </c>
      <c r="T546" s="9" t="str">
        <f>IF(SalesTbl[[#This Row],[RowIdx]]&lt;=ROUNDUP(COUNTA(SalesTbl[Customer ID])*0.8,0),"Train","Test")</f>
        <v>Train</v>
      </c>
    </row>
    <row r="547" spans="1:20" x14ac:dyDescent="0.25">
      <c r="A547" t="s">
        <v>188</v>
      </c>
      <c r="B547" t="s">
        <v>13</v>
      </c>
      <c r="C547" t="s">
        <v>322</v>
      </c>
      <c r="D547" t="s">
        <v>30</v>
      </c>
      <c r="E547" t="s">
        <v>18</v>
      </c>
      <c r="F547">
        <v>52</v>
      </c>
      <c r="G547">
        <v>30</v>
      </c>
      <c r="H547">
        <v>3</v>
      </c>
      <c r="I547">
        <v>90</v>
      </c>
      <c r="J547">
        <v>8.66</v>
      </c>
      <c r="K547" s="2">
        <v>45015</v>
      </c>
      <c r="L547" t="s">
        <v>317</v>
      </c>
      <c r="M547" s="6">
        <f>SalesTbl[[#This Row],[Unit Price]]*SalesTbl[[#This Row],[Quantity]]</f>
        <v>90</v>
      </c>
      <c r="N547" s="6">
        <f>YEAR(SalesTbl[[#This Row],[Order Date]])</f>
        <v>2023</v>
      </c>
      <c r="O547" s="6" t="str">
        <f>TEXT(SalesTbl[[#This Row],[Order Date]],"yyyy-mm")</f>
        <v>2023-03</v>
      </c>
      <c r="P547" s="13">
        <f>WEEKNUM(SalesTbl[[#This Row],[Order Date]],2)</f>
        <v>14</v>
      </c>
      <c r="Q547" s="14">
        <f>MEDIAN(SalesTbl[Quantity])</f>
        <v>3</v>
      </c>
      <c r="R547" s="14">
        <f>IF(ISBLANK(SalesTbl[[#This Row],[Quantity]]),$H$2,SalesTbl[[#This Row],[Quantity]])</f>
        <v>3</v>
      </c>
      <c r="S547">
        <f>ROW()-ROW(SalesTbl[[#Headers],[Customer ID]])</f>
        <v>546</v>
      </c>
      <c r="T547" s="9" t="str">
        <f>IF(SalesTbl[[#This Row],[RowIdx]]&lt;=ROUNDUP(COUNTA(SalesTbl[Customer ID])*0.8,0),"Train","Test")</f>
        <v>Train</v>
      </c>
    </row>
    <row r="548" spans="1:20" x14ac:dyDescent="0.25">
      <c r="A548" t="s">
        <v>198</v>
      </c>
      <c r="B548" t="s">
        <v>20</v>
      </c>
      <c r="C548" t="s">
        <v>322</v>
      </c>
      <c r="D548" t="s">
        <v>17</v>
      </c>
      <c r="E548" t="s">
        <v>18</v>
      </c>
      <c r="F548">
        <v>46</v>
      </c>
      <c r="G548">
        <v>100</v>
      </c>
      <c r="H548">
        <v>5</v>
      </c>
      <c r="I548">
        <v>500</v>
      </c>
      <c r="J548">
        <v>11.88</v>
      </c>
      <c r="K548" s="2">
        <v>45140</v>
      </c>
      <c r="L548" t="s">
        <v>316</v>
      </c>
      <c r="M548" s="6">
        <f>SalesTbl[[#This Row],[Unit Price]]*SalesTbl[[#This Row],[Quantity]]</f>
        <v>500</v>
      </c>
      <c r="N548" s="6">
        <f>YEAR(SalesTbl[[#This Row],[Order Date]])</f>
        <v>2023</v>
      </c>
      <c r="O548" s="6" t="str">
        <f>TEXT(SalesTbl[[#This Row],[Order Date]],"yyyy-mm")</f>
        <v>2023-08</v>
      </c>
      <c r="P548" s="13">
        <f>WEEKNUM(SalesTbl[[#This Row],[Order Date]],2)</f>
        <v>32</v>
      </c>
      <c r="Q548" s="14">
        <f>MEDIAN(SalesTbl[Quantity])</f>
        <v>3</v>
      </c>
      <c r="R548" s="14">
        <f>IF(ISBLANK(SalesTbl[[#This Row],[Quantity]]),$H$2,SalesTbl[[#This Row],[Quantity]])</f>
        <v>5</v>
      </c>
      <c r="S548">
        <f>ROW()-ROW(SalesTbl[[#Headers],[Customer ID]])</f>
        <v>547</v>
      </c>
      <c r="T548" s="9" t="str">
        <f>IF(SalesTbl[[#This Row],[RowIdx]]&lt;=ROUNDUP(COUNTA(SalesTbl[Customer ID])*0.8,0),"Train","Test")</f>
        <v>Train</v>
      </c>
    </row>
    <row r="549" spans="1:20" x14ac:dyDescent="0.25">
      <c r="A549" t="s">
        <v>12</v>
      </c>
      <c r="B549" t="s">
        <v>13</v>
      </c>
      <c r="C549" t="s">
        <v>320</v>
      </c>
      <c r="D549" t="s">
        <v>29</v>
      </c>
      <c r="E549" t="s">
        <v>18</v>
      </c>
      <c r="F549">
        <v>21</v>
      </c>
      <c r="G549">
        <v>50</v>
      </c>
      <c r="H549">
        <v>3</v>
      </c>
      <c r="I549">
        <v>150</v>
      </c>
      <c r="J549">
        <v>15.03</v>
      </c>
      <c r="K549" s="2">
        <v>45066</v>
      </c>
      <c r="L549" t="s">
        <v>317</v>
      </c>
      <c r="M549" s="6">
        <f>SalesTbl[[#This Row],[Unit Price]]*SalesTbl[[#This Row],[Quantity]]</f>
        <v>150</v>
      </c>
      <c r="N549" s="6">
        <f>YEAR(SalesTbl[[#This Row],[Order Date]])</f>
        <v>2023</v>
      </c>
      <c r="O549" s="6" t="str">
        <f>TEXT(SalesTbl[[#This Row],[Order Date]],"yyyy-mm")</f>
        <v>2023-05</v>
      </c>
      <c r="P549" s="13">
        <f>WEEKNUM(SalesTbl[[#This Row],[Order Date]],2)</f>
        <v>21</v>
      </c>
      <c r="Q549" s="14">
        <f>MEDIAN(SalesTbl[Quantity])</f>
        <v>3</v>
      </c>
      <c r="R549" s="14">
        <f>IF(ISBLANK(SalesTbl[[#This Row],[Quantity]]),$H$2,SalesTbl[[#This Row],[Quantity]])</f>
        <v>3</v>
      </c>
      <c r="S549">
        <f>ROW()-ROW(SalesTbl[[#Headers],[Customer ID]])</f>
        <v>548</v>
      </c>
      <c r="T549" s="9" t="str">
        <f>IF(SalesTbl[[#This Row],[RowIdx]]&lt;=ROUNDUP(COUNTA(SalesTbl[Customer ID])*0.8,0),"Train","Test")</f>
        <v>Train</v>
      </c>
    </row>
    <row r="550" spans="1:20" x14ac:dyDescent="0.25">
      <c r="A550" t="s">
        <v>270</v>
      </c>
      <c r="B550" t="s">
        <v>20</v>
      </c>
      <c r="C550" t="s">
        <v>321</v>
      </c>
      <c r="D550" t="s">
        <v>29</v>
      </c>
      <c r="E550" t="s">
        <v>18</v>
      </c>
      <c r="F550">
        <v>36</v>
      </c>
      <c r="G550">
        <v>50</v>
      </c>
      <c r="H550">
        <v>5</v>
      </c>
      <c r="I550">
        <v>250</v>
      </c>
      <c r="J550">
        <v>12.63</v>
      </c>
      <c r="K550" s="2">
        <v>45277</v>
      </c>
      <c r="L550" t="s">
        <v>318</v>
      </c>
      <c r="M550" s="6">
        <f>SalesTbl[[#This Row],[Unit Price]]*SalesTbl[[#This Row],[Quantity]]</f>
        <v>250</v>
      </c>
      <c r="N550" s="6">
        <f>YEAR(SalesTbl[[#This Row],[Order Date]])</f>
        <v>2023</v>
      </c>
      <c r="O550" s="6" t="str">
        <f>TEXT(SalesTbl[[#This Row],[Order Date]],"yyyy-mm")</f>
        <v>2023-12</v>
      </c>
      <c r="P550" s="13">
        <f>WEEKNUM(SalesTbl[[#This Row],[Order Date]],2)</f>
        <v>51</v>
      </c>
      <c r="Q550" s="14">
        <f>MEDIAN(SalesTbl[Quantity])</f>
        <v>3</v>
      </c>
      <c r="R550" s="14">
        <f>IF(ISBLANK(SalesTbl[[#This Row],[Quantity]]),$H$2,SalesTbl[[#This Row],[Quantity]])</f>
        <v>5</v>
      </c>
      <c r="S550">
        <f>ROW()-ROW(SalesTbl[[#Headers],[Customer ID]])</f>
        <v>549</v>
      </c>
      <c r="T550" s="9" t="str">
        <f>IF(SalesTbl[[#This Row],[RowIdx]]&lt;=ROUNDUP(COUNTA(SalesTbl[Customer ID])*0.8,0),"Train","Test")</f>
        <v>Train</v>
      </c>
    </row>
    <row r="551" spans="1:20" x14ac:dyDescent="0.25">
      <c r="A551" t="s">
        <v>226</v>
      </c>
      <c r="B551" t="s">
        <v>13</v>
      </c>
      <c r="C551" t="s">
        <v>321</v>
      </c>
      <c r="D551" t="s">
        <v>14</v>
      </c>
      <c r="E551" t="s">
        <v>15</v>
      </c>
      <c r="F551">
        <v>33</v>
      </c>
      <c r="G551">
        <v>300</v>
      </c>
      <c r="H551">
        <v>3</v>
      </c>
      <c r="I551">
        <v>900</v>
      </c>
      <c r="J551">
        <v>7.25</v>
      </c>
      <c r="K551" s="2">
        <v>45231</v>
      </c>
      <c r="L551" t="s">
        <v>316</v>
      </c>
      <c r="M551" s="6">
        <f>SalesTbl[[#This Row],[Unit Price]]*SalesTbl[[#This Row],[Quantity]]</f>
        <v>900</v>
      </c>
      <c r="N551" s="6">
        <f>YEAR(SalesTbl[[#This Row],[Order Date]])</f>
        <v>2023</v>
      </c>
      <c r="O551" s="6" t="str">
        <f>TEXT(SalesTbl[[#This Row],[Order Date]],"yyyy-mm")</f>
        <v>2023-11</v>
      </c>
      <c r="P551" s="13">
        <f>WEEKNUM(SalesTbl[[#This Row],[Order Date]],2)</f>
        <v>45</v>
      </c>
      <c r="Q551" s="14">
        <f>MEDIAN(SalesTbl[Quantity])</f>
        <v>3</v>
      </c>
      <c r="R551" s="14">
        <f>IF(ISBLANK(SalesTbl[[#This Row],[Quantity]]),$H$2,SalesTbl[[#This Row],[Quantity]])</f>
        <v>3</v>
      </c>
      <c r="S551">
        <f>ROW()-ROW(SalesTbl[[#Headers],[Customer ID]])</f>
        <v>550</v>
      </c>
      <c r="T551" s="9" t="str">
        <f>IF(SalesTbl[[#This Row],[RowIdx]]&lt;=ROUNDUP(COUNTA(SalesTbl[Customer ID])*0.8,0),"Train","Test")</f>
        <v>Train</v>
      </c>
    </row>
    <row r="552" spans="1:20" x14ac:dyDescent="0.25">
      <c r="A552" t="s">
        <v>77</v>
      </c>
      <c r="B552" t="s">
        <v>13</v>
      </c>
      <c r="C552" t="s">
        <v>321</v>
      </c>
      <c r="D552" t="s">
        <v>17</v>
      </c>
      <c r="E552" t="s">
        <v>18</v>
      </c>
      <c r="F552">
        <v>54</v>
      </c>
      <c r="G552">
        <v>100</v>
      </c>
      <c r="H552">
        <v>2</v>
      </c>
      <c r="I552">
        <v>200</v>
      </c>
      <c r="J552">
        <v>6.22</v>
      </c>
      <c r="K552" s="2">
        <v>45294</v>
      </c>
      <c r="L552" t="s">
        <v>316</v>
      </c>
      <c r="M552" s="6">
        <f>SalesTbl[[#This Row],[Unit Price]]*SalesTbl[[#This Row],[Quantity]]</f>
        <v>200</v>
      </c>
      <c r="N552" s="6">
        <f>YEAR(SalesTbl[[#This Row],[Order Date]])</f>
        <v>2024</v>
      </c>
      <c r="O552" s="6" t="str">
        <f>TEXT(SalesTbl[[#This Row],[Order Date]],"yyyy-mm")</f>
        <v>2024-01</v>
      </c>
      <c r="P552" s="13">
        <f>WEEKNUM(SalesTbl[[#This Row],[Order Date]],2)</f>
        <v>1</v>
      </c>
      <c r="Q552" s="14">
        <f>MEDIAN(SalesTbl[Quantity])</f>
        <v>3</v>
      </c>
      <c r="R552" s="14">
        <f>IF(ISBLANK(SalesTbl[[#This Row],[Quantity]]),$H$2,SalesTbl[[#This Row],[Quantity]])</f>
        <v>2</v>
      </c>
      <c r="S552">
        <f>ROW()-ROW(SalesTbl[[#Headers],[Customer ID]])</f>
        <v>551</v>
      </c>
      <c r="T552" s="9" t="str">
        <f>IF(SalesTbl[[#This Row],[RowIdx]]&lt;=ROUNDUP(COUNTA(SalesTbl[Customer ID])*0.8,0),"Train","Test")</f>
        <v>Train</v>
      </c>
    </row>
    <row r="553" spans="1:20" x14ac:dyDescent="0.25">
      <c r="A553" t="s">
        <v>90</v>
      </c>
      <c r="B553" t="s">
        <v>13</v>
      </c>
      <c r="C553" t="s">
        <v>323</v>
      </c>
      <c r="D553" t="s">
        <v>14</v>
      </c>
      <c r="E553" t="s">
        <v>15</v>
      </c>
      <c r="F553">
        <v>50</v>
      </c>
      <c r="G553">
        <v>300</v>
      </c>
      <c r="H553">
        <v>3</v>
      </c>
      <c r="I553">
        <v>900</v>
      </c>
      <c r="J553">
        <v>14.75</v>
      </c>
      <c r="K553" s="2">
        <v>44934</v>
      </c>
      <c r="L553" t="s">
        <v>318</v>
      </c>
      <c r="M553" s="6">
        <f>SalesTbl[[#This Row],[Unit Price]]*SalesTbl[[#This Row],[Quantity]]</f>
        <v>900</v>
      </c>
      <c r="N553" s="6">
        <f>YEAR(SalesTbl[[#This Row],[Order Date]])</f>
        <v>2023</v>
      </c>
      <c r="O553" s="6" t="str">
        <f>TEXT(SalesTbl[[#This Row],[Order Date]],"yyyy-mm")</f>
        <v>2023-01</v>
      </c>
      <c r="P553" s="13">
        <f>WEEKNUM(SalesTbl[[#This Row],[Order Date]],2)</f>
        <v>2</v>
      </c>
      <c r="Q553" s="14">
        <f>MEDIAN(SalesTbl[Quantity])</f>
        <v>3</v>
      </c>
      <c r="R553" s="14">
        <f>IF(ISBLANK(SalesTbl[[#This Row],[Quantity]]),$H$2,SalesTbl[[#This Row],[Quantity]])</f>
        <v>3</v>
      </c>
      <c r="S553">
        <f>ROW()-ROW(SalesTbl[[#Headers],[Customer ID]])</f>
        <v>552</v>
      </c>
      <c r="T553" s="9" t="str">
        <f>IF(SalesTbl[[#This Row],[RowIdx]]&lt;=ROUNDUP(COUNTA(SalesTbl[Customer ID])*0.8,0),"Train","Test")</f>
        <v>Train</v>
      </c>
    </row>
    <row r="554" spans="1:20" x14ac:dyDescent="0.25">
      <c r="A554" t="s">
        <v>184</v>
      </c>
      <c r="B554" t="s">
        <v>20</v>
      </c>
      <c r="C554" t="s">
        <v>323</v>
      </c>
      <c r="D554" t="s">
        <v>17</v>
      </c>
      <c r="E554" t="s">
        <v>18</v>
      </c>
      <c r="F554">
        <v>51</v>
      </c>
      <c r="G554">
        <v>100</v>
      </c>
      <c r="H554">
        <v>4</v>
      </c>
      <c r="I554">
        <v>400</v>
      </c>
      <c r="J554">
        <v>17.18</v>
      </c>
      <c r="K554" s="2">
        <v>45194</v>
      </c>
      <c r="L554" t="s">
        <v>317</v>
      </c>
      <c r="M554" s="6">
        <f>SalesTbl[[#This Row],[Unit Price]]*SalesTbl[[#This Row],[Quantity]]</f>
        <v>400</v>
      </c>
      <c r="N554" s="6">
        <f>YEAR(SalesTbl[[#This Row],[Order Date]])</f>
        <v>2023</v>
      </c>
      <c r="O554" s="6" t="str">
        <f>TEXT(SalesTbl[[#This Row],[Order Date]],"yyyy-mm")</f>
        <v>2023-09</v>
      </c>
      <c r="P554" s="13">
        <f>WEEKNUM(SalesTbl[[#This Row],[Order Date]],2)</f>
        <v>40</v>
      </c>
      <c r="Q554" s="14">
        <f>MEDIAN(SalesTbl[Quantity])</f>
        <v>3</v>
      </c>
      <c r="R554" s="14">
        <f>IF(ISBLANK(SalesTbl[[#This Row],[Quantity]]),$H$2,SalesTbl[[#This Row],[Quantity]])</f>
        <v>4</v>
      </c>
      <c r="S554">
        <f>ROW()-ROW(SalesTbl[[#Headers],[Customer ID]])</f>
        <v>553</v>
      </c>
      <c r="T554" s="9" t="str">
        <f>IF(SalesTbl[[#This Row],[RowIdx]]&lt;=ROUNDUP(COUNTA(SalesTbl[Customer ID])*0.8,0),"Train","Test")</f>
        <v>Train</v>
      </c>
    </row>
    <row r="555" spans="1:20" x14ac:dyDescent="0.25">
      <c r="A555" t="s">
        <v>184</v>
      </c>
      <c r="B555" t="s">
        <v>20</v>
      </c>
      <c r="C555" t="s">
        <v>323</v>
      </c>
      <c r="D555" t="s">
        <v>29</v>
      </c>
      <c r="E555" t="s">
        <v>18</v>
      </c>
      <c r="F555">
        <v>51</v>
      </c>
      <c r="G555">
        <v>50</v>
      </c>
      <c r="H555">
        <v>3</v>
      </c>
      <c r="I555">
        <v>150</v>
      </c>
      <c r="J555">
        <v>14.99</v>
      </c>
      <c r="K555" s="2">
        <v>45034</v>
      </c>
      <c r="L555" t="s">
        <v>317</v>
      </c>
      <c r="M555" s="6">
        <f>SalesTbl[[#This Row],[Unit Price]]*SalesTbl[[#This Row],[Quantity]]</f>
        <v>150</v>
      </c>
      <c r="N555" s="6">
        <f>YEAR(SalesTbl[[#This Row],[Order Date]])</f>
        <v>2023</v>
      </c>
      <c r="O555" s="6" t="str">
        <f>TEXT(SalesTbl[[#This Row],[Order Date]],"yyyy-mm")</f>
        <v>2023-04</v>
      </c>
      <c r="P555" s="13">
        <f>WEEKNUM(SalesTbl[[#This Row],[Order Date]],2)</f>
        <v>17</v>
      </c>
      <c r="Q555" s="14">
        <f>MEDIAN(SalesTbl[Quantity])</f>
        <v>3</v>
      </c>
      <c r="R555" s="14">
        <f>IF(ISBLANK(SalesTbl[[#This Row],[Quantity]]),$H$2,SalesTbl[[#This Row],[Quantity]])</f>
        <v>3</v>
      </c>
      <c r="S555">
        <f>ROW()-ROW(SalesTbl[[#Headers],[Customer ID]])</f>
        <v>554</v>
      </c>
      <c r="T555" s="9" t="str">
        <f>IF(SalesTbl[[#This Row],[RowIdx]]&lt;=ROUNDUP(COUNTA(SalesTbl[Customer ID])*0.8,0),"Train","Test")</f>
        <v>Train</v>
      </c>
    </row>
    <row r="556" spans="1:20" x14ac:dyDescent="0.25">
      <c r="A556" t="s">
        <v>271</v>
      </c>
      <c r="B556" t="s">
        <v>20</v>
      </c>
      <c r="C556" t="s">
        <v>320</v>
      </c>
      <c r="D556" t="s">
        <v>25</v>
      </c>
      <c r="E556" t="s">
        <v>26</v>
      </c>
      <c r="F556">
        <v>49</v>
      </c>
      <c r="G556">
        <v>200</v>
      </c>
      <c r="H556">
        <v>1</v>
      </c>
      <c r="I556">
        <v>200</v>
      </c>
      <c r="J556">
        <v>17.3</v>
      </c>
      <c r="K556" s="2">
        <v>44976</v>
      </c>
      <c r="L556" t="s">
        <v>318</v>
      </c>
      <c r="M556" s="6">
        <f>SalesTbl[[#This Row],[Unit Price]]*SalesTbl[[#This Row],[Quantity]]</f>
        <v>200</v>
      </c>
      <c r="N556" s="6">
        <f>YEAR(SalesTbl[[#This Row],[Order Date]])</f>
        <v>2023</v>
      </c>
      <c r="O556" s="6" t="str">
        <f>TEXT(SalesTbl[[#This Row],[Order Date]],"yyyy-mm")</f>
        <v>2023-02</v>
      </c>
      <c r="P556" s="13">
        <f>WEEKNUM(SalesTbl[[#This Row],[Order Date]],2)</f>
        <v>8</v>
      </c>
      <c r="Q556" s="14">
        <f>MEDIAN(SalesTbl[Quantity])</f>
        <v>3</v>
      </c>
      <c r="R556" s="14">
        <f>IF(ISBLANK(SalesTbl[[#This Row],[Quantity]]),$H$2,SalesTbl[[#This Row],[Quantity]])</f>
        <v>1</v>
      </c>
      <c r="S556">
        <f>ROW()-ROW(SalesTbl[[#Headers],[Customer ID]])</f>
        <v>555</v>
      </c>
      <c r="T556" s="9" t="str">
        <f>IF(SalesTbl[[#This Row],[RowIdx]]&lt;=ROUNDUP(COUNTA(SalesTbl[Customer ID])*0.8,0),"Train","Test")</f>
        <v>Train</v>
      </c>
    </row>
    <row r="557" spans="1:20" x14ac:dyDescent="0.25">
      <c r="A557" t="s">
        <v>102</v>
      </c>
      <c r="B557" t="s">
        <v>20</v>
      </c>
      <c r="C557" t="s">
        <v>321</v>
      </c>
      <c r="D557" t="s">
        <v>17</v>
      </c>
      <c r="E557" t="s">
        <v>18</v>
      </c>
      <c r="F557">
        <v>30</v>
      </c>
      <c r="G557">
        <v>100</v>
      </c>
      <c r="H557">
        <v>1</v>
      </c>
      <c r="I557">
        <v>100</v>
      </c>
      <c r="J557">
        <v>6.47</v>
      </c>
      <c r="K557" s="2">
        <v>45078</v>
      </c>
      <c r="L557" t="s">
        <v>318</v>
      </c>
      <c r="M557" s="6">
        <f>SalesTbl[[#This Row],[Unit Price]]*SalesTbl[[#This Row],[Quantity]]</f>
        <v>100</v>
      </c>
      <c r="N557" s="6">
        <f>YEAR(SalesTbl[[#This Row],[Order Date]])</f>
        <v>2023</v>
      </c>
      <c r="O557" s="6" t="str">
        <f>TEXT(SalesTbl[[#This Row],[Order Date]],"yyyy-mm")</f>
        <v>2023-06</v>
      </c>
      <c r="P557" s="13">
        <f>WEEKNUM(SalesTbl[[#This Row],[Order Date]],2)</f>
        <v>23</v>
      </c>
      <c r="Q557" s="14">
        <f>MEDIAN(SalesTbl[Quantity])</f>
        <v>3</v>
      </c>
      <c r="R557" s="14">
        <f>IF(ISBLANK(SalesTbl[[#This Row],[Quantity]]),$H$2,SalesTbl[[#This Row],[Quantity]])</f>
        <v>1</v>
      </c>
      <c r="S557">
        <f>ROW()-ROW(SalesTbl[[#Headers],[Customer ID]])</f>
        <v>556</v>
      </c>
      <c r="T557" s="9" t="str">
        <f>IF(SalesTbl[[#This Row],[RowIdx]]&lt;=ROUNDUP(COUNTA(SalesTbl[Customer ID])*0.8,0),"Train","Test")</f>
        <v>Train</v>
      </c>
    </row>
    <row r="558" spans="1:20" x14ac:dyDescent="0.25">
      <c r="A558" t="s">
        <v>158</v>
      </c>
      <c r="B558" t="s">
        <v>20</v>
      </c>
      <c r="C558" t="s">
        <v>322</v>
      </c>
      <c r="D558" t="s">
        <v>29</v>
      </c>
      <c r="E558" t="s">
        <v>18</v>
      </c>
      <c r="F558">
        <v>32</v>
      </c>
      <c r="G558">
        <v>50</v>
      </c>
      <c r="H558">
        <v>5</v>
      </c>
      <c r="I558">
        <v>250</v>
      </c>
      <c r="J558">
        <v>10.39</v>
      </c>
      <c r="K558" s="2">
        <v>45105</v>
      </c>
      <c r="L558" t="s">
        <v>317</v>
      </c>
      <c r="M558" s="6">
        <f>SalesTbl[[#This Row],[Unit Price]]*SalesTbl[[#This Row],[Quantity]]</f>
        <v>250</v>
      </c>
      <c r="N558" s="6">
        <f>YEAR(SalesTbl[[#This Row],[Order Date]])</f>
        <v>2023</v>
      </c>
      <c r="O558" s="6" t="str">
        <f>TEXT(SalesTbl[[#This Row],[Order Date]],"yyyy-mm")</f>
        <v>2023-06</v>
      </c>
      <c r="P558" s="13">
        <f>WEEKNUM(SalesTbl[[#This Row],[Order Date]],2)</f>
        <v>27</v>
      </c>
      <c r="Q558" s="14">
        <f>MEDIAN(SalesTbl[Quantity])</f>
        <v>3</v>
      </c>
      <c r="R558" s="14">
        <f>IF(ISBLANK(SalesTbl[[#This Row],[Quantity]]),$H$2,SalesTbl[[#This Row],[Quantity]])</f>
        <v>5</v>
      </c>
      <c r="S558">
        <f>ROW()-ROW(SalesTbl[[#Headers],[Customer ID]])</f>
        <v>557</v>
      </c>
      <c r="T558" s="9" t="str">
        <f>IF(SalesTbl[[#This Row],[RowIdx]]&lt;=ROUNDUP(COUNTA(SalesTbl[Customer ID])*0.8,0),"Train","Test")</f>
        <v>Train</v>
      </c>
    </row>
    <row r="559" spans="1:20" x14ac:dyDescent="0.25">
      <c r="A559" t="s">
        <v>158</v>
      </c>
      <c r="B559" t="s">
        <v>20</v>
      </c>
      <c r="C559" t="s">
        <v>322</v>
      </c>
      <c r="D559" t="s">
        <v>14</v>
      </c>
      <c r="E559" t="s">
        <v>15</v>
      </c>
      <c r="F559">
        <v>32</v>
      </c>
      <c r="G559">
        <v>300</v>
      </c>
      <c r="H559">
        <v>1</v>
      </c>
      <c r="I559">
        <v>300</v>
      </c>
      <c r="J559">
        <v>9.57</v>
      </c>
      <c r="K559" s="2">
        <v>45040</v>
      </c>
      <c r="L559" t="s">
        <v>317</v>
      </c>
      <c r="M559" s="6">
        <f>SalesTbl[[#This Row],[Unit Price]]*SalesTbl[[#This Row],[Quantity]]</f>
        <v>300</v>
      </c>
      <c r="N559" s="6">
        <f>YEAR(SalesTbl[[#This Row],[Order Date]])</f>
        <v>2023</v>
      </c>
      <c r="O559" s="6" t="str">
        <f>TEXT(SalesTbl[[#This Row],[Order Date]],"yyyy-mm")</f>
        <v>2023-04</v>
      </c>
      <c r="P559" s="13">
        <f>WEEKNUM(SalesTbl[[#This Row],[Order Date]],2)</f>
        <v>18</v>
      </c>
      <c r="Q559" s="14">
        <f>MEDIAN(SalesTbl[Quantity])</f>
        <v>3</v>
      </c>
      <c r="R559" s="14">
        <f>IF(ISBLANK(SalesTbl[[#This Row],[Quantity]]),$H$2,SalesTbl[[#This Row],[Quantity]])</f>
        <v>1</v>
      </c>
      <c r="S559">
        <f>ROW()-ROW(SalesTbl[[#Headers],[Customer ID]])</f>
        <v>558</v>
      </c>
      <c r="T559" s="9" t="str">
        <f>IF(SalesTbl[[#This Row],[RowIdx]]&lt;=ROUNDUP(COUNTA(SalesTbl[Customer ID])*0.8,0),"Train","Test")</f>
        <v>Train</v>
      </c>
    </row>
    <row r="560" spans="1:20" x14ac:dyDescent="0.25">
      <c r="A560" t="s">
        <v>207</v>
      </c>
      <c r="B560" t="s">
        <v>13</v>
      </c>
      <c r="C560" t="s">
        <v>320</v>
      </c>
      <c r="D560" t="s">
        <v>40</v>
      </c>
      <c r="E560" t="s">
        <v>15</v>
      </c>
      <c r="F560">
        <v>63</v>
      </c>
      <c r="G560">
        <v>800</v>
      </c>
      <c r="H560">
        <v>2</v>
      </c>
      <c r="I560">
        <v>1600</v>
      </c>
      <c r="J560">
        <v>6.57</v>
      </c>
      <c r="K560" s="2">
        <v>45268</v>
      </c>
      <c r="L560" t="s">
        <v>318</v>
      </c>
      <c r="M560" s="6">
        <f>SalesTbl[[#This Row],[Unit Price]]*SalesTbl[[#This Row],[Quantity]]</f>
        <v>1600</v>
      </c>
      <c r="N560" s="6">
        <f>YEAR(SalesTbl[[#This Row],[Order Date]])</f>
        <v>2023</v>
      </c>
      <c r="O560" s="6" t="str">
        <f>TEXT(SalesTbl[[#This Row],[Order Date]],"yyyy-mm")</f>
        <v>2023-12</v>
      </c>
      <c r="P560" s="13">
        <f>WEEKNUM(SalesTbl[[#This Row],[Order Date]],2)</f>
        <v>50</v>
      </c>
      <c r="Q560" s="14">
        <f>MEDIAN(SalesTbl[Quantity])</f>
        <v>3</v>
      </c>
      <c r="R560" s="14">
        <f>IF(ISBLANK(SalesTbl[[#This Row],[Quantity]]),$H$2,SalesTbl[[#This Row],[Quantity]])</f>
        <v>2</v>
      </c>
      <c r="S560">
        <f>ROW()-ROW(SalesTbl[[#Headers],[Customer ID]])</f>
        <v>559</v>
      </c>
      <c r="T560" s="9" t="str">
        <f>IF(SalesTbl[[#This Row],[RowIdx]]&lt;=ROUNDUP(COUNTA(SalesTbl[Customer ID])*0.8,0),"Train","Test")</f>
        <v>Train</v>
      </c>
    </row>
    <row r="561" spans="1:20" x14ac:dyDescent="0.25">
      <c r="A561" t="s">
        <v>246</v>
      </c>
      <c r="B561" t="s">
        <v>13</v>
      </c>
      <c r="C561" t="s">
        <v>321</v>
      </c>
      <c r="D561" t="s">
        <v>29</v>
      </c>
      <c r="E561" t="s">
        <v>18</v>
      </c>
      <c r="F561">
        <v>54</v>
      </c>
      <c r="G561">
        <v>50</v>
      </c>
      <c r="H561">
        <v>1</v>
      </c>
      <c r="I561">
        <v>50</v>
      </c>
      <c r="J561">
        <v>13.9</v>
      </c>
      <c r="K561" s="2">
        <v>45234</v>
      </c>
      <c r="L561" t="s">
        <v>318</v>
      </c>
      <c r="M561" s="6">
        <f>SalesTbl[[#This Row],[Unit Price]]*SalesTbl[[#This Row],[Quantity]]</f>
        <v>50</v>
      </c>
      <c r="N561" s="6">
        <f>YEAR(SalesTbl[[#This Row],[Order Date]])</f>
        <v>2023</v>
      </c>
      <c r="O561" s="6" t="str">
        <f>TEXT(SalesTbl[[#This Row],[Order Date]],"yyyy-mm")</f>
        <v>2023-11</v>
      </c>
      <c r="P561" s="13">
        <f>WEEKNUM(SalesTbl[[#This Row],[Order Date]],2)</f>
        <v>45</v>
      </c>
      <c r="Q561" s="14">
        <f>MEDIAN(SalesTbl[Quantity])</f>
        <v>3</v>
      </c>
      <c r="R561" s="14">
        <f>IF(ISBLANK(SalesTbl[[#This Row],[Quantity]]),$H$2,SalesTbl[[#This Row],[Quantity]])</f>
        <v>1</v>
      </c>
      <c r="S561">
        <f>ROW()-ROW(SalesTbl[[#Headers],[Customer ID]])</f>
        <v>560</v>
      </c>
      <c r="T561" s="9" t="str">
        <f>IF(SalesTbl[[#This Row],[RowIdx]]&lt;=ROUNDUP(COUNTA(SalesTbl[Customer ID])*0.8,0),"Train","Test")</f>
        <v>Train</v>
      </c>
    </row>
    <row r="562" spans="1:20" x14ac:dyDescent="0.25">
      <c r="A562" t="s">
        <v>174</v>
      </c>
      <c r="B562" t="s">
        <v>13</v>
      </c>
      <c r="C562" t="s">
        <v>321</v>
      </c>
      <c r="D562" t="s">
        <v>23</v>
      </c>
      <c r="E562" t="s">
        <v>15</v>
      </c>
      <c r="F562">
        <v>54</v>
      </c>
      <c r="G562">
        <v>3109.5606124866499</v>
      </c>
      <c r="H562">
        <v>5</v>
      </c>
      <c r="I562">
        <v>7500</v>
      </c>
      <c r="J562">
        <v>19.71</v>
      </c>
      <c r="K562" s="2">
        <v>45034</v>
      </c>
      <c r="L562" t="s">
        <v>316</v>
      </c>
      <c r="M562" s="6">
        <f>SalesTbl[[#This Row],[Unit Price]]*SalesTbl[[#This Row],[Quantity]]</f>
        <v>15547.80306243325</v>
      </c>
      <c r="N562" s="6">
        <f>YEAR(SalesTbl[[#This Row],[Order Date]])</f>
        <v>2023</v>
      </c>
      <c r="O562" s="6" t="str">
        <f>TEXT(SalesTbl[[#This Row],[Order Date]],"yyyy-mm")</f>
        <v>2023-04</v>
      </c>
      <c r="P562" s="13">
        <f>WEEKNUM(SalesTbl[[#This Row],[Order Date]],2)</f>
        <v>17</v>
      </c>
      <c r="Q562" s="14">
        <f>MEDIAN(SalesTbl[Quantity])</f>
        <v>3</v>
      </c>
      <c r="R562" s="14">
        <f>IF(ISBLANK(SalesTbl[[#This Row],[Quantity]]),$H$2,SalesTbl[[#This Row],[Quantity]])</f>
        <v>5</v>
      </c>
      <c r="S562">
        <f>ROW()-ROW(SalesTbl[[#Headers],[Customer ID]])</f>
        <v>561</v>
      </c>
      <c r="T562" s="9" t="str">
        <f>IF(SalesTbl[[#This Row],[RowIdx]]&lt;=ROUNDUP(COUNTA(SalesTbl[Customer ID])*0.8,0),"Train","Test")</f>
        <v>Train</v>
      </c>
    </row>
    <row r="563" spans="1:20" x14ac:dyDescent="0.25">
      <c r="A563" t="s">
        <v>263</v>
      </c>
      <c r="B563" t="s">
        <v>13</v>
      </c>
      <c r="C563" t="s">
        <v>323</v>
      </c>
      <c r="D563" t="s">
        <v>25</v>
      </c>
      <c r="E563" t="s">
        <v>26</v>
      </c>
      <c r="F563">
        <v>64</v>
      </c>
      <c r="G563">
        <v>200</v>
      </c>
      <c r="H563">
        <v>2</v>
      </c>
      <c r="I563">
        <v>400</v>
      </c>
      <c r="J563">
        <v>11.49</v>
      </c>
      <c r="K563" s="2">
        <v>45193</v>
      </c>
      <c r="L563" t="s">
        <v>316</v>
      </c>
      <c r="M563" s="6">
        <f>SalesTbl[[#This Row],[Unit Price]]*SalesTbl[[#This Row],[Quantity]]</f>
        <v>400</v>
      </c>
      <c r="N563" s="6">
        <f>YEAR(SalesTbl[[#This Row],[Order Date]])</f>
        <v>2023</v>
      </c>
      <c r="O563" s="6" t="str">
        <f>TEXT(SalesTbl[[#This Row],[Order Date]],"yyyy-mm")</f>
        <v>2023-09</v>
      </c>
      <c r="P563" s="13">
        <f>WEEKNUM(SalesTbl[[#This Row],[Order Date]],2)</f>
        <v>39</v>
      </c>
      <c r="Q563" s="14">
        <f>MEDIAN(SalesTbl[Quantity])</f>
        <v>3</v>
      </c>
      <c r="R563" s="14">
        <f>IF(ISBLANK(SalesTbl[[#This Row],[Quantity]]),$H$2,SalesTbl[[#This Row],[Quantity]])</f>
        <v>2</v>
      </c>
      <c r="S563">
        <f>ROW()-ROW(SalesTbl[[#Headers],[Customer ID]])</f>
        <v>562</v>
      </c>
      <c r="T563" s="9" t="str">
        <f>IF(SalesTbl[[#This Row],[RowIdx]]&lt;=ROUNDUP(COUNTA(SalesTbl[Customer ID])*0.8,0),"Train","Test")</f>
        <v>Train</v>
      </c>
    </row>
    <row r="564" spans="1:20" x14ac:dyDescent="0.25">
      <c r="A564" t="s">
        <v>61</v>
      </c>
      <c r="B564" t="s">
        <v>20</v>
      </c>
      <c r="C564" t="s">
        <v>323</v>
      </c>
      <c r="D564" t="s">
        <v>30</v>
      </c>
      <c r="E564" t="s">
        <v>18</v>
      </c>
      <c r="F564">
        <v>61</v>
      </c>
      <c r="G564">
        <v>30</v>
      </c>
      <c r="H564">
        <v>2</v>
      </c>
      <c r="I564">
        <v>60</v>
      </c>
      <c r="J564">
        <v>13.74</v>
      </c>
      <c r="K564" s="2">
        <v>45243</v>
      </c>
      <c r="L564" t="s">
        <v>318</v>
      </c>
      <c r="M564" s="6">
        <f>SalesTbl[[#This Row],[Unit Price]]*SalesTbl[[#This Row],[Quantity]]</f>
        <v>60</v>
      </c>
      <c r="N564" s="6">
        <f>YEAR(SalesTbl[[#This Row],[Order Date]])</f>
        <v>2023</v>
      </c>
      <c r="O564" s="6" t="str">
        <f>TEXT(SalesTbl[[#This Row],[Order Date]],"yyyy-mm")</f>
        <v>2023-11</v>
      </c>
      <c r="P564" s="13">
        <f>WEEKNUM(SalesTbl[[#This Row],[Order Date]],2)</f>
        <v>47</v>
      </c>
      <c r="Q564" s="14">
        <f>MEDIAN(SalesTbl[Quantity])</f>
        <v>3</v>
      </c>
      <c r="R564" s="14">
        <f>IF(ISBLANK(SalesTbl[[#This Row],[Quantity]]),$H$2,SalesTbl[[#This Row],[Quantity]])</f>
        <v>2</v>
      </c>
      <c r="S564">
        <f>ROW()-ROW(SalesTbl[[#Headers],[Customer ID]])</f>
        <v>563</v>
      </c>
      <c r="T564" s="9" t="str">
        <f>IF(SalesTbl[[#This Row],[RowIdx]]&lt;=ROUNDUP(COUNTA(SalesTbl[Customer ID])*0.8,0),"Train","Test")</f>
        <v>Train</v>
      </c>
    </row>
    <row r="565" spans="1:20" x14ac:dyDescent="0.25">
      <c r="A565" t="s">
        <v>272</v>
      </c>
      <c r="B565" t="s">
        <v>13</v>
      </c>
      <c r="C565" t="s">
        <v>323</v>
      </c>
      <c r="D565" t="s">
        <v>23</v>
      </c>
      <c r="E565" t="s">
        <v>15</v>
      </c>
      <c r="F565">
        <v>51</v>
      </c>
      <c r="G565">
        <v>1500</v>
      </c>
      <c r="H565">
        <v>1</v>
      </c>
      <c r="I565">
        <v>1500</v>
      </c>
      <c r="J565">
        <v>15.23</v>
      </c>
      <c r="K565" s="2">
        <v>45209</v>
      </c>
      <c r="L565" t="s">
        <v>316</v>
      </c>
      <c r="M565" s="6">
        <f>SalesTbl[[#This Row],[Unit Price]]*SalesTbl[[#This Row],[Quantity]]</f>
        <v>1500</v>
      </c>
      <c r="N565" s="6">
        <f>YEAR(SalesTbl[[#This Row],[Order Date]])</f>
        <v>2023</v>
      </c>
      <c r="O565" s="6" t="str">
        <f>TEXT(SalesTbl[[#This Row],[Order Date]],"yyyy-mm")</f>
        <v>2023-10</v>
      </c>
      <c r="P565" s="13">
        <f>WEEKNUM(SalesTbl[[#This Row],[Order Date]],2)</f>
        <v>42</v>
      </c>
      <c r="Q565" s="14">
        <f>MEDIAN(SalesTbl[Quantity])</f>
        <v>3</v>
      </c>
      <c r="R565" s="14">
        <f>IF(ISBLANK(SalesTbl[[#This Row],[Quantity]]),$H$2,SalesTbl[[#This Row],[Quantity]])</f>
        <v>1</v>
      </c>
      <c r="S565">
        <f>ROW()-ROW(SalesTbl[[#Headers],[Customer ID]])</f>
        <v>564</v>
      </c>
      <c r="T565" s="9" t="str">
        <f>IF(SalesTbl[[#This Row],[RowIdx]]&lt;=ROUNDUP(COUNTA(SalesTbl[Customer ID])*0.8,0),"Train","Test")</f>
        <v>Train</v>
      </c>
    </row>
    <row r="566" spans="1:20" x14ac:dyDescent="0.25">
      <c r="A566" t="s">
        <v>84</v>
      </c>
      <c r="B566" t="s">
        <v>20</v>
      </c>
      <c r="C566" t="s">
        <v>322</v>
      </c>
      <c r="D566" t="s">
        <v>23</v>
      </c>
      <c r="E566" t="s">
        <v>15</v>
      </c>
      <c r="F566">
        <v>28</v>
      </c>
      <c r="G566">
        <v>1500</v>
      </c>
      <c r="H566">
        <v>1</v>
      </c>
      <c r="I566">
        <v>1500</v>
      </c>
      <c r="J566">
        <v>19.84</v>
      </c>
      <c r="K566" s="2">
        <v>44974</v>
      </c>
      <c r="L566" t="s">
        <v>319</v>
      </c>
      <c r="M566" s="6">
        <f>SalesTbl[[#This Row],[Unit Price]]*SalesTbl[[#This Row],[Quantity]]</f>
        <v>1500</v>
      </c>
      <c r="N566" s="6">
        <f>YEAR(SalesTbl[[#This Row],[Order Date]])</f>
        <v>2023</v>
      </c>
      <c r="O566" s="6" t="str">
        <f>TEXT(SalesTbl[[#This Row],[Order Date]],"yyyy-mm")</f>
        <v>2023-02</v>
      </c>
      <c r="P566" s="13">
        <f>WEEKNUM(SalesTbl[[#This Row],[Order Date]],2)</f>
        <v>8</v>
      </c>
      <c r="Q566" s="14">
        <f>MEDIAN(SalesTbl[Quantity])</f>
        <v>3</v>
      </c>
      <c r="R566" s="14">
        <f>IF(ISBLANK(SalesTbl[[#This Row],[Quantity]]),$H$2,SalesTbl[[#This Row],[Quantity]])</f>
        <v>1</v>
      </c>
      <c r="S566">
        <f>ROW()-ROW(SalesTbl[[#Headers],[Customer ID]])</f>
        <v>565</v>
      </c>
      <c r="T566" s="9" t="str">
        <f>IF(SalesTbl[[#This Row],[RowIdx]]&lt;=ROUNDUP(COUNTA(SalesTbl[Customer ID])*0.8,0),"Train","Test")</f>
        <v>Train</v>
      </c>
    </row>
    <row r="567" spans="1:20" x14ac:dyDescent="0.25">
      <c r="A567" t="s">
        <v>195</v>
      </c>
      <c r="B567" t="s">
        <v>20</v>
      </c>
      <c r="C567" t="s">
        <v>320</v>
      </c>
      <c r="D567" t="s">
        <v>17</v>
      </c>
      <c r="E567" t="s">
        <v>18</v>
      </c>
      <c r="F567">
        <v>51</v>
      </c>
      <c r="G567">
        <v>100</v>
      </c>
      <c r="H567">
        <v>3</v>
      </c>
      <c r="I567">
        <v>300</v>
      </c>
      <c r="J567">
        <v>18.63</v>
      </c>
      <c r="K567" s="2">
        <v>45005</v>
      </c>
      <c r="L567" t="s">
        <v>319</v>
      </c>
      <c r="M567" s="6">
        <f>SalesTbl[[#This Row],[Unit Price]]*SalesTbl[[#This Row],[Quantity]]</f>
        <v>300</v>
      </c>
      <c r="N567" s="6">
        <f>YEAR(SalesTbl[[#This Row],[Order Date]])</f>
        <v>2023</v>
      </c>
      <c r="O567" s="6" t="str">
        <f>TEXT(SalesTbl[[#This Row],[Order Date]],"yyyy-mm")</f>
        <v>2023-03</v>
      </c>
      <c r="P567" s="13">
        <f>WEEKNUM(SalesTbl[[#This Row],[Order Date]],2)</f>
        <v>13</v>
      </c>
      <c r="Q567" s="14">
        <f>MEDIAN(SalesTbl[Quantity])</f>
        <v>3</v>
      </c>
      <c r="R567" s="14">
        <f>IF(ISBLANK(SalesTbl[[#This Row],[Quantity]]),$H$2,SalesTbl[[#This Row],[Quantity]])</f>
        <v>3</v>
      </c>
      <c r="S567">
        <f>ROW()-ROW(SalesTbl[[#Headers],[Customer ID]])</f>
        <v>566</v>
      </c>
      <c r="T567" s="9" t="str">
        <f>IF(SalesTbl[[#This Row],[RowIdx]]&lt;=ROUNDUP(COUNTA(SalesTbl[Customer ID])*0.8,0),"Train","Test")</f>
        <v>Train</v>
      </c>
    </row>
    <row r="568" spans="1:20" x14ac:dyDescent="0.25">
      <c r="A568" t="s">
        <v>223</v>
      </c>
      <c r="B568" t="s">
        <v>20</v>
      </c>
      <c r="C568" t="s">
        <v>320</v>
      </c>
      <c r="D568" t="s">
        <v>23</v>
      </c>
      <c r="E568" t="s">
        <v>15</v>
      </c>
      <c r="F568">
        <v>20</v>
      </c>
      <c r="G568">
        <v>1500</v>
      </c>
      <c r="H568">
        <v>5</v>
      </c>
      <c r="I568">
        <v>7500</v>
      </c>
      <c r="J568">
        <v>15.07</v>
      </c>
      <c r="K568" s="2">
        <v>45227</v>
      </c>
      <c r="L568" t="s">
        <v>317</v>
      </c>
      <c r="M568" s="6">
        <f>SalesTbl[[#This Row],[Unit Price]]*SalesTbl[[#This Row],[Quantity]]</f>
        <v>7500</v>
      </c>
      <c r="N568" s="6">
        <f>YEAR(SalesTbl[[#This Row],[Order Date]])</f>
        <v>2023</v>
      </c>
      <c r="O568" s="6" t="str">
        <f>TEXT(SalesTbl[[#This Row],[Order Date]],"yyyy-mm")</f>
        <v>2023-10</v>
      </c>
      <c r="P568" s="13">
        <f>WEEKNUM(SalesTbl[[#This Row],[Order Date]],2)</f>
        <v>44</v>
      </c>
      <c r="Q568" s="14">
        <f>MEDIAN(SalesTbl[Quantity])</f>
        <v>3</v>
      </c>
      <c r="R568" s="14">
        <f>IF(ISBLANK(SalesTbl[[#This Row],[Quantity]]),$H$2,SalesTbl[[#This Row],[Quantity]])</f>
        <v>5</v>
      </c>
      <c r="S568">
        <f>ROW()-ROW(SalesTbl[[#Headers],[Customer ID]])</f>
        <v>567</v>
      </c>
      <c r="T568" s="9" t="str">
        <f>IF(SalesTbl[[#This Row],[RowIdx]]&lt;=ROUNDUP(COUNTA(SalesTbl[Customer ID])*0.8,0),"Train","Test")</f>
        <v>Train</v>
      </c>
    </row>
    <row r="569" spans="1:20" x14ac:dyDescent="0.25">
      <c r="A569" t="s">
        <v>273</v>
      </c>
      <c r="B569" t="s">
        <v>13</v>
      </c>
      <c r="C569" t="s">
        <v>322</v>
      </c>
      <c r="D569" t="s">
        <v>14</v>
      </c>
      <c r="E569" t="s">
        <v>15</v>
      </c>
      <c r="F569">
        <v>33</v>
      </c>
      <c r="G569">
        <v>300</v>
      </c>
      <c r="H569">
        <v>5</v>
      </c>
      <c r="I569">
        <v>1500</v>
      </c>
      <c r="J569">
        <v>15.98</v>
      </c>
      <c r="K569" s="2">
        <v>44942</v>
      </c>
      <c r="L569" t="s">
        <v>317</v>
      </c>
      <c r="M569" s="6">
        <f>SalesTbl[[#This Row],[Unit Price]]*SalesTbl[[#This Row],[Quantity]]</f>
        <v>1500</v>
      </c>
      <c r="N569" s="6">
        <f>YEAR(SalesTbl[[#This Row],[Order Date]])</f>
        <v>2023</v>
      </c>
      <c r="O569" s="6" t="str">
        <f>TEXT(SalesTbl[[#This Row],[Order Date]],"yyyy-mm")</f>
        <v>2023-01</v>
      </c>
      <c r="P569" s="13">
        <f>WEEKNUM(SalesTbl[[#This Row],[Order Date]],2)</f>
        <v>4</v>
      </c>
      <c r="Q569" s="14">
        <f>MEDIAN(SalesTbl[Quantity])</f>
        <v>3</v>
      </c>
      <c r="R569" s="14">
        <f>IF(ISBLANK(SalesTbl[[#This Row],[Quantity]]),$H$2,SalesTbl[[#This Row],[Quantity]])</f>
        <v>5</v>
      </c>
      <c r="S569">
        <f>ROW()-ROW(SalesTbl[[#Headers],[Customer ID]])</f>
        <v>568</v>
      </c>
      <c r="T569" s="9" t="str">
        <f>IF(SalesTbl[[#This Row],[RowIdx]]&lt;=ROUNDUP(COUNTA(SalesTbl[Customer ID])*0.8,0),"Train","Test")</f>
        <v>Train</v>
      </c>
    </row>
    <row r="570" spans="1:20" x14ac:dyDescent="0.25">
      <c r="A570" t="s">
        <v>192</v>
      </c>
      <c r="B570" t="s">
        <v>13</v>
      </c>
      <c r="C570" t="s">
        <v>321</v>
      </c>
      <c r="D570" t="s">
        <v>14</v>
      </c>
      <c r="E570" t="s">
        <v>15</v>
      </c>
      <c r="F570">
        <v>28</v>
      </c>
      <c r="G570">
        <v>300</v>
      </c>
      <c r="H570">
        <v>2</v>
      </c>
      <c r="I570">
        <v>600</v>
      </c>
      <c r="J570">
        <v>14.13</v>
      </c>
      <c r="K570" s="2">
        <v>44968</v>
      </c>
      <c r="L570" t="s">
        <v>318</v>
      </c>
      <c r="M570" s="6">
        <f>SalesTbl[[#This Row],[Unit Price]]*SalesTbl[[#This Row],[Quantity]]</f>
        <v>600</v>
      </c>
      <c r="N570" s="6">
        <f>YEAR(SalesTbl[[#This Row],[Order Date]])</f>
        <v>2023</v>
      </c>
      <c r="O570" s="6" t="str">
        <f>TEXT(SalesTbl[[#This Row],[Order Date]],"yyyy-mm")</f>
        <v>2023-02</v>
      </c>
      <c r="P570" s="13">
        <f>WEEKNUM(SalesTbl[[#This Row],[Order Date]],2)</f>
        <v>7</v>
      </c>
      <c r="Q570" s="14">
        <f>MEDIAN(SalesTbl[Quantity])</f>
        <v>3</v>
      </c>
      <c r="R570" s="14">
        <f>IF(ISBLANK(SalesTbl[[#This Row],[Quantity]]),$H$2,SalesTbl[[#This Row],[Quantity]])</f>
        <v>2</v>
      </c>
      <c r="S570">
        <f>ROW()-ROW(SalesTbl[[#Headers],[Customer ID]])</f>
        <v>569</v>
      </c>
      <c r="T570" s="9" t="str">
        <f>IF(SalesTbl[[#This Row],[RowIdx]]&lt;=ROUNDUP(COUNTA(SalesTbl[Customer ID])*0.8,0),"Train","Test")</f>
        <v>Train</v>
      </c>
    </row>
    <row r="571" spans="1:20" x14ac:dyDescent="0.25">
      <c r="A571" t="s">
        <v>52</v>
      </c>
      <c r="B571" t="s">
        <v>13</v>
      </c>
      <c r="C571" t="s">
        <v>323</v>
      </c>
      <c r="D571" t="s">
        <v>14</v>
      </c>
      <c r="E571" t="s">
        <v>15</v>
      </c>
      <c r="F571">
        <v>57</v>
      </c>
      <c r="G571">
        <v>300</v>
      </c>
      <c r="H571">
        <v>2</v>
      </c>
      <c r="I571">
        <v>600</v>
      </c>
      <c r="J571">
        <v>17.670000000000002</v>
      </c>
      <c r="K571" s="2">
        <v>45278</v>
      </c>
      <c r="L571" t="s">
        <v>317</v>
      </c>
      <c r="M571" s="6">
        <f>SalesTbl[[#This Row],[Unit Price]]*SalesTbl[[#This Row],[Quantity]]</f>
        <v>600</v>
      </c>
      <c r="N571" s="6">
        <f>YEAR(SalesTbl[[#This Row],[Order Date]])</f>
        <v>2023</v>
      </c>
      <c r="O571" s="6" t="str">
        <f>TEXT(SalesTbl[[#This Row],[Order Date]],"yyyy-mm")</f>
        <v>2023-12</v>
      </c>
      <c r="P571" s="13">
        <f>WEEKNUM(SalesTbl[[#This Row],[Order Date]],2)</f>
        <v>52</v>
      </c>
      <c r="Q571" s="14">
        <f>MEDIAN(SalesTbl[Quantity])</f>
        <v>3</v>
      </c>
      <c r="R571" s="14">
        <f>IF(ISBLANK(SalesTbl[[#This Row],[Quantity]]),$H$2,SalesTbl[[#This Row],[Quantity]])</f>
        <v>2</v>
      </c>
      <c r="S571">
        <f>ROW()-ROW(SalesTbl[[#Headers],[Customer ID]])</f>
        <v>570</v>
      </c>
      <c r="T571" s="9" t="str">
        <f>IF(SalesTbl[[#This Row],[RowIdx]]&lt;=ROUNDUP(COUNTA(SalesTbl[Customer ID])*0.8,0),"Train","Test")</f>
        <v>Train</v>
      </c>
    </row>
    <row r="572" spans="1:20" x14ac:dyDescent="0.25">
      <c r="A572" t="s">
        <v>152</v>
      </c>
      <c r="B572" t="s">
        <v>20</v>
      </c>
      <c r="C572" t="s">
        <v>321</v>
      </c>
      <c r="D572" t="s">
        <v>29</v>
      </c>
      <c r="E572" t="s">
        <v>18</v>
      </c>
      <c r="F572">
        <v>53</v>
      </c>
      <c r="G572">
        <v>50</v>
      </c>
      <c r="H572">
        <v>5</v>
      </c>
      <c r="I572">
        <v>250</v>
      </c>
      <c r="J572">
        <v>15.62</v>
      </c>
      <c r="K572" s="2">
        <v>45170</v>
      </c>
      <c r="L572" t="s">
        <v>316</v>
      </c>
      <c r="M572" s="6">
        <f>SalesTbl[[#This Row],[Unit Price]]*SalesTbl[[#This Row],[Quantity]]</f>
        <v>250</v>
      </c>
      <c r="N572" s="6">
        <f>YEAR(SalesTbl[[#This Row],[Order Date]])</f>
        <v>2023</v>
      </c>
      <c r="O572" s="6" t="str">
        <f>TEXT(SalesTbl[[#This Row],[Order Date]],"yyyy-mm")</f>
        <v>2023-09</v>
      </c>
      <c r="P572" s="13">
        <f>WEEKNUM(SalesTbl[[#This Row],[Order Date]],2)</f>
        <v>36</v>
      </c>
      <c r="Q572" s="14">
        <f>MEDIAN(SalesTbl[Quantity])</f>
        <v>3</v>
      </c>
      <c r="R572" s="14">
        <f>IF(ISBLANK(SalesTbl[[#This Row],[Quantity]]),$H$2,SalesTbl[[#This Row],[Quantity]])</f>
        <v>5</v>
      </c>
      <c r="S572">
        <f>ROW()-ROW(SalesTbl[[#Headers],[Customer ID]])</f>
        <v>571</v>
      </c>
      <c r="T572" s="9" t="str">
        <f>IF(SalesTbl[[#This Row],[RowIdx]]&lt;=ROUNDUP(COUNTA(SalesTbl[Customer ID])*0.8,0),"Train","Test")</f>
        <v>Train</v>
      </c>
    </row>
    <row r="573" spans="1:20" x14ac:dyDescent="0.25">
      <c r="A573" t="s">
        <v>274</v>
      </c>
      <c r="B573" t="s">
        <v>20</v>
      </c>
      <c r="C573" t="s">
        <v>322</v>
      </c>
      <c r="D573" t="s">
        <v>14</v>
      </c>
      <c r="E573" t="s">
        <v>15</v>
      </c>
      <c r="F573">
        <v>56</v>
      </c>
      <c r="G573">
        <v>300</v>
      </c>
      <c r="H573">
        <v>5</v>
      </c>
      <c r="I573">
        <v>1500</v>
      </c>
      <c r="J573">
        <v>12.62</v>
      </c>
      <c r="K573" s="2">
        <v>45127</v>
      </c>
      <c r="L573" t="s">
        <v>316</v>
      </c>
      <c r="M573" s="6">
        <f>SalesTbl[[#This Row],[Unit Price]]*SalesTbl[[#This Row],[Quantity]]</f>
        <v>1500</v>
      </c>
      <c r="N573" s="6">
        <f>YEAR(SalesTbl[[#This Row],[Order Date]])</f>
        <v>2023</v>
      </c>
      <c r="O573" s="6" t="str">
        <f>TEXT(SalesTbl[[#This Row],[Order Date]],"yyyy-mm")</f>
        <v>2023-07</v>
      </c>
      <c r="P573" s="13">
        <f>WEEKNUM(SalesTbl[[#This Row],[Order Date]],2)</f>
        <v>30</v>
      </c>
      <c r="Q573" s="14">
        <f>MEDIAN(SalesTbl[Quantity])</f>
        <v>3</v>
      </c>
      <c r="R573" s="14">
        <f>IF(ISBLANK(SalesTbl[[#This Row],[Quantity]]),$H$2,SalesTbl[[#This Row],[Quantity]])</f>
        <v>5</v>
      </c>
      <c r="S573">
        <f>ROW()-ROW(SalesTbl[[#Headers],[Customer ID]])</f>
        <v>572</v>
      </c>
      <c r="T573" s="9" t="str">
        <f>IF(SalesTbl[[#This Row],[RowIdx]]&lt;=ROUNDUP(COUNTA(SalesTbl[Customer ID])*0.8,0),"Train","Test")</f>
        <v>Train</v>
      </c>
    </row>
    <row r="574" spans="1:20" x14ac:dyDescent="0.25">
      <c r="A574" t="s">
        <v>275</v>
      </c>
      <c r="B574" t="s">
        <v>13</v>
      </c>
      <c r="C574" t="s">
        <v>320</v>
      </c>
      <c r="D574" t="s">
        <v>14</v>
      </c>
      <c r="E574" t="s">
        <v>15</v>
      </c>
      <c r="F574">
        <v>34</v>
      </c>
      <c r="G574">
        <v>300</v>
      </c>
      <c r="H574">
        <v>2</v>
      </c>
      <c r="I574">
        <v>600</v>
      </c>
      <c r="J574">
        <v>11.88</v>
      </c>
      <c r="K574" s="2">
        <v>45192</v>
      </c>
      <c r="L574" t="s">
        <v>316</v>
      </c>
      <c r="M574" s="6">
        <f>SalesTbl[[#This Row],[Unit Price]]*SalesTbl[[#This Row],[Quantity]]</f>
        <v>600</v>
      </c>
      <c r="N574" s="6">
        <f>YEAR(SalesTbl[[#This Row],[Order Date]])</f>
        <v>2023</v>
      </c>
      <c r="O574" s="6" t="str">
        <f>TEXT(SalesTbl[[#This Row],[Order Date]],"yyyy-mm")</f>
        <v>2023-09</v>
      </c>
      <c r="P574" s="13">
        <f>WEEKNUM(SalesTbl[[#This Row],[Order Date]],2)</f>
        <v>39</v>
      </c>
      <c r="Q574" s="14">
        <f>MEDIAN(SalesTbl[Quantity])</f>
        <v>3</v>
      </c>
      <c r="R574" s="14">
        <f>IF(ISBLANK(SalesTbl[[#This Row],[Quantity]]),$H$2,SalesTbl[[#This Row],[Quantity]])</f>
        <v>2</v>
      </c>
      <c r="S574">
        <f>ROW()-ROW(SalesTbl[[#Headers],[Customer ID]])</f>
        <v>573</v>
      </c>
      <c r="T574" s="9" t="str">
        <f>IF(SalesTbl[[#This Row],[RowIdx]]&lt;=ROUNDUP(COUNTA(SalesTbl[Customer ID])*0.8,0),"Train","Test")</f>
        <v>Train</v>
      </c>
    </row>
    <row r="575" spans="1:20" x14ac:dyDescent="0.25">
      <c r="A575" t="s">
        <v>276</v>
      </c>
      <c r="B575" t="s">
        <v>13</v>
      </c>
      <c r="C575" t="s">
        <v>323</v>
      </c>
      <c r="D575" t="s">
        <v>14</v>
      </c>
      <c r="E575" t="s">
        <v>15</v>
      </c>
      <c r="F575">
        <v>32</v>
      </c>
      <c r="G575">
        <v>300</v>
      </c>
      <c r="H575">
        <v>2</v>
      </c>
      <c r="I575">
        <v>600</v>
      </c>
      <c r="J575">
        <v>12.92</v>
      </c>
      <c r="K575" s="2">
        <v>45121</v>
      </c>
      <c r="L575" t="s">
        <v>316</v>
      </c>
      <c r="M575" s="6">
        <f>SalesTbl[[#This Row],[Unit Price]]*SalesTbl[[#This Row],[Quantity]]</f>
        <v>600</v>
      </c>
      <c r="N575" s="6">
        <f>YEAR(SalesTbl[[#This Row],[Order Date]])</f>
        <v>2023</v>
      </c>
      <c r="O575" s="6" t="str">
        <f>TEXT(SalesTbl[[#This Row],[Order Date]],"yyyy-mm")</f>
        <v>2023-07</v>
      </c>
      <c r="P575" s="13">
        <f>WEEKNUM(SalesTbl[[#This Row],[Order Date]],2)</f>
        <v>29</v>
      </c>
      <c r="Q575" s="14">
        <f>MEDIAN(SalesTbl[Quantity])</f>
        <v>3</v>
      </c>
      <c r="R575" s="14">
        <f>IF(ISBLANK(SalesTbl[[#This Row],[Quantity]]),$H$2,SalesTbl[[#This Row],[Quantity]])</f>
        <v>2</v>
      </c>
      <c r="S575">
        <f>ROW()-ROW(SalesTbl[[#Headers],[Customer ID]])</f>
        <v>574</v>
      </c>
      <c r="T575" s="9" t="str">
        <f>IF(SalesTbl[[#This Row],[RowIdx]]&lt;=ROUNDUP(COUNTA(SalesTbl[Customer ID])*0.8,0),"Train","Test")</f>
        <v>Train</v>
      </c>
    </row>
    <row r="576" spans="1:20" x14ac:dyDescent="0.25">
      <c r="A576" t="s">
        <v>223</v>
      </c>
      <c r="B576" t="s">
        <v>13</v>
      </c>
      <c r="C576" t="s">
        <v>320</v>
      </c>
      <c r="D576" t="s">
        <v>25</v>
      </c>
      <c r="E576" t="s">
        <v>26</v>
      </c>
      <c r="F576">
        <v>20</v>
      </c>
      <c r="G576">
        <v>200</v>
      </c>
      <c r="H576">
        <v>4</v>
      </c>
      <c r="I576">
        <v>800</v>
      </c>
      <c r="J576">
        <v>15.78</v>
      </c>
      <c r="K576" s="2">
        <v>45091</v>
      </c>
      <c r="L576" t="s">
        <v>318</v>
      </c>
      <c r="M576" s="6">
        <f>SalesTbl[[#This Row],[Unit Price]]*SalesTbl[[#This Row],[Quantity]]</f>
        <v>800</v>
      </c>
      <c r="N576" s="6">
        <f>YEAR(SalesTbl[[#This Row],[Order Date]])</f>
        <v>2023</v>
      </c>
      <c r="O576" s="6" t="str">
        <f>TEXT(SalesTbl[[#This Row],[Order Date]],"yyyy-mm")</f>
        <v>2023-06</v>
      </c>
      <c r="P576" s="13">
        <f>WEEKNUM(SalesTbl[[#This Row],[Order Date]],2)</f>
        <v>25</v>
      </c>
      <c r="Q576" s="14">
        <f>MEDIAN(SalesTbl[Quantity])</f>
        <v>3</v>
      </c>
      <c r="R576" s="14">
        <f>IF(ISBLANK(SalesTbl[[#This Row],[Quantity]]),$H$2,SalesTbl[[#This Row],[Quantity]])</f>
        <v>4</v>
      </c>
      <c r="S576">
        <f>ROW()-ROW(SalesTbl[[#Headers],[Customer ID]])</f>
        <v>575</v>
      </c>
      <c r="T576" s="9" t="str">
        <f>IF(SalesTbl[[#This Row],[RowIdx]]&lt;=ROUNDUP(COUNTA(SalesTbl[Customer ID])*0.8,0),"Train","Test")</f>
        <v>Train</v>
      </c>
    </row>
    <row r="577" spans="1:20" x14ac:dyDescent="0.25">
      <c r="A577" t="s">
        <v>83</v>
      </c>
      <c r="B577" t="s">
        <v>13</v>
      </c>
      <c r="C577" t="s">
        <v>319</v>
      </c>
      <c r="D577" t="s">
        <v>23</v>
      </c>
      <c r="E577" t="s">
        <v>15</v>
      </c>
      <c r="F577">
        <v>36</v>
      </c>
      <c r="G577">
        <v>1500</v>
      </c>
      <c r="H577">
        <v>4</v>
      </c>
      <c r="I577">
        <v>6000</v>
      </c>
      <c r="J577">
        <v>14</v>
      </c>
      <c r="K577" s="2">
        <v>45083</v>
      </c>
      <c r="L577" t="s">
        <v>316</v>
      </c>
      <c r="M577" s="6">
        <f>SalesTbl[[#This Row],[Unit Price]]*SalesTbl[[#This Row],[Quantity]]</f>
        <v>6000</v>
      </c>
      <c r="N577" s="6">
        <f>YEAR(SalesTbl[[#This Row],[Order Date]])</f>
        <v>2023</v>
      </c>
      <c r="O577" s="6" t="str">
        <f>TEXT(SalesTbl[[#This Row],[Order Date]],"yyyy-mm")</f>
        <v>2023-06</v>
      </c>
      <c r="P577" s="13">
        <f>WEEKNUM(SalesTbl[[#This Row],[Order Date]],2)</f>
        <v>24</v>
      </c>
      <c r="Q577" s="14">
        <f>MEDIAN(SalesTbl[Quantity])</f>
        <v>3</v>
      </c>
      <c r="R577" s="14">
        <f>IF(ISBLANK(SalesTbl[[#This Row],[Quantity]]),$H$2,SalesTbl[[#This Row],[Quantity]])</f>
        <v>4</v>
      </c>
      <c r="S577">
        <f>ROW()-ROW(SalesTbl[[#Headers],[Customer ID]])</f>
        <v>576</v>
      </c>
      <c r="T577" s="9" t="str">
        <f>IF(SalesTbl[[#This Row],[RowIdx]]&lt;=ROUNDUP(COUNTA(SalesTbl[Customer ID])*0.8,0),"Train","Test")</f>
        <v>Train</v>
      </c>
    </row>
    <row r="578" spans="1:20" x14ac:dyDescent="0.25">
      <c r="A578" t="s">
        <v>186</v>
      </c>
      <c r="B578" t="s">
        <v>13</v>
      </c>
      <c r="C578" t="s">
        <v>320</v>
      </c>
      <c r="D578" t="s">
        <v>40</v>
      </c>
      <c r="E578" t="s">
        <v>15</v>
      </c>
      <c r="F578">
        <v>49</v>
      </c>
      <c r="G578">
        <v>800</v>
      </c>
      <c r="H578">
        <v>2</v>
      </c>
      <c r="I578">
        <v>1600</v>
      </c>
      <c r="J578">
        <v>7.17</v>
      </c>
      <c r="K578" s="2">
        <v>44935</v>
      </c>
      <c r="L578" t="s">
        <v>319</v>
      </c>
      <c r="M578" s="6">
        <f>SalesTbl[[#This Row],[Unit Price]]*SalesTbl[[#This Row],[Quantity]]</f>
        <v>1600</v>
      </c>
      <c r="N578" s="6">
        <f>YEAR(SalesTbl[[#This Row],[Order Date]])</f>
        <v>2023</v>
      </c>
      <c r="O578" s="6" t="str">
        <f>TEXT(SalesTbl[[#This Row],[Order Date]],"yyyy-mm")</f>
        <v>2023-01</v>
      </c>
      <c r="P578" s="13">
        <f>WEEKNUM(SalesTbl[[#This Row],[Order Date]],2)</f>
        <v>3</v>
      </c>
      <c r="Q578" s="14">
        <f>MEDIAN(SalesTbl[Quantity])</f>
        <v>3</v>
      </c>
      <c r="R578" s="14">
        <f>IF(ISBLANK(SalesTbl[[#This Row],[Quantity]]),$H$2,SalesTbl[[#This Row],[Quantity]])</f>
        <v>2</v>
      </c>
      <c r="S578">
        <f>ROW()-ROW(SalesTbl[[#Headers],[Customer ID]])</f>
        <v>577</v>
      </c>
      <c r="T578" s="9" t="str">
        <f>IF(SalesTbl[[#This Row],[RowIdx]]&lt;=ROUNDUP(COUNTA(SalesTbl[Customer ID])*0.8,0),"Train","Test")</f>
        <v>Train</v>
      </c>
    </row>
    <row r="579" spans="1:20" x14ac:dyDescent="0.25">
      <c r="A579" t="s">
        <v>254</v>
      </c>
      <c r="B579" t="s">
        <v>13</v>
      </c>
      <c r="C579" t="s">
        <v>322</v>
      </c>
      <c r="D579" t="s">
        <v>14</v>
      </c>
      <c r="E579" t="s">
        <v>15</v>
      </c>
      <c r="F579">
        <v>69</v>
      </c>
      <c r="G579">
        <v>300</v>
      </c>
      <c r="H579">
        <v>2</v>
      </c>
      <c r="I579">
        <v>600</v>
      </c>
      <c r="J579">
        <v>18.79</v>
      </c>
      <c r="K579" s="2">
        <v>45136</v>
      </c>
      <c r="L579" t="s">
        <v>318</v>
      </c>
      <c r="M579" s="6">
        <f>SalesTbl[[#This Row],[Unit Price]]*SalesTbl[[#This Row],[Quantity]]</f>
        <v>600</v>
      </c>
      <c r="N579" s="6">
        <f>YEAR(SalesTbl[[#This Row],[Order Date]])</f>
        <v>2023</v>
      </c>
      <c r="O579" s="6" t="str">
        <f>TEXT(SalesTbl[[#This Row],[Order Date]],"yyyy-mm")</f>
        <v>2023-07</v>
      </c>
      <c r="P579" s="13">
        <f>WEEKNUM(SalesTbl[[#This Row],[Order Date]],2)</f>
        <v>31</v>
      </c>
      <c r="Q579" s="14">
        <f>MEDIAN(SalesTbl[Quantity])</f>
        <v>3</v>
      </c>
      <c r="R579" s="14">
        <f>IF(ISBLANK(SalesTbl[[#This Row],[Quantity]]),$H$2,SalesTbl[[#This Row],[Quantity]])</f>
        <v>2</v>
      </c>
      <c r="S579">
        <f>ROW()-ROW(SalesTbl[[#Headers],[Customer ID]])</f>
        <v>578</v>
      </c>
      <c r="T579" s="9" t="str">
        <f>IF(SalesTbl[[#This Row],[RowIdx]]&lt;=ROUNDUP(COUNTA(SalesTbl[Customer ID])*0.8,0),"Train","Test")</f>
        <v>Train</v>
      </c>
    </row>
    <row r="580" spans="1:20" x14ac:dyDescent="0.25">
      <c r="A580" t="s">
        <v>191</v>
      </c>
      <c r="B580" t="s">
        <v>20</v>
      </c>
      <c r="C580" t="s">
        <v>320</v>
      </c>
      <c r="D580" t="s">
        <v>40</v>
      </c>
      <c r="E580" t="s">
        <v>15</v>
      </c>
      <c r="F580">
        <v>64</v>
      </c>
      <c r="G580">
        <v>800</v>
      </c>
      <c r="H580">
        <v>2</v>
      </c>
      <c r="I580">
        <v>1600</v>
      </c>
      <c r="J580">
        <v>17.54</v>
      </c>
      <c r="K580" s="2">
        <v>45143</v>
      </c>
      <c r="L580" t="s">
        <v>316</v>
      </c>
      <c r="M580" s="6">
        <f>SalesTbl[[#This Row],[Unit Price]]*SalesTbl[[#This Row],[Quantity]]</f>
        <v>1600</v>
      </c>
      <c r="N580" s="6">
        <f>YEAR(SalesTbl[[#This Row],[Order Date]])</f>
        <v>2023</v>
      </c>
      <c r="O580" s="6" t="str">
        <f>TEXT(SalesTbl[[#This Row],[Order Date]],"yyyy-mm")</f>
        <v>2023-08</v>
      </c>
      <c r="P580" s="13">
        <f>WEEKNUM(SalesTbl[[#This Row],[Order Date]],2)</f>
        <v>32</v>
      </c>
      <c r="Q580" s="14">
        <f>MEDIAN(SalesTbl[Quantity])</f>
        <v>3</v>
      </c>
      <c r="R580" s="14">
        <f>IF(ISBLANK(SalesTbl[[#This Row],[Quantity]]),$H$2,SalesTbl[[#This Row],[Quantity]])</f>
        <v>2</v>
      </c>
      <c r="S580">
        <f>ROW()-ROW(SalesTbl[[#Headers],[Customer ID]])</f>
        <v>579</v>
      </c>
      <c r="T580" s="9" t="str">
        <f>IF(SalesTbl[[#This Row],[RowIdx]]&lt;=ROUNDUP(COUNTA(SalesTbl[Customer ID])*0.8,0),"Train","Test")</f>
        <v>Train</v>
      </c>
    </row>
    <row r="581" spans="1:20" x14ac:dyDescent="0.25">
      <c r="A581" t="s">
        <v>52</v>
      </c>
      <c r="B581" t="s">
        <v>13</v>
      </c>
      <c r="C581" t="s">
        <v>320</v>
      </c>
      <c r="D581" t="s">
        <v>29</v>
      </c>
      <c r="E581" t="s">
        <v>18</v>
      </c>
      <c r="F581">
        <v>57</v>
      </c>
      <c r="G581">
        <v>50</v>
      </c>
      <c r="H581">
        <v>3</v>
      </c>
      <c r="I581">
        <v>150</v>
      </c>
      <c r="J581">
        <v>18.440000000000001</v>
      </c>
      <c r="K581" s="2">
        <v>44978</v>
      </c>
      <c r="L581" t="s">
        <v>317</v>
      </c>
      <c r="M581" s="6">
        <f>SalesTbl[[#This Row],[Unit Price]]*SalesTbl[[#This Row],[Quantity]]</f>
        <v>150</v>
      </c>
      <c r="N581" s="6">
        <f>YEAR(SalesTbl[[#This Row],[Order Date]])</f>
        <v>2023</v>
      </c>
      <c r="O581" s="6" t="str">
        <f>TEXT(SalesTbl[[#This Row],[Order Date]],"yyyy-mm")</f>
        <v>2023-02</v>
      </c>
      <c r="P581" s="13">
        <f>WEEKNUM(SalesTbl[[#This Row],[Order Date]],2)</f>
        <v>9</v>
      </c>
      <c r="Q581" s="14">
        <f>MEDIAN(SalesTbl[Quantity])</f>
        <v>3</v>
      </c>
      <c r="R581" s="14">
        <f>IF(ISBLANK(SalesTbl[[#This Row],[Quantity]]),$H$2,SalesTbl[[#This Row],[Quantity]])</f>
        <v>3</v>
      </c>
      <c r="S581">
        <f>ROW()-ROW(SalesTbl[[#Headers],[Customer ID]])</f>
        <v>580</v>
      </c>
      <c r="T581" s="9" t="str">
        <f>IF(SalesTbl[[#This Row],[RowIdx]]&lt;=ROUNDUP(COUNTA(SalesTbl[Customer ID])*0.8,0),"Train","Test")</f>
        <v>Train</v>
      </c>
    </row>
    <row r="582" spans="1:20" x14ac:dyDescent="0.25">
      <c r="A582" t="s">
        <v>275</v>
      </c>
      <c r="B582" t="s">
        <v>13</v>
      </c>
      <c r="C582" t="s">
        <v>320</v>
      </c>
      <c r="D582" t="s">
        <v>14</v>
      </c>
      <c r="E582" t="s">
        <v>15</v>
      </c>
      <c r="F582">
        <v>34</v>
      </c>
      <c r="G582">
        <v>300</v>
      </c>
      <c r="H582">
        <v>2</v>
      </c>
      <c r="I582">
        <v>600</v>
      </c>
      <c r="J582">
        <v>12.94</v>
      </c>
      <c r="K582" s="2">
        <v>45051</v>
      </c>
      <c r="L582" t="s">
        <v>317</v>
      </c>
      <c r="M582" s="6">
        <f>SalesTbl[[#This Row],[Unit Price]]*SalesTbl[[#This Row],[Quantity]]</f>
        <v>600</v>
      </c>
      <c r="N582" s="6">
        <f>YEAR(SalesTbl[[#This Row],[Order Date]])</f>
        <v>2023</v>
      </c>
      <c r="O582" s="6" t="str">
        <f>TEXT(SalesTbl[[#This Row],[Order Date]],"yyyy-mm")</f>
        <v>2023-05</v>
      </c>
      <c r="P582" s="13">
        <f>WEEKNUM(SalesTbl[[#This Row],[Order Date]],2)</f>
        <v>19</v>
      </c>
      <c r="Q582" s="14">
        <f>MEDIAN(SalesTbl[Quantity])</f>
        <v>3</v>
      </c>
      <c r="R582" s="14">
        <f>IF(ISBLANK(SalesTbl[[#This Row],[Quantity]]),$H$2,SalesTbl[[#This Row],[Quantity]])</f>
        <v>2</v>
      </c>
      <c r="S582">
        <f>ROW()-ROW(SalesTbl[[#Headers],[Customer ID]])</f>
        <v>581</v>
      </c>
      <c r="T582" s="9" t="str">
        <f>IF(SalesTbl[[#This Row],[RowIdx]]&lt;=ROUNDUP(COUNTA(SalesTbl[Customer ID])*0.8,0),"Train","Test")</f>
        <v>Train</v>
      </c>
    </row>
    <row r="583" spans="1:20" x14ac:dyDescent="0.25">
      <c r="A583" t="s">
        <v>168</v>
      </c>
      <c r="B583" t="s">
        <v>20</v>
      </c>
      <c r="C583" t="s">
        <v>321</v>
      </c>
      <c r="D583" t="s">
        <v>14</v>
      </c>
      <c r="E583" t="s">
        <v>15</v>
      </c>
      <c r="F583">
        <v>42</v>
      </c>
      <c r="G583">
        <v>300</v>
      </c>
      <c r="H583">
        <v>3</v>
      </c>
      <c r="I583">
        <v>900</v>
      </c>
      <c r="J583">
        <v>14.11</v>
      </c>
      <c r="K583" s="2">
        <v>44942</v>
      </c>
      <c r="L583" t="s">
        <v>316</v>
      </c>
      <c r="M583" s="6">
        <f>SalesTbl[[#This Row],[Unit Price]]*SalesTbl[[#This Row],[Quantity]]</f>
        <v>900</v>
      </c>
      <c r="N583" s="6">
        <f>YEAR(SalesTbl[[#This Row],[Order Date]])</f>
        <v>2023</v>
      </c>
      <c r="O583" s="6" t="str">
        <f>TEXT(SalesTbl[[#This Row],[Order Date]],"yyyy-mm")</f>
        <v>2023-01</v>
      </c>
      <c r="P583" s="13">
        <f>WEEKNUM(SalesTbl[[#This Row],[Order Date]],2)</f>
        <v>4</v>
      </c>
      <c r="Q583" s="14">
        <f>MEDIAN(SalesTbl[Quantity])</f>
        <v>3</v>
      </c>
      <c r="R583" s="14">
        <f>IF(ISBLANK(SalesTbl[[#This Row],[Quantity]]),$H$2,SalesTbl[[#This Row],[Quantity]])</f>
        <v>3</v>
      </c>
      <c r="S583">
        <f>ROW()-ROW(SalesTbl[[#Headers],[Customer ID]])</f>
        <v>582</v>
      </c>
      <c r="T583" s="9" t="str">
        <f>IF(SalesTbl[[#This Row],[RowIdx]]&lt;=ROUNDUP(COUNTA(SalesTbl[Customer ID])*0.8,0),"Train","Test")</f>
        <v>Train</v>
      </c>
    </row>
    <row r="584" spans="1:20" x14ac:dyDescent="0.25">
      <c r="A584" t="s">
        <v>255</v>
      </c>
      <c r="B584" t="s">
        <v>20</v>
      </c>
      <c r="C584" t="s">
        <v>319</v>
      </c>
      <c r="D584" t="s">
        <v>17</v>
      </c>
      <c r="E584" t="s">
        <v>18</v>
      </c>
      <c r="F584">
        <v>39</v>
      </c>
      <c r="G584">
        <v>100</v>
      </c>
      <c r="H584">
        <v>1</v>
      </c>
      <c r="I584">
        <v>100</v>
      </c>
      <c r="J584">
        <v>7.09</v>
      </c>
      <c r="K584" s="2">
        <v>45103</v>
      </c>
      <c r="L584" t="s">
        <v>318</v>
      </c>
      <c r="M584" s="6">
        <f>SalesTbl[[#This Row],[Unit Price]]*SalesTbl[[#This Row],[Quantity]]</f>
        <v>100</v>
      </c>
      <c r="N584" s="6">
        <f>YEAR(SalesTbl[[#This Row],[Order Date]])</f>
        <v>2023</v>
      </c>
      <c r="O584" s="6" t="str">
        <f>TEXT(SalesTbl[[#This Row],[Order Date]],"yyyy-mm")</f>
        <v>2023-06</v>
      </c>
      <c r="P584" s="13">
        <f>WEEKNUM(SalesTbl[[#This Row],[Order Date]],2)</f>
        <v>27</v>
      </c>
      <c r="Q584" s="14">
        <f>MEDIAN(SalesTbl[Quantity])</f>
        <v>3</v>
      </c>
      <c r="R584" s="14">
        <f>IF(ISBLANK(SalesTbl[[#This Row],[Quantity]]),$H$2,SalesTbl[[#This Row],[Quantity]])</f>
        <v>1</v>
      </c>
      <c r="S584">
        <f>ROW()-ROW(SalesTbl[[#Headers],[Customer ID]])</f>
        <v>583</v>
      </c>
      <c r="T584" s="9" t="str">
        <f>IF(SalesTbl[[#This Row],[RowIdx]]&lt;=ROUNDUP(COUNTA(SalesTbl[Customer ID])*0.8,0),"Train","Test")</f>
        <v>Train</v>
      </c>
    </row>
    <row r="585" spans="1:20" x14ac:dyDescent="0.25">
      <c r="A585" t="s">
        <v>133</v>
      </c>
      <c r="B585" t="s">
        <v>13</v>
      </c>
      <c r="C585" t="s">
        <v>320</v>
      </c>
      <c r="D585" t="s">
        <v>25</v>
      </c>
      <c r="E585" t="s">
        <v>26</v>
      </c>
      <c r="F585">
        <v>41</v>
      </c>
      <c r="G585">
        <v>200</v>
      </c>
      <c r="H585">
        <v>1</v>
      </c>
      <c r="I585">
        <v>200</v>
      </c>
      <c r="J585">
        <v>18.84</v>
      </c>
      <c r="K585" s="2">
        <v>45036</v>
      </c>
      <c r="L585" t="s">
        <v>317</v>
      </c>
      <c r="M585" s="6">
        <f>SalesTbl[[#This Row],[Unit Price]]*SalesTbl[[#This Row],[Quantity]]</f>
        <v>200</v>
      </c>
      <c r="N585" s="6">
        <f>YEAR(SalesTbl[[#This Row],[Order Date]])</f>
        <v>2023</v>
      </c>
      <c r="O585" s="6" t="str">
        <f>TEXT(SalesTbl[[#This Row],[Order Date]],"yyyy-mm")</f>
        <v>2023-04</v>
      </c>
      <c r="P585" s="13">
        <f>WEEKNUM(SalesTbl[[#This Row],[Order Date]],2)</f>
        <v>17</v>
      </c>
      <c r="Q585" s="14">
        <f>MEDIAN(SalesTbl[Quantity])</f>
        <v>3</v>
      </c>
      <c r="R585" s="14">
        <f>IF(ISBLANK(SalesTbl[[#This Row],[Quantity]]),$H$2,SalesTbl[[#This Row],[Quantity]])</f>
        <v>1</v>
      </c>
      <c r="S585">
        <f>ROW()-ROW(SalesTbl[[#Headers],[Customer ID]])</f>
        <v>584</v>
      </c>
      <c r="T585" s="9" t="str">
        <f>IF(SalesTbl[[#This Row],[RowIdx]]&lt;=ROUNDUP(COUNTA(SalesTbl[Customer ID])*0.8,0),"Train","Test")</f>
        <v>Train</v>
      </c>
    </row>
    <row r="586" spans="1:20" x14ac:dyDescent="0.25">
      <c r="A586" t="s">
        <v>277</v>
      </c>
      <c r="B586" t="s">
        <v>13</v>
      </c>
      <c r="C586" t="s">
        <v>320</v>
      </c>
      <c r="D586" t="s">
        <v>23</v>
      </c>
      <c r="E586" t="s">
        <v>15</v>
      </c>
      <c r="F586">
        <v>29</v>
      </c>
      <c r="G586">
        <v>1500</v>
      </c>
      <c r="H586">
        <v>5</v>
      </c>
      <c r="I586">
        <v>7500</v>
      </c>
      <c r="J586">
        <v>13.95</v>
      </c>
      <c r="K586" s="2">
        <v>45229</v>
      </c>
      <c r="L586" t="s">
        <v>318</v>
      </c>
      <c r="M586" s="6">
        <f>SalesTbl[[#This Row],[Unit Price]]*SalesTbl[[#This Row],[Quantity]]</f>
        <v>7500</v>
      </c>
      <c r="N586" s="6">
        <f>YEAR(SalesTbl[[#This Row],[Order Date]])</f>
        <v>2023</v>
      </c>
      <c r="O586" s="6" t="str">
        <f>TEXT(SalesTbl[[#This Row],[Order Date]],"yyyy-mm")</f>
        <v>2023-10</v>
      </c>
      <c r="P586" s="13">
        <f>WEEKNUM(SalesTbl[[#This Row],[Order Date]],2)</f>
        <v>45</v>
      </c>
      <c r="Q586" s="14">
        <f>MEDIAN(SalesTbl[Quantity])</f>
        <v>3</v>
      </c>
      <c r="R586" s="14">
        <f>IF(ISBLANK(SalesTbl[[#This Row],[Quantity]]),$H$2,SalesTbl[[#This Row],[Quantity]])</f>
        <v>5</v>
      </c>
      <c r="S586">
        <f>ROW()-ROW(SalesTbl[[#Headers],[Customer ID]])</f>
        <v>585</v>
      </c>
      <c r="T586" s="9" t="str">
        <f>IF(SalesTbl[[#This Row],[RowIdx]]&lt;=ROUNDUP(COUNTA(SalesTbl[Customer ID])*0.8,0),"Train","Test")</f>
        <v>Train</v>
      </c>
    </row>
    <row r="587" spans="1:20" x14ac:dyDescent="0.25">
      <c r="A587" t="s">
        <v>206</v>
      </c>
      <c r="B587" t="s">
        <v>20</v>
      </c>
      <c r="C587" t="s">
        <v>320</v>
      </c>
      <c r="D587" t="s">
        <v>17</v>
      </c>
      <c r="E587" t="s">
        <v>18</v>
      </c>
      <c r="F587">
        <v>49</v>
      </c>
      <c r="G587">
        <v>100</v>
      </c>
      <c r="H587">
        <v>4</v>
      </c>
      <c r="I587">
        <v>400</v>
      </c>
      <c r="J587">
        <v>11.95</v>
      </c>
      <c r="K587" s="2">
        <v>45173</v>
      </c>
      <c r="L587" t="s">
        <v>318</v>
      </c>
      <c r="M587" s="6">
        <f>SalesTbl[[#This Row],[Unit Price]]*SalesTbl[[#This Row],[Quantity]]</f>
        <v>400</v>
      </c>
      <c r="N587" s="6">
        <f>YEAR(SalesTbl[[#This Row],[Order Date]])</f>
        <v>2023</v>
      </c>
      <c r="O587" s="6" t="str">
        <f>TEXT(SalesTbl[[#This Row],[Order Date]],"yyyy-mm")</f>
        <v>2023-09</v>
      </c>
      <c r="P587" s="13">
        <f>WEEKNUM(SalesTbl[[#This Row],[Order Date]],2)</f>
        <v>37</v>
      </c>
      <c r="Q587" s="14">
        <f>MEDIAN(SalesTbl[Quantity])</f>
        <v>3</v>
      </c>
      <c r="R587" s="14">
        <f>IF(ISBLANK(SalesTbl[[#This Row],[Quantity]]),$H$2,SalesTbl[[#This Row],[Quantity]])</f>
        <v>4</v>
      </c>
      <c r="S587">
        <f>ROW()-ROW(SalesTbl[[#Headers],[Customer ID]])</f>
        <v>586</v>
      </c>
      <c r="T587" s="9" t="str">
        <f>IF(SalesTbl[[#This Row],[RowIdx]]&lt;=ROUNDUP(COUNTA(SalesTbl[Customer ID])*0.8,0),"Train","Test")</f>
        <v>Train</v>
      </c>
    </row>
    <row r="588" spans="1:20" x14ac:dyDescent="0.25">
      <c r="A588" t="s">
        <v>206</v>
      </c>
      <c r="B588" t="s">
        <v>13</v>
      </c>
      <c r="C588" t="s">
        <v>320</v>
      </c>
      <c r="D588" t="s">
        <v>30</v>
      </c>
      <c r="E588" t="s">
        <v>18</v>
      </c>
      <c r="F588">
        <v>45</v>
      </c>
      <c r="G588">
        <v>30</v>
      </c>
      <c r="H588">
        <v>3</v>
      </c>
      <c r="I588">
        <v>90</v>
      </c>
      <c r="J588">
        <v>10.06</v>
      </c>
      <c r="K588" s="2">
        <v>44975</v>
      </c>
      <c r="L588" t="s">
        <v>318</v>
      </c>
      <c r="M588" s="6">
        <f>SalesTbl[[#This Row],[Unit Price]]*SalesTbl[[#This Row],[Quantity]]</f>
        <v>90</v>
      </c>
      <c r="N588" s="6">
        <f>YEAR(SalesTbl[[#This Row],[Order Date]])</f>
        <v>2023</v>
      </c>
      <c r="O588" s="6" t="str">
        <f>TEXT(SalesTbl[[#This Row],[Order Date]],"yyyy-mm")</f>
        <v>2023-02</v>
      </c>
      <c r="P588" s="13">
        <f>WEEKNUM(SalesTbl[[#This Row],[Order Date]],2)</f>
        <v>8</v>
      </c>
      <c r="Q588" s="14">
        <f>MEDIAN(SalesTbl[Quantity])</f>
        <v>3</v>
      </c>
      <c r="R588" s="14">
        <f>IF(ISBLANK(SalesTbl[[#This Row],[Quantity]]),$H$2,SalesTbl[[#This Row],[Quantity]])</f>
        <v>3</v>
      </c>
      <c r="S588">
        <f>ROW()-ROW(SalesTbl[[#Headers],[Customer ID]])</f>
        <v>587</v>
      </c>
      <c r="T588" s="9" t="str">
        <f>IF(SalesTbl[[#This Row],[RowIdx]]&lt;=ROUNDUP(COUNTA(SalesTbl[Customer ID])*0.8,0),"Train","Test")</f>
        <v>Train</v>
      </c>
    </row>
    <row r="589" spans="1:20" x14ac:dyDescent="0.25">
      <c r="A589" t="s">
        <v>38</v>
      </c>
      <c r="B589" t="s">
        <v>13</v>
      </c>
      <c r="C589" t="s">
        <v>320</v>
      </c>
      <c r="D589" t="s">
        <v>30</v>
      </c>
      <c r="E589" t="s">
        <v>18</v>
      </c>
      <c r="F589">
        <v>57</v>
      </c>
      <c r="G589">
        <v>30</v>
      </c>
      <c r="H589">
        <v>5</v>
      </c>
      <c r="I589">
        <v>150</v>
      </c>
      <c r="J589">
        <v>19.16</v>
      </c>
      <c r="K589" s="2">
        <v>44933</v>
      </c>
      <c r="L589" t="s">
        <v>316</v>
      </c>
      <c r="M589" s="6">
        <f>SalesTbl[[#This Row],[Unit Price]]*SalesTbl[[#This Row],[Quantity]]</f>
        <v>150</v>
      </c>
      <c r="N589" s="6">
        <f>YEAR(SalesTbl[[#This Row],[Order Date]])</f>
        <v>2023</v>
      </c>
      <c r="O589" s="6" t="str">
        <f>TEXT(SalesTbl[[#This Row],[Order Date]],"yyyy-mm")</f>
        <v>2023-01</v>
      </c>
      <c r="P589" s="13">
        <f>WEEKNUM(SalesTbl[[#This Row],[Order Date]],2)</f>
        <v>2</v>
      </c>
      <c r="Q589" s="14">
        <f>MEDIAN(SalesTbl[Quantity])</f>
        <v>3</v>
      </c>
      <c r="R589" s="14">
        <f>IF(ISBLANK(SalesTbl[[#This Row],[Quantity]]),$H$2,SalesTbl[[#This Row],[Quantity]])</f>
        <v>5</v>
      </c>
      <c r="S589">
        <f>ROW()-ROW(SalesTbl[[#Headers],[Customer ID]])</f>
        <v>588</v>
      </c>
      <c r="T589" s="9" t="str">
        <f>IF(SalesTbl[[#This Row],[RowIdx]]&lt;=ROUNDUP(COUNTA(SalesTbl[Customer ID])*0.8,0),"Train","Test")</f>
        <v>Train</v>
      </c>
    </row>
    <row r="590" spans="1:20" x14ac:dyDescent="0.25">
      <c r="A590" t="s">
        <v>278</v>
      </c>
      <c r="B590" t="s">
        <v>13</v>
      </c>
      <c r="C590" t="s">
        <v>321</v>
      </c>
      <c r="D590" t="s">
        <v>17</v>
      </c>
      <c r="E590" t="s">
        <v>18</v>
      </c>
      <c r="F590">
        <v>50</v>
      </c>
      <c r="G590">
        <v>100</v>
      </c>
      <c r="H590">
        <v>2</v>
      </c>
      <c r="I590">
        <v>200</v>
      </c>
      <c r="J590">
        <v>19.13</v>
      </c>
      <c r="K590" s="2">
        <v>45207</v>
      </c>
      <c r="L590" t="s">
        <v>319</v>
      </c>
      <c r="M590" s="6">
        <f>SalesTbl[[#This Row],[Unit Price]]*SalesTbl[[#This Row],[Quantity]]</f>
        <v>200</v>
      </c>
      <c r="N590" s="6">
        <f>YEAR(SalesTbl[[#This Row],[Order Date]])</f>
        <v>2023</v>
      </c>
      <c r="O590" s="6" t="str">
        <f>TEXT(SalesTbl[[#This Row],[Order Date]],"yyyy-mm")</f>
        <v>2023-10</v>
      </c>
      <c r="P590" s="13">
        <f>WEEKNUM(SalesTbl[[#This Row],[Order Date]],2)</f>
        <v>41</v>
      </c>
      <c r="Q590" s="14">
        <f>MEDIAN(SalesTbl[Quantity])</f>
        <v>3</v>
      </c>
      <c r="R590" s="14">
        <f>IF(ISBLANK(SalesTbl[[#This Row],[Quantity]]),$H$2,SalesTbl[[#This Row],[Quantity]])</f>
        <v>2</v>
      </c>
      <c r="S590">
        <f>ROW()-ROW(SalesTbl[[#Headers],[Customer ID]])</f>
        <v>589</v>
      </c>
      <c r="T590" s="9" t="str">
        <f>IF(SalesTbl[[#This Row],[RowIdx]]&lt;=ROUNDUP(COUNTA(SalesTbl[Customer ID])*0.8,0),"Train","Test")</f>
        <v>Train</v>
      </c>
    </row>
    <row r="591" spans="1:20" x14ac:dyDescent="0.25">
      <c r="A591" t="s">
        <v>173</v>
      </c>
      <c r="B591" t="s">
        <v>13</v>
      </c>
      <c r="C591" t="s">
        <v>321</v>
      </c>
      <c r="D591" t="s">
        <v>29</v>
      </c>
      <c r="E591" t="s">
        <v>18</v>
      </c>
      <c r="F591">
        <v>60</v>
      </c>
      <c r="G591">
        <v>50</v>
      </c>
      <c r="H591">
        <v>5</v>
      </c>
      <c r="I591">
        <v>250</v>
      </c>
      <c r="J591">
        <v>13</v>
      </c>
      <c r="K591" s="2">
        <v>45279</v>
      </c>
      <c r="L591" t="s">
        <v>316</v>
      </c>
      <c r="M591" s="6">
        <f>SalesTbl[[#This Row],[Unit Price]]*SalesTbl[[#This Row],[Quantity]]</f>
        <v>250</v>
      </c>
      <c r="N591" s="6">
        <f>YEAR(SalesTbl[[#This Row],[Order Date]])</f>
        <v>2023</v>
      </c>
      <c r="O591" s="6" t="str">
        <f>TEXT(SalesTbl[[#This Row],[Order Date]],"yyyy-mm")</f>
        <v>2023-12</v>
      </c>
      <c r="P591" s="13">
        <f>WEEKNUM(SalesTbl[[#This Row],[Order Date]],2)</f>
        <v>52</v>
      </c>
      <c r="Q591" s="14">
        <f>MEDIAN(SalesTbl[Quantity])</f>
        <v>3</v>
      </c>
      <c r="R591" s="14">
        <f>IF(ISBLANK(SalesTbl[[#This Row],[Quantity]]),$H$2,SalesTbl[[#This Row],[Quantity]])</f>
        <v>5</v>
      </c>
      <c r="S591">
        <f>ROW()-ROW(SalesTbl[[#Headers],[Customer ID]])</f>
        <v>590</v>
      </c>
      <c r="T591" s="9" t="str">
        <f>IF(SalesTbl[[#This Row],[RowIdx]]&lt;=ROUNDUP(COUNTA(SalesTbl[Customer ID])*0.8,0),"Train","Test")</f>
        <v>Train</v>
      </c>
    </row>
    <row r="592" spans="1:20" x14ac:dyDescent="0.25">
      <c r="A592" t="s">
        <v>279</v>
      </c>
      <c r="B592" t="s">
        <v>20</v>
      </c>
      <c r="C592" t="s">
        <v>323</v>
      </c>
      <c r="D592" t="s">
        <v>29</v>
      </c>
      <c r="E592" t="s">
        <v>18</v>
      </c>
      <c r="F592">
        <v>38</v>
      </c>
      <c r="G592">
        <v>50</v>
      </c>
      <c r="H592">
        <v>3</v>
      </c>
      <c r="I592">
        <v>150</v>
      </c>
      <c r="J592">
        <v>6.14</v>
      </c>
      <c r="K592" s="2">
        <v>45026</v>
      </c>
      <c r="L592" t="s">
        <v>316</v>
      </c>
      <c r="M592" s="6">
        <f>SalesTbl[[#This Row],[Unit Price]]*SalesTbl[[#This Row],[Quantity]]</f>
        <v>150</v>
      </c>
      <c r="N592" s="6">
        <f>YEAR(SalesTbl[[#This Row],[Order Date]])</f>
        <v>2023</v>
      </c>
      <c r="O592" s="6" t="str">
        <f>TEXT(SalesTbl[[#This Row],[Order Date]],"yyyy-mm")</f>
        <v>2023-04</v>
      </c>
      <c r="P592" s="13">
        <f>WEEKNUM(SalesTbl[[#This Row],[Order Date]],2)</f>
        <v>16</v>
      </c>
      <c r="Q592" s="14">
        <f>MEDIAN(SalesTbl[Quantity])</f>
        <v>3</v>
      </c>
      <c r="R592" s="14">
        <f>IF(ISBLANK(SalesTbl[[#This Row],[Quantity]]),$H$2,SalesTbl[[#This Row],[Quantity]])</f>
        <v>3</v>
      </c>
      <c r="S592">
        <f>ROW()-ROW(SalesTbl[[#Headers],[Customer ID]])</f>
        <v>591</v>
      </c>
      <c r="T592" s="9" t="str">
        <f>IF(SalesTbl[[#This Row],[RowIdx]]&lt;=ROUNDUP(COUNTA(SalesTbl[Customer ID])*0.8,0),"Train","Test")</f>
        <v>Train</v>
      </c>
    </row>
    <row r="593" spans="1:20" x14ac:dyDescent="0.25">
      <c r="A593" t="s">
        <v>242</v>
      </c>
      <c r="B593" t="s">
        <v>13</v>
      </c>
      <c r="C593" t="s">
        <v>323</v>
      </c>
      <c r="D593" t="s">
        <v>23</v>
      </c>
      <c r="E593" t="s">
        <v>15</v>
      </c>
      <c r="F593">
        <v>68</v>
      </c>
      <c r="G593">
        <v>1500</v>
      </c>
      <c r="H593">
        <v>3</v>
      </c>
      <c r="I593">
        <v>4500</v>
      </c>
      <c r="J593">
        <v>11.29</v>
      </c>
      <c r="K593" s="2">
        <v>45078</v>
      </c>
      <c r="L593" t="s">
        <v>316</v>
      </c>
      <c r="M593" s="6">
        <f>SalesTbl[[#This Row],[Unit Price]]*SalesTbl[[#This Row],[Quantity]]</f>
        <v>4500</v>
      </c>
      <c r="N593" s="6">
        <f>YEAR(SalesTbl[[#This Row],[Order Date]])</f>
        <v>2023</v>
      </c>
      <c r="O593" s="6" t="str">
        <f>TEXT(SalesTbl[[#This Row],[Order Date]],"yyyy-mm")</f>
        <v>2023-06</v>
      </c>
      <c r="P593" s="13">
        <f>WEEKNUM(SalesTbl[[#This Row],[Order Date]],2)</f>
        <v>23</v>
      </c>
      <c r="Q593" s="14">
        <f>MEDIAN(SalesTbl[Quantity])</f>
        <v>3</v>
      </c>
      <c r="R593" s="14">
        <f>IF(ISBLANK(SalesTbl[[#This Row],[Quantity]]),$H$2,SalesTbl[[#This Row],[Quantity]])</f>
        <v>3</v>
      </c>
      <c r="S593">
        <f>ROW()-ROW(SalesTbl[[#Headers],[Customer ID]])</f>
        <v>592</v>
      </c>
      <c r="T593" s="9" t="str">
        <f>IF(SalesTbl[[#This Row],[RowIdx]]&lt;=ROUNDUP(COUNTA(SalesTbl[Customer ID])*0.8,0),"Train","Test")</f>
        <v>Train</v>
      </c>
    </row>
    <row r="594" spans="1:20" x14ac:dyDescent="0.25">
      <c r="A594" t="s">
        <v>280</v>
      </c>
      <c r="B594" t="s">
        <v>13</v>
      </c>
      <c r="C594" t="s">
        <v>321</v>
      </c>
      <c r="D594" t="s">
        <v>25</v>
      </c>
      <c r="E594" t="s">
        <v>26</v>
      </c>
      <c r="F594">
        <v>26</v>
      </c>
      <c r="G594">
        <v>200</v>
      </c>
      <c r="H594">
        <v>5</v>
      </c>
      <c r="I594">
        <v>1000</v>
      </c>
      <c r="J594">
        <v>14.83</v>
      </c>
      <c r="K594" s="2">
        <v>45110</v>
      </c>
      <c r="L594" t="s">
        <v>318</v>
      </c>
      <c r="M594" s="6">
        <f>SalesTbl[[#This Row],[Unit Price]]*SalesTbl[[#This Row],[Quantity]]</f>
        <v>1000</v>
      </c>
      <c r="N594" s="6">
        <f>YEAR(SalesTbl[[#This Row],[Order Date]])</f>
        <v>2023</v>
      </c>
      <c r="O594" s="6" t="str">
        <f>TEXT(SalesTbl[[#This Row],[Order Date]],"yyyy-mm")</f>
        <v>2023-07</v>
      </c>
      <c r="P594" s="13">
        <f>WEEKNUM(SalesTbl[[#This Row],[Order Date]],2)</f>
        <v>28</v>
      </c>
      <c r="Q594" s="14">
        <f>MEDIAN(SalesTbl[Quantity])</f>
        <v>3</v>
      </c>
      <c r="R594" s="14">
        <f>IF(ISBLANK(SalesTbl[[#This Row],[Quantity]]),$H$2,SalesTbl[[#This Row],[Quantity]])</f>
        <v>5</v>
      </c>
      <c r="S594">
        <f>ROW()-ROW(SalesTbl[[#Headers],[Customer ID]])</f>
        <v>593</v>
      </c>
      <c r="T594" s="9" t="str">
        <f>IF(SalesTbl[[#This Row],[RowIdx]]&lt;=ROUNDUP(COUNTA(SalesTbl[Customer ID])*0.8,0),"Train","Test")</f>
        <v>Train</v>
      </c>
    </row>
    <row r="595" spans="1:20" x14ac:dyDescent="0.25">
      <c r="A595" t="s">
        <v>249</v>
      </c>
      <c r="B595" t="s">
        <v>20</v>
      </c>
      <c r="C595" t="s">
        <v>320</v>
      </c>
      <c r="D595" t="s">
        <v>14</v>
      </c>
      <c r="E595" t="s">
        <v>15</v>
      </c>
      <c r="F595">
        <v>64</v>
      </c>
      <c r="G595">
        <v>300</v>
      </c>
      <c r="H595">
        <v>3</v>
      </c>
      <c r="I595">
        <v>900</v>
      </c>
      <c r="J595">
        <v>15.97</v>
      </c>
      <c r="K595" s="2">
        <v>45214</v>
      </c>
      <c r="L595" t="s">
        <v>318</v>
      </c>
      <c r="M595" s="6">
        <f>SalesTbl[[#This Row],[Unit Price]]*SalesTbl[[#This Row],[Quantity]]</f>
        <v>900</v>
      </c>
      <c r="N595" s="6">
        <f>YEAR(SalesTbl[[#This Row],[Order Date]])</f>
        <v>2023</v>
      </c>
      <c r="O595" s="6" t="str">
        <f>TEXT(SalesTbl[[#This Row],[Order Date]],"yyyy-mm")</f>
        <v>2023-10</v>
      </c>
      <c r="P595" s="13">
        <f>WEEKNUM(SalesTbl[[#This Row],[Order Date]],2)</f>
        <v>42</v>
      </c>
      <c r="Q595" s="14">
        <f>MEDIAN(SalesTbl[Quantity])</f>
        <v>3</v>
      </c>
      <c r="R595" s="14">
        <f>IF(ISBLANK(SalesTbl[[#This Row],[Quantity]]),$H$2,SalesTbl[[#This Row],[Quantity]])</f>
        <v>3</v>
      </c>
      <c r="S595">
        <f>ROW()-ROW(SalesTbl[[#Headers],[Customer ID]])</f>
        <v>594</v>
      </c>
      <c r="T595" s="9" t="str">
        <f>IF(SalesTbl[[#This Row],[RowIdx]]&lt;=ROUNDUP(COUNTA(SalesTbl[Customer ID])*0.8,0),"Train","Test")</f>
        <v>Train</v>
      </c>
    </row>
    <row r="596" spans="1:20" x14ac:dyDescent="0.25">
      <c r="A596" t="s">
        <v>249</v>
      </c>
      <c r="B596" t="s">
        <v>20</v>
      </c>
      <c r="C596" t="s">
        <v>323</v>
      </c>
      <c r="D596" t="s">
        <v>17</v>
      </c>
      <c r="E596" t="s">
        <v>18</v>
      </c>
      <c r="F596">
        <v>64</v>
      </c>
      <c r="G596">
        <v>100</v>
      </c>
      <c r="H596">
        <v>4</v>
      </c>
      <c r="I596">
        <v>400</v>
      </c>
      <c r="J596">
        <v>12.48</v>
      </c>
      <c r="K596" s="2">
        <v>45087</v>
      </c>
      <c r="L596" t="s">
        <v>317</v>
      </c>
      <c r="M596" s="6">
        <f>SalesTbl[[#This Row],[Unit Price]]*SalesTbl[[#This Row],[Quantity]]</f>
        <v>400</v>
      </c>
      <c r="N596" s="6">
        <f>YEAR(SalesTbl[[#This Row],[Order Date]])</f>
        <v>2023</v>
      </c>
      <c r="O596" s="6" t="str">
        <f>TEXT(SalesTbl[[#This Row],[Order Date]],"yyyy-mm")</f>
        <v>2023-06</v>
      </c>
      <c r="P596" s="13">
        <f>WEEKNUM(SalesTbl[[#This Row],[Order Date]],2)</f>
        <v>24</v>
      </c>
      <c r="Q596" s="14">
        <f>MEDIAN(SalesTbl[Quantity])</f>
        <v>3</v>
      </c>
      <c r="R596" s="14">
        <f>IF(ISBLANK(SalesTbl[[#This Row],[Quantity]]),$H$2,SalesTbl[[#This Row],[Quantity]])</f>
        <v>4</v>
      </c>
      <c r="S596">
        <f>ROW()-ROW(SalesTbl[[#Headers],[Customer ID]])</f>
        <v>595</v>
      </c>
      <c r="T596" s="9" t="str">
        <f>IF(SalesTbl[[#This Row],[RowIdx]]&lt;=ROUNDUP(COUNTA(SalesTbl[Customer ID])*0.8,0),"Train","Test")</f>
        <v>Train</v>
      </c>
    </row>
    <row r="597" spans="1:20" x14ac:dyDescent="0.25">
      <c r="A597" t="s">
        <v>145</v>
      </c>
      <c r="B597" t="s">
        <v>20</v>
      </c>
      <c r="C597" t="s">
        <v>323</v>
      </c>
      <c r="D597" t="s">
        <v>14</v>
      </c>
      <c r="E597" t="s">
        <v>15</v>
      </c>
      <c r="F597">
        <v>30</v>
      </c>
      <c r="G597">
        <v>300</v>
      </c>
      <c r="H597">
        <v>4</v>
      </c>
      <c r="I597">
        <v>1200</v>
      </c>
      <c r="J597">
        <v>10.86</v>
      </c>
      <c r="K597" s="2">
        <v>45172</v>
      </c>
      <c r="L597" t="s">
        <v>318</v>
      </c>
      <c r="M597" s="6">
        <f>SalesTbl[[#This Row],[Unit Price]]*SalesTbl[[#This Row],[Quantity]]</f>
        <v>1200</v>
      </c>
      <c r="N597" s="6">
        <f>YEAR(SalesTbl[[#This Row],[Order Date]])</f>
        <v>2023</v>
      </c>
      <c r="O597" s="6" t="str">
        <f>TEXT(SalesTbl[[#This Row],[Order Date]],"yyyy-mm")</f>
        <v>2023-09</v>
      </c>
      <c r="P597" s="13">
        <f>WEEKNUM(SalesTbl[[#This Row],[Order Date]],2)</f>
        <v>36</v>
      </c>
      <c r="Q597" s="14">
        <f>MEDIAN(SalesTbl[Quantity])</f>
        <v>3</v>
      </c>
      <c r="R597" s="14">
        <f>IF(ISBLANK(SalesTbl[[#This Row],[Quantity]]),$H$2,SalesTbl[[#This Row],[Quantity]])</f>
        <v>4</v>
      </c>
      <c r="S597">
        <f>ROW()-ROW(SalesTbl[[#Headers],[Customer ID]])</f>
        <v>596</v>
      </c>
      <c r="T597" s="9" t="str">
        <f>IF(SalesTbl[[#This Row],[RowIdx]]&lt;=ROUNDUP(COUNTA(SalesTbl[Customer ID])*0.8,0),"Train","Test")</f>
        <v>Train</v>
      </c>
    </row>
    <row r="598" spans="1:20" x14ac:dyDescent="0.25">
      <c r="A598" t="s">
        <v>232</v>
      </c>
      <c r="B598" t="s">
        <v>13</v>
      </c>
      <c r="C598" t="s">
        <v>323</v>
      </c>
      <c r="D598" t="s">
        <v>23</v>
      </c>
      <c r="E598" t="s">
        <v>15</v>
      </c>
      <c r="F598">
        <v>25</v>
      </c>
      <c r="G598">
        <v>1500</v>
      </c>
      <c r="H598">
        <v>5</v>
      </c>
      <c r="I598">
        <v>7500</v>
      </c>
      <c r="J598">
        <v>16.95</v>
      </c>
      <c r="K598" s="2">
        <v>44989</v>
      </c>
      <c r="L598" t="s">
        <v>318</v>
      </c>
      <c r="M598" s="6">
        <f>SalesTbl[[#This Row],[Unit Price]]*SalesTbl[[#This Row],[Quantity]]</f>
        <v>7500</v>
      </c>
      <c r="N598" s="6">
        <f>YEAR(SalesTbl[[#This Row],[Order Date]])</f>
        <v>2023</v>
      </c>
      <c r="O598" s="6" t="str">
        <f>TEXT(SalesTbl[[#This Row],[Order Date]],"yyyy-mm")</f>
        <v>2023-03</v>
      </c>
      <c r="P598" s="13">
        <f>WEEKNUM(SalesTbl[[#This Row],[Order Date]],2)</f>
        <v>10</v>
      </c>
      <c r="Q598" s="14">
        <f>MEDIAN(SalesTbl[Quantity])</f>
        <v>3</v>
      </c>
      <c r="R598" s="14">
        <f>IF(ISBLANK(SalesTbl[[#This Row],[Quantity]]),$H$2,SalesTbl[[#This Row],[Quantity]])</f>
        <v>5</v>
      </c>
      <c r="S598">
        <f>ROW()-ROW(SalesTbl[[#Headers],[Customer ID]])</f>
        <v>597</v>
      </c>
      <c r="T598" s="9" t="str">
        <f>IF(SalesTbl[[#This Row],[RowIdx]]&lt;=ROUNDUP(COUNTA(SalesTbl[Customer ID])*0.8,0),"Train","Test")</f>
        <v>Train</v>
      </c>
    </row>
    <row r="599" spans="1:20" x14ac:dyDescent="0.25">
      <c r="A599" t="s">
        <v>79</v>
      </c>
      <c r="B599" t="s">
        <v>20</v>
      </c>
      <c r="C599" t="s">
        <v>323</v>
      </c>
      <c r="D599" t="s">
        <v>17</v>
      </c>
      <c r="E599" t="s">
        <v>18</v>
      </c>
      <c r="F599">
        <v>52</v>
      </c>
      <c r="G599">
        <v>100</v>
      </c>
      <c r="H599">
        <v>2</v>
      </c>
      <c r="I599">
        <v>200</v>
      </c>
      <c r="J599">
        <v>18.95</v>
      </c>
      <c r="K599" s="2">
        <v>44950</v>
      </c>
      <c r="L599" t="s">
        <v>317</v>
      </c>
      <c r="M599" s="6">
        <f>SalesTbl[[#This Row],[Unit Price]]*SalesTbl[[#This Row],[Quantity]]</f>
        <v>200</v>
      </c>
      <c r="N599" s="6">
        <f>YEAR(SalesTbl[[#This Row],[Order Date]])</f>
        <v>2023</v>
      </c>
      <c r="O599" s="6" t="str">
        <f>TEXT(SalesTbl[[#This Row],[Order Date]],"yyyy-mm")</f>
        <v>2023-01</v>
      </c>
      <c r="P599" s="13">
        <f>WEEKNUM(SalesTbl[[#This Row],[Order Date]],2)</f>
        <v>5</v>
      </c>
      <c r="Q599" s="14">
        <f>MEDIAN(SalesTbl[Quantity])</f>
        <v>3</v>
      </c>
      <c r="R599" s="14">
        <f>IF(ISBLANK(SalesTbl[[#This Row],[Quantity]]),$H$2,SalesTbl[[#This Row],[Quantity]])</f>
        <v>2</v>
      </c>
      <c r="S599">
        <f>ROW()-ROW(SalesTbl[[#Headers],[Customer ID]])</f>
        <v>598</v>
      </c>
      <c r="T599" s="9" t="str">
        <f>IF(SalesTbl[[#This Row],[RowIdx]]&lt;=ROUNDUP(COUNTA(SalesTbl[Customer ID])*0.8,0),"Train","Test")</f>
        <v>Train</v>
      </c>
    </row>
    <row r="600" spans="1:20" x14ac:dyDescent="0.25">
      <c r="A600" t="s">
        <v>281</v>
      </c>
      <c r="B600" t="s">
        <v>13</v>
      </c>
      <c r="C600" t="s">
        <v>320</v>
      </c>
      <c r="D600" t="s">
        <v>30</v>
      </c>
      <c r="E600" t="s">
        <v>18</v>
      </c>
      <c r="F600">
        <v>43</v>
      </c>
      <c r="G600">
        <v>30</v>
      </c>
      <c r="H600">
        <v>4</v>
      </c>
      <c r="I600">
        <v>120</v>
      </c>
      <c r="J600">
        <v>10.77</v>
      </c>
      <c r="K600" s="2">
        <v>45193</v>
      </c>
      <c r="L600" t="s">
        <v>319</v>
      </c>
      <c r="M600" s="6">
        <f>SalesTbl[[#This Row],[Unit Price]]*SalesTbl[[#This Row],[Quantity]]</f>
        <v>120</v>
      </c>
      <c r="N600" s="6">
        <f>YEAR(SalesTbl[[#This Row],[Order Date]])</f>
        <v>2023</v>
      </c>
      <c r="O600" s="6" t="str">
        <f>TEXT(SalesTbl[[#This Row],[Order Date]],"yyyy-mm")</f>
        <v>2023-09</v>
      </c>
      <c r="P600" s="13">
        <f>WEEKNUM(SalesTbl[[#This Row],[Order Date]],2)</f>
        <v>39</v>
      </c>
      <c r="Q600" s="14">
        <f>MEDIAN(SalesTbl[Quantity])</f>
        <v>3</v>
      </c>
      <c r="R600" s="14">
        <f>IF(ISBLANK(SalesTbl[[#This Row],[Quantity]]),$H$2,SalesTbl[[#This Row],[Quantity]])</f>
        <v>4</v>
      </c>
      <c r="S600">
        <f>ROW()-ROW(SalesTbl[[#Headers],[Customer ID]])</f>
        <v>599</v>
      </c>
      <c r="T600" s="9" t="str">
        <f>IF(SalesTbl[[#This Row],[RowIdx]]&lt;=ROUNDUP(COUNTA(SalesTbl[Customer ID])*0.8,0),"Train","Test")</f>
        <v>Train</v>
      </c>
    </row>
    <row r="601" spans="1:20" x14ac:dyDescent="0.25">
      <c r="A601" t="s">
        <v>282</v>
      </c>
      <c r="B601" t="s">
        <v>20</v>
      </c>
      <c r="C601" t="s">
        <v>322</v>
      </c>
      <c r="D601" t="s">
        <v>17</v>
      </c>
      <c r="E601" t="s">
        <v>18</v>
      </c>
      <c r="F601">
        <v>46</v>
      </c>
      <c r="G601">
        <v>100</v>
      </c>
      <c r="H601">
        <v>2</v>
      </c>
      <c r="I601">
        <v>200</v>
      </c>
      <c r="J601">
        <v>19.54</v>
      </c>
      <c r="K601" s="2">
        <v>45097</v>
      </c>
      <c r="L601" t="s">
        <v>316</v>
      </c>
      <c r="M601" s="6">
        <f>SalesTbl[[#This Row],[Unit Price]]*SalesTbl[[#This Row],[Quantity]]</f>
        <v>200</v>
      </c>
      <c r="N601" s="6">
        <f>YEAR(SalesTbl[[#This Row],[Order Date]])</f>
        <v>2023</v>
      </c>
      <c r="O601" s="6" t="str">
        <f>TEXT(SalesTbl[[#This Row],[Order Date]],"yyyy-mm")</f>
        <v>2023-06</v>
      </c>
      <c r="P601" s="13">
        <f>WEEKNUM(SalesTbl[[#This Row],[Order Date]],2)</f>
        <v>26</v>
      </c>
      <c r="Q601" s="14">
        <f>MEDIAN(SalesTbl[Quantity])</f>
        <v>3</v>
      </c>
      <c r="R601" s="14">
        <f>IF(ISBLANK(SalesTbl[[#This Row],[Quantity]]),$H$2,SalesTbl[[#This Row],[Quantity]])</f>
        <v>2</v>
      </c>
      <c r="S601">
        <f>ROW()-ROW(SalesTbl[[#Headers],[Customer ID]])</f>
        <v>600</v>
      </c>
      <c r="T601" s="9" t="str">
        <f>IF(SalesTbl[[#This Row],[RowIdx]]&lt;=ROUNDUP(COUNTA(SalesTbl[Customer ID])*0.8,0),"Train","Test")</f>
        <v>Train</v>
      </c>
    </row>
    <row r="602" spans="1:20" x14ac:dyDescent="0.25">
      <c r="A602" t="s">
        <v>254</v>
      </c>
      <c r="B602" t="s">
        <v>13</v>
      </c>
      <c r="C602" t="s">
        <v>323</v>
      </c>
      <c r="D602" t="s">
        <v>23</v>
      </c>
      <c r="E602" t="s">
        <v>15</v>
      </c>
      <c r="F602">
        <v>69</v>
      </c>
      <c r="G602">
        <v>1500</v>
      </c>
      <c r="H602">
        <v>4</v>
      </c>
      <c r="I602">
        <v>6000</v>
      </c>
      <c r="J602">
        <v>10</v>
      </c>
      <c r="K602" s="2">
        <v>45245</v>
      </c>
      <c r="L602" t="s">
        <v>318</v>
      </c>
      <c r="M602" s="6">
        <f>SalesTbl[[#This Row],[Unit Price]]*SalesTbl[[#This Row],[Quantity]]</f>
        <v>6000</v>
      </c>
      <c r="N602" s="6">
        <f>YEAR(SalesTbl[[#This Row],[Order Date]])</f>
        <v>2023</v>
      </c>
      <c r="O602" s="6" t="str">
        <f>TEXT(SalesTbl[[#This Row],[Order Date]],"yyyy-mm")</f>
        <v>2023-11</v>
      </c>
      <c r="P602" s="13">
        <f>WEEKNUM(SalesTbl[[#This Row],[Order Date]],2)</f>
        <v>47</v>
      </c>
      <c r="Q602" s="14">
        <f>MEDIAN(SalesTbl[Quantity])</f>
        <v>3</v>
      </c>
      <c r="R602" s="14">
        <f>IF(ISBLANK(SalesTbl[[#This Row],[Quantity]]),$H$2,SalesTbl[[#This Row],[Quantity]])</f>
        <v>4</v>
      </c>
      <c r="S602">
        <f>ROW()-ROW(SalesTbl[[#Headers],[Customer ID]])</f>
        <v>601</v>
      </c>
      <c r="T602" s="9" t="str">
        <f>IF(SalesTbl[[#This Row],[RowIdx]]&lt;=ROUNDUP(COUNTA(SalesTbl[Customer ID])*0.8,0),"Train","Test")</f>
        <v>Train</v>
      </c>
    </row>
    <row r="603" spans="1:20" x14ac:dyDescent="0.25">
      <c r="A603" t="s">
        <v>173</v>
      </c>
      <c r="B603" t="s">
        <v>20</v>
      </c>
      <c r="C603" t="s">
        <v>323</v>
      </c>
      <c r="D603" t="s">
        <v>23</v>
      </c>
      <c r="E603" t="s">
        <v>15</v>
      </c>
      <c r="F603">
        <v>49</v>
      </c>
      <c r="G603">
        <v>1500</v>
      </c>
      <c r="H603">
        <v>5</v>
      </c>
      <c r="I603">
        <v>7500</v>
      </c>
      <c r="J603">
        <v>12.35</v>
      </c>
      <c r="K603" s="2">
        <v>45044</v>
      </c>
      <c r="L603" t="s">
        <v>317</v>
      </c>
      <c r="M603" s="6">
        <f>SalesTbl[[#This Row],[Unit Price]]*SalesTbl[[#This Row],[Quantity]]</f>
        <v>7500</v>
      </c>
      <c r="N603" s="6">
        <f>YEAR(SalesTbl[[#This Row],[Order Date]])</f>
        <v>2023</v>
      </c>
      <c r="O603" s="6" t="str">
        <f>TEXT(SalesTbl[[#This Row],[Order Date]],"yyyy-mm")</f>
        <v>2023-04</v>
      </c>
      <c r="P603" s="13">
        <f>WEEKNUM(SalesTbl[[#This Row],[Order Date]],2)</f>
        <v>18</v>
      </c>
      <c r="Q603" s="14">
        <f>MEDIAN(SalesTbl[Quantity])</f>
        <v>3</v>
      </c>
      <c r="R603" s="14">
        <f>IF(ISBLANK(SalesTbl[[#This Row],[Quantity]]),$H$2,SalesTbl[[#This Row],[Quantity]])</f>
        <v>5</v>
      </c>
      <c r="S603">
        <f>ROW()-ROW(SalesTbl[[#Headers],[Customer ID]])</f>
        <v>602</v>
      </c>
      <c r="T603" s="9" t="str">
        <f>IF(SalesTbl[[#This Row],[RowIdx]]&lt;=ROUNDUP(COUNTA(SalesTbl[Customer ID])*0.8,0),"Train","Test")</f>
        <v>Train</v>
      </c>
    </row>
    <row r="604" spans="1:20" x14ac:dyDescent="0.25">
      <c r="A604" t="s">
        <v>253</v>
      </c>
      <c r="B604" t="s">
        <v>20</v>
      </c>
      <c r="C604" t="s">
        <v>323</v>
      </c>
      <c r="D604" t="s">
        <v>14</v>
      </c>
      <c r="E604" t="s">
        <v>15</v>
      </c>
      <c r="F604">
        <v>56</v>
      </c>
      <c r="G604">
        <v>300</v>
      </c>
      <c r="H604">
        <v>3</v>
      </c>
      <c r="I604">
        <v>900</v>
      </c>
      <c r="J604">
        <v>17.34</v>
      </c>
      <c r="K604" s="2">
        <v>45068</v>
      </c>
      <c r="L604" t="s">
        <v>316</v>
      </c>
      <c r="M604" s="6">
        <f>SalesTbl[[#This Row],[Unit Price]]*SalesTbl[[#This Row],[Quantity]]</f>
        <v>900</v>
      </c>
      <c r="N604" s="6">
        <f>YEAR(SalesTbl[[#This Row],[Order Date]])</f>
        <v>2023</v>
      </c>
      <c r="O604" s="6" t="str">
        <f>TEXT(SalesTbl[[#This Row],[Order Date]],"yyyy-mm")</f>
        <v>2023-05</v>
      </c>
      <c r="P604" s="13">
        <f>WEEKNUM(SalesTbl[[#This Row],[Order Date]],2)</f>
        <v>22</v>
      </c>
      <c r="Q604" s="14">
        <f>MEDIAN(SalesTbl[Quantity])</f>
        <v>3</v>
      </c>
      <c r="R604" s="14">
        <f>IF(ISBLANK(SalesTbl[[#This Row],[Quantity]]),$H$2,SalesTbl[[#This Row],[Quantity]])</f>
        <v>3</v>
      </c>
      <c r="S604">
        <f>ROW()-ROW(SalesTbl[[#Headers],[Customer ID]])</f>
        <v>603</v>
      </c>
      <c r="T604" s="9" t="str">
        <f>IF(SalesTbl[[#This Row],[RowIdx]]&lt;=ROUNDUP(COUNTA(SalesTbl[Customer ID])*0.8,0),"Train","Test")</f>
        <v>Train</v>
      </c>
    </row>
    <row r="605" spans="1:20" x14ac:dyDescent="0.25">
      <c r="A605" t="s">
        <v>181</v>
      </c>
      <c r="B605" t="s">
        <v>13</v>
      </c>
      <c r="C605" t="s">
        <v>321</v>
      </c>
      <c r="D605" t="s">
        <v>29</v>
      </c>
      <c r="E605" t="s">
        <v>18</v>
      </c>
      <c r="F605">
        <v>29</v>
      </c>
      <c r="G605">
        <v>50</v>
      </c>
      <c r="H605">
        <v>3</v>
      </c>
      <c r="I605">
        <v>150</v>
      </c>
      <c r="J605">
        <v>12.06</v>
      </c>
      <c r="K605" s="2">
        <v>45018</v>
      </c>
      <c r="L605" t="s">
        <v>316</v>
      </c>
      <c r="M605" s="6">
        <f>SalesTbl[[#This Row],[Unit Price]]*SalesTbl[[#This Row],[Quantity]]</f>
        <v>150</v>
      </c>
      <c r="N605" s="6">
        <f>YEAR(SalesTbl[[#This Row],[Order Date]])</f>
        <v>2023</v>
      </c>
      <c r="O605" s="6" t="str">
        <f>TEXT(SalesTbl[[#This Row],[Order Date]],"yyyy-mm")</f>
        <v>2023-04</v>
      </c>
      <c r="P605" s="13">
        <f>WEEKNUM(SalesTbl[[#This Row],[Order Date]],2)</f>
        <v>14</v>
      </c>
      <c r="Q605" s="14">
        <f>MEDIAN(SalesTbl[Quantity])</f>
        <v>3</v>
      </c>
      <c r="R605" s="14">
        <f>IF(ISBLANK(SalesTbl[[#This Row],[Quantity]]),$H$2,SalesTbl[[#This Row],[Quantity]])</f>
        <v>3</v>
      </c>
      <c r="S605">
        <f>ROW()-ROW(SalesTbl[[#Headers],[Customer ID]])</f>
        <v>604</v>
      </c>
      <c r="T605" s="9" t="str">
        <f>IF(SalesTbl[[#This Row],[RowIdx]]&lt;=ROUNDUP(COUNTA(SalesTbl[Customer ID])*0.8,0),"Train","Test")</f>
        <v>Train</v>
      </c>
    </row>
    <row r="606" spans="1:20" x14ac:dyDescent="0.25">
      <c r="A606" t="s">
        <v>208</v>
      </c>
      <c r="B606" t="s">
        <v>20</v>
      </c>
      <c r="C606" t="s">
        <v>321</v>
      </c>
      <c r="D606" t="s">
        <v>30</v>
      </c>
      <c r="E606" t="s">
        <v>18</v>
      </c>
      <c r="F606">
        <v>49</v>
      </c>
      <c r="G606">
        <v>30</v>
      </c>
      <c r="H606">
        <v>2</v>
      </c>
      <c r="I606">
        <v>60</v>
      </c>
      <c r="J606">
        <v>14.07</v>
      </c>
      <c r="K606" s="2">
        <v>45245</v>
      </c>
      <c r="L606" t="s">
        <v>319</v>
      </c>
      <c r="M606" s="6">
        <f>SalesTbl[[#This Row],[Unit Price]]*SalesTbl[[#This Row],[Quantity]]</f>
        <v>60</v>
      </c>
      <c r="N606" s="6">
        <f>YEAR(SalesTbl[[#This Row],[Order Date]])</f>
        <v>2023</v>
      </c>
      <c r="O606" s="6" t="str">
        <f>TEXT(SalesTbl[[#This Row],[Order Date]],"yyyy-mm")</f>
        <v>2023-11</v>
      </c>
      <c r="P606" s="13">
        <f>WEEKNUM(SalesTbl[[#This Row],[Order Date]],2)</f>
        <v>47</v>
      </c>
      <c r="Q606" s="14">
        <f>MEDIAN(SalesTbl[Quantity])</f>
        <v>3</v>
      </c>
      <c r="R606" s="14">
        <f>IF(ISBLANK(SalesTbl[[#This Row],[Quantity]]),$H$2,SalesTbl[[#This Row],[Quantity]])</f>
        <v>2</v>
      </c>
      <c r="S606">
        <f>ROW()-ROW(SalesTbl[[#Headers],[Customer ID]])</f>
        <v>605</v>
      </c>
      <c r="T606" s="9" t="str">
        <f>IF(SalesTbl[[#This Row],[RowIdx]]&lt;=ROUNDUP(COUNTA(SalesTbl[Customer ID])*0.8,0),"Train","Test")</f>
        <v>Train</v>
      </c>
    </row>
    <row r="607" spans="1:20" x14ac:dyDescent="0.25">
      <c r="A607" t="s">
        <v>185</v>
      </c>
      <c r="B607" t="s">
        <v>13</v>
      </c>
      <c r="C607" t="s">
        <v>320</v>
      </c>
      <c r="D607" t="s">
        <v>23</v>
      </c>
      <c r="E607" t="s">
        <v>15</v>
      </c>
      <c r="F607">
        <v>49</v>
      </c>
      <c r="G607">
        <v>1500</v>
      </c>
      <c r="H607">
        <v>2</v>
      </c>
      <c r="I607">
        <v>3000</v>
      </c>
      <c r="J607">
        <v>16.82</v>
      </c>
      <c r="K607" s="2">
        <v>45204</v>
      </c>
      <c r="L607" t="s">
        <v>319</v>
      </c>
      <c r="M607" s="6">
        <f>SalesTbl[[#This Row],[Unit Price]]*SalesTbl[[#This Row],[Quantity]]</f>
        <v>3000</v>
      </c>
      <c r="N607" s="6">
        <f>YEAR(SalesTbl[[#This Row],[Order Date]])</f>
        <v>2023</v>
      </c>
      <c r="O607" s="6" t="str">
        <f>TEXT(SalesTbl[[#This Row],[Order Date]],"yyyy-mm")</f>
        <v>2023-10</v>
      </c>
      <c r="P607" s="13">
        <f>WEEKNUM(SalesTbl[[#This Row],[Order Date]],2)</f>
        <v>41</v>
      </c>
      <c r="Q607" s="14">
        <f>MEDIAN(SalesTbl[Quantity])</f>
        <v>3</v>
      </c>
      <c r="R607" s="14">
        <f>IF(ISBLANK(SalesTbl[[#This Row],[Quantity]]),$H$2,SalesTbl[[#This Row],[Quantity]])</f>
        <v>2</v>
      </c>
      <c r="S607">
        <f>ROW()-ROW(SalesTbl[[#Headers],[Customer ID]])</f>
        <v>606</v>
      </c>
      <c r="T607" s="9" t="str">
        <f>IF(SalesTbl[[#This Row],[RowIdx]]&lt;=ROUNDUP(COUNTA(SalesTbl[Customer ID])*0.8,0),"Train","Test")</f>
        <v>Train</v>
      </c>
    </row>
    <row r="608" spans="1:20" x14ac:dyDescent="0.25">
      <c r="A608" t="s">
        <v>246</v>
      </c>
      <c r="B608" t="s">
        <v>20</v>
      </c>
      <c r="C608" t="s">
        <v>320</v>
      </c>
      <c r="D608" t="s">
        <v>40</v>
      </c>
      <c r="E608" t="s">
        <v>15</v>
      </c>
      <c r="F608">
        <v>54</v>
      </c>
      <c r="G608">
        <v>800</v>
      </c>
      <c r="H608">
        <v>5</v>
      </c>
      <c r="I608">
        <v>4000</v>
      </c>
      <c r="J608">
        <v>19.489999999999998</v>
      </c>
      <c r="K608" s="2">
        <v>45160</v>
      </c>
      <c r="L608" t="s">
        <v>316</v>
      </c>
      <c r="M608" s="6">
        <f>SalesTbl[[#This Row],[Unit Price]]*SalesTbl[[#This Row],[Quantity]]</f>
        <v>4000</v>
      </c>
      <c r="N608" s="6">
        <f>YEAR(SalesTbl[[#This Row],[Order Date]])</f>
        <v>2023</v>
      </c>
      <c r="O608" s="6" t="str">
        <f>TEXT(SalesTbl[[#This Row],[Order Date]],"yyyy-mm")</f>
        <v>2023-08</v>
      </c>
      <c r="P608" s="13">
        <f>WEEKNUM(SalesTbl[[#This Row],[Order Date]],2)</f>
        <v>35</v>
      </c>
      <c r="Q608" s="14">
        <f>MEDIAN(SalesTbl[Quantity])</f>
        <v>3</v>
      </c>
      <c r="R608" s="14">
        <f>IF(ISBLANK(SalesTbl[[#This Row],[Quantity]]),$H$2,SalesTbl[[#This Row],[Quantity]])</f>
        <v>5</v>
      </c>
      <c r="S608">
        <f>ROW()-ROW(SalesTbl[[#Headers],[Customer ID]])</f>
        <v>607</v>
      </c>
      <c r="T608" s="9" t="str">
        <f>IF(SalesTbl[[#This Row],[RowIdx]]&lt;=ROUNDUP(COUNTA(SalesTbl[Customer ID])*0.8,0),"Train","Test")</f>
        <v>Train</v>
      </c>
    </row>
    <row r="609" spans="1:20" x14ac:dyDescent="0.25">
      <c r="A609" t="s">
        <v>48</v>
      </c>
      <c r="B609" t="s">
        <v>13</v>
      </c>
      <c r="C609" t="s">
        <v>321</v>
      </c>
      <c r="D609" t="s">
        <v>29</v>
      </c>
      <c r="E609" t="s">
        <v>18</v>
      </c>
      <c r="F609">
        <v>59</v>
      </c>
      <c r="G609">
        <v>50</v>
      </c>
      <c r="H609">
        <v>2</v>
      </c>
      <c r="I609">
        <v>100</v>
      </c>
      <c r="J609">
        <v>15.51</v>
      </c>
      <c r="K609" s="2">
        <v>45123</v>
      </c>
      <c r="L609" t="s">
        <v>316</v>
      </c>
      <c r="M609" s="6">
        <f>SalesTbl[[#This Row],[Unit Price]]*SalesTbl[[#This Row],[Quantity]]</f>
        <v>100</v>
      </c>
      <c r="N609" s="6">
        <f>YEAR(SalesTbl[[#This Row],[Order Date]])</f>
        <v>2023</v>
      </c>
      <c r="O609" s="6" t="str">
        <f>TEXT(SalesTbl[[#This Row],[Order Date]],"yyyy-mm")</f>
        <v>2023-07</v>
      </c>
      <c r="P609" s="13">
        <f>WEEKNUM(SalesTbl[[#This Row],[Order Date]],2)</f>
        <v>29</v>
      </c>
      <c r="Q609" s="14">
        <f>MEDIAN(SalesTbl[Quantity])</f>
        <v>3</v>
      </c>
      <c r="R609" s="14">
        <f>IF(ISBLANK(SalesTbl[[#This Row],[Quantity]]),$H$2,SalesTbl[[#This Row],[Quantity]])</f>
        <v>2</v>
      </c>
      <c r="S609">
        <f>ROW()-ROW(SalesTbl[[#Headers],[Customer ID]])</f>
        <v>608</v>
      </c>
      <c r="T609" s="9" t="str">
        <f>IF(SalesTbl[[#This Row],[RowIdx]]&lt;=ROUNDUP(COUNTA(SalesTbl[Customer ID])*0.8,0),"Train","Test")</f>
        <v>Train</v>
      </c>
    </row>
    <row r="610" spans="1:20" x14ac:dyDescent="0.25">
      <c r="A610" t="s">
        <v>164</v>
      </c>
      <c r="B610" t="s">
        <v>13</v>
      </c>
      <c r="C610" t="s">
        <v>323</v>
      </c>
      <c r="D610" t="s">
        <v>25</v>
      </c>
      <c r="E610" t="s">
        <v>26</v>
      </c>
      <c r="F610">
        <v>57</v>
      </c>
      <c r="G610">
        <v>200</v>
      </c>
      <c r="H610">
        <v>5</v>
      </c>
      <c r="I610">
        <v>1000</v>
      </c>
      <c r="J610">
        <v>9.77</v>
      </c>
      <c r="K610" s="2">
        <v>44953</v>
      </c>
      <c r="L610" t="s">
        <v>316</v>
      </c>
      <c r="M610" s="6">
        <f>SalesTbl[[#This Row],[Unit Price]]*SalesTbl[[#This Row],[Quantity]]</f>
        <v>1000</v>
      </c>
      <c r="N610" s="6">
        <f>YEAR(SalesTbl[[#This Row],[Order Date]])</f>
        <v>2023</v>
      </c>
      <c r="O610" s="6" t="str">
        <f>TEXT(SalesTbl[[#This Row],[Order Date]],"yyyy-mm")</f>
        <v>2023-01</v>
      </c>
      <c r="P610" s="13">
        <f>WEEKNUM(SalesTbl[[#This Row],[Order Date]],2)</f>
        <v>5</v>
      </c>
      <c r="Q610" s="14">
        <f>MEDIAN(SalesTbl[Quantity])</f>
        <v>3</v>
      </c>
      <c r="R610" s="14">
        <f>IF(ISBLANK(SalesTbl[[#This Row],[Quantity]]),$H$2,SalesTbl[[#This Row],[Quantity]])</f>
        <v>5</v>
      </c>
      <c r="S610">
        <f>ROW()-ROW(SalesTbl[[#Headers],[Customer ID]])</f>
        <v>609</v>
      </c>
      <c r="T610" s="9" t="str">
        <f>IF(SalesTbl[[#This Row],[RowIdx]]&lt;=ROUNDUP(COUNTA(SalesTbl[Customer ID])*0.8,0),"Train","Test")</f>
        <v>Train</v>
      </c>
    </row>
    <row r="611" spans="1:20" x14ac:dyDescent="0.25">
      <c r="A611" t="s">
        <v>145</v>
      </c>
      <c r="B611" t="s">
        <v>13</v>
      </c>
      <c r="C611" t="s">
        <v>321</v>
      </c>
      <c r="D611" t="s">
        <v>17</v>
      </c>
      <c r="E611" t="s">
        <v>18</v>
      </c>
      <c r="F611">
        <v>30</v>
      </c>
      <c r="G611">
        <v>100</v>
      </c>
      <c r="H611">
        <v>1</v>
      </c>
      <c r="I611">
        <v>100</v>
      </c>
      <c r="J611">
        <v>15.64</v>
      </c>
      <c r="K611" s="2">
        <v>45175</v>
      </c>
      <c r="L611" t="s">
        <v>318</v>
      </c>
      <c r="M611" s="6">
        <f>SalesTbl[[#This Row],[Unit Price]]*SalesTbl[[#This Row],[Quantity]]</f>
        <v>100</v>
      </c>
      <c r="N611" s="6">
        <f>YEAR(SalesTbl[[#This Row],[Order Date]])</f>
        <v>2023</v>
      </c>
      <c r="O611" s="6" t="str">
        <f>TEXT(SalesTbl[[#This Row],[Order Date]],"yyyy-mm")</f>
        <v>2023-09</v>
      </c>
      <c r="P611" s="13">
        <f>WEEKNUM(SalesTbl[[#This Row],[Order Date]],2)</f>
        <v>37</v>
      </c>
      <c r="Q611" s="14">
        <f>MEDIAN(SalesTbl[Quantity])</f>
        <v>3</v>
      </c>
      <c r="R611" s="14">
        <f>IF(ISBLANK(SalesTbl[[#This Row],[Quantity]]),$H$2,SalesTbl[[#This Row],[Quantity]])</f>
        <v>1</v>
      </c>
      <c r="S611">
        <f>ROW()-ROW(SalesTbl[[#Headers],[Customer ID]])</f>
        <v>610</v>
      </c>
      <c r="T611" s="9" t="str">
        <f>IF(SalesTbl[[#This Row],[RowIdx]]&lt;=ROUNDUP(COUNTA(SalesTbl[Customer ID])*0.8,0),"Train","Test")</f>
        <v>Train</v>
      </c>
    </row>
    <row r="612" spans="1:20" x14ac:dyDescent="0.25">
      <c r="A612" t="s">
        <v>148</v>
      </c>
      <c r="B612" t="s">
        <v>13</v>
      </c>
      <c r="C612" t="s">
        <v>323</v>
      </c>
      <c r="D612" t="s">
        <v>40</v>
      </c>
      <c r="E612" t="s">
        <v>15</v>
      </c>
      <c r="F612">
        <v>56</v>
      </c>
      <c r="G612">
        <v>800</v>
      </c>
      <c r="H612">
        <v>5</v>
      </c>
      <c r="I612">
        <v>4000</v>
      </c>
      <c r="J612">
        <v>12.22</v>
      </c>
      <c r="K612" s="2">
        <v>45052</v>
      </c>
      <c r="L612" t="s">
        <v>318</v>
      </c>
      <c r="M612" s="6">
        <f>SalesTbl[[#This Row],[Unit Price]]*SalesTbl[[#This Row],[Quantity]]</f>
        <v>4000</v>
      </c>
      <c r="N612" s="6">
        <f>YEAR(SalesTbl[[#This Row],[Order Date]])</f>
        <v>2023</v>
      </c>
      <c r="O612" s="6" t="str">
        <f>TEXT(SalesTbl[[#This Row],[Order Date]],"yyyy-mm")</f>
        <v>2023-05</v>
      </c>
      <c r="P612" s="13">
        <f>WEEKNUM(SalesTbl[[#This Row],[Order Date]],2)</f>
        <v>19</v>
      </c>
      <c r="Q612" s="14">
        <f>MEDIAN(SalesTbl[Quantity])</f>
        <v>3</v>
      </c>
      <c r="R612" s="14">
        <f>IF(ISBLANK(SalesTbl[[#This Row],[Quantity]]),$H$2,SalesTbl[[#This Row],[Quantity]])</f>
        <v>5</v>
      </c>
      <c r="S612">
        <f>ROW()-ROW(SalesTbl[[#Headers],[Customer ID]])</f>
        <v>611</v>
      </c>
      <c r="T612" s="9" t="str">
        <f>IF(SalesTbl[[#This Row],[RowIdx]]&lt;=ROUNDUP(COUNTA(SalesTbl[Customer ID])*0.8,0),"Train","Test")</f>
        <v>Train</v>
      </c>
    </row>
    <row r="613" spans="1:20" x14ac:dyDescent="0.25">
      <c r="A613" t="s">
        <v>283</v>
      </c>
      <c r="B613" t="s">
        <v>13</v>
      </c>
      <c r="C613" t="s">
        <v>323</v>
      </c>
      <c r="D613" t="s">
        <v>17</v>
      </c>
      <c r="E613" t="s">
        <v>18</v>
      </c>
      <c r="F613">
        <v>21</v>
      </c>
      <c r="G613">
        <v>100</v>
      </c>
      <c r="H613">
        <v>5</v>
      </c>
      <c r="I613">
        <v>500</v>
      </c>
      <c r="J613">
        <v>13.7</v>
      </c>
      <c r="K613" s="2">
        <v>44940</v>
      </c>
      <c r="L613" t="s">
        <v>317</v>
      </c>
      <c r="M613" s="6">
        <f>SalesTbl[[#This Row],[Unit Price]]*SalesTbl[[#This Row],[Quantity]]</f>
        <v>500</v>
      </c>
      <c r="N613" s="6">
        <f>YEAR(SalesTbl[[#This Row],[Order Date]])</f>
        <v>2023</v>
      </c>
      <c r="O613" s="6" t="str">
        <f>TEXT(SalesTbl[[#This Row],[Order Date]],"yyyy-mm")</f>
        <v>2023-01</v>
      </c>
      <c r="P613" s="13">
        <f>WEEKNUM(SalesTbl[[#This Row],[Order Date]],2)</f>
        <v>3</v>
      </c>
      <c r="Q613" s="14">
        <f>MEDIAN(SalesTbl[Quantity])</f>
        <v>3</v>
      </c>
      <c r="R613" s="14">
        <f>IF(ISBLANK(SalesTbl[[#This Row],[Quantity]]),$H$2,SalesTbl[[#This Row],[Quantity]])</f>
        <v>5</v>
      </c>
      <c r="S613">
        <f>ROW()-ROW(SalesTbl[[#Headers],[Customer ID]])</f>
        <v>612</v>
      </c>
      <c r="T613" s="9" t="str">
        <f>IF(SalesTbl[[#This Row],[RowIdx]]&lt;=ROUNDUP(COUNTA(SalesTbl[Customer ID])*0.8,0),"Train","Test")</f>
        <v>Train</v>
      </c>
    </row>
    <row r="614" spans="1:20" x14ac:dyDescent="0.25">
      <c r="A614" t="s">
        <v>172</v>
      </c>
      <c r="B614" t="s">
        <v>20</v>
      </c>
      <c r="C614" t="s">
        <v>319</v>
      </c>
      <c r="D614" t="s">
        <v>23</v>
      </c>
      <c r="E614" t="s">
        <v>15</v>
      </c>
      <c r="F614">
        <v>57</v>
      </c>
      <c r="G614">
        <v>1500</v>
      </c>
      <c r="H614">
        <v>4</v>
      </c>
      <c r="I614">
        <v>6000</v>
      </c>
      <c r="J614">
        <v>12.77</v>
      </c>
      <c r="K614" s="2">
        <v>45044</v>
      </c>
      <c r="L614" t="s">
        <v>318</v>
      </c>
      <c r="M614" s="6">
        <f>SalesTbl[[#This Row],[Unit Price]]*SalesTbl[[#This Row],[Quantity]]</f>
        <v>6000</v>
      </c>
      <c r="N614" s="6">
        <f>YEAR(SalesTbl[[#This Row],[Order Date]])</f>
        <v>2023</v>
      </c>
      <c r="O614" s="6" t="str">
        <f>TEXT(SalesTbl[[#This Row],[Order Date]],"yyyy-mm")</f>
        <v>2023-04</v>
      </c>
      <c r="P614" s="13">
        <f>WEEKNUM(SalesTbl[[#This Row],[Order Date]],2)</f>
        <v>18</v>
      </c>
      <c r="Q614" s="14">
        <f>MEDIAN(SalesTbl[Quantity])</f>
        <v>3</v>
      </c>
      <c r="R614" s="14">
        <f>IF(ISBLANK(SalesTbl[[#This Row],[Quantity]]),$H$2,SalesTbl[[#This Row],[Quantity]])</f>
        <v>4</v>
      </c>
      <c r="S614">
        <f>ROW()-ROW(SalesTbl[[#Headers],[Customer ID]])</f>
        <v>613</v>
      </c>
      <c r="T614" s="9" t="str">
        <f>IF(SalesTbl[[#This Row],[RowIdx]]&lt;=ROUNDUP(COUNTA(SalesTbl[Customer ID])*0.8,0),"Train","Test")</f>
        <v>Train</v>
      </c>
    </row>
    <row r="615" spans="1:20" x14ac:dyDescent="0.25">
      <c r="A615" t="s">
        <v>284</v>
      </c>
      <c r="B615" t="s">
        <v>20</v>
      </c>
      <c r="C615" t="s">
        <v>320</v>
      </c>
      <c r="D615" t="s">
        <v>14</v>
      </c>
      <c r="E615" t="s">
        <v>15</v>
      </c>
      <c r="F615">
        <v>45</v>
      </c>
      <c r="G615">
        <v>300</v>
      </c>
      <c r="H615">
        <v>4</v>
      </c>
      <c r="I615">
        <v>1200</v>
      </c>
      <c r="J615">
        <v>14.76</v>
      </c>
      <c r="K615" s="2">
        <v>44928</v>
      </c>
      <c r="L615" t="s">
        <v>318</v>
      </c>
      <c r="M615" s="6">
        <f>SalesTbl[[#This Row],[Unit Price]]*SalesTbl[[#This Row],[Quantity]]</f>
        <v>1200</v>
      </c>
      <c r="N615" s="6">
        <f>YEAR(SalesTbl[[#This Row],[Order Date]])</f>
        <v>2023</v>
      </c>
      <c r="O615" s="6" t="str">
        <f>TEXT(SalesTbl[[#This Row],[Order Date]],"yyyy-mm")</f>
        <v>2023-01</v>
      </c>
      <c r="P615" s="13">
        <f>WEEKNUM(SalesTbl[[#This Row],[Order Date]],2)</f>
        <v>2</v>
      </c>
      <c r="Q615" s="14">
        <f>MEDIAN(SalesTbl[Quantity])</f>
        <v>3</v>
      </c>
      <c r="R615" s="14">
        <f>IF(ISBLANK(SalesTbl[[#This Row],[Quantity]]),$H$2,SalesTbl[[#This Row],[Quantity]])</f>
        <v>4</v>
      </c>
      <c r="S615">
        <f>ROW()-ROW(SalesTbl[[#Headers],[Customer ID]])</f>
        <v>614</v>
      </c>
      <c r="T615" s="9" t="str">
        <f>IF(SalesTbl[[#This Row],[RowIdx]]&lt;=ROUNDUP(COUNTA(SalesTbl[Customer ID])*0.8,0),"Train","Test")</f>
        <v>Train</v>
      </c>
    </row>
    <row r="616" spans="1:20" x14ac:dyDescent="0.25">
      <c r="A616" t="s">
        <v>89</v>
      </c>
      <c r="B616" t="s">
        <v>13</v>
      </c>
      <c r="C616" t="s">
        <v>320</v>
      </c>
      <c r="D616" t="s">
        <v>30</v>
      </c>
      <c r="E616" t="s">
        <v>18</v>
      </c>
      <c r="F616">
        <v>49</v>
      </c>
      <c r="G616">
        <v>30</v>
      </c>
      <c r="H616">
        <v>3</v>
      </c>
      <c r="I616">
        <v>90</v>
      </c>
      <c r="J616">
        <v>11.71</v>
      </c>
      <c r="K616" s="2">
        <v>45239</v>
      </c>
      <c r="L616" t="s">
        <v>318</v>
      </c>
      <c r="M616" s="6">
        <f>SalesTbl[[#This Row],[Unit Price]]*SalesTbl[[#This Row],[Quantity]]</f>
        <v>90</v>
      </c>
      <c r="N616" s="6">
        <f>YEAR(SalesTbl[[#This Row],[Order Date]])</f>
        <v>2023</v>
      </c>
      <c r="O616" s="6" t="str">
        <f>TEXT(SalesTbl[[#This Row],[Order Date]],"yyyy-mm")</f>
        <v>2023-11</v>
      </c>
      <c r="P616" s="13">
        <f>WEEKNUM(SalesTbl[[#This Row],[Order Date]],2)</f>
        <v>46</v>
      </c>
      <c r="Q616" s="14">
        <f>MEDIAN(SalesTbl[Quantity])</f>
        <v>3</v>
      </c>
      <c r="R616" s="14">
        <f>IF(ISBLANK(SalesTbl[[#This Row],[Quantity]]),$H$2,SalesTbl[[#This Row],[Quantity]])</f>
        <v>3</v>
      </c>
      <c r="S616">
        <f>ROW()-ROW(SalesTbl[[#Headers],[Customer ID]])</f>
        <v>615</v>
      </c>
      <c r="T616" s="9" t="str">
        <f>IF(SalesTbl[[#This Row],[RowIdx]]&lt;=ROUNDUP(COUNTA(SalesTbl[Customer ID])*0.8,0),"Train","Test")</f>
        <v>Train</v>
      </c>
    </row>
    <row r="617" spans="1:20" x14ac:dyDescent="0.25">
      <c r="A617" t="s">
        <v>285</v>
      </c>
      <c r="B617" t="s">
        <v>20</v>
      </c>
      <c r="C617" t="s">
        <v>323</v>
      </c>
      <c r="D617" t="s">
        <v>40</v>
      </c>
      <c r="E617" t="s">
        <v>15</v>
      </c>
      <c r="F617">
        <v>44</v>
      </c>
      <c r="G617">
        <v>800</v>
      </c>
      <c r="H617">
        <v>5</v>
      </c>
      <c r="I617">
        <v>4000</v>
      </c>
      <c r="J617">
        <v>17.36</v>
      </c>
      <c r="K617" s="2">
        <v>45110</v>
      </c>
      <c r="L617" t="s">
        <v>316</v>
      </c>
      <c r="M617" s="6">
        <f>SalesTbl[[#This Row],[Unit Price]]*SalesTbl[[#This Row],[Quantity]]</f>
        <v>4000</v>
      </c>
      <c r="N617" s="6">
        <f>YEAR(SalesTbl[[#This Row],[Order Date]])</f>
        <v>2023</v>
      </c>
      <c r="O617" s="6" t="str">
        <f>TEXT(SalesTbl[[#This Row],[Order Date]],"yyyy-mm")</f>
        <v>2023-07</v>
      </c>
      <c r="P617" s="13">
        <f>WEEKNUM(SalesTbl[[#This Row],[Order Date]],2)</f>
        <v>28</v>
      </c>
      <c r="Q617" s="14">
        <f>MEDIAN(SalesTbl[Quantity])</f>
        <v>3</v>
      </c>
      <c r="R617" s="14">
        <f>IF(ISBLANK(SalesTbl[[#This Row],[Quantity]]),$H$2,SalesTbl[[#This Row],[Quantity]])</f>
        <v>5</v>
      </c>
      <c r="S617">
        <f>ROW()-ROW(SalesTbl[[#Headers],[Customer ID]])</f>
        <v>616</v>
      </c>
      <c r="T617" s="9" t="str">
        <f>IF(SalesTbl[[#This Row],[RowIdx]]&lt;=ROUNDUP(COUNTA(SalesTbl[Customer ID])*0.8,0),"Train","Test")</f>
        <v>Train</v>
      </c>
    </row>
    <row r="618" spans="1:20" x14ac:dyDescent="0.25">
      <c r="A618" t="s">
        <v>272</v>
      </c>
      <c r="B618" t="s">
        <v>13</v>
      </c>
      <c r="C618" t="s">
        <v>320</v>
      </c>
      <c r="D618" t="s">
        <v>17</v>
      </c>
      <c r="E618" t="s">
        <v>18</v>
      </c>
      <c r="F618">
        <v>51</v>
      </c>
      <c r="G618">
        <v>100</v>
      </c>
      <c r="H618">
        <v>4</v>
      </c>
      <c r="I618">
        <v>400</v>
      </c>
      <c r="J618">
        <v>10.89</v>
      </c>
      <c r="K618" s="2">
        <v>44940</v>
      </c>
      <c r="L618" t="s">
        <v>318</v>
      </c>
      <c r="M618" s="6">
        <f>SalesTbl[[#This Row],[Unit Price]]*SalesTbl[[#This Row],[Quantity]]</f>
        <v>400</v>
      </c>
      <c r="N618" s="6">
        <f>YEAR(SalesTbl[[#This Row],[Order Date]])</f>
        <v>2023</v>
      </c>
      <c r="O618" s="6" t="str">
        <f>TEXT(SalesTbl[[#This Row],[Order Date]],"yyyy-mm")</f>
        <v>2023-01</v>
      </c>
      <c r="P618" s="13">
        <f>WEEKNUM(SalesTbl[[#This Row],[Order Date]],2)</f>
        <v>3</v>
      </c>
      <c r="Q618" s="14">
        <f>MEDIAN(SalesTbl[Quantity])</f>
        <v>3</v>
      </c>
      <c r="R618" s="14">
        <f>IF(ISBLANK(SalesTbl[[#This Row],[Quantity]]),$H$2,SalesTbl[[#This Row],[Quantity]])</f>
        <v>4</v>
      </c>
      <c r="S618">
        <f>ROW()-ROW(SalesTbl[[#Headers],[Customer ID]])</f>
        <v>617</v>
      </c>
      <c r="T618" s="9" t="str">
        <f>IF(SalesTbl[[#This Row],[RowIdx]]&lt;=ROUNDUP(COUNTA(SalesTbl[Customer ID])*0.8,0),"Train","Test")</f>
        <v>Train</v>
      </c>
    </row>
    <row r="619" spans="1:20" x14ac:dyDescent="0.25">
      <c r="A619" t="s">
        <v>145</v>
      </c>
      <c r="B619" t="s">
        <v>13</v>
      </c>
      <c r="C619" t="s">
        <v>319</v>
      </c>
      <c r="D619" t="s">
        <v>40</v>
      </c>
      <c r="E619" t="s">
        <v>15</v>
      </c>
      <c r="F619">
        <v>30</v>
      </c>
      <c r="G619">
        <v>800</v>
      </c>
      <c r="H619">
        <v>1</v>
      </c>
      <c r="I619">
        <v>800</v>
      </c>
      <c r="J619">
        <v>14.23</v>
      </c>
      <c r="K619" s="2">
        <v>44980</v>
      </c>
      <c r="L619" t="s">
        <v>317</v>
      </c>
      <c r="M619" s="6">
        <f>SalesTbl[[#This Row],[Unit Price]]*SalesTbl[[#This Row],[Quantity]]</f>
        <v>800</v>
      </c>
      <c r="N619" s="6">
        <f>YEAR(SalesTbl[[#This Row],[Order Date]])</f>
        <v>2023</v>
      </c>
      <c r="O619" s="6" t="str">
        <f>TEXT(SalesTbl[[#This Row],[Order Date]],"yyyy-mm")</f>
        <v>2023-02</v>
      </c>
      <c r="P619" s="13">
        <f>WEEKNUM(SalesTbl[[#This Row],[Order Date]],2)</f>
        <v>9</v>
      </c>
      <c r="Q619" s="14">
        <f>MEDIAN(SalesTbl[Quantity])</f>
        <v>3</v>
      </c>
      <c r="R619" s="14">
        <f>IF(ISBLANK(SalesTbl[[#This Row],[Quantity]]),$H$2,SalesTbl[[#This Row],[Quantity]])</f>
        <v>1</v>
      </c>
      <c r="S619">
        <f>ROW()-ROW(SalesTbl[[#Headers],[Customer ID]])</f>
        <v>618</v>
      </c>
      <c r="T619" s="9" t="str">
        <f>IF(SalesTbl[[#This Row],[RowIdx]]&lt;=ROUNDUP(COUNTA(SalesTbl[Customer ID])*0.8,0),"Train","Test")</f>
        <v>Train</v>
      </c>
    </row>
    <row r="620" spans="1:20" x14ac:dyDescent="0.25">
      <c r="A620" t="s">
        <v>34</v>
      </c>
      <c r="B620" t="s">
        <v>13</v>
      </c>
      <c r="C620" t="s">
        <v>320</v>
      </c>
      <c r="D620" t="s">
        <v>14</v>
      </c>
      <c r="E620" t="s">
        <v>15</v>
      </c>
      <c r="F620">
        <v>41</v>
      </c>
      <c r="G620">
        <v>300</v>
      </c>
      <c r="H620">
        <v>1</v>
      </c>
      <c r="I620">
        <v>300</v>
      </c>
      <c r="J620">
        <v>9.5</v>
      </c>
      <c r="K620" s="2">
        <v>45088</v>
      </c>
      <c r="L620" t="s">
        <v>318</v>
      </c>
      <c r="M620" s="6">
        <f>SalesTbl[[#This Row],[Unit Price]]*SalesTbl[[#This Row],[Quantity]]</f>
        <v>300</v>
      </c>
      <c r="N620" s="6">
        <f>YEAR(SalesTbl[[#This Row],[Order Date]])</f>
        <v>2023</v>
      </c>
      <c r="O620" s="6" t="str">
        <f>TEXT(SalesTbl[[#This Row],[Order Date]],"yyyy-mm")</f>
        <v>2023-06</v>
      </c>
      <c r="P620" s="13">
        <f>WEEKNUM(SalesTbl[[#This Row],[Order Date]],2)</f>
        <v>24</v>
      </c>
      <c r="Q620" s="14">
        <f>MEDIAN(SalesTbl[Quantity])</f>
        <v>3</v>
      </c>
      <c r="R620" s="14">
        <f>IF(ISBLANK(SalesTbl[[#This Row],[Quantity]]),$H$2,SalesTbl[[#This Row],[Quantity]])</f>
        <v>1</v>
      </c>
      <c r="S620">
        <f>ROW()-ROW(SalesTbl[[#Headers],[Customer ID]])</f>
        <v>619</v>
      </c>
      <c r="T620" s="9" t="str">
        <f>IF(SalesTbl[[#This Row],[RowIdx]]&lt;=ROUNDUP(COUNTA(SalesTbl[Customer ID])*0.8,0),"Train","Test")</f>
        <v>Train</v>
      </c>
    </row>
    <row r="621" spans="1:20" x14ac:dyDescent="0.25">
      <c r="A621" t="s">
        <v>286</v>
      </c>
      <c r="B621" t="s">
        <v>20</v>
      </c>
      <c r="C621" t="s">
        <v>321</v>
      </c>
      <c r="D621" t="s">
        <v>14</v>
      </c>
      <c r="E621" t="s">
        <v>15</v>
      </c>
      <c r="F621">
        <v>19</v>
      </c>
      <c r="G621">
        <v>300</v>
      </c>
      <c r="H621">
        <v>3</v>
      </c>
      <c r="I621">
        <v>900</v>
      </c>
      <c r="J621">
        <v>13.79</v>
      </c>
      <c r="K621" s="2">
        <v>45062</v>
      </c>
      <c r="L621" t="s">
        <v>317</v>
      </c>
      <c r="M621" s="6">
        <f>SalesTbl[[#This Row],[Unit Price]]*SalesTbl[[#This Row],[Quantity]]</f>
        <v>900</v>
      </c>
      <c r="N621" s="6">
        <f>YEAR(SalesTbl[[#This Row],[Order Date]])</f>
        <v>2023</v>
      </c>
      <c r="O621" s="6" t="str">
        <f>TEXT(SalesTbl[[#This Row],[Order Date]],"yyyy-mm")</f>
        <v>2023-05</v>
      </c>
      <c r="P621" s="13">
        <f>WEEKNUM(SalesTbl[[#This Row],[Order Date]],2)</f>
        <v>21</v>
      </c>
      <c r="Q621" s="14">
        <f>MEDIAN(SalesTbl[Quantity])</f>
        <v>3</v>
      </c>
      <c r="R621" s="14">
        <f>IF(ISBLANK(SalesTbl[[#This Row],[Quantity]]),$H$2,SalesTbl[[#This Row],[Quantity]])</f>
        <v>3</v>
      </c>
      <c r="S621">
        <f>ROW()-ROW(SalesTbl[[#Headers],[Customer ID]])</f>
        <v>620</v>
      </c>
      <c r="T621" s="9" t="str">
        <f>IF(SalesTbl[[#This Row],[RowIdx]]&lt;=ROUNDUP(COUNTA(SalesTbl[Customer ID])*0.8,0),"Train","Test")</f>
        <v>Train</v>
      </c>
    </row>
    <row r="622" spans="1:20" x14ac:dyDescent="0.25">
      <c r="A622" t="s">
        <v>54</v>
      </c>
      <c r="B622" t="s">
        <v>13</v>
      </c>
      <c r="C622" t="s">
        <v>322</v>
      </c>
      <c r="D622" t="s">
        <v>40</v>
      </c>
      <c r="E622" t="s">
        <v>15</v>
      </c>
      <c r="F622">
        <v>53</v>
      </c>
      <c r="G622">
        <v>800</v>
      </c>
      <c r="H622">
        <v>1</v>
      </c>
      <c r="I622">
        <v>800</v>
      </c>
      <c r="J622">
        <v>5.36</v>
      </c>
      <c r="K622" s="2">
        <v>45001</v>
      </c>
      <c r="L622" t="s">
        <v>316</v>
      </c>
      <c r="M622" s="6">
        <f>SalesTbl[[#This Row],[Unit Price]]*SalesTbl[[#This Row],[Quantity]]</f>
        <v>800</v>
      </c>
      <c r="N622" s="6">
        <f>YEAR(SalesTbl[[#This Row],[Order Date]])</f>
        <v>2023</v>
      </c>
      <c r="O622" s="6" t="str">
        <f>TEXT(SalesTbl[[#This Row],[Order Date]],"yyyy-mm")</f>
        <v>2023-03</v>
      </c>
      <c r="P622" s="13">
        <f>WEEKNUM(SalesTbl[[#This Row],[Order Date]],2)</f>
        <v>12</v>
      </c>
      <c r="Q622" s="14">
        <f>MEDIAN(SalesTbl[Quantity])</f>
        <v>3</v>
      </c>
      <c r="R622" s="14">
        <f>IF(ISBLANK(SalesTbl[[#This Row],[Quantity]]),$H$2,SalesTbl[[#This Row],[Quantity]])</f>
        <v>1</v>
      </c>
      <c r="S622">
        <f>ROW()-ROW(SalesTbl[[#Headers],[Customer ID]])</f>
        <v>621</v>
      </c>
      <c r="T622" s="9" t="str">
        <f>IF(SalesTbl[[#This Row],[RowIdx]]&lt;=ROUNDUP(COUNTA(SalesTbl[Customer ID])*0.8,0),"Train","Test")</f>
        <v>Train</v>
      </c>
    </row>
    <row r="623" spans="1:20" x14ac:dyDescent="0.25">
      <c r="A623" t="s">
        <v>62</v>
      </c>
      <c r="B623" t="s">
        <v>13</v>
      </c>
      <c r="C623" t="s">
        <v>321</v>
      </c>
      <c r="D623" t="s">
        <v>40</v>
      </c>
      <c r="E623" t="s">
        <v>15</v>
      </c>
      <c r="F623">
        <v>58</v>
      </c>
      <c r="G623">
        <v>800</v>
      </c>
      <c r="H623">
        <v>5</v>
      </c>
      <c r="I623">
        <v>4000</v>
      </c>
      <c r="J623">
        <v>19.93</v>
      </c>
      <c r="K623" s="2">
        <v>44929</v>
      </c>
      <c r="L623" t="s">
        <v>317</v>
      </c>
      <c r="M623" s="6">
        <f>SalesTbl[[#This Row],[Unit Price]]*SalesTbl[[#This Row],[Quantity]]</f>
        <v>4000</v>
      </c>
      <c r="N623" s="6">
        <f>YEAR(SalesTbl[[#This Row],[Order Date]])</f>
        <v>2023</v>
      </c>
      <c r="O623" s="6" t="str">
        <f>TEXT(SalesTbl[[#This Row],[Order Date]],"yyyy-mm")</f>
        <v>2023-01</v>
      </c>
      <c r="P623" s="13">
        <f>WEEKNUM(SalesTbl[[#This Row],[Order Date]],2)</f>
        <v>2</v>
      </c>
      <c r="Q623" s="14">
        <f>MEDIAN(SalesTbl[Quantity])</f>
        <v>3</v>
      </c>
      <c r="R623" s="14">
        <f>IF(ISBLANK(SalesTbl[[#This Row],[Quantity]]),$H$2,SalesTbl[[#This Row],[Quantity]])</f>
        <v>5</v>
      </c>
      <c r="S623">
        <f>ROW()-ROW(SalesTbl[[#Headers],[Customer ID]])</f>
        <v>622</v>
      </c>
      <c r="T623" s="9" t="str">
        <f>IF(SalesTbl[[#This Row],[RowIdx]]&lt;=ROUNDUP(COUNTA(SalesTbl[Customer ID])*0.8,0),"Train","Test")</f>
        <v>Train</v>
      </c>
    </row>
    <row r="624" spans="1:20" x14ac:dyDescent="0.25">
      <c r="A624" t="s">
        <v>240</v>
      </c>
      <c r="B624" t="s">
        <v>20</v>
      </c>
      <c r="C624" t="s">
        <v>319</v>
      </c>
      <c r="D624" t="s">
        <v>29</v>
      </c>
      <c r="E624" t="s">
        <v>18</v>
      </c>
      <c r="F624">
        <v>27</v>
      </c>
      <c r="G624">
        <v>50</v>
      </c>
      <c r="H624">
        <v>2</v>
      </c>
      <c r="I624">
        <v>100</v>
      </c>
      <c r="J624">
        <v>19.920000000000002</v>
      </c>
      <c r="K624" s="2">
        <v>45079</v>
      </c>
      <c r="L624" t="s">
        <v>318</v>
      </c>
      <c r="M624" s="6">
        <f>SalesTbl[[#This Row],[Unit Price]]*SalesTbl[[#This Row],[Quantity]]</f>
        <v>100</v>
      </c>
      <c r="N624" s="6">
        <f>YEAR(SalesTbl[[#This Row],[Order Date]])</f>
        <v>2023</v>
      </c>
      <c r="O624" s="6" t="str">
        <f>TEXT(SalesTbl[[#This Row],[Order Date]],"yyyy-mm")</f>
        <v>2023-06</v>
      </c>
      <c r="P624" s="13">
        <f>WEEKNUM(SalesTbl[[#This Row],[Order Date]],2)</f>
        <v>23</v>
      </c>
      <c r="Q624" s="14">
        <f>MEDIAN(SalesTbl[Quantity])</f>
        <v>3</v>
      </c>
      <c r="R624" s="14">
        <f>IF(ISBLANK(SalesTbl[[#This Row],[Quantity]]),$H$2,SalesTbl[[#This Row],[Quantity]])</f>
        <v>2</v>
      </c>
      <c r="S624">
        <f>ROW()-ROW(SalesTbl[[#Headers],[Customer ID]])</f>
        <v>623</v>
      </c>
      <c r="T624" s="9" t="str">
        <f>IF(SalesTbl[[#This Row],[RowIdx]]&lt;=ROUNDUP(COUNTA(SalesTbl[Customer ID])*0.8,0),"Train","Test")</f>
        <v>Train</v>
      </c>
    </row>
    <row r="625" spans="1:20" x14ac:dyDescent="0.25">
      <c r="A625" t="s">
        <v>221</v>
      </c>
      <c r="B625" t="s">
        <v>13</v>
      </c>
      <c r="C625" t="s">
        <v>322</v>
      </c>
      <c r="D625" t="s">
        <v>25</v>
      </c>
      <c r="E625" t="s">
        <v>26</v>
      </c>
      <c r="F625">
        <v>37</v>
      </c>
      <c r="G625">
        <v>200</v>
      </c>
      <c r="H625">
        <v>2</v>
      </c>
      <c r="I625">
        <v>400</v>
      </c>
      <c r="J625">
        <v>14.16</v>
      </c>
      <c r="K625" s="2">
        <v>45083</v>
      </c>
      <c r="L625" t="s">
        <v>318</v>
      </c>
      <c r="M625" s="6">
        <f>SalesTbl[[#This Row],[Unit Price]]*SalesTbl[[#This Row],[Quantity]]</f>
        <v>400</v>
      </c>
      <c r="N625" s="6">
        <f>YEAR(SalesTbl[[#This Row],[Order Date]])</f>
        <v>2023</v>
      </c>
      <c r="O625" s="6" t="str">
        <f>TEXT(SalesTbl[[#This Row],[Order Date]],"yyyy-mm")</f>
        <v>2023-06</v>
      </c>
      <c r="P625" s="13">
        <f>WEEKNUM(SalesTbl[[#This Row],[Order Date]],2)</f>
        <v>24</v>
      </c>
      <c r="Q625" s="14">
        <f>MEDIAN(SalesTbl[Quantity])</f>
        <v>3</v>
      </c>
      <c r="R625" s="14">
        <f>IF(ISBLANK(SalesTbl[[#This Row],[Quantity]]),$H$2,SalesTbl[[#This Row],[Quantity]])</f>
        <v>2</v>
      </c>
      <c r="S625">
        <f>ROW()-ROW(SalesTbl[[#Headers],[Customer ID]])</f>
        <v>624</v>
      </c>
      <c r="T625" s="9" t="str">
        <f>IF(SalesTbl[[#This Row],[RowIdx]]&lt;=ROUNDUP(COUNTA(SalesTbl[Customer ID])*0.8,0),"Train","Test")</f>
        <v>Train</v>
      </c>
    </row>
    <row r="626" spans="1:20" x14ac:dyDescent="0.25">
      <c r="A626" t="s">
        <v>41</v>
      </c>
      <c r="B626" t="s">
        <v>20</v>
      </c>
      <c r="C626" t="s">
        <v>323</v>
      </c>
      <c r="D626" t="s">
        <v>23</v>
      </c>
      <c r="E626" t="s">
        <v>15</v>
      </c>
      <c r="F626">
        <v>32</v>
      </c>
      <c r="G626">
        <v>1500</v>
      </c>
      <c r="H626">
        <v>5</v>
      </c>
      <c r="I626">
        <v>7500</v>
      </c>
      <c r="J626">
        <v>7.52</v>
      </c>
      <c r="K626" s="2">
        <v>45227</v>
      </c>
      <c r="L626" t="s">
        <v>316</v>
      </c>
      <c r="M626" s="6">
        <f>SalesTbl[[#This Row],[Unit Price]]*SalesTbl[[#This Row],[Quantity]]</f>
        <v>7500</v>
      </c>
      <c r="N626" s="6">
        <f>YEAR(SalesTbl[[#This Row],[Order Date]])</f>
        <v>2023</v>
      </c>
      <c r="O626" s="6" t="str">
        <f>TEXT(SalesTbl[[#This Row],[Order Date]],"yyyy-mm")</f>
        <v>2023-10</v>
      </c>
      <c r="P626" s="13">
        <f>WEEKNUM(SalesTbl[[#This Row],[Order Date]],2)</f>
        <v>44</v>
      </c>
      <c r="Q626" s="14">
        <f>MEDIAN(SalesTbl[Quantity])</f>
        <v>3</v>
      </c>
      <c r="R626" s="14">
        <f>IF(ISBLANK(SalesTbl[[#This Row],[Quantity]]),$H$2,SalesTbl[[#This Row],[Quantity]])</f>
        <v>5</v>
      </c>
      <c r="S626">
        <f>ROW()-ROW(SalesTbl[[#Headers],[Customer ID]])</f>
        <v>625</v>
      </c>
      <c r="T626" s="9" t="str">
        <f>IF(SalesTbl[[#This Row],[RowIdx]]&lt;=ROUNDUP(COUNTA(SalesTbl[Customer ID])*0.8,0),"Train","Test")</f>
        <v>Train</v>
      </c>
    </row>
    <row r="627" spans="1:20" x14ac:dyDescent="0.25">
      <c r="A627" t="s">
        <v>271</v>
      </c>
      <c r="B627" t="s">
        <v>13</v>
      </c>
      <c r="C627" t="s">
        <v>321</v>
      </c>
      <c r="D627" t="s">
        <v>14</v>
      </c>
      <c r="E627" t="s">
        <v>15</v>
      </c>
      <c r="F627">
        <v>65</v>
      </c>
      <c r="G627">
        <v>300</v>
      </c>
      <c r="H627">
        <v>4</v>
      </c>
      <c r="I627">
        <v>1200</v>
      </c>
      <c r="J627">
        <v>10.09</v>
      </c>
      <c r="K627" s="2">
        <v>44957</v>
      </c>
      <c r="L627" t="s">
        <v>316</v>
      </c>
      <c r="M627" s="6">
        <f>SalesTbl[[#This Row],[Unit Price]]*SalesTbl[[#This Row],[Quantity]]</f>
        <v>1200</v>
      </c>
      <c r="N627" s="6">
        <f>YEAR(SalesTbl[[#This Row],[Order Date]])</f>
        <v>2023</v>
      </c>
      <c r="O627" s="6" t="str">
        <f>TEXT(SalesTbl[[#This Row],[Order Date]],"yyyy-mm")</f>
        <v>2023-01</v>
      </c>
      <c r="P627" s="13">
        <f>WEEKNUM(SalesTbl[[#This Row],[Order Date]],2)</f>
        <v>6</v>
      </c>
      <c r="Q627" s="14">
        <f>MEDIAN(SalesTbl[Quantity])</f>
        <v>3</v>
      </c>
      <c r="R627" s="14">
        <f>IF(ISBLANK(SalesTbl[[#This Row],[Quantity]]),$H$2,SalesTbl[[#This Row],[Quantity]])</f>
        <v>4</v>
      </c>
      <c r="S627">
        <f>ROW()-ROW(SalesTbl[[#Headers],[Customer ID]])</f>
        <v>626</v>
      </c>
      <c r="T627" s="9" t="str">
        <f>IF(SalesTbl[[#This Row],[RowIdx]]&lt;=ROUNDUP(COUNTA(SalesTbl[Customer ID])*0.8,0),"Train","Test")</f>
        <v>Train</v>
      </c>
    </row>
    <row r="628" spans="1:20" x14ac:dyDescent="0.25">
      <c r="A628" t="s">
        <v>135</v>
      </c>
      <c r="B628" t="s">
        <v>13</v>
      </c>
      <c r="C628" t="s">
        <v>320</v>
      </c>
      <c r="D628" t="s">
        <v>23</v>
      </c>
      <c r="E628" t="s">
        <v>15</v>
      </c>
      <c r="F628">
        <v>54</v>
      </c>
      <c r="G628">
        <v>1500</v>
      </c>
      <c r="H628">
        <v>4</v>
      </c>
      <c r="I628">
        <v>6000</v>
      </c>
      <c r="J628">
        <v>6.73</v>
      </c>
      <c r="K628" s="2">
        <v>45044</v>
      </c>
      <c r="L628" t="s">
        <v>317</v>
      </c>
      <c r="M628" s="6">
        <f>SalesTbl[[#This Row],[Unit Price]]*SalesTbl[[#This Row],[Quantity]]</f>
        <v>6000</v>
      </c>
      <c r="N628" s="6">
        <f>YEAR(SalesTbl[[#This Row],[Order Date]])</f>
        <v>2023</v>
      </c>
      <c r="O628" s="6" t="str">
        <f>TEXT(SalesTbl[[#This Row],[Order Date]],"yyyy-mm")</f>
        <v>2023-04</v>
      </c>
      <c r="P628" s="13">
        <f>WEEKNUM(SalesTbl[[#This Row],[Order Date]],2)</f>
        <v>18</v>
      </c>
      <c r="Q628" s="14">
        <f>MEDIAN(SalesTbl[Quantity])</f>
        <v>3</v>
      </c>
      <c r="R628" s="14">
        <f>IF(ISBLANK(SalesTbl[[#This Row],[Quantity]]),$H$2,SalesTbl[[#This Row],[Quantity]])</f>
        <v>4</v>
      </c>
      <c r="S628">
        <f>ROW()-ROW(SalesTbl[[#Headers],[Customer ID]])</f>
        <v>627</v>
      </c>
      <c r="T628" s="9" t="str">
        <f>IF(SalesTbl[[#This Row],[RowIdx]]&lt;=ROUNDUP(COUNTA(SalesTbl[Customer ID])*0.8,0),"Train","Test")</f>
        <v>Train</v>
      </c>
    </row>
    <row r="629" spans="1:20" x14ac:dyDescent="0.25">
      <c r="A629" t="s">
        <v>287</v>
      </c>
      <c r="B629" t="s">
        <v>20</v>
      </c>
      <c r="C629" t="s">
        <v>321</v>
      </c>
      <c r="D629" t="s">
        <v>30</v>
      </c>
      <c r="E629" t="s">
        <v>18</v>
      </c>
      <c r="F629">
        <v>20</v>
      </c>
      <c r="G629">
        <v>30</v>
      </c>
      <c r="H629">
        <v>4</v>
      </c>
      <c r="I629">
        <v>120</v>
      </c>
      <c r="J629">
        <v>5.19</v>
      </c>
      <c r="K629" s="2">
        <v>45129</v>
      </c>
      <c r="L629" t="s">
        <v>316</v>
      </c>
      <c r="M629" s="6">
        <f>SalesTbl[[#This Row],[Unit Price]]*SalesTbl[[#This Row],[Quantity]]</f>
        <v>120</v>
      </c>
      <c r="N629" s="6">
        <f>YEAR(SalesTbl[[#This Row],[Order Date]])</f>
        <v>2023</v>
      </c>
      <c r="O629" s="6" t="str">
        <f>TEXT(SalesTbl[[#This Row],[Order Date]],"yyyy-mm")</f>
        <v>2023-07</v>
      </c>
      <c r="P629" s="13">
        <f>WEEKNUM(SalesTbl[[#This Row],[Order Date]],2)</f>
        <v>30</v>
      </c>
      <c r="Q629" s="14">
        <f>MEDIAN(SalesTbl[Quantity])</f>
        <v>3</v>
      </c>
      <c r="R629" s="14">
        <f>IF(ISBLANK(SalesTbl[[#This Row],[Quantity]]),$H$2,SalesTbl[[#This Row],[Quantity]])</f>
        <v>4</v>
      </c>
      <c r="S629">
        <f>ROW()-ROW(SalesTbl[[#Headers],[Customer ID]])</f>
        <v>628</v>
      </c>
      <c r="T629" s="9" t="str">
        <f>IF(SalesTbl[[#This Row],[RowIdx]]&lt;=ROUNDUP(COUNTA(SalesTbl[Customer ID])*0.8,0),"Train","Test")</f>
        <v>Train</v>
      </c>
    </row>
    <row r="630" spans="1:20" x14ac:dyDescent="0.25">
      <c r="A630" t="s">
        <v>200</v>
      </c>
      <c r="B630" t="s">
        <v>13</v>
      </c>
      <c r="C630" t="s">
        <v>319</v>
      </c>
      <c r="D630" t="s">
        <v>29</v>
      </c>
      <c r="E630" t="s">
        <v>18</v>
      </c>
      <c r="F630">
        <v>44</v>
      </c>
      <c r="G630">
        <v>50</v>
      </c>
      <c r="H630">
        <v>1</v>
      </c>
      <c r="I630">
        <v>50</v>
      </c>
      <c r="J630">
        <v>12.3</v>
      </c>
      <c r="K630" s="2">
        <v>45089</v>
      </c>
      <c r="L630" t="s">
        <v>318</v>
      </c>
      <c r="M630" s="6">
        <f>SalesTbl[[#This Row],[Unit Price]]*SalesTbl[[#This Row],[Quantity]]</f>
        <v>50</v>
      </c>
      <c r="N630" s="6">
        <f>YEAR(SalesTbl[[#This Row],[Order Date]])</f>
        <v>2023</v>
      </c>
      <c r="O630" s="6" t="str">
        <f>TEXT(SalesTbl[[#This Row],[Order Date]],"yyyy-mm")</f>
        <v>2023-06</v>
      </c>
      <c r="P630" s="13">
        <f>WEEKNUM(SalesTbl[[#This Row],[Order Date]],2)</f>
        <v>25</v>
      </c>
      <c r="Q630" s="14">
        <f>MEDIAN(SalesTbl[Quantity])</f>
        <v>3</v>
      </c>
      <c r="R630" s="14">
        <f>IF(ISBLANK(SalesTbl[[#This Row],[Quantity]]),$H$2,SalesTbl[[#This Row],[Quantity]])</f>
        <v>1</v>
      </c>
      <c r="S630">
        <f>ROW()-ROW(SalesTbl[[#Headers],[Customer ID]])</f>
        <v>629</v>
      </c>
      <c r="T630" s="9" t="str">
        <f>IF(SalesTbl[[#This Row],[RowIdx]]&lt;=ROUNDUP(COUNTA(SalesTbl[Customer ID])*0.8,0),"Train","Test")</f>
        <v>Train</v>
      </c>
    </row>
    <row r="631" spans="1:20" x14ac:dyDescent="0.25">
      <c r="A631" t="s">
        <v>211</v>
      </c>
      <c r="B631" t="s">
        <v>13</v>
      </c>
      <c r="C631" t="s">
        <v>322</v>
      </c>
      <c r="D631" t="s">
        <v>23</v>
      </c>
      <c r="E631" t="s">
        <v>15</v>
      </c>
      <c r="F631">
        <v>66</v>
      </c>
      <c r="G631">
        <v>1500</v>
      </c>
      <c r="H631">
        <v>4</v>
      </c>
      <c r="I631">
        <v>6000</v>
      </c>
      <c r="J631">
        <v>13.08</v>
      </c>
      <c r="K631" s="2">
        <v>45005</v>
      </c>
      <c r="L631" t="s">
        <v>317</v>
      </c>
      <c r="M631" s="6">
        <f>SalesTbl[[#This Row],[Unit Price]]*SalesTbl[[#This Row],[Quantity]]</f>
        <v>6000</v>
      </c>
      <c r="N631" s="6">
        <f>YEAR(SalesTbl[[#This Row],[Order Date]])</f>
        <v>2023</v>
      </c>
      <c r="O631" s="6" t="str">
        <f>TEXT(SalesTbl[[#This Row],[Order Date]],"yyyy-mm")</f>
        <v>2023-03</v>
      </c>
      <c r="P631" s="13">
        <f>WEEKNUM(SalesTbl[[#This Row],[Order Date]],2)</f>
        <v>13</v>
      </c>
      <c r="Q631" s="14">
        <f>MEDIAN(SalesTbl[Quantity])</f>
        <v>3</v>
      </c>
      <c r="R631" s="14">
        <f>IF(ISBLANK(SalesTbl[[#This Row],[Quantity]]),$H$2,SalesTbl[[#This Row],[Quantity]])</f>
        <v>4</v>
      </c>
      <c r="S631">
        <f>ROW()-ROW(SalesTbl[[#Headers],[Customer ID]])</f>
        <v>630</v>
      </c>
      <c r="T631" s="9" t="str">
        <f>IF(SalesTbl[[#This Row],[RowIdx]]&lt;=ROUNDUP(COUNTA(SalesTbl[Customer ID])*0.8,0),"Train","Test")</f>
        <v>Train</v>
      </c>
    </row>
    <row r="632" spans="1:20" x14ac:dyDescent="0.25">
      <c r="A632" t="s">
        <v>210</v>
      </c>
      <c r="B632" t="s">
        <v>20</v>
      </c>
      <c r="C632" t="s">
        <v>319</v>
      </c>
      <c r="D632" t="s">
        <v>23</v>
      </c>
      <c r="E632" t="s">
        <v>15</v>
      </c>
      <c r="F632">
        <v>54</v>
      </c>
      <c r="G632">
        <v>1500</v>
      </c>
      <c r="H632">
        <v>4</v>
      </c>
      <c r="I632">
        <v>6000</v>
      </c>
      <c r="J632">
        <v>12</v>
      </c>
      <c r="K632" s="2">
        <v>45030</v>
      </c>
      <c r="L632" t="s">
        <v>316</v>
      </c>
      <c r="M632" s="6">
        <f>SalesTbl[[#This Row],[Unit Price]]*SalesTbl[[#This Row],[Quantity]]</f>
        <v>6000</v>
      </c>
      <c r="N632" s="6">
        <f>YEAR(SalesTbl[[#This Row],[Order Date]])</f>
        <v>2023</v>
      </c>
      <c r="O632" s="6" t="str">
        <f>TEXT(SalesTbl[[#This Row],[Order Date]],"yyyy-mm")</f>
        <v>2023-04</v>
      </c>
      <c r="P632" s="13">
        <f>WEEKNUM(SalesTbl[[#This Row],[Order Date]],2)</f>
        <v>16</v>
      </c>
      <c r="Q632" s="14">
        <f>MEDIAN(SalesTbl[Quantity])</f>
        <v>3</v>
      </c>
      <c r="R632" s="14">
        <f>IF(ISBLANK(SalesTbl[[#This Row],[Quantity]]),$H$2,SalesTbl[[#This Row],[Quantity]])</f>
        <v>4</v>
      </c>
      <c r="S632">
        <f>ROW()-ROW(SalesTbl[[#Headers],[Customer ID]])</f>
        <v>631</v>
      </c>
      <c r="T632" s="9" t="str">
        <f>IF(SalesTbl[[#This Row],[RowIdx]]&lt;=ROUNDUP(COUNTA(SalesTbl[Customer ID])*0.8,0),"Train","Test")</f>
        <v>Train</v>
      </c>
    </row>
    <row r="633" spans="1:20" x14ac:dyDescent="0.25">
      <c r="A633" t="s">
        <v>146</v>
      </c>
      <c r="B633" t="s">
        <v>13</v>
      </c>
      <c r="C633" t="s">
        <v>320</v>
      </c>
      <c r="D633" t="s">
        <v>30</v>
      </c>
      <c r="E633" t="s">
        <v>18</v>
      </c>
      <c r="F633">
        <v>68</v>
      </c>
      <c r="G633">
        <v>30</v>
      </c>
      <c r="H633">
        <v>2</v>
      </c>
      <c r="I633">
        <v>60</v>
      </c>
      <c r="J633">
        <v>9.2799999999999994</v>
      </c>
      <c r="K633" s="2">
        <v>45050</v>
      </c>
      <c r="L633" t="s">
        <v>318</v>
      </c>
      <c r="M633" s="6">
        <f>SalesTbl[[#This Row],[Unit Price]]*SalesTbl[[#This Row],[Quantity]]</f>
        <v>60</v>
      </c>
      <c r="N633" s="6">
        <f>YEAR(SalesTbl[[#This Row],[Order Date]])</f>
        <v>2023</v>
      </c>
      <c r="O633" s="6" t="str">
        <f>TEXT(SalesTbl[[#This Row],[Order Date]],"yyyy-mm")</f>
        <v>2023-05</v>
      </c>
      <c r="P633" s="13">
        <f>WEEKNUM(SalesTbl[[#This Row],[Order Date]],2)</f>
        <v>19</v>
      </c>
      <c r="Q633" s="14">
        <f>MEDIAN(SalesTbl[Quantity])</f>
        <v>3</v>
      </c>
      <c r="R633" s="14">
        <f>IF(ISBLANK(SalesTbl[[#This Row],[Quantity]]),$H$2,SalesTbl[[#This Row],[Quantity]])</f>
        <v>2</v>
      </c>
      <c r="S633">
        <f>ROW()-ROW(SalesTbl[[#Headers],[Customer ID]])</f>
        <v>632</v>
      </c>
      <c r="T633" s="9" t="str">
        <f>IF(SalesTbl[[#This Row],[RowIdx]]&lt;=ROUNDUP(COUNTA(SalesTbl[Customer ID])*0.8,0),"Train","Test")</f>
        <v>Train</v>
      </c>
    </row>
    <row r="634" spans="1:20" x14ac:dyDescent="0.25">
      <c r="A634" t="s">
        <v>100</v>
      </c>
      <c r="B634" t="s">
        <v>20</v>
      </c>
      <c r="C634" t="s">
        <v>322</v>
      </c>
      <c r="D634" t="s">
        <v>29</v>
      </c>
      <c r="E634" t="s">
        <v>18</v>
      </c>
      <c r="F634">
        <v>48</v>
      </c>
      <c r="G634">
        <v>50</v>
      </c>
      <c r="H634">
        <v>5</v>
      </c>
      <c r="I634">
        <v>250</v>
      </c>
      <c r="J634">
        <v>14.34</v>
      </c>
      <c r="K634" s="2">
        <v>45197</v>
      </c>
      <c r="L634" t="s">
        <v>318</v>
      </c>
      <c r="M634" s="6">
        <f>SalesTbl[[#This Row],[Unit Price]]*SalesTbl[[#This Row],[Quantity]]</f>
        <v>250</v>
      </c>
      <c r="N634" s="6">
        <f>YEAR(SalesTbl[[#This Row],[Order Date]])</f>
        <v>2023</v>
      </c>
      <c r="O634" s="6" t="str">
        <f>TEXT(SalesTbl[[#This Row],[Order Date]],"yyyy-mm")</f>
        <v>2023-09</v>
      </c>
      <c r="P634" s="13">
        <f>WEEKNUM(SalesTbl[[#This Row],[Order Date]],2)</f>
        <v>40</v>
      </c>
      <c r="Q634" s="14">
        <f>MEDIAN(SalesTbl[Quantity])</f>
        <v>3</v>
      </c>
      <c r="R634" s="14">
        <f>IF(ISBLANK(SalesTbl[[#This Row],[Quantity]]),$H$2,SalesTbl[[#This Row],[Quantity]])</f>
        <v>5</v>
      </c>
      <c r="S634">
        <f>ROW()-ROW(SalesTbl[[#Headers],[Customer ID]])</f>
        <v>633</v>
      </c>
      <c r="T634" s="9" t="str">
        <f>IF(SalesTbl[[#This Row],[RowIdx]]&lt;=ROUNDUP(COUNTA(SalesTbl[Customer ID])*0.8,0),"Train","Test")</f>
        <v>Train</v>
      </c>
    </row>
    <row r="635" spans="1:20" x14ac:dyDescent="0.25">
      <c r="A635" t="s">
        <v>239</v>
      </c>
      <c r="B635" t="s">
        <v>13</v>
      </c>
      <c r="C635" t="s">
        <v>322</v>
      </c>
      <c r="D635" t="s">
        <v>14</v>
      </c>
      <c r="E635" t="s">
        <v>15</v>
      </c>
      <c r="F635">
        <v>56</v>
      </c>
      <c r="G635">
        <v>300</v>
      </c>
      <c r="H635">
        <v>2</v>
      </c>
      <c r="I635">
        <v>600</v>
      </c>
      <c r="J635">
        <v>17.13</v>
      </c>
      <c r="K635" s="2">
        <v>45139</v>
      </c>
      <c r="L635" t="s">
        <v>317</v>
      </c>
      <c r="M635" s="6">
        <f>SalesTbl[[#This Row],[Unit Price]]*SalesTbl[[#This Row],[Quantity]]</f>
        <v>600</v>
      </c>
      <c r="N635" s="6">
        <f>YEAR(SalesTbl[[#This Row],[Order Date]])</f>
        <v>2023</v>
      </c>
      <c r="O635" s="6" t="str">
        <f>TEXT(SalesTbl[[#This Row],[Order Date]],"yyyy-mm")</f>
        <v>2023-08</v>
      </c>
      <c r="P635" s="13">
        <f>WEEKNUM(SalesTbl[[#This Row],[Order Date]],2)</f>
        <v>32</v>
      </c>
      <c r="Q635" s="14">
        <f>MEDIAN(SalesTbl[Quantity])</f>
        <v>3</v>
      </c>
      <c r="R635" s="14">
        <f>IF(ISBLANK(SalesTbl[[#This Row],[Quantity]]),$H$2,SalesTbl[[#This Row],[Quantity]])</f>
        <v>2</v>
      </c>
      <c r="S635">
        <f>ROW()-ROW(SalesTbl[[#Headers],[Customer ID]])</f>
        <v>634</v>
      </c>
      <c r="T635" s="9" t="str">
        <f>IF(SalesTbl[[#This Row],[RowIdx]]&lt;=ROUNDUP(COUNTA(SalesTbl[Customer ID])*0.8,0),"Train","Test")</f>
        <v>Train</v>
      </c>
    </row>
    <row r="636" spans="1:20" x14ac:dyDescent="0.25">
      <c r="A636" t="s">
        <v>38</v>
      </c>
      <c r="B636" t="s">
        <v>13</v>
      </c>
      <c r="C636" t="s">
        <v>320</v>
      </c>
      <c r="D636" t="s">
        <v>14</v>
      </c>
      <c r="E636" t="s">
        <v>15</v>
      </c>
      <c r="F636">
        <v>57</v>
      </c>
      <c r="G636">
        <v>300</v>
      </c>
      <c r="H636">
        <v>1</v>
      </c>
      <c r="I636">
        <v>300</v>
      </c>
      <c r="J636">
        <v>13.55</v>
      </c>
      <c r="K636" s="2">
        <v>45195</v>
      </c>
      <c r="L636" t="s">
        <v>318</v>
      </c>
      <c r="M636" s="6">
        <f>SalesTbl[[#This Row],[Unit Price]]*SalesTbl[[#This Row],[Quantity]]</f>
        <v>300</v>
      </c>
      <c r="N636" s="6">
        <f>YEAR(SalesTbl[[#This Row],[Order Date]])</f>
        <v>2023</v>
      </c>
      <c r="O636" s="6" t="str">
        <f>TEXT(SalesTbl[[#This Row],[Order Date]],"yyyy-mm")</f>
        <v>2023-09</v>
      </c>
      <c r="P636" s="13">
        <f>WEEKNUM(SalesTbl[[#This Row],[Order Date]],2)</f>
        <v>40</v>
      </c>
      <c r="Q636" s="14">
        <f>MEDIAN(SalesTbl[Quantity])</f>
        <v>3</v>
      </c>
      <c r="R636" s="14">
        <f>IF(ISBLANK(SalesTbl[[#This Row],[Quantity]]),$H$2,SalesTbl[[#This Row],[Quantity]])</f>
        <v>1</v>
      </c>
      <c r="S636">
        <f>ROW()-ROW(SalesTbl[[#Headers],[Customer ID]])</f>
        <v>635</v>
      </c>
      <c r="T636" s="9" t="str">
        <f>IF(SalesTbl[[#This Row],[RowIdx]]&lt;=ROUNDUP(COUNTA(SalesTbl[Customer ID])*0.8,0),"Train","Test")</f>
        <v>Train</v>
      </c>
    </row>
    <row r="637" spans="1:20" x14ac:dyDescent="0.25">
      <c r="A637" t="s">
        <v>262</v>
      </c>
      <c r="B637" t="s">
        <v>13</v>
      </c>
      <c r="C637" t="s">
        <v>321</v>
      </c>
      <c r="D637" t="s">
        <v>30</v>
      </c>
      <c r="E637" t="s">
        <v>18</v>
      </c>
      <c r="F637">
        <v>40</v>
      </c>
      <c r="G637">
        <v>30</v>
      </c>
      <c r="H637">
        <v>5</v>
      </c>
      <c r="I637">
        <v>150</v>
      </c>
      <c r="J637">
        <v>9.01</v>
      </c>
      <c r="K637" s="2">
        <v>45244</v>
      </c>
      <c r="L637" t="s">
        <v>316</v>
      </c>
      <c r="M637" s="6">
        <f>SalesTbl[[#This Row],[Unit Price]]*SalesTbl[[#This Row],[Quantity]]</f>
        <v>150</v>
      </c>
      <c r="N637" s="6">
        <f>YEAR(SalesTbl[[#This Row],[Order Date]])</f>
        <v>2023</v>
      </c>
      <c r="O637" s="6" t="str">
        <f>TEXT(SalesTbl[[#This Row],[Order Date]],"yyyy-mm")</f>
        <v>2023-11</v>
      </c>
      <c r="P637" s="13">
        <f>WEEKNUM(SalesTbl[[#This Row],[Order Date]],2)</f>
        <v>47</v>
      </c>
      <c r="Q637" s="14">
        <f>MEDIAN(SalesTbl[Quantity])</f>
        <v>3</v>
      </c>
      <c r="R637" s="14">
        <f>IF(ISBLANK(SalesTbl[[#This Row],[Quantity]]),$H$2,SalesTbl[[#This Row],[Quantity]])</f>
        <v>5</v>
      </c>
      <c r="S637">
        <f>ROW()-ROW(SalesTbl[[#Headers],[Customer ID]])</f>
        <v>636</v>
      </c>
      <c r="T637" s="9" t="str">
        <f>IF(SalesTbl[[#This Row],[RowIdx]]&lt;=ROUNDUP(COUNTA(SalesTbl[Customer ID])*0.8,0),"Train","Test")</f>
        <v>Train</v>
      </c>
    </row>
    <row r="638" spans="1:20" x14ac:dyDescent="0.25">
      <c r="A638" t="s">
        <v>222</v>
      </c>
      <c r="B638" t="s">
        <v>13</v>
      </c>
      <c r="C638" t="s">
        <v>320</v>
      </c>
      <c r="D638" t="s">
        <v>23</v>
      </c>
      <c r="E638" t="s">
        <v>15</v>
      </c>
      <c r="F638">
        <v>67</v>
      </c>
      <c r="G638">
        <v>1500</v>
      </c>
      <c r="H638">
        <v>4</v>
      </c>
      <c r="I638">
        <v>6000</v>
      </c>
      <c r="J638">
        <v>13.3</v>
      </c>
      <c r="K638" s="2">
        <v>45231</v>
      </c>
      <c r="L638" t="s">
        <v>318</v>
      </c>
      <c r="M638" s="6">
        <f>SalesTbl[[#This Row],[Unit Price]]*SalesTbl[[#This Row],[Quantity]]</f>
        <v>6000</v>
      </c>
      <c r="N638" s="6">
        <f>YEAR(SalesTbl[[#This Row],[Order Date]])</f>
        <v>2023</v>
      </c>
      <c r="O638" s="6" t="str">
        <f>TEXT(SalesTbl[[#This Row],[Order Date]],"yyyy-mm")</f>
        <v>2023-11</v>
      </c>
      <c r="P638" s="13">
        <f>WEEKNUM(SalesTbl[[#This Row],[Order Date]],2)</f>
        <v>45</v>
      </c>
      <c r="Q638" s="14">
        <f>MEDIAN(SalesTbl[Quantity])</f>
        <v>3</v>
      </c>
      <c r="R638" s="14">
        <f>IF(ISBLANK(SalesTbl[[#This Row],[Quantity]]),$H$2,SalesTbl[[#This Row],[Quantity]])</f>
        <v>4</v>
      </c>
      <c r="S638">
        <f>ROW()-ROW(SalesTbl[[#Headers],[Customer ID]])</f>
        <v>637</v>
      </c>
      <c r="T638" s="9" t="str">
        <f>IF(SalesTbl[[#This Row],[RowIdx]]&lt;=ROUNDUP(COUNTA(SalesTbl[Customer ID])*0.8,0),"Train","Test")</f>
        <v>Train</v>
      </c>
    </row>
    <row r="639" spans="1:20" x14ac:dyDescent="0.25">
      <c r="A639" t="s">
        <v>132</v>
      </c>
      <c r="B639" t="s">
        <v>20</v>
      </c>
      <c r="C639" t="s">
        <v>322</v>
      </c>
      <c r="D639" t="s">
        <v>17</v>
      </c>
      <c r="E639" t="s">
        <v>18</v>
      </c>
      <c r="F639">
        <v>33</v>
      </c>
      <c r="G639">
        <v>100</v>
      </c>
      <c r="H639">
        <v>5</v>
      </c>
      <c r="I639">
        <v>500</v>
      </c>
      <c r="J639">
        <v>8.27</v>
      </c>
      <c r="K639" s="2">
        <v>45107</v>
      </c>
      <c r="L639" t="s">
        <v>317</v>
      </c>
      <c r="M639" s="6">
        <f>SalesTbl[[#This Row],[Unit Price]]*SalesTbl[[#This Row],[Quantity]]</f>
        <v>500</v>
      </c>
      <c r="N639" s="6">
        <f>YEAR(SalesTbl[[#This Row],[Order Date]])</f>
        <v>2023</v>
      </c>
      <c r="O639" s="6" t="str">
        <f>TEXT(SalesTbl[[#This Row],[Order Date]],"yyyy-mm")</f>
        <v>2023-06</v>
      </c>
      <c r="P639" s="13">
        <f>WEEKNUM(SalesTbl[[#This Row],[Order Date]],2)</f>
        <v>27</v>
      </c>
      <c r="Q639" s="14">
        <f>MEDIAN(SalesTbl[Quantity])</f>
        <v>3</v>
      </c>
      <c r="R639" s="14">
        <f>IF(ISBLANK(SalesTbl[[#This Row],[Quantity]]),$H$2,SalesTbl[[#This Row],[Quantity]])</f>
        <v>5</v>
      </c>
      <c r="S639">
        <f>ROW()-ROW(SalesTbl[[#Headers],[Customer ID]])</f>
        <v>638</v>
      </c>
      <c r="T639" s="9" t="str">
        <f>IF(SalesTbl[[#This Row],[RowIdx]]&lt;=ROUNDUP(COUNTA(SalesTbl[Customer ID])*0.8,0),"Train","Test")</f>
        <v>Train</v>
      </c>
    </row>
    <row r="640" spans="1:20" x14ac:dyDescent="0.25">
      <c r="A640" t="s">
        <v>288</v>
      </c>
      <c r="B640" t="s">
        <v>20</v>
      </c>
      <c r="C640" t="s">
        <v>321</v>
      </c>
      <c r="D640" t="s">
        <v>23</v>
      </c>
      <c r="E640" t="s">
        <v>15</v>
      </c>
      <c r="F640">
        <v>66</v>
      </c>
      <c r="G640">
        <v>1500</v>
      </c>
      <c r="H640">
        <v>2</v>
      </c>
      <c r="I640">
        <v>3000</v>
      </c>
      <c r="J640">
        <v>9.26</v>
      </c>
      <c r="K640" s="2">
        <v>45209</v>
      </c>
      <c r="L640" t="s">
        <v>317</v>
      </c>
      <c r="M640" s="6">
        <f>SalesTbl[[#This Row],[Unit Price]]*SalesTbl[[#This Row],[Quantity]]</f>
        <v>3000</v>
      </c>
      <c r="N640" s="6">
        <f>YEAR(SalesTbl[[#This Row],[Order Date]])</f>
        <v>2023</v>
      </c>
      <c r="O640" s="6" t="str">
        <f>TEXT(SalesTbl[[#This Row],[Order Date]],"yyyy-mm")</f>
        <v>2023-10</v>
      </c>
      <c r="P640" s="13">
        <f>WEEKNUM(SalesTbl[[#This Row],[Order Date]],2)</f>
        <v>42</v>
      </c>
      <c r="Q640" s="14">
        <f>MEDIAN(SalesTbl[Quantity])</f>
        <v>3</v>
      </c>
      <c r="R640" s="14">
        <f>IF(ISBLANK(SalesTbl[[#This Row],[Quantity]]),$H$2,SalesTbl[[#This Row],[Quantity]])</f>
        <v>2</v>
      </c>
      <c r="S640">
        <f>ROW()-ROW(SalesTbl[[#Headers],[Customer ID]])</f>
        <v>639</v>
      </c>
      <c r="T640" s="9" t="str">
        <f>IF(SalesTbl[[#This Row],[RowIdx]]&lt;=ROUNDUP(COUNTA(SalesTbl[Customer ID])*0.8,0),"Train","Test")</f>
        <v>Train</v>
      </c>
    </row>
    <row r="641" spans="1:20" x14ac:dyDescent="0.25">
      <c r="A641" t="s">
        <v>198</v>
      </c>
      <c r="B641" t="s">
        <v>13</v>
      </c>
      <c r="C641" t="s">
        <v>321</v>
      </c>
      <c r="D641" t="s">
        <v>14</v>
      </c>
      <c r="E641" t="s">
        <v>15</v>
      </c>
      <c r="F641">
        <v>46</v>
      </c>
      <c r="G641">
        <v>300</v>
      </c>
      <c r="H641">
        <v>3</v>
      </c>
      <c r="I641">
        <v>900</v>
      </c>
      <c r="J641">
        <v>18.829999999999998</v>
      </c>
      <c r="K641" s="2">
        <v>45188</v>
      </c>
      <c r="L641" t="s">
        <v>316</v>
      </c>
      <c r="M641" s="6">
        <f>SalesTbl[[#This Row],[Unit Price]]*SalesTbl[[#This Row],[Quantity]]</f>
        <v>900</v>
      </c>
      <c r="N641" s="6">
        <f>YEAR(SalesTbl[[#This Row],[Order Date]])</f>
        <v>2023</v>
      </c>
      <c r="O641" s="6" t="str">
        <f>TEXT(SalesTbl[[#This Row],[Order Date]],"yyyy-mm")</f>
        <v>2023-09</v>
      </c>
      <c r="P641" s="13">
        <f>WEEKNUM(SalesTbl[[#This Row],[Order Date]],2)</f>
        <v>39</v>
      </c>
      <c r="Q641" s="14">
        <f>MEDIAN(SalesTbl[Quantity])</f>
        <v>3</v>
      </c>
      <c r="R641" s="14">
        <f>IF(ISBLANK(SalesTbl[[#This Row],[Quantity]]),$H$2,SalesTbl[[#This Row],[Quantity]])</f>
        <v>3</v>
      </c>
      <c r="S641">
        <f>ROW()-ROW(SalesTbl[[#Headers],[Customer ID]])</f>
        <v>640</v>
      </c>
      <c r="T641" s="9" t="str">
        <f>IF(SalesTbl[[#This Row],[RowIdx]]&lt;=ROUNDUP(COUNTA(SalesTbl[Customer ID])*0.8,0),"Train","Test")</f>
        <v>Train</v>
      </c>
    </row>
    <row r="642" spans="1:20" x14ac:dyDescent="0.25">
      <c r="A642" t="s">
        <v>243</v>
      </c>
      <c r="B642" t="s">
        <v>20</v>
      </c>
      <c r="C642" t="s">
        <v>323</v>
      </c>
      <c r="D642" t="s">
        <v>14</v>
      </c>
      <c r="E642" t="s">
        <v>15</v>
      </c>
      <c r="F642">
        <v>49</v>
      </c>
      <c r="G642">
        <v>300</v>
      </c>
      <c r="H642">
        <v>1</v>
      </c>
      <c r="I642">
        <v>300</v>
      </c>
      <c r="J642">
        <v>6.55</v>
      </c>
      <c r="K642" s="2">
        <v>45294</v>
      </c>
      <c r="L642" t="s">
        <v>318</v>
      </c>
      <c r="M642" s="6">
        <f>SalesTbl[[#This Row],[Unit Price]]*SalesTbl[[#This Row],[Quantity]]</f>
        <v>300</v>
      </c>
      <c r="N642" s="6">
        <f>YEAR(SalesTbl[[#This Row],[Order Date]])</f>
        <v>2024</v>
      </c>
      <c r="O642" s="6" t="str">
        <f>TEXT(SalesTbl[[#This Row],[Order Date]],"yyyy-mm")</f>
        <v>2024-01</v>
      </c>
      <c r="P642" s="13">
        <f>WEEKNUM(SalesTbl[[#This Row],[Order Date]],2)</f>
        <v>1</v>
      </c>
      <c r="Q642" s="14">
        <f>MEDIAN(SalesTbl[Quantity])</f>
        <v>3</v>
      </c>
      <c r="R642" s="14">
        <f>IF(ISBLANK(SalesTbl[[#This Row],[Quantity]]),$H$2,SalesTbl[[#This Row],[Quantity]])</f>
        <v>1</v>
      </c>
      <c r="S642">
        <f>ROW()-ROW(SalesTbl[[#Headers],[Customer ID]])</f>
        <v>641</v>
      </c>
      <c r="T642" s="9" t="str">
        <f>IF(SalesTbl[[#This Row],[RowIdx]]&lt;=ROUNDUP(COUNTA(SalesTbl[Customer ID])*0.8,0),"Train","Test")</f>
        <v>Train</v>
      </c>
    </row>
    <row r="643" spans="1:20" x14ac:dyDescent="0.25">
      <c r="A643" t="s">
        <v>106</v>
      </c>
      <c r="B643" t="s">
        <v>13</v>
      </c>
      <c r="C643" t="s">
        <v>323</v>
      </c>
      <c r="D643" t="s">
        <v>23</v>
      </c>
      <c r="E643" t="s">
        <v>15</v>
      </c>
      <c r="F643">
        <v>42</v>
      </c>
      <c r="G643">
        <v>1500</v>
      </c>
      <c r="H643">
        <v>2</v>
      </c>
      <c r="I643">
        <v>3000</v>
      </c>
      <c r="J643">
        <v>12.17</v>
      </c>
      <c r="K643" s="2">
        <v>44935</v>
      </c>
      <c r="L643" t="s">
        <v>319</v>
      </c>
      <c r="M643" s="6">
        <f>SalesTbl[[#This Row],[Unit Price]]*SalesTbl[[#This Row],[Quantity]]</f>
        <v>3000</v>
      </c>
      <c r="N643" s="6">
        <f>YEAR(SalesTbl[[#This Row],[Order Date]])</f>
        <v>2023</v>
      </c>
      <c r="O643" s="6" t="str">
        <f>TEXT(SalesTbl[[#This Row],[Order Date]],"yyyy-mm")</f>
        <v>2023-01</v>
      </c>
      <c r="P643" s="13">
        <f>WEEKNUM(SalesTbl[[#This Row],[Order Date]],2)</f>
        <v>3</v>
      </c>
      <c r="Q643" s="14">
        <f>MEDIAN(SalesTbl[Quantity])</f>
        <v>3</v>
      </c>
      <c r="R643" s="14">
        <f>IF(ISBLANK(SalesTbl[[#This Row],[Quantity]]),$H$2,SalesTbl[[#This Row],[Quantity]])</f>
        <v>2</v>
      </c>
      <c r="S643">
        <f>ROW()-ROW(SalesTbl[[#Headers],[Customer ID]])</f>
        <v>642</v>
      </c>
      <c r="T643" s="9" t="str">
        <f>IF(SalesTbl[[#This Row],[RowIdx]]&lt;=ROUNDUP(COUNTA(SalesTbl[Customer ID])*0.8,0),"Train","Test")</f>
        <v>Train</v>
      </c>
    </row>
    <row r="644" spans="1:20" x14ac:dyDescent="0.25">
      <c r="A644" t="s">
        <v>158</v>
      </c>
      <c r="B644" t="s">
        <v>13</v>
      </c>
      <c r="C644" t="s">
        <v>320</v>
      </c>
      <c r="D644" t="s">
        <v>23</v>
      </c>
      <c r="E644" t="s">
        <v>15</v>
      </c>
      <c r="F644">
        <v>32</v>
      </c>
      <c r="G644">
        <v>1500</v>
      </c>
      <c r="H644">
        <v>1</v>
      </c>
      <c r="I644">
        <v>1500</v>
      </c>
      <c r="J644">
        <v>8.5299999999999994</v>
      </c>
      <c r="K644" s="2">
        <v>45149</v>
      </c>
      <c r="L644" t="s">
        <v>317</v>
      </c>
      <c r="M644" s="6">
        <f>SalesTbl[[#This Row],[Unit Price]]*SalesTbl[[#This Row],[Quantity]]</f>
        <v>1500</v>
      </c>
      <c r="N644" s="6">
        <f>YEAR(SalesTbl[[#This Row],[Order Date]])</f>
        <v>2023</v>
      </c>
      <c r="O644" s="6" t="str">
        <f>TEXT(SalesTbl[[#This Row],[Order Date]],"yyyy-mm")</f>
        <v>2023-08</v>
      </c>
      <c r="P644" s="13">
        <f>WEEKNUM(SalesTbl[[#This Row],[Order Date]],2)</f>
        <v>33</v>
      </c>
      <c r="Q644" s="14">
        <f>MEDIAN(SalesTbl[Quantity])</f>
        <v>3</v>
      </c>
      <c r="R644" s="14">
        <f>IF(ISBLANK(SalesTbl[[#This Row],[Quantity]]),$H$2,SalesTbl[[#This Row],[Quantity]])</f>
        <v>1</v>
      </c>
      <c r="S644">
        <f>ROW()-ROW(SalesTbl[[#Headers],[Customer ID]])</f>
        <v>643</v>
      </c>
      <c r="T644" s="9" t="str">
        <f>IF(SalesTbl[[#This Row],[RowIdx]]&lt;=ROUNDUP(COUNTA(SalesTbl[Customer ID])*0.8,0),"Train","Test")</f>
        <v>Train</v>
      </c>
    </row>
    <row r="645" spans="1:20" x14ac:dyDescent="0.25">
      <c r="A645" t="s">
        <v>253</v>
      </c>
      <c r="B645" t="s">
        <v>13</v>
      </c>
      <c r="C645" t="s">
        <v>321</v>
      </c>
      <c r="D645" t="s">
        <v>14</v>
      </c>
      <c r="E645" t="s">
        <v>15</v>
      </c>
      <c r="F645">
        <v>56</v>
      </c>
      <c r="G645">
        <v>300</v>
      </c>
      <c r="H645">
        <v>1</v>
      </c>
      <c r="I645">
        <v>300</v>
      </c>
      <c r="J645">
        <v>8.8699999999999992</v>
      </c>
      <c r="K645" s="2">
        <v>45132</v>
      </c>
      <c r="L645" t="s">
        <v>316</v>
      </c>
      <c r="M645" s="6">
        <f>SalesTbl[[#This Row],[Unit Price]]*SalesTbl[[#This Row],[Quantity]]</f>
        <v>300</v>
      </c>
      <c r="N645" s="6">
        <f>YEAR(SalesTbl[[#This Row],[Order Date]])</f>
        <v>2023</v>
      </c>
      <c r="O645" s="6" t="str">
        <f>TEXT(SalesTbl[[#This Row],[Order Date]],"yyyy-mm")</f>
        <v>2023-07</v>
      </c>
      <c r="P645" s="13">
        <f>WEEKNUM(SalesTbl[[#This Row],[Order Date]],2)</f>
        <v>31</v>
      </c>
      <c r="Q645" s="14">
        <f>MEDIAN(SalesTbl[Quantity])</f>
        <v>3</v>
      </c>
      <c r="R645" s="14">
        <f>IF(ISBLANK(SalesTbl[[#This Row],[Quantity]]),$H$2,SalesTbl[[#This Row],[Quantity]])</f>
        <v>1</v>
      </c>
      <c r="S645">
        <f>ROW()-ROW(SalesTbl[[#Headers],[Customer ID]])</f>
        <v>644</v>
      </c>
      <c r="T645" s="9" t="str">
        <f>IF(SalesTbl[[#This Row],[RowIdx]]&lt;=ROUNDUP(COUNTA(SalesTbl[Customer ID])*0.8,0),"Train","Test")</f>
        <v>Train</v>
      </c>
    </row>
    <row r="646" spans="1:20" x14ac:dyDescent="0.25">
      <c r="A646" t="s">
        <v>222</v>
      </c>
      <c r="B646" t="s">
        <v>20</v>
      </c>
      <c r="C646" t="s">
        <v>322</v>
      </c>
      <c r="D646" t="s">
        <v>25</v>
      </c>
      <c r="E646" t="s">
        <v>26</v>
      </c>
      <c r="F646">
        <v>67</v>
      </c>
      <c r="G646">
        <v>200</v>
      </c>
      <c r="H646">
        <v>1</v>
      </c>
      <c r="I646">
        <v>200</v>
      </c>
      <c r="J646">
        <v>5.45</v>
      </c>
      <c r="K646" s="2">
        <v>45199</v>
      </c>
      <c r="L646" t="s">
        <v>316</v>
      </c>
      <c r="M646" s="6">
        <f>SalesTbl[[#This Row],[Unit Price]]*SalesTbl[[#This Row],[Quantity]]</f>
        <v>200</v>
      </c>
      <c r="N646" s="6">
        <f>YEAR(SalesTbl[[#This Row],[Order Date]])</f>
        <v>2023</v>
      </c>
      <c r="O646" s="6" t="str">
        <f>TEXT(SalesTbl[[#This Row],[Order Date]],"yyyy-mm")</f>
        <v>2023-09</v>
      </c>
      <c r="P646" s="13">
        <f>WEEKNUM(SalesTbl[[#This Row],[Order Date]],2)</f>
        <v>40</v>
      </c>
      <c r="Q646" s="14">
        <f>MEDIAN(SalesTbl[Quantity])</f>
        <v>3</v>
      </c>
      <c r="R646" s="14">
        <f>IF(ISBLANK(SalesTbl[[#This Row],[Quantity]]),$H$2,SalesTbl[[#This Row],[Quantity]])</f>
        <v>1</v>
      </c>
      <c r="S646">
        <f>ROW()-ROW(SalesTbl[[#Headers],[Customer ID]])</f>
        <v>645</v>
      </c>
      <c r="T646" s="9" t="str">
        <f>IF(SalesTbl[[#This Row],[RowIdx]]&lt;=ROUNDUP(COUNTA(SalesTbl[Customer ID])*0.8,0),"Train","Test")</f>
        <v>Train</v>
      </c>
    </row>
    <row r="647" spans="1:20" x14ac:dyDescent="0.25">
      <c r="A647" t="s">
        <v>28</v>
      </c>
      <c r="B647" t="s">
        <v>13</v>
      </c>
      <c r="C647" t="s">
        <v>320</v>
      </c>
      <c r="D647" t="s">
        <v>17</v>
      </c>
      <c r="E647" t="s">
        <v>18</v>
      </c>
      <c r="F647">
        <v>49</v>
      </c>
      <c r="G647">
        <v>100</v>
      </c>
      <c r="H647">
        <v>2</v>
      </c>
      <c r="I647">
        <v>200</v>
      </c>
      <c r="J647">
        <v>10.39</v>
      </c>
      <c r="K647" s="2">
        <v>45225</v>
      </c>
      <c r="L647" t="s">
        <v>316</v>
      </c>
      <c r="M647" s="6">
        <f>SalesTbl[[#This Row],[Unit Price]]*SalesTbl[[#This Row],[Quantity]]</f>
        <v>200</v>
      </c>
      <c r="N647" s="6">
        <f>YEAR(SalesTbl[[#This Row],[Order Date]])</f>
        <v>2023</v>
      </c>
      <c r="O647" s="6" t="str">
        <f>TEXT(SalesTbl[[#This Row],[Order Date]],"yyyy-mm")</f>
        <v>2023-10</v>
      </c>
      <c r="P647" s="13">
        <f>WEEKNUM(SalesTbl[[#This Row],[Order Date]],2)</f>
        <v>44</v>
      </c>
      <c r="Q647" s="14">
        <f>MEDIAN(SalesTbl[Quantity])</f>
        <v>3</v>
      </c>
      <c r="R647" s="14">
        <f>IF(ISBLANK(SalesTbl[[#This Row],[Quantity]]),$H$2,SalesTbl[[#This Row],[Quantity]])</f>
        <v>2</v>
      </c>
      <c r="S647">
        <f>ROW()-ROW(SalesTbl[[#Headers],[Customer ID]])</f>
        <v>646</v>
      </c>
      <c r="T647" s="9" t="str">
        <f>IF(SalesTbl[[#This Row],[RowIdx]]&lt;=ROUNDUP(COUNTA(SalesTbl[Customer ID])*0.8,0),"Train","Test")</f>
        <v>Train</v>
      </c>
    </row>
    <row r="648" spans="1:20" x14ac:dyDescent="0.25">
      <c r="A648" t="s">
        <v>178</v>
      </c>
      <c r="B648" t="s">
        <v>13</v>
      </c>
      <c r="C648" t="s">
        <v>322</v>
      </c>
      <c r="D648" t="s">
        <v>17</v>
      </c>
      <c r="E648" t="s">
        <v>18</v>
      </c>
      <c r="F648">
        <v>30</v>
      </c>
      <c r="G648">
        <v>100</v>
      </c>
      <c r="H648">
        <v>4</v>
      </c>
      <c r="I648">
        <v>400</v>
      </c>
      <c r="J648">
        <v>13.94</v>
      </c>
      <c r="K648" s="2">
        <v>45282</v>
      </c>
      <c r="L648" t="s">
        <v>318</v>
      </c>
      <c r="M648" s="6">
        <f>SalesTbl[[#This Row],[Unit Price]]*SalesTbl[[#This Row],[Quantity]]</f>
        <v>400</v>
      </c>
      <c r="N648" s="6">
        <f>YEAR(SalesTbl[[#This Row],[Order Date]])</f>
        <v>2023</v>
      </c>
      <c r="O648" s="6" t="str">
        <f>TEXT(SalesTbl[[#This Row],[Order Date]],"yyyy-mm")</f>
        <v>2023-12</v>
      </c>
      <c r="P648" s="13">
        <f>WEEKNUM(SalesTbl[[#This Row],[Order Date]],2)</f>
        <v>52</v>
      </c>
      <c r="Q648" s="14">
        <f>MEDIAN(SalesTbl[Quantity])</f>
        <v>3</v>
      </c>
      <c r="R648" s="14">
        <f>IF(ISBLANK(SalesTbl[[#This Row],[Quantity]]),$H$2,SalesTbl[[#This Row],[Quantity]])</f>
        <v>4</v>
      </c>
      <c r="S648">
        <f>ROW()-ROW(SalesTbl[[#Headers],[Customer ID]])</f>
        <v>647</v>
      </c>
      <c r="T648" s="9" t="str">
        <f>IF(SalesTbl[[#This Row],[RowIdx]]&lt;=ROUNDUP(COUNTA(SalesTbl[Customer ID])*0.8,0),"Train","Test")</f>
        <v>Train</v>
      </c>
    </row>
    <row r="649" spans="1:20" x14ac:dyDescent="0.25">
      <c r="A649" t="s">
        <v>163</v>
      </c>
      <c r="B649" t="s">
        <v>13</v>
      </c>
      <c r="C649" t="s">
        <v>323</v>
      </c>
      <c r="D649" t="s">
        <v>17</v>
      </c>
      <c r="E649" t="s">
        <v>18</v>
      </c>
      <c r="F649">
        <v>21</v>
      </c>
      <c r="G649">
        <v>100</v>
      </c>
      <c r="H649">
        <v>4</v>
      </c>
      <c r="I649">
        <v>400</v>
      </c>
      <c r="J649">
        <v>12.96</v>
      </c>
      <c r="K649" s="2">
        <v>45182</v>
      </c>
      <c r="L649" t="s">
        <v>317</v>
      </c>
      <c r="M649" s="6">
        <f>SalesTbl[[#This Row],[Unit Price]]*SalesTbl[[#This Row],[Quantity]]</f>
        <v>400</v>
      </c>
      <c r="N649" s="6">
        <f>YEAR(SalesTbl[[#This Row],[Order Date]])</f>
        <v>2023</v>
      </c>
      <c r="O649" s="6" t="str">
        <f>TEXT(SalesTbl[[#This Row],[Order Date]],"yyyy-mm")</f>
        <v>2023-09</v>
      </c>
      <c r="P649" s="13">
        <f>WEEKNUM(SalesTbl[[#This Row],[Order Date]],2)</f>
        <v>38</v>
      </c>
      <c r="Q649" s="14">
        <f>MEDIAN(SalesTbl[Quantity])</f>
        <v>3</v>
      </c>
      <c r="R649" s="14">
        <f>IF(ISBLANK(SalesTbl[[#This Row],[Quantity]]),$H$2,SalesTbl[[#This Row],[Quantity]])</f>
        <v>4</v>
      </c>
      <c r="S649">
        <f>ROW()-ROW(SalesTbl[[#Headers],[Customer ID]])</f>
        <v>648</v>
      </c>
      <c r="T649" s="9" t="str">
        <f>IF(SalesTbl[[#This Row],[RowIdx]]&lt;=ROUNDUP(COUNTA(SalesTbl[Customer ID])*0.8,0),"Train","Test")</f>
        <v>Train</v>
      </c>
    </row>
    <row r="650" spans="1:20" x14ac:dyDescent="0.25">
      <c r="A650" t="s">
        <v>127</v>
      </c>
      <c r="B650" t="s">
        <v>20</v>
      </c>
      <c r="C650" t="s">
        <v>322</v>
      </c>
      <c r="D650" t="s">
        <v>29</v>
      </c>
      <c r="E650" t="s">
        <v>18</v>
      </c>
      <c r="F650">
        <v>38</v>
      </c>
      <c r="G650">
        <v>50</v>
      </c>
      <c r="H650">
        <v>4</v>
      </c>
      <c r="I650">
        <v>200</v>
      </c>
      <c r="J650">
        <v>11</v>
      </c>
      <c r="K650" s="2">
        <v>45286</v>
      </c>
      <c r="L650" t="s">
        <v>316</v>
      </c>
      <c r="M650" s="6">
        <f>SalesTbl[[#This Row],[Unit Price]]*SalesTbl[[#This Row],[Quantity]]</f>
        <v>200</v>
      </c>
      <c r="N650" s="6">
        <f>YEAR(SalesTbl[[#This Row],[Order Date]])</f>
        <v>2023</v>
      </c>
      <c r="O650" s="6" t="str">
        <f>TEXT(SalesTbl[[#This Row],[Order Date]],"yyyy-mm")</f>
        <v>2023-12</v>
      </c>
      <c r="P650" s="13">
        <f>WEEKNUM(SalesTbl[[#This Row],[Order Date]],2)</f>
        <v>53</v>
      </c>
      <c r="Q650" s="14">
        <f>MEDIAN(SalesTbl[Quantity])</f>
        <v>3</v>
      </c>
      <c r="R650" s="14">
        <f>IF(ISBLANK(SalesTbl[[#This Row],[Quantity]]),$H$2,SalesTbl[[#This Row],[Quantity]])</f>
        <v>4</v>
      </c>
      <c r="S650">
        <f>ROW()-ROW(SalesTbl[[#Headers],[Customer ID]])</f>
        <v>649</v>
      </c>
      <c r="T650" s="9" t="str">
        <f>IF(SalesTbl[[#This Row],[RowIdx]]&lt;=ROUNDUP(COUNTA(SalesTbl[Customer ID])*0.8,0),"Train","Test")</f>
        <v>Train</v>
      </c>
    </row>
    <row r="651" spans="1:20" x14ac:dyDescent="0.25">
      <c r="A651" t="s">
        <v>160</v>
      </c>
      <c r="B651" t="s">
        <v>13</v>
      </c>
      <c r="C651" t="s">
        <v>321</v>
      </c>
      <c r="D651" t="s">
        <v>23</v>
      </c>
      <c r="E651" t="s">
        <v>15</v>
      </c>
      <c r="F651">
        <v>27</v>
      </c>
      <c r="G651">
        <v>1500</v>
      </c>
      <c r="H651">
        <v>2</v>
      </c>
      <c r="I651">
        <v>3000</v>
      </c>
      <c r="J651">
        <v>13.22</v>
      </c>
      <c r="K651" s="2">
        <v>45175</v>
      </c>
      <c r="L651" t="s">
        <v>317</v>
      </c>
      <c r="M651" s="6">
        <f>SalesTbl[[#This Row],[Unit Price]]*SalesTbl[[#This Row],[Quantity]]</f>
        <v>3000</v>
      </c>
      <c r="N651" s="6">
        <f>YEAR(SalesTbl[[#This Row],[Order Date]])</f>
        <v>2023</v>
      </c>
      <c r="O651" s="6" t="str">
        <f>TEXT(SalesTbl[[#This Row],[Order Date]],"yyyy-mm")</f>
        <v>2023-09</v>
      </c>
      <c r="P651" s="13">
        <f>WEEKNUM(SalesTbl[[#This Row],[Order Date]],2)</f>
        <v>37</v>
      </c>
      <c r="Q651" s="14">
        <f>MEDIAN(SalesTbl[Quantity])</f>
        <v>3</v>
      </c>
      <c r="R651" s="14">
        <f>IF(ISBLANK(SalesTbl[[#This Row],[Quantity]]),$H$2,SalesTbl[[#This Row],[Quantity]])</f>
        <v>2</v>
      </c>
      <c r="S651">
        <f>ROW()-ROW(SalesTbl[[#Headers],[Customer ID]])</f>
        <v>650</v>
      </c>
      <c r="T651" s="9" t="str">
        <f>IF(SalesTbl[[#This Row],[RowIdx]]&lt;=ROUNDUP(COUNTA(SalesTbl[Customer ID])*0.8,0),"Train","Test")</f>
        <v>Train</v>
      </c>
    </row>
    <row r="652" spans="1:20" x14ac:dyDescent="0.25">
      <c r="A652" t="s">
        <v>204</v>
      </c>
      <c r="B652" t="s">
        <v>13</v>
      </c>
      <c r="C652" t="s">
        <v>320</v>
      </c>
      <c r="D652" t="s">
        <v>14</v>
      </c>
      <c r="E652" t="s">
        <v>15</v>
      </c>
      <c r="F652">
        <v>69</v>
      </c>
      <c r="G652">
        <v>300</v>
      </c>
      <c r="H652">
        <v>5</v>
      </c>
      <c r="I652">
        <v>1500</v>
      </c>
      <c r="J652">
        <v>17.75</v>
      </c>
      <c r="K652" s="2">
        <v>45244</v>
      </c>
      <c r="L652" t="s">
        <v>317</v>
      </c>
      <c r="M652" s="6">
        <f>SalesTbl[[#This Row],[Unit Price]]*SalesTbl[[#This Row],[Quantity]]</f>
        <v>1500</v>
      </c>
      <c r="N652" s="6">
        <f>YEAR(SalesTbl[[#This Row],[Order Date]])</f>
        <v>2023</v>
      </c>
      <c r="O652" s="6" t="str">
        <f>TEXT(SalesTbl[[#This Row],[Order Date]],"yyyy-mm")</f>
        <v>2023-11</v>
      </c>
      <c r="P652" s="13">
        <f>WEEKNUM(SalesTbl[[#This Row],[Order Date]],2)</f>
        <v>47</v>
      </c>
      <c r="Q652" s="14">
        <f>MEDIAN(SalesTbl[Quantity])</f>
        <v>3</v>
      </c>
      <c r="R652" s="14">
        <f>IF(ISBLANK(SalesTbl[[#This Row],[Quantity]]),$H$2,SalesTbl[[#This Row],[Quantity]])</f>
        <v>5</v>
      </c>
      <c r="S652">
        <f>ROW()-ROW(SalesTbl[[#Headers],[Customer ID]])</f>
        <v>651</v>
      </c>
      <c r="T652" s="9" t="str">
        <f>IF(SalesTbl[[#This Row],[RowIdx]]&lt;=ROUNDUP(COUNTA(SalesTbl[Customer ID])*0.8,0),"Train","Test")</f>
        <v>Train</v>
      </c>
    </row>
    <row r="653" spans="1:20" x14ac:dyDescent="0.25">
      <c r="A653" t="s">
        <v>254</v>
      </c>
      <c r="B653" t="s">
        <v>20</v>
      </c>
      <c r="C653" t="s">
        <v>321</v>
      </c>
      <c r="D653" t="s">
        <v>40</v>
      </c>
      <c r="E653" t="s">
        <v>15</v>
      </c>
      <c r="F653">
        <v>69</v>
      </c>
      <c r="G653">
        <v>800</v>
      </c>
      <c r="H653">
        <v>3</v>
      </c>
      <c r="I653">
        <v>2400</v>
      </c>
      <c r="J653">
        <v>15.53</v>
      </c>
      <c r="K653" s="2">
        <v>45041</v>
      </c>
      <c r="L653" t="s">
        <v>317</v>
      </c>
      <c r="M653" s="6">
        <f>SalesTbl[[#This Row],[Unit Price]]*SalesTbl[[#This Row],[Quantity]]</f>
        <v>2400</v>
      </c>
      <c r="N653" s="6">
        <f>YEAR(SalesTbl[[#This Row],[Order Date]])</f>
        <v>2023</v>
      </c>
      <c r="O653" s="6" t="str">
        <f>TEXT(SalesTbl[[#This Row],[Order Date]],"yyyy-mm")</f>
        <v>2023-04</v>
      </c>
      <c r="P653" s="13">
        <f>WEEKNUM(SalesTbl[[#This Row],[Order Date]],2)</f>
        <v>18</v>
      </c>
      <c r="Q653" s="14">
        <f>MEDIAN(SalesTbl[Quantity])</f>
        <v>3</v>
      </c>
      <c r="R653" s="14">
        <f>IF(ISBLANK(SalesTbl[[#This Row],[Quantity]]),$H$2,SalesTbl[[#This Row],[Quantity]])</f>
        <v>3</v>
      </c>
      <c r="S653">
        <f>ROW()-ROW(SalesTbl[[#Headers],[Customer ID]])</f>
        <v>652</v>
      </c>
      <c r="T653" s="9" t="str">
        <f>IF(SalesTbl[[#This Row],[RowIdx]]&lt;=ROUNDUP(COUNTA(SalesTbl[Customer ID])*0.8,0),"Train","Test")</f>
        <v>Train</v>
      </c>
    </row>
    <row r="654" spans="1:20" x14ac:dyDescent="0.25">
      <c r="A654" t="s">
        <v>265</v>
      </c>
      <c r="B654" t="s">
        <v>20</v>
      </c>
      <c r="C654" t="s">
        <v>322</v>
      </c>
      <c r="D654" t="s">
        <v>23</v>
      </c>
      <c r="E654" t="s">
        <v>15</v>
      </c>
      <c r="F654">
        <v>67</v>
      </c>
      <c r="G654">
        <v>1500</v>
      </c>
      <c r="H654">
        <v>1</v>
      </c>
      <c r="I654">
        <v>1500</v>
      </c>
      <c r="J654">
        <v>13.92</v>
      </c>
      <c r="K654" s="2">
        <v>45133</v>
      </c>
      <c r="L654" t="s">
        <v>318</v>
      </c>
      <c r="M654" s="6">
        <f>SalesTbl[[#This Row],[Unit Price]]*SalesTbl[[#This Row],[Quantity]]</f>
        <v>1500</v>
      </c>
      <c r="N654" s="6">
        <f>YEAR(SalesTbl[[#This Row],[Order Date]])</f>
        <v>2023</v>
      </c>
      <c r="O654" s="6" t="str">
        <f>TEXT(SalesTbl[[#This Row],[Order Date]],"yyyy-mm")</f>
        <v>2023-07</v>
      </c>
      <c r="P654" s="13">
        <f>WEEKNUM(SalesTbl[[#This Row],[Order Date]],2)</f>
        <v>31</v>
      </c>
      <c r="Q654" s="14">
        <f>MEDIAN(SalesTbl[Quantity])</f>
        <v>3</v>
      </c>
      <c r="R654" s="14">
        <f>IF(ISBLANK(SalesTbl[[#This Row],[Quantity]]),$H$2,SalesTbl[[#This Row],[Quantity]])</f>
        <v>1</v>
      </c>
      <c r="S654">
        <f>ROW()-ROW(SalesTbl[[#Headers],[Customer ID]])</f>
        <v>653</v>
      </c>
      <c r="T654" s="9" t="str">
        <f>IF(SalesTbl[[#This Row],[RowIdx]]&lt;=ROUNDUP(COUNTA(SalesTbl[Customer ID])*0.8,0),"Train","Test")</f>
        <v>Train</v>
      </c>
    </row>
    <row r="655" spans="1:20" x14ac:dyDescent="0.25">
      <c r="A655" t="s">
        <v>93</v>
      </c>
      <c r="B655" t="s">
        <v>13</v>
      </c>
      <c r="C655" t="s">
        <v>321</v>
      </c>
      <c r="D655" t="s">
        <v>25</v>
      </c>
      <c r="E655" t="s">
        <v>26</v>
      </c>
      <c r="F655">
        <v>47</v>
      </c>
      <c r="G655">
        <v>200</v>
      </c>
      <c r="H655">
        <v>3</v>
      </c>
      <c r="I655">
        <v>600</v>
      </c>
      <c r="J655">
        <v>13.73</v>
      </c>
      <c r="K655" s="2">
        <v>45092</v>
      </c>
      <c r="L655" t="s">
        <v>318</v>
      </c>
      <c r="M655" s="6">
        <f>SalesTbl[[#This Row],[Unit Price]]*SalesTbl[[#This Row],[Quantity]]</f>
        <v>600</v>
      </c>
      <c r="N655" s="6">
        <f>YEAR(SalesTbl[[#This Row],[Order Date]])</f>
        <v>2023</v>
      </c>
      <c r="O655" s="6" t="str">
        <f>TEXT(SalesTbl[[#This Row],[Order Date]],"yyyy-mm")</f>
        <v>2023-06</v>
      </c>
      <c r="P655" s="13">
        <f>WEEKNUM(SalesTbl[[#This Row],[Order Date]],2)</f>
        <v>25</v>
      </c>
      <c r="Q655" s="14">
        <f>MEDIAN(SalesTbl[Quantity])</f>
        <v>3</v>
      </c>
      <c r="R655" s="14">
        <f>IF(ISBLANK(SalesTbl[[#This Row],[Quantity]]),$H$2,SalesTbl[[#This Row],[Quantity]])</f>
        <v>3</v>
      </c>
      <c r="S655">
        <f>ROW()-ROW(SalesTbl[[#Headers],[Customer ID]])</f>
        <v>654</v>
      </c>
      <c r="T655" s="9" t="str">
        <f>IF(SalesTbl[[#This Row],[RowIdx]]&lt;=ROUNDUP(COUNTA(SalesTbl[Customer ID])*0.8,0),"Train","Test")</f>
        <v>Train</v>
      </c>
    </row>
    <row r="656" spans="1:20" x14ac:dyDescent="0.25">
      <c r="A656" t="s">
        <v>276</v>
      </c>
      <c r="B656" t="s">
        <v>13</v>
      </c>
      <c r="C656" t="s">
        <v>321</v>
      </c>
      <c r="D656" t="s">
        <v>14</v>
      </c>
      <c r="E656" t="s">
        <v>15</v>
      </c>
      <c r="F656">
        <v>32</v>
      </c>
      <c r="G656">
        <v>300</v>
      </c>
      <c r="H656">
        <v>3</v>
      </c>
      <c r="I656">
        <v>900</v>
      </c>
      <c r="J656">
        <v>8.48</v>
      </c>
      <c r="K656" s="2">
        <v>45068</v>
      </c>
      <c r="L656" t="s">
        <v>318</v>
      </c>
      <c r="M656" s="6">
        <f>SalesTbl[[#This Row],[Unit Price]]*SalesTbl[[#This Row],[Quantity]]</f>
        <v>900</v>
      </c>
      <c r="N656" s="6">
        <f>YEAR(SalesTbl[[#This Row],[Order Date]])</f>
        <v>2023</v>
      </c>
      <c r="O656" s="6" t="str">
        <f>TEXT(SalesTbl[[#This Row],[Order Date]],"yyyy-mm")</f>
        <v>2023-05</v>
      </c>
      <c r="P656" s="13">
        <f>WEEKNUM(SalesTbl[[#This Row],[Order Date]],2)</f>
        <v>22</v>
      </c>
      <c r="Q656" s="14">
        <f>MEDIAN(SalesTbl[Quantity])</f>
        <v>3</v>
      </c>
      <c r="R656" s="14">
        <f>IF(ISBLANK(SalesTbl[[#This Row],[Quantity]]),$H$2,SalesTbl[[#This Row],[Quantity]])</f>
        <v>3</v>
      </c>
      <c r="S656">
        <f>ROW()-ROW(SalesTbl[[#Headers],[Customer ID]])</f>
        <v>655</v>
      </c>
      <c r="T656" s="9" t="str">
        <f>IF(SalesTbl[[#This Row],[RowIdx]]&lt;=ROUNDUP(COUNTA(SalesTbl[Customer ID])*0.8,0),"Train","Test")</f>
        <v>Train</v>
      </c>
    </row>
    <row r="657" spans="1:20" x14ac:dyDescent="0.25">
      <c r="A657" t="s">
        <v>209</v>
      </c>
      <c r="B657" t="s">
        <v>20</v>
      </c>
      <c r="C657" t="s">
        <v>321</v>
      </c>
      <c r="D657" t="s">
        <v>23</v>
      </c>
      <c r="E657" t="s">
        <v>15</v>
      </c>
      <c r="F657">
        <v>41</v>
      </c>
      <c r="G657">
        <v>1500</v>
      </c>
      <c r="H657">
        <v>3</v>
      </c>
      <c r="I657">
        <v>4500</v>
      </c>
      <c r="J657">
        <v>13.82</v>
      </c>
      <c r="K657" s="2">
        <v>45267</v>
      </c>
      <c r="L657" t="s">
        <v>318</v>
      </c>
      <c r="M657" s="6">
        <f>SalesTbl[[#This Row],[Unit Price]]*SalesTbl[[#This Row],[Quantity]]</f>
        <v>4500</v>
      </c>
      <c r="N657" s="6">
        <f>YEAR(SalesTbl[[#This Row],[Order Date]])</f>
        <v>2023</v>
      </c>
      <c r="O657" s="6" t="str">
        <f>TEXT(SalesTbl[[#This Row],[Order Date]],"yyyy-mm")</f>
        <v>2023-12</v>
      </c>
      <c r="P657" s="13">
        <f>WEEKNUM(SalesTbl[[#This Row],[Order Date]],2)</f>
        <v>50</v>
      </c>
      <c r="Q657" s="14">
        <f>MEDIAN(SalesTbl[Quantity])</f>
        <v>3</v>
      </c>
      <c r="R657" s="14">
        <f>IF(ISBLANK(SalesTbl[[#This Row],[Quantity]]),$H$2,SalesTbl[[#This Row],[Quantity]])</f>
        <v>3</v>
      </c>
      <c r="S657">
        <f>ROW()-ROW(SalesTbl[[#Headers],[Customer ID]])</f>
        <v>656</v>
      </c>
      <c r="T657" s="9" t="str">
        <f>IF(SalesTbl[[#This Row],[RowIdx]]&lt;=ROUNDUP(COUNTA(SalesTbl[Customer ID])*0.8,0),"Train","Test")</f>
        <v>Train</v>
      </c>
    </row>
    <row r="658" spans="1:20" x14ac:dyDescent="0.25">
      <c r="A658" t="s">
        <v>142</v>
      </c>
      <c r="B658" t="s">
        <v>20</v>
      </c>
      <c r="C658" t="s">
        <v>323</v>
      </c>
      <c r="D658" t="s">
        <v>30</v>
      </c>
      <c r="E658" t="s">
        <v>18</v>
      </c>
      <c r="F658">
        <v>29</v>
      </c>
      <c r="G658">
        <v>30</v>
      </c>
      <c r="H658">
        <v>1</v>
      </c>
      <c r="I658">
        <v>30</v>
      </c>
      <c r="J658">
        <v>11.33</v>
      </c>
      <c r="K658" s="2">
        <v>44985</v>
      </c>
      <c r="L658" t="s">
        <v>317</v>
      </c>
      <c r="M658" s="6">
        <f>SalesTbl[[#This Row],[Unit Price]]*SalesTbl[[#This Row],[Quantity]]</f>
        <v>30</v>
      </c>
      <c r="N658" s="6">
        <f>YEAR(SalesTbl[[#This Row],[Order Date]])</f>
        <v>2023</v>
      </c>
      <c r="O658" s="6" t="str">
        <f>TEXT(SalesTbl[[#This Row],[Order Date]],"yyyy-mm")</f>
        <v>2023-02</v>
      </c>
      <c r="P658" s="13">
        <f>WEEKNUM(SalesTbl[[#This Row],[Order Date]],2)</f>
        <v>10</v>
      </c>
      <c r="Q658" s="14">
        <f>MEDIAN(SalesTbl[Quantity])</f>
        <v>3</v>
      </c>
      <c r="R658" s="14">
        <f>IF(ISBLANK(SalesTbl[[#This Row],[Quantity]]),$H$2,SalesTbl[[#This Row],[Quantity]])</f>
        <v>1</v>
      </c>
      <c r="S658">
        <f>ROW()-ROW(SalesTbl[[#Headers],[Customer ID]])</f>
        <v>657</v>
      </c>
      <c r="T658" s="9" t="str">
        <f>IF(SalesTbl[[#This Row],[RowIdx]]&lt;=ROUNDUP(COUNTA(SalesTbl[Customer ID])*0.8,0),"Train","Test")</f>
        <v>Train</v>
      </c>
    </row>
    <row r="659" spans="1:20" x14ac:dyDescent="0.25">
      <c r="A659" t="s">
        <v>161</v>
      </c>
      <c r="B659" t="s">
        <v>13</v>
      </c>
      <c r="C659" t="s">
        <v>320</v>
      </c>
      <c r="D659" t="s">
        <v>14</v>
      </c>
      <c r="E659" t="s">
        <v>15</v>
      </c>
      <c r="F659">
        <v>65</v>
      </c>
      <c r="G659">
        <v>300</v>
      </c>
      <c r="H659">
        <v>4</v>
      </c>
      <c r="I659">
        <v>1200</v>
      </c>
      <c r="J659">
        <v>11.14</v>
      </c>
      <c r="K659" s="2">
        <v>45294</v>
      </c>
      <c r="L659" t="s">
        <v>319</v>
      </c>
      <c r="M659" s="6">
        <f>SalesTbl[[#This Row],[Unit Price]]*SalesTbl[[#This Row],[Quantity]]</f>
        <v>1200</v>
      </c>
      <c r="N659" s="6">
        <f>YEAR(SalesTbl[[#This Row],[Order Date]])</f>
        <v>2024</v>
      </c>
      <c r="O659" s="6" t="str">
        <f>TEXT(SalesTbl[[#This Row],[Order Date]],"yyyy-mm")</f>
        <v>2024-01</v>
      </c>
      <c r="P659" s="13">
        <f>WEEKNUM(SalesTbl[[#This Row],[Order Date]],2)</f>
        <v>1</v>
      </c>
      <c r="Q659" s="14">
        <f>MEDIAN(SalesTbl[Quantity])</f>
        <v>3</v>
      </c>
      <c r="R659" s="14">
        <f>IF(ISBLANK(SalesTbl[[#This Row],[Quantity]]),$H$2,SalesTbl[[#This Row],[Quantity]])</f>
        <v>4</v>
      </c>
      <c r="S659">
        <f>ROW()-ROW(SalesTbl[[#Headers],[Customer ID]])</f>
        <v>658</v>
      </c>
      <c r="T659" s="9" t="str">
        <f>IF(SalesTbl[[#This Row],[RowIdx]]&lt;=ROUNDUP(COUNTA(SalesTbl[Customer ID])*0.8,0),"Train","Test")</f>
        <v>Train</v>
      </c>
    </row>
    <row r="660" spans="1:20" x14ac:dyDescent="0.25">
      <c r="A660" t="s">
        <v>187</v>
      </c>
      <c r="B660" t="s">
        <v>20</v>
      </c>
      <c r="C660" t="s">
        <v>323</v>
      </c>
      <c r="D660" t="s">
        <v>25</v>
      </c>
      <c r="E660" t="s">
        <v>26</v>
      </c>
      <c r="F660">
        <v>48</v>
      </c>
      <c r="G660">
        <v>200</v>
      </c>
      <c r="H660">
        <v>5</v>
      </c>
      <c r="I660">
        <v>1000</v>
      </c>
      <c r="J660">
        <v>10.9</v>
      </c>
      <c r="K660" s="2">
        <v>45050</v>
      </c>
      <c r="L660" t="s">
        <v>317</v>
      </c>
      <c r="M660" s="6">
        <f>SalesTbl[[#This Row],[Unit Price]]*SalesTbl[[#This Row],[Quantity]]</f>
        <v>1000</v>
      </c>
      <c r="N660" s="6">
        <f>YEAR(SalesTbl[[#This Row],[Order Date]])</f>
        <v>2023</v>
      </c>
      <c r="O660" s="6" t="str">
        <f>TEXT(SalesTbl[[#This Row],[Order Date]],"yyyy-mm")</f>
        <v>2023-05</v>
      </c>
      <c r="P660" s="13">
        <f>WEEKNUM(SalesTbl[[#This Row],[Order Date]],2)</f>
        <v>19</v>
      </c>
      <c r="Q660" s="14">
        <f>MEDIAN(SalesTbl[Quantity])</f>
        <v>3</v>
      </c>
      <c r="R660" s="14">
        <f>IF(ISBLANK(SalesTbl[[#This Row],[Quantity]]),$H$2,SalesTbl[[#This Row],[Quantity]])</f>
        <v>5</v>
      </c>
      <c r="S660">
        <f>ROW()-ROW(SalesTbl[[#Headers],[Customer ID]])</f>
        <v>659</v>
      </c>
      <c r="T660" s="9" t="str">
        <f>IF(SalesTbl[[#This Row],[RowIdx]]&lt;=ROUNDUP(COUNTA(SalesTbl[Customer ID])*0.8,0),"Train","Test")</f>
        <v>Train</v>
      </c>
    </row>
    <row r="661" spans="1:20" x14ac:dyDescent="0.25">
      <c r="A661" t="s">
        <v>71</v>
      </c>
      <c r="B661" t="s">
        <v>13</v>
      </c>
      <c r="C661" t="s">
        <v>323</v>
      </c>
      <c r="D661" t="s">
        <v>23</v>
      </c>
      <c r="E661" t="s">
        <v>15</v>
      </c>
      <c r="F661">
        <v>68</v>
      </c>
      <c r="G661">
        <v>1500</v>
      </c>
      <c r="H661">
        <v>1</v>
      </c>
      <c r="I661">
        <v>1500</v>
      </c>
      <c r="J661">
        <v>19.37</v>
      </c>
      <c r="K661" s="2">
        <v>45165</v>
      </c>
      <c r="L661" t="s">
        <v>319</v>
      </c>
      <c r="M661" s="6">
        <f>SalesTbl[[#This Row],[Unit Price]]*SalesTbl[[#This Row],[Quantity]]</f>
        <v>1500</v>
      </c>
      <c r="N661" s="6">
        <f>YEAR(SalesTbl[[#This Row],[Order Date]])</f>
        <v>2023</v>
      </c>
      <c r="O661" s="6" t="str">
        <f>TEXT(SalesTbl[[#This Row],[Order Date]],"yyyy-mm")</f>
        <v>2023-08</v>
      </c>
      <c r="P661" s="13">
        <f>WEEKNUM(SalesTbl[[#This Row],[Order Date]],2)</f>
        <v>35</v>
      </c>
      <c r="Q661" s="14">
        <f>MEDIAN(SalesTbl[Quantity])</f>
        <v>3</v>
      </c>
      <c r="R661" s="14">
        <f>IF(ISBLANK(SalesTbl[[#This Row],[Quantity]]),$H$2,SalesTbl[[#This Row],[Quantity]])</f>
        <v>1</v>
      </c>
      <c r="S661">
        <f>ROW()-ROW(SalesTbl[[#Headers],[Customer ID]])</f>
        <v>660</v>
      </c>
      <c r="T661" s="9" t="str">
        <f>IF(SalesTbl[[#This Row],[RowIdx]]&lt;=ROUNDUP(COUNTA(SalesTbl[Customer ID])*0.8,0),"Train","Test")</f>
        <v>Train</v>
      </c>
    </row>
    <row r="662" spans="1:20" x14ac:dyDescent="0.25">
      <c r="A662" t="s">
        <v>230</v>
      </c>
      <c r="B662" t="s">
        <v>20</v>
      </c>
      <c r="C662" t="s">
        <v>320</v>
      </c>
      <c r="D662" t="s">
        <v>30</v>
      </c>
      <c r="E662" t="s">
        <v>18</v>
      </c>
      <c r="F662">
        <v>42</v>
      </c>
      <c r="G662">
        <v>30</v>
      </c>
      <c r="H662">
        <v>5</v>
      </c>
      <c r="I662">
        <v>150</v>
      </c>
      <c r="J662">
        <v>8.2799999999999994</v>
      </c>
      <c r="K662" s="2">
        <v>45244</v>
      </c>
      <c r="L662" t="s">
        <v>316</v>
      </c>
      <c r="M662" s="6">
        <f>SalesTbl[[#This Row],[Unit Price]]*SalesTbl[[#This Row],[Quantity]]</f>
        <v>150</v>
      </c>
      <c r="N662" s="6">
        <f>YEAR(SalesTbl[[#This Row],[Order Date]])</f>
        <v>2023</v>
      </c>
      <c r="O662" s="6" t="str">
        <f>TEXT(SalesTbl[[#This Row],[Order Date]],"yyyy-mm")</f>
        <v>2023-11</v>
      </c>
      <c r="P662" s="13">
        <f>WEEKNUM(SalesTbl[[#This Row],[Order Date]],2)</f>
        <v>47</v>
      </c>
      <c r="Q662" s="14">
        <f>MEDIAN(SalesTbl[Quantity])</f>
        <v>3</v>
      </c>
      <c r="R662" s="14">
        <f>IF(ISBLANK(SalesTbl[[#This Row],[Quantity]]),$H$2,SalesTbl[[#This Row],[Quantity]])</f>
        <v>5</v>
      </c>
      <c r="S662">
        <f>ROW()-ROW(SalesTbl[[#Headers],[Customer ID]])</f>
        <v>661</v>
      </c>
      <c r="T662" s="9" t="str">
        <f>IF(SalesTbl[[#This Row],[RowIdx]]&lt;=ROUNDUP(COUNTA(SalesTbl[Customer ID])*0.8,0),"Train","Test")</f>
        <v>Train</v>
      </c>
    </row>
    <row r="663" spans="1:20" x14ac:dyDescent="0.25">
      <c r="A663" t="s">
        <v>35</v>
      </c>
      <c r="B663" t="s">
        <v>13</v>
      </c>
      <c r="C663" t="s">
        <v>319</v>
      </c>
      <c r="D663" t="s">
        <v>23</v>
      </c>
      <c r="E663" t="s">
        <v>15</v>
      </c>
      <c r="F663">
        <v>60</v>
      </c>
      <c r="G663">
        <v>1500</v>
      </c>
      <c r="H663">
        <v>1</v>
      </c>
      <c r="I663">
        <v>1500</v>
      </c>
      <c r="J663">
        <v>10.84</v>
      </c>
      <c r="K663" s="2">
        <v>45175</v>
      </c>
      <c r="L663" t="s">
        <v>317</v>
      </c>
      <c r="M663" s="6">
        <f>SalesTbl[[#This Row],[Unit Price]]*SalesTbl[[#This Row],[Quantity]]</f>
        <v>1500</v>
      </c>
      <c r="N663" s="6">
        <f>YEAR(SalesTbl[[#This Row],[Order Date]])</f>
        <v>2023</v>
      </c>
      <c r="O663" s="6" t="str">
        <f>TEXT(SalesTbl[[#This Row],[Order Date]],"yyyy-mm")</f>
        <v>2023-09</v>
      </c>
      <c r="P663" s="13">
        <f>WEEKNUM(SalesTbl[[#This Row],[Order Date]],2)</f>
        <v>37</v>
      </c>
      <c r="Q663" s="14">
        <f>MEDIAN(SalesTbl[Quantity])</f>
        <v>3</v>
      </c>
      <c r="R663" s="14">
        <f>IF(ISBLANK(SalesTbl[[#This Row],[Quantity]]),$H$2,SalesTbl[[#This Row],[Quantity]])</f>
        <v>1</v>
      </c>
      <c r="S663">
        <f>ROW()-ROW(SalesTbl[[#Headers],[Customer ID]])</f>
        <v>662</v>
      </c>
      <c r="T663" s="9" t="str">
        <f>IF(SalesTbl[[#This Row],[RowIdx]]&lt;=ROUNDUP(COUNTA(SalesTbl[Customer ID])*0.8,0),"Train","Test")</f>
        <v>Train</v>
      </c>
    </row>
    <row r="664" spans="1:20" x14ac:dyDescent="0.25">
      <c r="A664" t="s">
        <v>136</v>
      </c>
      <c r="B664" t="s">
        <v>20</v>
      </c>
      <c r="C664" t="s">
        <v>320</v>
      </c>
      <c r="D664" t="s">
        <v>40</v>
      </c>
      <c r="E664" t="s">
        <v>15</v>
      </c>
      <c r="F664">
        <v>37</v>
      </c>
      <c r="G664">
        <v>800</v>
      </c>
      <c r="H664">
        <v>1</v>
      </c>
      <c r="I664">
        <v>800</v>
      </c>
      <c r="J664">
        <v>12.78</v>
      </c>
      <c r="K664" s="2">
        <v>44929</v>
      </c>
      <c r="L664" t="s">
        <v>316</v>
      </c>
      <c r="M664" s="6">
        <f>SalesTbl[[#This Row],[Unit Price]]*SalesTbl[[#This Row],[Quantity]]</f>
        <v>800</v>
      </c>
      <c r="N664" s="6">
        <f>YEAR(SalesTbl[[#This Row],[Order Date]])</f>
        <v>2023</v>
      </c>
      <c r="O664" s="6" t="str">
        <f>TEXT(SalesTbl[[#This Row],[Order Date]],"yyyy-mm")</f>
        <v>2023-01</v>
      </c>
      <c r="P664" s="13">
        <f>WEEKNUM(SalesTbl[[#This Row],[Order Date]],2)</f>
        <v>2</v>
      </c>
      <c r="Q664" s="14">
        <f>MEDIAN(SalesTbl[Quantity])</f>
        <v>3</v>
      </c>
      <c r="R664" s="14">
        <f>IF(ISBLANK(SalesTbl[[#This Row],[Quantity]]),$H$2,SalesTbl[[#This Row],[Quantity]])</f>
        <v>1</v>
      </c>
      <c r="S664">
        <f>ROW()-ROW(SalesTbl[[#Headers],[Customer ID]])</f>
        <v>663</v>
      </c>
      <c r="T664" s="9" t="str">
        <f>IF(SalesTbl[[#This Row],[RowIdx]]&lt;=ROUNDUP(COUNTA(SalesTbl[Customer ID])*0.8,0),"Train","Test")</f>
        <v>Train</v>
      </c>
    </row>
    <row r="665" spans="1:20" x14ac:dyDescent="0.25">
      <c r="A665" t="s">
        <v>174</v>
      </c>
      <c r="B665" t="s">
        <v>20</v>
      </c>
      <c r="C665" t="s">
        <v>322</v>
      </c>
      <c r="D665" t="s">
        <v>23</v>
      </c>
      <c r="E665" t="s">
        <v>15</v>
      </c>
      <c r="F665">
        <v>54</v>
      </c>
      <c r="G665">
        <v>1500</v>
      </c>
      <c r="H665">
        <v>4</v>
      </c>
      <c r="I665">
        <v>6000</v>
      </c>
      <c r="J665">
        <v>12.84</v>
      </c>
      <c r="K665" s="2">
        <v>44977</v>
      </c>
      <c r="L665" t="s">
        <v>318</v>
      </c>
      <c r="M665" s="6">
        <f>SalesTbl[[#This Row],[Unit Price]]*SalesTbl[[#This Row],[Quantity]]</f>
        <v>6000</v>
      </c>
      <c r="N665" s="6">
        <f>YEAR(SalesTbl[[#This Row],[Order Date]])</f>
        <v>2023</v>
      </c>
      <c r="O665" s="6" t="str">
        <f>TEXT(SalesTbl[[#This Row],[Order Date]],"yyyy-mm")</f>
        <v>2023-02</v>
      </c>
      <c r="P665" s="13">
        <f>WEEKNUM(SalesTbl[[#This Row],[Order Date]],2)</f>
        <v>9</v>
      </c>
      <c r="Q665" s="14">
        <f>MEDIAN(SalesTbl[Quantity])</f>
        <v>3</v>
      </c>
      <c r="R665" s="14">
        <f>IF(ISBLANK(SalesTbl[[#This Row],[Quantity]]),$H$2,SalesTbl[[#This Row],[Quantity]])</f>
        <v>4</v>
      </c>
      <c r="S665">
        <f>ROW()-ROW(SalesTbl[[#Headers],[Customer ID]])</f>
        <v>664</v>
      </c>
      <c r="T665" s="9" t="str">
        <f>IF(SalesTbl[[#This Row],[RowIdx]]&lt;=ROUNDUP(COUNTA(SalesTbl[Customer ID])*0.8,0),"Train","Test")</f>
        <v>Train</v>
      </c>
    </row>
    <row r="666" spans="1:20" x14ac:dyDescent="0.25">
      <c r="A666" t="s">
        <v>170</v>
      </c>
      <c r="B666" t="s">
        <v>20</v>
      </c>
      <c r="C666" t="s">
        <v>322</v>
      </c>
      <c r="D666" t="s">
        <v>14</v>
      </c>
      <c r="E666" t="s">
        <v>15</v>
      </c>
      <c r="F666">
        <v>57</v>
      </c>
      <c r="G666">
        <v>300</v>
      </c>
      <c r="H666">
        <v>1</v>
      </c>
      <c r="I666">
        <v>300</v>
      </c>
      <c r="J666">
        <v>6.55</v>
      </c>
      <c r="K666" s="2">
        <v>45029</v>
      </c>
      <c r="L666" t="s">
        <v>318</v>
      </c>
      <c r="M666" s="6">
        <f>SalesTbl[[#This Row],[Unit Price]]*SalesTbl[[#This Row],[Quantity]]</f>
        <v>300</v>
      </c>
      <c r="N666" s="6">
        <f>YEAR(SalesTbl[[#This Row],[Order Date]])</f>
        <v>2023</v>
      </c>
      <c r="O666" s="6" t="str">
        <f>TEXT(SalesTbl[[#This Row],[Order Date]],"yyyy-mm")</f>
        <v>2023-04</v>
      </c>
      <c r="P666" s="13">
        <f>WEEKNUM(SalesTbl[[#This Row],[Order Date]],2)</f>
        <v>16</v>
      </c>
      <c r="Q666" s="14">
        <f>MEDIAN(SalesTbl[Quantity])</f>
        <v>3</v>
      </c>
      <c r="R666" s="14">
        <f>IF(ISBLANK(SalesTbl[[#This Row],[Quantity]]),$H$2,SalesTbl[[#This Row],[Quantity]])</f>
        <v>1</v>
      </c>
      <c r="S666">
        <f>ROW()-ROW(SalesTbl[[#Headers],[Customer ID]])</f>
        <v>665</v>
      </c>
      <c r="T666" s="9" t="str">
        <f>IF(SalesTbl[[#This Row],[RowIdx]]&lt;=ROUNDUP(COUNTA(SalesTbl[Customer ID])*0.8,0),"Train","Test")</f>
        <v>Train</v>
      </c>
    </row>
    <row r="667" spans="1:20" x14ac:dyDescent="0.25">
      <c r="A667" t="s">
        <v>43</v>
      </c>
      <c r="B667" t="s">
        <v>20</v>
      </c>
      <c r="C667" t="s">
        <v>323</v>
      </c>
      <c r="D667" t="s">
        <v>29</v>
      </c>
      <c r="E667" t="s">
        <v>18</v>
      </c>
      <c r="F667">
        <v>37</v>
      </c>
      <c r="G667">
        <v>50</v>
      </c>
      <c r="H667">
        <v>4</v>
      </c>
      <c r="I667">
        <v>200</v>
      </c>
      <c r="J667">
        <v>12.81</v>
      </c>
      <c r="K667" s="2">
        <v>44931</v>
      </c>
      <c r="L667" t="s">
        <v>318</v>
      </c>
      <c r="M667" s="6">
        <f>SalesTbl[[#This Row],[Unit Price]]*SalesTbl[[#This Row],[Quantity]]</f>
        <v>200</v>
      </c>
      <c r="N667" s="6">
        <f>YEAR(SalesTbl[[#This Row],[Order Date]])</f>
        <v>2023</v>
      </c>
      <c r="O667" s="6" t="str">
        <f>TEXT(SalesTbl[[#This Row],[Order Date]],"yyyy-mm")</f>
        <v>2023-01</v>
      </c>
      <c r="P667" s="13">
        <f>WEEKNUM(SalesTbl[[#This Row],[Order Date]],2)</f>
        <v>2</v>
      </c>
      <c r="Q667" s="14">
        <f>MEDIAN(SalesTbl[Quantity])</f>
        <v>3</v>
      </c>
      <c r="R667" s="14">
        <f>IF(ISBLANK(SalesTbl[[#This Row],[Quantity]]),$H$2,SalesTbl[[#This Row],[Quantity]])</f>
        <v>4</v>
      </c>
      <c r="S667">
        <f>ROW()-ROW(SalesTbl[[#Headers],[Customer ID]])</f>
        <v>666</v>
      </c>
      <c r="T667" s="9" t="str">
        <f>IF(SalesTbl[[#This Row],[RowIdx]]&lt;=ROUNDUP(COUNTA(SalesTbl[Customer ID])*0.8,0),"Train","Test")</f>
        <v>Train</v>
      </c>
    </row>
    <row r="668" spans="1:20" x14ac:dyDescent="0.25">
      <c r="A668" t="s">
        <v>191</v>
      </c>
      <c r="B668" t="s">
        <v>20</v>
      </c>
      <c r="C668" t="s">
        <v>320</v>
      </c>
      <c r="D668" t="s">
        <v>23</v>
      </c>
      <c r="E668" t="s">
        <v>15</v>
      </c>
      <c r="F668">
        <v>64</v>
      </c>
      <c r="G668">
        <v>1500</v>
      </c>
      <c r="H668">
        <v>1</v>
      </c>
      <c r="I668">
        <v>1500</v>
      </c>
      <c r="J668">
        <v>18.190000000000001</v>
      </c>
      <c r="K668" s="2">
        <v>45068</v>
      </c>
      <c r="L668" t="s">
        <v>317</v>
      </c>
      <c r="M668" s="6">
        <f>SalesTbl[[#This Row],[Unit Price]]*SalesTbl[[#This Row],[Quantity]]</f>
        <v>1500</v>
      </c>
      <c r="N668" s="6">
        <f>YEAR(SalesTbl[[#This Row],[Order Date]])</f>
        <v>2023</v>
      </c>
      <c r="O668" s="6" t="str">
        <f>TEXT(SalesTbl[[#This Row],[Order Date]],"yyyy-mm")</f>
        <v>2023-05</v>
      </c>
      <c r="P668" s="13">
        <f>WEEKNUM(SalesTbl[[#This Row],[Order Date]],2)</f>
        <v>22</v>
      </c>
      <c r="Q668" s="14">
        <f>MEDIAN(SalesTbl[Quantity])</f>
        <v>3</v>
      </c>
      <c r="R668" s="14">
        <f>IF(ISBLANK(SalesTbl[[#This Row],[Quantity]]),$H$2,SalesTbl[[#This Row],[Quantity]])</f>
        <v>1</v>
      </c>
      <c r="S668">
        <f>ROW()-ROW(SalesTbl[[#Headers],[Customer ID]])</f>
        <v>667</v>
      </c>
      <c r="T668" s="9" t="str">
        <f>IF(SalesTbl[[#This Row],[RowIdx]]&lt;=ROUNDUP(COUNTA(SalesTbl[Customer ID])*0.8,0),"Train","Test")</f>
        <v>Train</v>
      </c>
    </row>
    <row r="669" spans="1:20" x14ac:dyDescent="0.25">
      <c r="A669" t="s">
        <v>91</v>
      </c>
      <c r="B669" t="s">
        <v>13</v>
      </c>
      <c r="C669" t="s">
        <v>322</v>
      </c>
      <c r="D669" t="s">
        <v>25</v>
      </c>
      <c r="E669" t="s">
        <v>26</v>
      </c>
      <c r="F669">
        <v>54</v>
      </c>
      <c r="G669">
        <v>200</v>
      </c>
      <c r="H669">
        <v>3</v>
      </c>
      <c r="I669">
        <v>600</v>
      </c>
      <c r="J669">
        <v>16.36</v>
      </c>
      <c r="K669" s="2">
        <v>45148</v>
      </c>
      <c r="L669" t="s">
        <v>317</v>
      </c>
      <c r="M669" s="6">
        <f>SalesTbl[[#This Row],[Unit Price]]*SalesTbl[[#This Row],[Quantity]]</f>
        <v>600</v>
      </c>
      <c r="N669" s="6">
        <f>YEAR(SalesTbl[[#This Row],[Order Date]])</f>
        <v>2023</v>
      </c>
      <c r="O669" s="6" t="str">
        <f>TEXT(SalesTbl[[#This Row],[Order Date]],"yyyy-mm")</f>
        <v>2023-08</v>
      </c>
      <c r="P669" s="13">
        <f>WEEKNUM(SalesTbl[[#This Row],[Order Date]],2)</f>
        <v>33</v>
      </c>
      <c r="Q669" s="14">
        <f>MEDIAN(SalesTbl[Quantity])</f>
        <v>3</v>
      </c>
      <c r="R669" s="14">
        <f>IF(ISBLANK(SalesTbl[[#This Row],[Quantity]]),$H$2,SalesTbl[[#This Row],[Quantity]])</f>
        <v>3</v>
      </c>
      <c r="S669">
        <f>ROW()-ROW(SalesTbl[[#Headers],[Customer ID]])</f>
        <v>668</v>
      </c>
      <c r="T669" s="9" t="str">
        <f>IF(SalesTbl[[#This Row],[RowIdx]]&lt;=ROUNDUP(COUNTA(SalesTbl[Customer ID])*0.8,0),"Train","Test")</f>
        <v>Train</v>
      </c>
    </row>
    <row r="670" spans="1:20" x14ac:dyDescent="0.25">
      <c r="A670" t="s">
        <v>289</v>
      </c>
      <c r="B670" t="s">
        <v>13</v>
      </c>
      <c r="C670" t="s">
        <v>321</v>
      </c>
      <c r="D670" t="s">
        <v>23</v>
      </c>
      <c r="E670" t="s">
        <v>15</v>
      </c>
      <c r="F670">
        <v>67</v>
      </c>
      <c r="G670">
        <v>1500</v>
      </c>
      <c r="H670">
        <v>4</v>
      </c>
      <c r="I670">
        <v>6000</v>
      </c>
      <c r="J670">
        <v>14.85</v>
      </c>
      <c r="K670" s="2">
        <v>45088</v>
      </c>
      <c r="L670" t="s">
        <v>318</v>
      </c>
      <c r="M670" s="6">
        <f>SalesTbl[[#This Row],[Unit Price]]*SalesTbl[[#This Row],[Quantity]]</f>
        <v>6000</v>
      </c>
      <c r="N670" s="6">
        <f>YEAR(SalesTbl[[#This Row],[Order Date]])</f>
        <v>2023</v>
      </c>
      <c r="O670" s="6" t="str">
        <f>TEXT(SalesTbl[[#This Row],[Order Date]],"yyyy-mm")</f>
        <v>2023-06</v>
      </c>
      <c r="P670" s="13">
        <f>WEEKNUM(SalesTbl[[#This Row],[Order Date]],2)</f>
        <v>24</v>
      </c>
      <c r="Q670" s="14">
        <f>MEDIAN(SalesTbl[Quantity])</f>
        <v>3</v>
      </c>
      <c r="R670" s="14">
        <f>IF(ISBLANK(SalesTbl[[#This Row],[Quantity]]),$H$2,SalesTbl[[#This Row],[Quantity]])</f>
        <v>4</v>
      </c>
      <c r="S670">
        <f>ROW()-ROW(SalesTbl[[#Headers],[Customer ID]])</f>
        <v>669</v>
      </c>
      <c r="T670" s="9" t="str">
        <f>IF(SalesTbl[[#This Row],[RowIdx]]&lt;=ROUNDUP(COUNTA(SalesTbl[Customer ID])*0.8,0),"Train","Test")</f>
        <v>Train</v>
      </c>
    </row>
    <row r="671" spans="1:20" x14ac:dyDescent="0.25">
      <c r="A671" t="s">
        <v>142</v>
      </c>
      <c r="B671" t="s">
        <v>20</v>
      </c>
      <c r="C671" t="s">
        <v>323</v>
      </c>
      <c r="D671" t="s">
        <v>25</v>
      </c>
      <c r="E671" t="s">
        <v>26</v>
      </c>
      <c r="F671">
        <v>29</v>
      </c>
      <c r="G671">
        <v>200</v>
      </c>
      <c r="H671">
        <v>4</v>
      </c>
      <c r="I671">
        <v>800</v>
      </c>
      <c r="J671">
        <v>17.93</v>
      </c>
      <c r="K671" s="2">
        <v>44982</v>
      </c>
      <c r="L671" t="s">
        <v>318</v>
      </c>
      <c r="M671" s="6">
        <f>SalesTbl[[#This Row],[Unit Price]]*SalesTbl[[#This Row],[Quantity]]</f>
        <v>800</v>
      </c>
      <c r="N671" s="6">
        <f>YEAR(SalesTbl[[#This Row],[Order Date]])</f>
        <v>2023</v>
      </c>
      <c r="O671" s="6" t="str">
        <f>TEXT(SalesTbl[[#This Row],[Order Date]],"yyyy-mm")</f>
        <v>2023-02</v>
      </c>
      <c r="P671" s="13">
        <f>WEEKNUM(SalesTbl[[#This Row],[Order Date]],2)</f>
        <v>9</v>
      </c>
      <c r="Q671" s="14">
        <f>MEDIAN(SalesTbl[Quantity])</f>
        <v>3</v>
      </c>
      <c r="R671" s="14">
        <f>IF(ISBLANK(SalesTbl[[#This Row],[Quantity]]),$H$2,SalesTbl[[#This Row],[Quantity]])</f>
        <v>4</v>
      </c>
      <c r="S671">
        <f>ROW()-ROW(SalesTbl[[#Headers],[Customer ID]])</f>
        <v>670</v>
      </c>
      <c r="T671" s="9" t="str">
        <f>IF(SalesTbl[[#This Row],[RowIdx]]&lt;=ROUNDUP(COUNTA(SalesTbl[Customer ID])*0.8,0),"Train","Test")</f>
        <v>Train</v>
      </c>
    </row>
    <row r="672" spans="1:20" x14ac:dyDescent="0.25">
      <c r="A672" t="s">
        <v>146</v>
      </c>
      <c r="B672" t="s">
        <v>20</v>
      </c>
      <c r="C672" t="s">
        <v>322</v>
      </c>
      <c r="D672" t="s">
        <v>17</v>
      </c>
      <c r="E672" t="s">
        <v>18</v>
      </c>
      <c r="F672">
        <v>68</v>
      </c>
      <c r="G672">
        <v>100</v>
      </c>
      <c r="H672">
        <v>2</v>
      </c>
      <c r="I672">
        <v>200</v>
      </c>
      <c r="J672">
        <v>11.73</v>
      </c>
      <c r="K672" s="2">
        <v>45082</v>
      </c>
      <c r="L672" t="s">
        <v>319</v>
      </c>
      <c r="M672" s="6">
        <f>SalesTbl[[#This Row],[Unit Price]]*SalesTbl[[#This Row],[Quantity]]</f>
        <v>200</v>
      </c>
      <c r="N672" s="6">
        <f>YEAR(SalesTbl[[#This Row],[Order Date]])</f>
        <v>2023</v>
      </c>
      <c r="O672" s="6" t="str">
        <f>TEXT(SalesTbl[[#This Row],[Order Date]],"yyyy-mm")</f>
        <v>2023-06</v>
      </c>
      <c r="P672" s="13">
        <f>WEEKNUM(SalesTbl[[#This Row],[Order Date]],2)</f>
        <v>24</v>
      </c>
      <c r="Q672" s="14">
        <f>MEDIAN(SalesTbl[Quantity])</f>
        <v>3</v>
      </c>
      <c r="R672" s="14">
        <f>IF(ISBLANK(SalesTbl[[#This Row],[Quantity]]),$H$2,SalesTbl[[#This Row],[Quantity]])</f>
        <v>2</v>
      </c>
      <c r="S672">
        <f>ROW()-ROW(SalesTbl[[#Headers],[Customer ID]])</f>
        <v>671</v>
      </c>
      <c r="T672" s="9" t="str">
        <f>IF(SalesTbl[[#This Row],[RowIdx]]&lt;=ROUNDUP(COUNTA(SalesTbl[Customer ID])*0.8,0),"Train","Test")</f>
        <v>Train</v>
      </c>
    </row>
    <row r="673" spans="1:20" x14ac:dyDescent="0.25">
      <c r="A673" t="s">
        <v>136</v>
      </c>
      <c r="B673" t="s">
        <v>13</v>
      </c>
      <c r="C673" t="s">
        <v>321</v>
      </c>
      <c r="D673" t="s">
        <v>30</v>
      </c>
      <c r="E673" t="s">
        <v>18</v>
      </c>
      <c r="F673">
        <v>37</v>
      </c>
      <c r="G673">
        <v>30</v>
      </c>
      <c r="H673">
        <v>3</v>
      </c>
      <c r="I673">
        <v>90</v>
      </c>
      <c r="J673">
        <v>13.86</v>
      </c>
      <c r="K673" s="2">
        <v>45216</v>
      </c>
      <c r="L673" t="s">
        <v>318</v>
      </c>
      <c r="M673" s="6">
        <f>SalesTbl[[#This Row],[Unit Price]]*SalesTbl[[#This Row],[Quantity]]</f>
        <v>90</v>
      </c>
      <c r="N673" s="6">
        <f>YEAR(SalesTbl[[#This Row],[Order Date]])</f>
        <v>2023</v>
      </c>
      <c r="O673" s="6" t="str">
        <f>TEXT(SalesTbl[[#This Row],[Order Date]],"yyyy-mm")</f>
        <v>2023-10</v>
      </c>
      <c r="P673" s="13">
        <f>WEEKNUM(SalesTbl[[#This Row],[Order Date]],2)</f>
        <v>43</v>
      </c>
      <c r="Q673" s="14">
        <f>MEDIAN(SalesTbl[Quantity])</f>
        <v>3</v>
      </c>
      <c r="R673" s="14">
        <f>IF(ISBLANK(SalesTbl[[#This Row],[Quantity]]),$H$2,SalesTbl[[#This Row],[Quantity]])</f>
        <v>3</v>
      </c>
      <c r="S673">
        <f>ROW()-ROW(SalesTbl[[#Headers],[Customer ID]])</f>
        <v>672</v>
      </c>
      <c r="T673" s="9" t="str">
        <f>IF(SalesTbl[[#This Row],[RowIdx]]&lt;=ROUNDUP(COUNTA(SalesTbl[Customer ID])*0.8,0),"Train","Test")</f>
        <v>Train</v>
      </c>
    </row>
    <row r="674" spans="1:20" x14ac:dyDescent="0.25">
      <c r="A674" t="s">
        <v>290</v>
      </c>
      <c r="B674" t="s">
        <v>13</v>
      </c>
      <c r="C674" t="s">
        <v>320</v>
      </c>
      <c r="D674" t="s">
        <v>30</v>
      </c>
      <c r="E674" t="s">
        <v>18</v>
      </c>
      <c r="F674">
        <v>22</v>
      </c>
      <c r="G674">
        <v>30</v>
      </c>
      <c r="H674">
        <v>5</v>
      </c>
      <c r="I674">
        <v>150</v>
      </c>
      <c r="J674">
        <v>18.22</v>
      </c>
      <c r="K674" s="2">
        <v>44951</v>
      </c>
      <c r="L674" t="s">
        <v>316</v>
      </c>
      <c r="M674" s="6">
        <f>SalesTbl[[#This Row],[Unit Price]]*SalesTbl[[#This Row],[Quantity]]</f>
        <v>150</v>
      </c>
      <c r="N674" s="6">
        <f>YEAR(SalesTbl[[#This Row],[Order Date]])</f>
        <v>2023</v>
      </c>
      <c r="O674" s="6" t="str">
        <f>TEXT(SalesTbl[[#This Row],[Order Date]],"yyyy-mm")</f>
        <v>2023-01</v>
      </c>
      <c r="P674" s="13">
        <f>WEEKNUM(SalesTbl[[#This Row],[Order Date]],2)</f>
        <v>5</v>
      </c>
      <c r="Q674" s="14">
        <f>MEDIAN(SalesTbl[Quantity])</f>
        <v>3</v>
      </c>
      <c r="R674" s="14">
        <f>IF(ISBLANK(SalesTbl[[#This Row],[Quantity]]),$H$2,SalesTbl[[#This Row],[Quantity]])</f>
        <v>5</v>
      </c>
      <c r="S674">
        <f>ROW()-ROW(SalesTbl[[#Headers],[Customer ID]])</f>
        <v>673</v>
      </c>
      <c r="T674" s="9" t="str">
        <f>IF(SalesTbl[[#This Row],[RowIdx]]&lt;=ROUNDUP(COUNTA(SalesTbl[Customer ID])*0.8,0),"Train","Test")</f>
        <v>Train</v>
      </c>
    </row>
    <row r="675" spans="1:20" x14ac:dyDescent="0.25">
      <c r="A675" t="s">
        <v>119</v>
      </c>
      <c r="B675" t="s">
        <v>13</v>
      </c>
      <c r="C675" t="s">
        <v>319</v>
      </c>
      <c r="D675" t="s">
        <v>14</v>
      </c>
      <c r="E675" t="s">
        <v>15</v>
      </c>
      <c r="F675">
        <v>18</v>
      </c>
      <c r="G675">
        <v>300</v>
      </c>
      <c r="H675">
        <v>2</v>
      </c>
      <c r="I675">
        <v>600</v>
      </c>
      <c r="J675">
        <v>8.33</v>
      </c>
      <c r="K675" s="2">
        <v>44936</v>
      </c>
      <c r="L675" t="s">
        <v>317</v>
      </c>
      <c r="M675" s="6">
        <f>SalesTbl[[#This Row],[Unit Price]]*SalesTbl[[#This Row],[Quantity]]</f>
        <v>600</v>
      </c>
      <c r="N675" s="6">
        <f>YEAR(SalesTbl[[#This Row],[Order Date]])</f>
        <v>2023</v>
      </c>
      <c r="O675" s="6" t="str">
        <f>TEXT(SalesTbl[[#This Row],[Order Date]],"yyyy-mm")</f>
        <v>2023-01</v>
      </c>
      <c r="P675" s="13">
        <f>WEEKNUM(SalesTbl[[#This Row],[Order Date]],2)</f>
        <v>3</v>
      </c>
      <c r="Q675" s="14">
        <f>MEDIAN(SalesTbl[Quantity])</f>
        <v>3</v>
      </c>
      <c r="R675" s="14">
        <f>IF(ISBLANK(SalesTbl[[#This Row],[Quantity]]),$H$2,SalesTbl[[#This Row],[Quantity]])</f>
        <v>2</v>
      </c>
      <c r="S675">
        <f>ROW()-ROW(SalesTbl[[#Headers],[Customer ID]])</f>
        <v>674</v>
      </c>
      <c r="T675" s="9" t="str">
        <f>IF(SalesTbl[[#This Row],[RowIdx]]&lt;=ROUNDUP(COUNTA(SalesTbl[Customer ID])*0.8,0),"Train","Test")</f>
        <v>Train</v>
      </c>
    </row>
    <row r="676" spans="1:20" x14ac:dyDescent="0.25">
      <c r="A676" t="s">
        <v>221</v>
      </c>
      <c r="B676" t="s">
        <v>20</v>
      </c>
      <c r="C676" t="s">
        <v>321</v>
      </c>
      <c r="D676" t="s">
        <v>23</v>
      </c>
      <c r="E676" t="s">
        <v>15</v>
      </c>
      <c r="F676">
        <v>49</v>
      </c>
      <c r="G676">
        <v>1500</v>
      </c>
      <c r="H676">
        <v>3</v>
      </c>
      <c r="I676">
        <v>4500</v>
      </c>
      <c r="J676">
        <v>6.86</v>
      </c>
      <c r="K676" s="2">
        <v>45287</v>
      </c>
      <c r="L676" t="s">
        <v>317</v>
      </c>
      <c r="M676" s="6">
        <f>SalesTbl[[#This Row],[Unit Price]]*SalesTbl[[#This Row],[Quantity]]</f>
        <v>4500</v>
      </c>
      <c r="N676" s="6">
        <f>YEAR(SalesTbl[[#This Row],[Order Date]])</f>
        <v>2023</v>
      </c>
      <c r="O676" s="6" t="str">
        <f>TEXT(SalesTbl[[#This Row],[Order Date]],"yyyy-mm")</f>
        <v>2023-12</v>
      </c>
      <c r="P676" s="13">
        <f>WEEKNUM(SalesTbl[[#This Row],[Order Date]],2)</f>
        <v>53</v>
      </c>
      <c r="Q676" s="14">
        <f>MEDIAN(SalesTbl[Quantity])</f>
        <v>3</v>
      </c>
      <c r="R676" s="14">
        <f>IF(ISBLANK(SalesTbl[[#This Row],[Quantity]]),$H$2,SalesTbl[[#This Row],[Quantity]])</f>
        <v>3</v>
      </c>
      <c r="S676">
        <f>ROW()-ROW(SalesTbl[[#Headers],[Customer ID]])</f>
        <v>675</v>
      </c>
      <c r="T676" s="9" t="str">
        <f>IF(SalesTbl[[#This Row],[RowIdx]]&lt;=ROUNDUP(COUNTA(SalesTbl[Customer ID])*0.8,0),"Train","Test")</f>
        <v>Train</v>
      </c>
    </row>
    <row r="677" spans="1:20" x14ac:dyDescent="0.25">
      <c r="A677" t="s">
        <v>289</v>
      </c>
      <c r="B677" t="s">
        <v>13</v>
      </c>
      <c r="C677" t="s">
        <v>322</v>
      </c>
      <c r="D677" t="s">
        <v>29</v>
      </c>
      <c r="E677" t="s">
        <v>18</v>
      </c>
      <c r="F677">
        <v>49</v>
      </c>
      <c r="G677">
        <v>50</v>
      </c>
      <c r="H677">
        <v>5</v>
      </c>
      <c r="I677">
        <v>250</v>
      </c>
      <c r="J677">
        <v>9.8699999999999992</v>
      </c>
      <c r="K677" s="2">
        <v>45233</v>
      </c>
      <c r="L677" t="s">
        <v>316</v>
      </c>
      <c r="M677" s="6">
        <f>SalesTbl[[#This Row],[Unit Price]]*SalesTbl[[#This Row],[Quantity]]</f>
        <v>250</v>
      </c>
      <c r="N677" s="6">
        <f>YEAR(SalesTbl[[#This Row],[Order Date]])</f>
        <v>2023</v>
      </c>
      <c r="O677" s="6" t="str">
        <f>TEXT(SalesTbl[[#This Row],[Order Date]],"yyyy-mm")</f>
        <v>2023-11</v>
      </c>
      <c r="P677" s="13">
        <f>WEEKNUM(SalesTbl[[#This Row],[Order Date]],2)</f>
        <v>45</v>
      </c>
      <c r="Q677" s="14">
        <f>MEDIAN(SalesTbl[Quantity])</f>
        <v>3</v>
      </c>
      <c r="R677" s="14">
        <f>IF(ISBLANK(SalesTbl[[#This Row],[Quantity]]),$H$2,SalesTbl[[#This Row],[Quantity]])</f>
        <v>5</v>
      </c>
      <c r="S677">
        <f>ROW()-ROW(SalesTbl[[#Headers],[Customer ID]])</f>
        <v>676</v>
      </c>
      <c r="T677" s="9" t="str">
        <f>IF(SalesTbl[[#This Row],[RowIdx]]&lt;=ROUNDUP(COUNTA(SalesTbl[Customer ID])*0.8,0),"Train","Test")</f>
        <v>Train</v>
      </c>
    </row>
    <row r="678" spans="1:20" x14ac:dyDescent="0.25">
      <c r="A678" t="s">
        <v>282</v>
      </c>
      <c r="B678" t="s">
        <v>13</v>
      </c>
      <c r="C678" t="s">
        <v>321</v>
      </c>
      <c r="D678" t="s">
        <v>25</v>
      </c>
      <c r="E678" t="s">
        <v>26</v>
      </c>
      <c r="F678">
        <v>49</v>
      </c>
      <c r="G678">
        <v>200</v>
      </c>
      <c r="H678">
        <v>2</v>
      </c>
      <c r="I678">
        <v>400</v>
      </c>
      <c r="J678">
        <v>8.0500000000000007</v>
      </c>
      <c r="K678" s="2">
        <v>45026</v>
      </c>
      <c r="L678" t="s">
        <v>317</v>
      </c>
      <c r="M678" s="6">
        <f>SalesTbl[[#This Row],[Unit Price]]*SalesTbl[[#This Row],[Quantity]]</f>
        <v>400</v>
      </c>
      <c r="N678" s="6">
        <f>YEAR(SalesTbl[[#This Row],[Order Date]])</f>
        <v>2023</v>
      </c>
      <c r="O678" s="6" t="str">
        <f>TEXT(SalesTbl[[#This Row],[Order Date]],"yyyy-mm")</f>
        <v>2023-04</v>
      </c>
      <c r="P678" s="13">
        <f>WEEKNUM(SalesTbl[[#This Row],[Order Date]],2)</f>
        <v>16</v>
      </c>
      <c r="Q678" s="14">
        <f>MEDIAN(SalesTbl[Quantity])</f>
        <v>3</v>
      </c>
      <c r="R678" s="14">
        <f>IF(ISBLANK(SalesTbl[[#This Row],[Quantity]]),$H$2,SalesTbl[[#This Row],[Quantity]])</f>
        <v>2</v>
      </c>
      <c r="S678">
        <f>ROW()-ROW(SalesTbl[[#Headers],[Customer ID]])</f>
        <v>677</v>
      </c>
      <c r="T678" s="9" t="str">
        <f>IF(SalesTbl[[#This Row],[RowIdx]]&lt;=ROUNDUP(COUNTA(SalesTbl[Customer ID])*0.8,0),"Train","Test")</f>
        <v>Train</v>
      </c>
    </row>
    <row r="679" spans="1:20" x14ac:dyDescent="0.25">
      <c r="A679" t="s">
        <v>262</v>
      </c>
      <c r="B679" t="s">
        <v>13</v>
      </c>
      <c r="C679" t="s">
        <v>320</v>
      </c>
      <c r="D679" t="s">
        <v>25</v>
      </c>
      <c r="E679" t="s">
        <v>26</v>
      </c>
      <c r="F679">
        <v>40</v>
      </c>
      <c r="G679">
        <v>200</v>
      </c>
      <c r="H679">
        <v>4</v>
      </c>
      <c r="I679">
        <v>800</v>
      </c>
      <c r="J679">
        <v>11.68</v>
      </c>
      <c r="K679" s="2">
        <v>45287</v>
      </c>
      <c r="L679" t="s">
        <v>318</v>
      </c>
      <c r="M679" s="6">
        <f>SalesTbl[[#This Row],[Unit Price]]*SalesTbl[[#This Row],[Quantity]]</f>
        <v>800</v>
      </c>
      <c r="N679" s="6">
        <f>YEAR(SalesTbl[[#This Row],[Order Date]])</f>
        <v>2023</v>
      </c>
      <c r="O679" s="6" t="str">
        <f>TEXT(SalesTbl[[#This Row],[Order Date]],"yyyy-mm")</f>
        <v>2023-12</v>
      </c>
      <c r="P679" s="13">
        <f>WEEKNUM(SalesTbl[[#This Row],[Order Date]],2)</f>
        <v>53</v>
      </c>
      <c r="Q679" s="14">
        <f>MEDIAN(SalesTbl[Quantity])</f>
        <v>3</v>
      </c>
      <c r="R679" s="14">
        <f>IF(ISBLANK(SalesTbl[[#This Row],[Quantity]]),$H$2,SalesTbl[[#This Row],[Quantity]])</f>
        <v>4</v>
      </c>
      <c r="S679">
        <f>ROW()-ROW(SalesTbl[[#Headers],[Customer ID]])</f>
        <v>678</v>
      </c>
      <c r="T679" s="9" t="str">
        <f>IF(SalesTbl[[#This Row],[RowIdx]]&lt;=ROUNDUP(COUNTA(SalesTbl[Customer ID])*0.8,0),"Train","Test")</f>
        <v>Train</v>
      </c>
    </row>
    <row r="680" spans="1:20" x14ac:dyDescent="0.25">
      <c r="A680" t="s">
        <v>22</v>
      </c>
      <c r="B680" t="s">
        <v>13</v>
      </c>
      <c r="C680" t="s">
        <v>322</v>
      </c>
      <c r="D680" t="s">
        <v>23</v>
      </c>
      <c r="E680" t="s">
        <v>15</v>
      </c>
      <c r="F680">
        <v>65</v>
      </c>
      <c r="G680">
        <v>1500</v>
      </c>
      <c r="H680">
        <v>3</v>
      </c>
      <c r="I680">
        <v>4500</v>
      </c>
      <c r="J680">
        <v>13.18</v>
      </c>
      <c r="K680" s="2">
        <v>45282</v>
      </c>
      <c r="L680" t="s">
        <v>317</v>
      </c>
      <c r="M680" s="6">
        <f>SalesTbl[[#This Row],[Unit Price]]*SalesTbl[[#This Row],[Quantity]]</f>
        <v>4500</v>
      </c>
      <c r="N680" s="6">
        <f>YEAR(SalesTbl[[#This Row],[Order Date]])</f>
        <v>2023</v>
      </c>
      <c r="O680" s="6" t="str">
        <f>TEXT(SalesTbl[[#This Row],[Order Date]],"yyyy-mm")</f>
        <v>2023-12</v>
      </c>
      <c r="P680" s="13">
        <f>WEEKNUM(SalesTbl[[#This Row],[Order Date]],2)</f>
        <v>52</v>
      </c>
      <c r="Q680" s="14">
        <f>MEDIAN(SalesTbl[Quantity])</f>
        <v>3</v>
      </c>
      <c r="R680" s="14">
        <f>IF(ISBLANK(SalesTbl[[#This Row],[Quantity]]),$H$2,SalesTbl[[#This Row],[Quantity]])</f>
        <v>3</v>
      </c>
      <c r="S680">
        <f>ROW()-ROW(SalesTbl[[#Headers],[Customer ID]])</f>
        <v>679</v>
      </c>
      <c r="T680" s="9" t="str">
        <f>IF(SalesTbl[[#This Row],[RowIdx]]&lt;=ROUNDUP(COUNTA(SalesTbl[Customer ID])*0.8,0),"Train","Test")</f>
        <v>Train</v>
      </c>
    </row>
    <row r="681" spans="1:20" x14ac:dyDescent="0.25">
      <c r="A681" t="s">
        <v>47</v>
      </c>
      <c r="B681" t="s">
        <v>20</v>
      </c>
      <c r="C681" t="s">
        <v>323</v>
      </c>
      <c r="D681" t="s">
        <v>40</v>
      </c>
      <c r="E681" t="s">
        <v>15</v>
      </c>
      <c r="F681">
        <v>57</v>
      </c>
      <c r="G681">
        <v>800</v>
      </c>
      <c r="H681">
        <v>2</v>
      </c>
      <c r="I681">
        <v>1600</v>
      </c>
      <c r="J681">
        <v>9.01</v>
      </c>
      <c r="K681" s="2">
        <v>45238</v>
      </c>
      <c r="L681" t="s">
        <v>317</v>
      </c>
      <c r="M681" s="6">
        <f>SalesTbl[[#This Row],[Unit Price]]*SalesTbl[[#This Row],[Quantity]]</f>
        <v>1600</v>
      </c>
      <c r="N681" s="6">
        <f>YEAR(SalesTbl[[#This Row],[Order Date]])</f>
        <v>2023</v>
      </c>
      <c r="O681" s="6" t="str">
        <f>TEXT(SalesTbl[[#This Row],[Order Date]],"yyyy-mm")</f>
        <v>2023-11</v>
      </c>
      <c r="P681" s="13">
        <f>WEEKNUM(SalesTbl[[#This Row],[Order Date]],2)</f>
        <v>46</v>
      </c>
      <c r="Q681" s="14">
        <f>MEDIAN(SalesTbl[Quantity])</f>
        <v>3</v>
      </c>
      <c r="R681" s="14">
        <f>IF(ISBLANK(SalesTbl[[#This Row],[Quantity]]),$H$2,SalesTbl[[#This Row],[Quantity]])</f>
        <v>2</v>
      </c>
      <c r="S681">
        <f>ROW()-ROW(SalesTbl[[#Headers],[Customer ID]])</f>
        <v>680</v>
      </c>
      <c r="T681" s="9" t="str">
        <f>IF(SalesTbl[[#This Row],[RowIdx]]&lt;=ROUNDUP(COUNTA(SalesTbl[Customer ID])*0.8,0),"Train","Test")</f>
        <v>Train</v>
      </c>
    </row>
    <row r="682" spans="1:20" x14ac:dyDescent="0.25">
      <c r="A682" t="s">
        <v>199</v>
      </c>
      <c r="B682" t="s">
        <v>20</v>
      </c>
      <c r="C682" t="s">
        <v>322</v>
      </c>
      <c r="D682" t="s">
        <v>17</v>
      </c>
      <c r="E682" t="s">
        <v>18</v>
      </c>
      <c r="F682">
        <v>50</v>
      </c>
      <c r="G682">
        <v>100</v>
      </c>
      <c r="H682">
        <v>3</v>
      </c>
      <c r="I682">
        <v>300</v>
      </c>
      <c r="J682">
        <v>17.63</v>
      </c>
      <c r="K682" s="2">
        <v>45267</v>
      </c>
      <c r="L682" t="s">
        <v>318</v>
      </c>
      <c r="M682" s="6">
        <f>SalesTbl[[#This Row],[Unit Price]]*SalesTbl[[#This Row],[Quantity]]</f>
        <v>300</v>
      </c>
      <c r="N682" s="6">
        <f>YEAR(SalesTbl[[#This Row],[Order Date]])</f>
        <v>2023</v>
      </c>
      <c r="O682" s="6" t="str">
        <f>TEXT(SalesTbl[[#This Row],[Order Date]],"yyyy-mm")</f>
        <v>2023-12</v>
      </c>
      <c r="P682" s="13">
        <f>WEEKNUM(SalesTbl[[#This Row],[Order Date]],2)</f>
        <v>50</v>
      </c>
      <c r="Q682" s="14">
        <f>MEDIAN(SalesTbl[Quantity])</f>
        <v>3</v>
      </c>
      <c r="R682" s="14">
        <f>IF(ISBLANK(SalesTbl[[#This Row],[Quantity]]),$H$2,SalesTbl[[#This Row],[Quantity]])</f>
        <v>3</v>
      </c>
      <c r="S682">
        <f>ROW()-ROW(SalesTbl[[#Headers],[Customer ID]])</f>
        <v>681</v>
      </c>
      <c r="T682" s="9" t="str">
        <f>IF(SalesTbl[[#This Row],[RowIdx]]&lt;=ROUNDUP(COUNTA(SalesTbl[Customer ID])*0.8,0),"Train","Test")</f>
        <v>Train</v>
      </c>
    </row>
    <row r="683" spans="1:20" x14ac:dyDescent="0.25">
      <c r="A683" t="s">
        <v>267</v>
      </c>
      <c r="B683" t="s">
        <v>13</v>
      </c>
      <c r="C683" t="s">
        <v>321</v>
      </c>
      <c r="D683" t="s">
        <v>14</v>
      </c>
      <c r="E683" t="s">
        <v>15</v>
      </c>
      <c r="F683">
        <v>19</v>
      </c>
      <c r="G683">
        <v>300</v>
      </c>
      <c r="H683">
        <v>1</v>
      </c>
      <c r="I683">
        <v>300</v>
      </c>
      <c r="J683">
        <v>7.48</v>
      </c>
      <c r="K683" s="2">
        <v>44991</v>
      </c>
      <c r="L683" t="s">
        <v>317</v>
      </c>
      <c r="M683" s="6">
        <f>SalesTbl[[#This Row],[Unit Price]]*SalesTbl[[#This Row],[Quantity]]</f>
        <v>300</v>
      </c>
      <c r="N683" s="6">
        <f>YEAR(SalesTbl[[#This Row],[Order Date]])</f>
        <v>2023</v>
      </c>
      <c r="O683" s="6" t="str">
        <f>TEXT(SalesTbl[[#This Row],[Order Date]],"yyyy-mm")</f>
        <v>2023-03</v>
      </c>
      <c r="P683" s="13">
        <f>WEEKNUM(SalesTbl[[#This Row],[Order Date]],2)</f>
        <v>11</v>
      </c>
      <c r="Q683" s="14">
        <f>MEDIAN(SalesTbl[Quantity])</f>
        <v>3</v>
      </c>
      <c r="R683" s="14">
        <f>IF(ISBLANK(SalesTbl[[#This Row],[Quantity]]),$H$2,SalesTbl[[#This Row],[Quantity]])</f>
        <v>1</v>
      </c>
      <c r="S683">
        <f>ROW()-ROW(SalesTbl[[#Headers],[Customer ID]])</f>
        <v>682</v>
      </c>
      <c r="T683" s="9" t="str">
        <f>IF(SalesTbl[[#This Row],[RowIdx]]&lt;=ROUNDUP(COUNTA(SalesTbl[Customer ID])*0.8,0),"Train","Test")</f>
        <v>Train</v>
      </c>
    </row>
    <row r="684" spans="1:20" x14ac:dyDescent="0.25">
      <c r="A684" t="s">
        <v>214</v>
      </c>
      <c r="B684" t="s">
        <v>13</v>
      </c>
      <c r="C684" t="s">
        <v>322</v>
      </c>
      <c r="D684" t="s">
        <v>30</v>
      </c>
      <c r="E684" t="s">
        <v>18</v>
      </c>
      <c r="F684">
        <v>49</v>
      </c>
      <c r="G684">
        <v>30</v>
      </c>
      <c r="H684">
        <v>1</v>
      </c>
      <c r="I684">
        <v>30</v>
      </c>
      <c r="J684">
        <v>6.7</v>
      </c>
      <c r="K684" s="2">
        <v>45053</v>
      </c>
      <c r="L684" t="s">
        <v>317</v>
      </c>
      <c r="M684" s="6">
        <f>SalesTbl[[#This Row],[Unit Price]]*SalesTbl[[#This Row],[Quantity]]</f>
        <v>30</v>
      </c>
      <c r="N684" s="6">
        <f>YEAR(SalesTbl[[#This Row],[Order Date]])</f>
        <v>2023</v>
      </c>
      <c r="O684" s="6" t="str">
        <f>TEXT(SalesTbl[[#This Row],[Order Date]],"yyyy-mm")</f>
        <v>2023-05</v>
      </c>
      <c r="P684" s="13">
        <f>WEEKNUM(SalesTbl[[#This Row],[Order Date]],2)</f>
        <v>19</v>
      </c>
      <c r="Q684" s="14">
        <f>MEDIAN(SalesTbl[Quantity])</f>
        <v>3</v>
      </c>
      <c r="R684" s="14">
        <f>IF(ISBLANK(SalesTbl[[#This Row],[Quantity]]),$H$2,SalesTbl[[#This Row],[Quantity]])</f>
        <v>1</v>
      </c>
      <c r="S684">
        <f>ROW()-ROW(SalesTbl[[#Headers],[Customer ID]])</f>
        <v>683</v>
      </c>
      <c r="T684" s="9" t="str">
        <f>IF(SalesTbl[[#This Row],[RowIdx]]&lt;=ROUNDUP(COUNTA(SalesTbl[Customer ID])*0.8,0),"Train","Test")</f>
        <v>Train</v>
      </c>
    </row>
    <row r="685" spans="1:20" x14ac:dyDescent="0.25">
      <c r="A685" t="s">
        <v>48</v>
      </c>
      <c r="B685" t="s">
        <v>20</v>
      </c>
      <c r="C685" t="s">
        <v>322</v>
      </c>
      <c r="D685" t="s">
        <v>30</v>
      </c>
      <c r="E685" t="s">
        <v>18</v>
      </c>
      <c r="F685">
        <v>49</v>
      </c>
      <c r="G685">
        <v>30</v>
      </c>
      <c r="H685">
        <v>5</v>
      </c>
      <c r="I685">
        <v>150</v>
      </c>
      <c r="J685">
        <v>14.88</v>
      </c>
      <c r="K685" s="2">
        <v>45267</v>
      </c>
      <c r="L685" t="s">
        <v>318</v>
      </c>
      <c r="M685" s="6">
        <f>SalesTbl[[#This Row],[Unit Price]]*SalesTbl[[#This Row],[Quantity]]</f>
        <v>150</v>
      </c>
      <c r="N685" s="6">
        <f>YEAR(SalesTbl[[#This Row],[Order Date]])</f>
        <v>2023</v>
      </c>
      <c r="O685" s="6" t="str">
        <f>TEXT(SalesTbl[[#This Row],[Order Date]],"yyyy-mm")</f>
        <v>2023-12</v>
      </c>
      <c r="P685" s="13">
        <f>WEEKNUM(SalesTbl[[#This Row],[Order Date]],2)</f>
        <v>50</v>
      </c>
      <c r="Q685" s="14">
        <f>MEDIAN(SalesTbl[Quantity])</f>
        <v>3</v>
      </c>
      <c r="R685" s="14">
        <f>IF(ISBLANK(SalesTbl[[#This Row],[Quantity]]),$H$2,SalesTbl[[#This Row],[Quantity]])</f>
        <v>5</v>
      </c>
      <c r="S685">
        <f>ROW()-ROW(SalesTbl[[#Headers],[Customer ID]])</f>
        <v>684</v>
      </c>
      <c r="T685" s="9" t="str">
        <f>IF(SalesTbl[[#This Row],[RowIdx]]&lt;=ROUNDUP(COUNTA(SalesTbl[Customer ID])*0.8,0),"Train","Test")</f>
        <v>Train</v>
      </c>
    </row>
    <row r="686" spans="1:20" x14ac:dyDescent="0.25">
      <c r="A686" t="s">
        <v>266</v>
      </c>
      <c r="B686" t="s">
        <v>20</v>
      </c>
      <c r="C686" t="s">
        <v>322</v>
      </c>
      <c r="D686" t="s">
        <v>40</v>
      </c>
      <c r="E686" t="s">
        <v>15</v>
      </c>
      <c r="F686">
        <v>55</v>
      </c>
      <c r="G686">
        <v>800</v>
      </c>
      <c r="H686">
        <v>4</v>
      </c>
      <c r="I686">
        <v>3200</v>
      </c>
      <c r="J686">
        <v>8.31</v>
      </c>
      <c r="K686" s="2">
        <v>45182</v>
      </c>
      <c r="L686" t="s">
        <v>316</v>
      </c>
      <c r="M686" s="6">
        <f>SalesTbl[[#This Row],[Unit Price]]*SalesTbl[[#This Row],[Quantity]]</f>
        <v>3200</v>
      </c>
      <c r="N686" s="6">
        <f>YEAR(SalesTbl[[#This Row],[Order Date]])</f>
        <v>2023</v>
      </c>
      <c r="O686" s="6" t="str">
        <f>TEXT(SalesTbl[[#This Row],[Order Date]],"yyyy-mm")</f>
        <v>2023-09</v>
      </c>
      <c r="P686" s="13">
        <f>WEEKNUM(SalesTbl[[#This Row],[Order Date]],2)</f>
        <v>38</v>
      </c>
      <c r="Q686" s="14">
        <f>MEDIAN(SalesTbl[Quantity])</f>
        <v>3</v>
      </c>
      <c r="R686" s="14">
        <f>IF(ISBLANK(SalesTbl[[#This Row],[Quantity]]),$H$2,SalesTbl[[#This Row],[Quantity]])</f>
        <v>4</v>
      </c>
      <c r="S686">
        <f>ROW()-ROW(SalesTbl[[#Headers],[Customer ID]])</f>
        <v>685</v>
      </c>
      <c r="T686" s="9" t="str">
        <f>IF(SalesTbl[[#This Row],[RowIdx]]&lt;=ROUNDUP(COUNTA(SalesTbl[Customer ID])*0.8,0),"Train","Test")</f>
        <v>Train</v>
      </c>
    </row>
    <row r="687" spans="1:20" x14ac:dyDescent="0.25">
      <c r="A687" t="s">
        <v>38</v>
      </c>
      <c r="B687" t="s">
        <v>20</v>
      </c>
      <c r="C687" t="s">
        <v>319</v>
      </c>
      <c r="D687" t="s">
        <v>40</v>
      </c>
      <c r="E687" t="s">
        <v>15</v>
      </c>
      <c r="F687">
        <v>57</v>
      </c>
      <c r="G687">
        <v>800</v>
      </c>
      <c r="H687">
        <v>3</v>
      </c>
      <c r="I687">
        <v>2400</v>
      </c>
      <c r="J687">
        <v>19.61</v>
      </c>
      <c r="K687" s="2">
        <v>45291</v>
      </c>
      <c r="L687" t="s">
        <v>316</v>
      </c>
      <c r="M687" s="6">
        <f>SalesTbl[[#This Row],[Unit Price]]*SalesTbl[[#This Row],[Quantity]]</f>
        <v>2400</v>
      </c>
      <c r="N687" s="6">
        <f>YEAR(SalesTbl[[#This Row],[Order Date]])</f>
        <v>2023</v>
      </c>
      <c r="O687" s="6" t="str">
        <f>TEXT(SalesTbl[[#This Row],[Order Date]],"yyyy-mm")</f>
        <v>2023-12</v>
      </c>
      <c r="P687" s="13">
        <f>WEEKNUM(SalesTbl[[#This Row],[Order Date]],2)</f>
        <v>53</v>
      </c>
      <c r="Q687" s="14">
        <f>MEDIAN(SalesTbl[Quantity])</f>
        <v>3</v>
      </c>
      <c r="R687" s="14">
        <f>IF(ISBLANK(SalesTbl[[#This Row],[Quantity]]),$H$2,SalesTbl[[#This Row],[Quantity]])</f>
        <v>3</v>
      </c>
      <c r="S687">
        <f>ROW()-ROW(SalesTbl[[#Headers],[Customer ID]])</f>
        <v>686</v>
      </c>
      <c r="T687" s="9" t="str">
        <f>IF(SalesTbl[[#This Row],[RowIdx]]&lt;=ROUNDUP(COUNTA(SalesTbl[Customer ID])*0.8,0),"Train","Test")</f>
        <v>Train</v>
      </c>
    </row>
    <row r="688" spans="1:20" x14ac:dyDescent="0.25">
      <c r="A688" t="s">
        <v>95</v>
      </c>
      <c r="B688" t="s">
        <v>20</v>
      </c>
      <c r="C688" t="s">
        <v>322</v>
      </c>
      <c r="D688" t="s">
        <v>29</v>
      </c>
      <c r="E688" t="s">
        <v>18</v>
      </c>
      <c r="F688">
        <v>33</v>
      </c>
      <c r="G688">
        <v>50</v>
      </c>
      <c r="H688">
        <v>2</v>
      </c>
      <c r="I688">
        <v>100</v>
      </c>
      <c r="J688">
        <v>16.28</v>
      </c>
      <c r="K688" s="2">
        <v>45036</v>
      </c>
      <c r="L688" t="s">
        <v>316</v>
      </c>
      <c r="M688" s="6">
        <f>SalesTbl[[#This Row],[Unit Price]]*SalesTbl[[#This Row],[Quantity]]</f>
        <v>100</v>
      </c>
      <c r="N688" s="6">
        <f>YEAR(SalesTbl[[#This Row],[Order Date]])</f>
        <v>2023</v>
      </c>
      <c r="O688" s="6" t="str">
        <f>TEXT(SalesTbl[[#This Row],[Order Date]],"yyyy-mm")</f>
        <v>2023-04</v>
      </c>
      <c r="P688" s="13">
        <f>WEEKNUM(SalesTbl[[#This Row],[Order Date]],2)</f>
        <v>17</v>
      </c>
      <c r="Q688" s="14">
        <f>MEDIAN(SalesTbl[Quantity])</f>
        <v>3</v>
      </c>
      <c r="R688" s="14">
        <f>IF(ISBLANK(SalesTbl[[#This Row],[Quantity]]),$H$2,SalesTbl[[#This Row],[Quantity]])</f>
        <v>2</v>
      </c>
      <c r="S688">
        <f>ROW()-ROW(SalesTbl[[#Headers],[Customer ID]])</f>
        <v>687</v>
      </c>
      <c r="T688" s="9" t="str">
        <f>IF(SalesTbl[[#This Row],[RowIdx]]&lt;=ROUNDUP(COUNTA(SalesTbl[Customer ID])*0.8,0),"Train","Test")</f>
        <v>Train</v>
      </c>
    </row>
    <row r="689" spans="1:20" x14ac:dyDescent="0.25">
      <c r="A689" t="s">
        <v>291</v>
      </c>
      <c r="B689" t="s">
        <v>20</v>
      </c>
      <c r="C689" t="s">
        <v>320</v>
      </c>
      <c r="D689" t="s">
        <v>14</v>
      </c>
      <c r="E689" t="s">
        <v>15</v>
      </c>
      <c r="F689">
        <v>53</v>
      </c>
      <c r="G689">
        <v>300</v>
      </c>
      <c r="H689">
        <v>4</v>
      </c>
      <c r="I689">
        <v>1200</v>
      </c>
      <c r="J689">
        <v>10.58</v>
      </c>
      <c r="K689" s="2">
        <v>45016</v>
      </c>
      <c r="L689" t="s">
        <v>319</v>
      </c>
      <c r="M689" s="6">
        <f>SalesTbl[[#This Row],[Unit Price]]*SalesTbl[[#This Row],[Quantity]]</f>
        <v>1200</v>
      </c>
      <c r="N689" s="6">
        <f>YEAR(SalesTbl[[#This Row],[Order Date]])</f>
        <v>2023</v>
      </c>
      <c r="O689" s="6" t="str">
        <f>TEXT(SalesTbl[[#This Row],[Order Date]],"yyyy-mm")</f>
        <v>2023-03</v>
      </c>
      <c r="P689" s="13">
        <f>WEEKNUM(SalesTbl[[#This Row],[Order Date]],2)</f>
        <v>14</v>
      </c>
      <c r="Q689" s="14">
        <f>MEDIAN(SalesTbl[Quantity])</f>
        <v>3</v>
      </c>
      <c r="R689" s="14">
        <f>IF(ISBLANK(SalesTbl[[#This Row],[Quantity]]),$H$2,SalesTbl[[#This Row],[Quantity]])</f>
        <v>4</v>
      </c>
      <c r="S689">
        <f>ROW()-ROW(SalesTbl[[#Headers],[Customer ID]])</f>
        <v>688</v>
      </c>
      <c r="T689" s="9" t="str">
        <f>IF(SalesTbl[[#This Row],[RowIdx]]&lt;=ROUNDUP(COUNTA(SalesTbl[Customer ID])*0.8,0),"Train","Test")</f>
        <v>Train</v>
      </c>
    </row>
    <row r="690" spans="1:20" x14ac:dyDescent="0.25">
      <c r="A690" t="s">
        <v>282</v>
      </c>
      <c r="B690" t="s">
        <v>13</v>
      </c>
      <c r="C690" t="s">
        <v>323</v>
      </c>
      <c r="D690" t="s">
        <v>14</v>
      </c>
      <c r="E690" t="s">
        <v>15</v>
      </c>
      <c r="F690">
        <v>46</v>
      </c>
      <c r="G690">
        <v>300</v>
      </c>
      <c r="H690">
        <v>4</v>
      </c>
      <c r="I690">
        <v>1200</v>
      </c>
      <c r="J690">
        <v>19.38</v>
      </c>
      <c r="K690" s="2">
        <v>45250</v>
      </c>
      <c r="L690" t="s">
        <v>317</v>
      </c>
      <c r="M690" s="6">
        <f>SalesTbl[[#This Row],[Unit Price]]*SalesTbl[[#This Row],[Quantity]]</f>
        <v>1200</v>
      </c>
      <c r="N690" s="6">
        <f>YEAR(SalesTbl[[#This Row],[Order Date]])</f>
        <v>2023</v>
      </c>
      <c r="O690" s="6" t="str">
        <f>TEXT(SalesTbl[[#This Row],[Order Date]],"yyyy-mm")</f>
        <v>2023-11</v>
      </c>
      <c r="P690" s="13">
        <f>WEEKNUM(SalesTbl[[#This Row],[Order Date]],2)</f>
        <v>48</v>
      </c>
      <c r="Q690" s="14">
        <f>MEDIAN(SalesTbl[Quantity])</f>
        <v>3</v>
      </c>
      <c r="R690" s="14">
        <f>IF(ISBLANK(SalesTbl[[#This Row],[Quantity]]),$H$2,SalesTbl[[#This Row],[Quantity]])</f>
        <v>4</v>
      </c>
      <c r="S690">
        <f>ROW()-ROW(SalesTbl[[#Headers],[Customer ID]])</f>
        <v>689</v>
      </c>
      <c r="T690" s="9" t="str">
        <f>IF(SalesTbl[[#This Row],[RowIdx]]&lt;=ROUNDUP(COUNTA(SalesTbl[Customer ID])*0.8,0),"Train","Test")</f>
        <v>Train</v>
      </c>
    </row>
    <row r="691" spans="1:20" x14ac:dyDescent="0.25">
      <c r="A691" t="s">
        <v>135</v>
      </c>
      <c r="B691" t="s">
        <v>20</v>
      </c>
      <c r="C691" t="s">
        <v>321</v>
      </c>
      <c r="D691" t="s">
        <v>30</v>
      </c>
      <c r="E691" t="s">
        <v>18</v>
      </c>
      <c r="F691">
        <v>54</v>
      </c>
      <c r="G691">
        <v>30</v>
      </c>
      <c r="H691">
        <v>3</v>
      </c>
      <c r="I691">
        <v>90</v>
      </c>
      <c r="J691">
        <v>14.77</v>
      </c>
      <c r="K691" s="2">
        <v>45269</v>
      </c>
      <c r="L691" t="s">
        <v>317</v>
      </c>
      <c r="M691" s="6">
        <f>SalesTbl[[#This Row],[Unit Price]]*SalesTbl[[#This Row],[Quantity]]</f>
        <v>90</v>
      </c>
      <c r="N691" s="6">
        <f>YEAR(SalesTbl[[#This Row],[Order Date]])</f>
        <v>2023</v>
      </c>
      <c r="O691" s="6" t="str">
        <f>TEXT(SalesTbl[[#This Row],[Order Date]],"yyyy-mm")</f>
        <v>2023-12</v>
      </c>
      <c r="P691" s="13">
        <f>WEEKNUM(SalesTbl[[#This Row],[Order Date]],2)</f>
        <v>50</v>
      </c>
      <c r="Q691" s="14">
        <f>MEDIAN(SalesTbl[Quantity])</f>
        <v>3</v>
      </c>
      <c r="R691" s="14">
        <f>IF(ISBLANK(SalesTbl[[#This Row],[Quantity]]),$H$2,SalesTbl[[#This Row],[Quantity]])</f>
        <v>3</v>
      </c>
      <c r="S691">
        <f>ROW()-ROW(SalesTbl[[#Headers],[Customer ID]])</f>
        <v>690</v>
      </c>
      <c r="T691" s="9" t="str">
        <f>IF(SalesTbl[[#This Row],[RowIdx]]&lt;=ROUNDUP(COUNTA(SalesTbl[Customer ID])*0.8,0),"Train","Test")</f>
        <v>Train</v>
      </c>
    </row>
    <row r="692" spans="1:20" x14ac:dyDescent="0.25">
      <c r="A692" t="s">
        <v>292</v>
      </c>
      <c r="B692" t="s">
        <v>13</v>
      </c>
      <c r="C692" t="s">
        <v>321</v>
      </c>
      <c r="D692" t="s">
        <v>25</v>
      </c>
      <c r="E692" t="s">
        <v>26</v>
      </c>
      <c r="F692">
        <v>41</v>
      </c>
      <c r="G692">
        <v>200</v>
      </c>
      <c r="H692">
        <v>1</v>
      </c>
      <c r="I692">
        <v>200</v>
      </c>
      <c r="J692">
        <v>13.72</v>
      </c>
      <c r="K692" s="2">
        <v>45083</v>
      </c>
      <c r="L692" t="s">
        <v>317</v>
      </c>
      <c r="M692" s="6">
        <f>SalesTbl[[#This Row],[Unit Price]]*SalesTbl[[#This Row],[Quantity]]</f>
        <v>200</v>
      </c>
      <c r="N692" s="6">
        <f>YEAR(SalesTbl[[#This Row],[Order Date]])</f>
        <v>2023</v>
      </c>
      <c r="O692" s="6" t="str">
        <f>TEXT(SalesTbl[[#This Row],[Order Date]],"yyyy-mm")</f>
        <v>2023-06</v>
      </c>
      <c r="P692" s="13">
        <f>WEEKNUM(SalesTbl[[#This Row],[Order Date]],2)</f>
        <v>24</v>
      </c>
      <c r="Q692" s="14">
        <f>MEDIAN(SalesTbl[Quantity])</f>
        <v>3</v>
      </c>
      <c r="R692" s="14">
        <f>IF(ISBLANK(SalesTbl[[#This Row],[Quantity]]),$H$2,SalesTbl[[#This Row],[Quantity]])</f>
        <v>1</v>
      </c>
      <c r="S692">
        <f>ROW()-ROW(SalesTbl[[#Headers],[Customer ID]])</f>
        <v>691</v>
      </c>
      <c r="T692" s="9" t="str">
        <f>IF(SalesTbl[[#This Row],[RowIdx]]&lt;=ROUNDUP(COUNTA(SalesTbl[Customer ID])*0.8,0),"Train","Test")</f>
        <v>Train</v>
      </c>
    </row>
    <row r="693" spans="1:20" x14ac:dyDescent="0.25">
      <c r="A693" t="s">
        <v>146</v>
      </c>
      <c r="B693" t="s">
        <v>13</v>
      </c>
      <c r="C693" t="s">
        <v>321</v>
      </c>
      <c r="D693" t="s">
        <v>30</v>
      </c>
      <c r="E693" t="s">
        <v>18</v>
      </c>
      <c r="F693">
        <v>68</v>
      </c>
      <c r="G693">
        <v>30</v>
      </c>
      <c r="H693">
        <v>5</v>
      </c>
      <c r="I693">
        <v>150</v>
      </c>
      <c r="J693">
        <v>16.66</v>
      </c>
      <c r="K693" s="2">
        <v>45272</v>
      </c>
      <c r="L693" t="s">
        <v>317</v>
      </c>
      <c r="M693" s="6">
        <f>SalesTbl[[#This Row],[Unit Price]]*SalesTbl[[#This Row],[Quantity]]</f>
        <v>150</v>
      </c>
      <c r="N693" s="6">
        <f>YEAR(SalesTbl[[#This Row],[Order Date]])</f>
        <v>2023</v>
      </c>
      <c r="O693" s="6" t="str">
        <f>TEXT(SalesTbl[[#This Row],[Order Date]],"yyyy-mm")</f>
        <v>2023-12</v>
      </c>
      <c r="P693" s="13">
        <f>WEEKNUM(SalesTbl[[#This Row],[Order Date]],2)</f>
        <v>51</v>
      </c>
      <c r="Q693" s="14">
        <f>MEDIAN(SalesTbl[Quantity])</f>
        <v>3</v>
      </c>
      <c r="R693" s="14">
        <f>IF(ISBLANK(SalesTbl[[#This Row],[Quantity]]),$H$2,SalesTbl[[#This Row],[Quantity]])</f>
        <v>5</v>
      </c>
      <c r="S693">
        <f>ROW()-ROW(SalesTbl[[#Headers],[Customer ID]])</f>
        <v>692</v>
      </c>
      <c r="T693" s="9" t="str">
        <f>IF(SalesTbl[[#This Row],[RowIdx]]&lt;=ROUNDUP(COUNTA(SalesTbl[Customer ID])*0.8,0),"Train","Test")</f>
        <v>Train</v>
      </c>
    </row>
    <row r="694" spans="1:20" x14ac:dyDescent="0.25">
      <c r="A694" t="s">
        <v>38</v>
      </c>
      <c r="B694" t="s">
        <v>13</v>
      </c>
      <c r="C694" t="s">
        <v>321</v>
      </c>
      <c r="D694" t="s">
        <v>23</v>
      </c>
      <c r="E694" t="s">
        <v>15</v>
      </c>
      <c r="F694">
        <v>57</v>
      </c>
      <c r="G694">
        <v>1500</v>
      </c>
      <c r="H694">
        <v>5</v>
      </c>
      <c r="I694">
        <v>7500</v>
      </c>
      <c r="J694">
        <v>8.19</v>
      </c>
      <c r="K694" s="2">
        <v>45137</v>
      </c>
      <c r="L694" t="s">
        <v>317</v>
      </c>
      <c r="M694" s="6">
        <f>SalesTbl[[#This Row],[Unit Price]]*SalesTbl[[#This Row],[Quantity]]</f>
        <v>7500</v>
      </c>
      <c r="N694" s="6">
        <f>YEAR(SalesTbl[[#This Row],[Order Date]])</f>
        <v>2023</v>
      </c>
      <c r="O694" s="6" t="str">
        <f>TEXT(SalesTbl[[#This Row],[Order Date]],"yyyy-mm")</f>
        <v>2023-07</v>
      </c>
      <c r="P694" s="13">
        <f>WEEKNUM(SalesTbl[[#This Row],[Order Date]],2)</f>
        <v>31</v>
      </c>
      <c r="Q694" s="14">
        <f>MEDIAN(SalesTbl[Quantity])</f>
        <v>3</v>
      </c>
      <c r="R694" s="14">
        <f>IF(ISBLANK(SalesTbl[[#This Row],[Quantity]]),$H$2,SalesTbl[[#This Row],[Quantity]])</f>
        <v>5</v>
      </c>
      <c r="S694">
        <f>ROW()-ROW(SalesTbl[[#Headers],[Customer ID]])</f>
        <v>693</v>
      </c>
      <c r="T694" s="9" t="str">
        <f>IF(SalesTbl[[#This Row],[RowIdx]]&lt;=ROUNDUP(COUNTA(SalesTbl[Customer ID])*0.8,0),"Train","Test")</f>
        <v>Train</v>
      </c>
    </row>
    <row r="695" spans="1:20" x14ac:dyDescent="0.25">
      <c r="A695" t="s">
        <v>230</v>
      </c>
      <c r="B695" t="s">
        <v>13</v>
      </c>
      <c r="C695" t="s">
        <v>321</v>
      </c>
      <c r="D695" t="s">
        <v>17</v>
      </c>
      <c r="E695" t="s">
        <v>18</v>
      </c>
      <c r="F695">
        <v>42</v>
      </c>
      <c r="G695">
        <v>100</v>
      </c>
      <c r="H695">
        <v>5</v>
      </c>
      <c r="I695">
        <v>500</v>
      </c>
      <c r="J695">
        <v>5.43</v>
      </c>
      <c r="K695" s="2">
        <v>45223</v>
      </c>
      <c r="L695" t="s">
        <v>318</v>
      </c>
      <c r="M695" s="6">
        <f>SalesTbl[[#This Row],[Unit Price]]*SalesTbl[[#This Row],[Quantity]]</f>
        <v>500</v>
      </c>
      <c r="N695" s="6">
        <f>YEAR(SalesTbl[[#This Row],[Order Date]])</f>
        <v>2023</v>
      </c>
      <c r="O695" s="6" t="str">
        <f>TEXT(SalesTbl[[#This Row],[Order Date]],"yyyy-mm")</f>
        <v>2023-10</v>
      </c>
      <c r="P695" s="13">
        <f>WEEKNUM(SalesTbl[[#This Row],[Order Date]],2)</f>
        <v>44</v>
      </c>
      <c r="Q695" s="14">
        <f>MEDIAN(SalesTbl[Quantity])</f>
        <v>3</v>
      </c>
      <c r="R695" s="14">
        <f>IF(ISBLANK(SalesTbl[[#This Row],[Quantity]]),$H$2,SalesTbl[[#This Row],[Quantity]])</f>
        <v>5</v>
      </c>
      <c r="S695">
        <f>ROW()-ROW(SalesTbl[[#Headers],[Customer ID]])</f>
        <v>694</v>
      </c>
      <c r="T695" s="9" t="str">
        <f>IF(SalesTbl[[#This Row],[RowIdx]]&lt;=ROUNDUP(COUNTA(SalesTbl[Customer ID])*0.8,0),"Train","Test")</f>
        <v>Train</v>
      </c>
    </row>
    <row r="696" spans="1:20" x14ac:dyDescent="0.25">
      <c r="A696" t="s">
        <v>204</v>
      </c>
      <c r="B696" t="s">
        <v>13</v>
      </c>
      <c r="C696" t="s">
        <v>323</v>
      </c>
      <c r="D696" t="s">
        <v>25</v>
      </c>
      <c r="E696" t="s">
        <v>26</v>
      </c>
      <c r="F696">
        <v>69</v>
      </c>
      <c r="G696">
        <v>200</v>
      </c>
      <c r="H696">
        <v>5</v>
      </c>
      <c r="I696">
        <v>1000</v>
      </c>
      <c r="J696">
        <v>7.71</v>
      </c>
      <c r="K696" s="2">
        <v>45224</v>
      </c>
      <c r="L696" t="s">
        <v>317</v>
      </c>
      <c r="M696" s="6">
        <f>SalesTbl[[#This Row],[Unit Price]]*SalesTbl[[#This Row],[Quantity]]</f>
        <v>1000</v>
      </c>
      <c r="N696" s="6">
        <f>YEAR(SalesTbl[[#This Row],[Order Date]])</f>
        <v>2023</v>
      </c>
      <c r="O696" s="6" t="str">
        <f>TEXT(SalesTbl[[#This Row],[Order Date]],"yyyy-mm")</f>
        <v>2023-10</v>
      </c>
      <c r="P696" s="13">
        <f>WEEKNUM(SalesTbl[[#This Row],[Order Date]],2)</f>
        <v>44</v>
      </c>
      <c r="Q696" s="14">
        <f>MEDIAN(SalesTbl[Quantity])</f>
        <v>3</v>
      </c>
      <c r="R696" s="14">
        <f>IF(ISBLANK(SalesTbl[[#This Row],[Quantity]]),$H$2,SalesTbl[[#This Row],[Quantity]])</f>
        <v>5</v>
      </c>
      <c r="S696">
        <f>ROW()-ROW(SalesTbl[[#Headers],[Customer ID]])</f>
        <v>695</v>
      </c>
      <c r="T696" s="9" t="str">
        <f>IF(SalesTbl[[#This Row],[RowIdx]]&lt;=ROUNDUP(COUNTA(SalesTbl[Customer ID])*0.8,0),"Train","Test")</f>
        <v>Train</v>
      </c>
    </row>
    <row r="697" spans="1:20" x14ac:dyDescent="0.25">
      <c r="A697" t="s">
        <v>293</v>
      </c>
      <c r="B697" t="s">
        <v>13</v>
      </c>
      <c r="C697" t="s">
        <v>322</v>
      </c>
      <c r="D697" t="s">
        <v>29</v>
      </c>
      <c r="E697" t="s">
        <v>18</v>
      </c>
      <c r="F697">
        <v>49</v>
      </c>
      <c r="G697">
        <v>50</v>
      </c>
      <c r="H697">
        <v>2</v>
      </c>
      <c r="I697">
        <v>100</v>
      </c>
      <c r="J697">
        <v>13.53</v>
      </c>
      <c r="K697" s="2">
        <v>45120</v>
      </c>
      <c r="L697" t="s">
        <v>317</v>
      </c>
      <c r="M697" s="6">
        <f>SalesTbl[[#This Row],[Unit Price]]*SalesTbl[[#This Row],[Quantity]]</f>
        <v>100</v>
      </c>
      <c r="N697" s="6">
        <f>YEAR(SalesTbl[[#This Row],[Order Date]])</f>
        <v>2023</v>
      </c>
      <c r="O697" s="6" t="str">
        <f>TEXT(SalesTbl[[#This Row],[Order Date]],"yyyy-mm")</f>
        <v>2023-07</v>
      </c>
      <c r="P697" s="13">
        <f>WEEKNUM(SalesTbl[[#This Row],[Order Date]],2)</f>
        <v>29</v>
      </c>
      <c r="Q697" s="14">
        <f>MEDIAN(SalesTbl[Quantity])</f>
        <v>3</v>
      </c>
      <c r="R697" s="14">
        <f>IF(ISBLANK(SalesTbl[[#This Row],[Quantity]]),$H$2,SalesTbl[[#This Row],[Quantity]])</f>
        <v>2</v>
      </c>
      <c r="S697">
        <f>ROW()-ROW(SalesTbl[[#Headers],[Customer ID]])</f>
        <v>696</v>
      </c>
      <c r="T697" s="9" t="str">
        <f>IF(SalesTbl[[#This Row],[RowIdx]]&lt;=ROUNDUP(COUNTA(SalesTbl[Customer ID])*0.8,0),"Train","Test")</f>
        <v>Train</v>
      </c>
    </row>
    <row r="698" spans="1:20" x14ac:dyDescent="0.25">
      <c r="A698" t="s">
        <v>53</v>
      </c>
      <c r="B698" t="s">
        <v>13</v>
      </c>
      <c r="C698" t="s">
        <v>320</v>
      </c>
      <c r="D698" t="s">
        <v>29</v>
      </c>
      <c r="E698" t="s">
        <v>18</v>
      </c>
      <c r="F698">
        <v>49</v>
      </c>
      <c r="G698">
        <v>50</v>
      </c>
      <c r="H698">
        <v>3</v>
      </c>
      <c r="I698">
        <v>150</v>
      </c>
      <c r="J698">
        <v>6.88</v>
      </c>
      <c r="K698" s="2">
        <v>45074</v>
      </c>
      <c r="L698" t="s">
        <v>316</v>
      </c>
      <c r="M698" s="6">
        <f>SalesTbl[[#This Row],[Unit Price]]*SalesTbl[[#This Row],[Quantity]]</f>
        <v>150</v>
      </c>
      <c r="N698" s="6">
        <f>YEAR(SalesTbl[[#This Row],[Order Date]])</f>
        <v>2023</v>
      </c>
      <c r="O698" s="6" t="str">
        <f>TEXT(SalesTbl[[#This Row],[Order Date]],"yyyy-mm")</f>
        <v>2023-05</v>
      </c>
      <c r="P698" s="13">
        <f>WEEKNUM(SalesTbl[[#This Row],[Order Date]],2)</f>
        <v>22</v>
      </c>
      <c r="Q698" s="14">
        <f>MEDIAN(SalesTbl[Quantity])</f>
        <v>3</v>
      </c>
      <c r="R698" s="14">
        <f>IF(ISBLANK(SalesTbl[[#This Row],[Quantity]]),$H$2,SalesTbl[[#This Row],[Quantity]])</f>
        <v>3</v>
      </c>
      <c r="S698">
        <f>ROW()-ROW(SalesTbl[[#Headers],[Customer ID]])</f>
        <v>697</v>
      </c>
      <c r="T698" s="9" t="str">
        <f>IF(SalesTbl[[#This Row],[RowIdx]]&lt;=ROUNDUP(COUNTA(SalesTbl[Customer ID])*0.8,0),"Train","Test")</f>
        <v>Train</v>
      </c>
    </row>
    <row r="699" spans="1:20" x14ac:dyDescent="0.25">
      <c r="A699" t="s">
        <v>88</v>
      </c>
      <c r="B699" t="s">
        <v>13</v>
      </c>
      <c r="C699" t="s">
        <v>322</v>
      </c>
      <c r="D699" t="s">
        <v>14</v>
      </c>
      <c r="E699" t="s">
        <v>15</v>
      </c>
      <c r="F699">
        <v>50</v>
      </c>
      <c r="G699">
        <v>300</v>
      </c>
      <c r="H699">
        <v>5</v>
      </c>
      <c r="I699">
        <v>1500</v>
      </c>
      <c r="J699">
        <v>8.08</v>
      </c>
      <c r="K699" s="2">
        <v>45294</v>
      </c>
      <c r="L699" t="s">
        <v>316</v>
      </c>
      <c r="M699" s="6">
        <f>SalesTbl[[#This Row],[Unit Price]]*SalesTbl[[#This Row],[Quantity]]</f>
        <v>1500</v>
      </c>
      <c r="N699" s="6">
        <f>YEAR(SalesTbl[[#This Row],[Order Date]])</f>
        <v>2024</v>
      </c>
      <c r="O699" s="6" t="str">
        <f>TEXT(SalesTbl[[#This Row],[Order Date]],"yyyy-mm")</f>
        <v>2024-01</v>
      </c>
      <c r="P699" s="13">
        <f>WEEKNUM(SalesTbl[[#This Row],[Order Date]],2)</f>
        <v>1</v>
      </c>
      <c r="Q699" s="14">
        <f>MEDIAN(SalesTbl[Quantity])</f>
        <v>3</v>
      </c>
      <c r="R699" s="14">
        <f>IF(ISBLANK(SalesTbl[[#This Row],[Quantity]]),$H$2,SalesTbl[[#This Row],[Quantity]])</f>
        <v>5</v>
      </c>
      <c r="S699">
        <f>ROW()-ROW(SalesTbl[[#Headers],[Customer ID]])</f>
        <v>698</v>
      </c>
      <c r="T699" s="9" t="str">
        <f>IF(SalesTbl[[#This Row],[RowIdx]]&lt;=ROUNDUP(COUNTA(SalesTbl[Customer ID])*0.8,0),"Train","Test")</f>
        <v>Train</v>
      </c>
    </row>
    <row r="700" spans="1:20" x14ac:dyDescent="0.25">
      <c r="A700" t="s">
        <v>133</v>
      </c>
      <c r="B700" t="s">
        <v>20</v>
      </c>
      <c r="C700" t="s">
        <v>323</v>
      </c>
      <c r="D700" t="s">
        <v>14</v>
      </c>
      <c r="E700" t="s">
        <v>15</v>
      </c>
      <c r="F700">
        <v>41</v>
      </c>
      <c r="G700">
        <v>300</v>
      </c>
      <c r="H700">
        <v>1</v>
      </c>
      <c r="I700">
        <v>300</v>
      </c>
      <c r="J700">
        <v>16.71</v>
      </c>
      <c r="K700" s="2">
        <v>45210</v>
      </c>
      <c r="L700" t="s">
        <v>318</v>
      </c>
      <c r="M700" s="6">
        <f>SalesTbl[[#This Row],[Unit Price]]*SalesTbl[[#This Row],[Quantity]]</f>
        <v>300</v>
      </c>
      <c r="N700" s="6">
        <f>YEAR(SalesTbl[[#This Row],[Order Date]])</f>
        <v>2023</v>
      </c>
      <c r="O700" s="6" t="str">
        <f>TEXT(SalesTbl[[#This Row],[Order Date]],"yyyy-mm")</f>
        <v>2023-10</v>
      </c>
      <c r="P700" s="13">
        <f>WEEKNUM(SalesTbl[[#This Row],[Order Date]],2)</f>
        <v>42</v>
      </c>
      <c r="Q700" s="14">
        <f>MEDIAN(SalesTbl[Quantity])</f>
        <v>3</v>
      </c>
      <c r="R700" s="14">
        <f>IF(ISBLANK(SalesTbl[[#This Row],[Quantity]]),$H$2,SalesTbl[[#This Row],[Quantity]])</f>
        <v>1</v>
      </c>
      <c r="S700">
        <f>ROW()-ROW(SalesTbl[[#Headers],[Customer ID]])</f>
        <v>699</v>
      </c>
      <c r="T700" s="9" t="str">
        <f>IF(SalesTbl[[#This Row],[RowIdx]]&lt;=ROUNDUP(COUNTA(SalesTbl[Customer ID])*0.8,0),"Train","Test")</f>
        <v>Train</v>
      </c>
    </row>
    <row r="701" spans="1:20" x14ac:dyDescent="0.25">
      <c r="A701" t="s">
        <v>193</v>
      </c>
      <c r="B701" t="s">
        <v>20</v>
      </c>
      <c r="C701" t="s">
        <v>322</v>
      </c>
      <c r="D701" t="s">
        <v>14</v>
      </c>
      <c r="E701" t="s">
        <v>15</v>
      </c>
      <c r="F701">
        <v>49</v>
      </c>
      <c r="G701">
        <v>300</v>
      </c>
      <c r="H701">
        <v>3</v>
      </c>
      <c r="I701">
        <v>900</v>
      </c>
      <c r="J701">
        <v>14.38</v>
      </c>
      <c r="K701" s="2">
        <v>44985</v>
      </c>
      <c r="L701" t="s">
        <v>316</v>
      </c>
      <c r="M701" s="6">
        <f>SalesTbl[[#This Row],[Unit Price]]*SalesTbl[[#This Row],[Quantity]]</f>
        <v>900</v>
      </c>
      <c r="N701" s="6">
        <f>YEAR(SalesTbl[[#This Row],[Order Date]])</f>
        <v>2023</v>
      </c>
      <c r="O701" s="6" t="str">
        <f>TEXT(SalesTbl[[#This Row],[Order Date]],"yyyy-mm")</f>
        <v>2023-02</v>
      </c>
      <c r="P701" s="13">
        <f>WEEKNUM(SalesTbl[[#This Row],[Order Date]],2)</f>
        <v>10</v>
      </c>
      <c r="Q701" s="14">
        <f>MEDIAN(SalesTbl[Quantity])</f>
        <v>3</v>
      </c>
      <c r="R701" s="14">
        <f>IF(ISBLANK(SalesTbl[[#This Row],[Quantity]]),$H$2,SalesTbl[[#This Row],[Quantity]])</f>
        <v>3</v>
      </c>
      <c r="S701">
        <f>ROW()-ROW(SalesTbl[[#Headers],[Customer ID]])</f>
        <v>700</v>
      </c>
      <c r="T701" s="9" t="str">
        <f>IF(SalesTbl[[#This Row],[RowIdx]]&lt;=ROUNDUP(COUNTA(SalesTbl[Customer ID])*0.8,0),"Train","Test")</f>
        <v>Train</v>
      </c>
    </row>
    <row r="702" spans="1:20" x14ac:dyDescent="0.25">
      <c r="A702" t="s">
        <v>68</v>
      </c>
      <c r="B702" t="s">
        <v>13</v>
      </c>
      <c r="C702" t="s">
        <v>320</v>
      </c>
      <c r="D702" t="s">
        <v>25</v>
      </c>
      <c r="E702" t="s">
        <v>26</v>
      </c>
      <c r="F702">
        <v>44</v>
      </c>
      <c r="G702">
        <v>200</v>
      </c>
      <c r="H702">
        <v>3</v>
      </c>
      <c r="I702">
        <v>600</v>
      </c>
      <c r="J702">
        <v>11.82</v>
      </c>
      <c r="K702" s="2">
        <v>45034</v>
      </c>
      <c r="L702" t="s">
        <v>318</v>
      </c>
      <c r="M702" s="6">
        <f>SalesTbl[[#This Row],[Unit Price]]*SalesTbl[[#This Row],[Quantity]]</f>
        <v>600</v>
      </c>
      <c r="N702" s="6">
        <f>YEAR(SalesTbl[[#This Row],[Order Date]])</f>
        <v>2023</v>
      </c>
      <c r="O702" s="6" t="str">
        <f>TEXT(SalesTbl[[#This Row],[Order Date]],"yyyy-mm")</f>
        <v>2023-04</v>
      </c>
      <c r="P702" s="13">
        <f>WEEKNUM(SalesTbl[[#This Row],[Order Date]],2)</f>
        <v>17</v>
      </c>
      <c r="Q702" s="14">
        <f>MEDIAN(SalesTbl[Quantity])</f>
        <v>3</v>
      </c>
      <c r="R702" s="14">
        <f>IF(ISBLANK(SalesTbl[[#This Row],[Quantity]]),$H$2,SalesTbl[[#This Row],[Quantity]])</f>
        <v>3</v>
      </c>
      <c r="S702">
        <f>ROW()-ROW(SalesTbl[[#Headers],[Customer ID]])</f>
        <v>701</v>
      </c>
      <c r="T702" s="9" t="str">
        <f>IF(SalesTbl[[#This Row],[RowIdx]]&lt;=ROUNDUP(COUNTA(SalesTbl[Customer ID])*0.8,0),"Train","Test")</f>
        <v>Train</v>
      </c>
    </row>
    <row r="703" spans="1:20" x14ac:dyDescent="0.25">
      <c r="A703" t="s">
        <v>55</v>
      </c>
      <c r="B703" t="s">
        <v>13</v>
      </c>
      <c r="C703" t="s">
        <v>322</v>
      </c>
      <c r="D703" t="s">
        <v>40</v>
      </c>
      <c r="E703" t="s">
        <v>15</v>
      </c>
      <c r="F703">
        <v>58</v>
      </c>
      <c r="G703">
        <v>800</v>
      </c>
      <c r="H703">
        <v>2</v>
      </c>
      <c r="I703">
        <v>1600</v>
      </c>
      <c r="J703">
        <v>12.94</v>
      </c>
      <c r="K703" s="2">
        <v>45241</v>
      </c>
      <c r="L703" t="s">
        <v>316</v>
      </c>
      <c r="M703" s="6">
        <f>SalesTbl[[#This Row],[Unit Price]]*SalesTbl[[#This Row],[Quantity]]</f>
        <v>1600</v>
      </c>
      <c r="N703" s="6">
        <f>YEAR(SalesTbl[[#This Row],[Order Date]])</f>
        <v>2023</v>
      </c>
      <c r="O703" s="6" t="str">
        <f>TEXT(SalesTbl[[#This Row],[Order Date]],"yyyy-mm")</f>
        <v>2023-11</v>
      </c>
      <c r="P703" s="13">
        <f>WEEKNUM(SalesTbl[[#This Row],[Order Date]],2)</f>
        <v>46</v>
      </c>
      <c r="Q703" s="14">
        <f>MEDIAN(SalesTbl[Quantity])</f>
        <v>3</v>
      </c>
      <c r="R703" s="14">
        <f>IF(ISBLANK(SalesTbl[[#This Row],[Quantity]]),$H$2,SalesTbl[[#This Row],[Quantity]])</f>
        <v>2</v>
      </c>
      <c r="S703">
        <f>ROW()-ROW(SalesTbl[[#Headers],[Customer ID]])</f>
        <v>702</v>
      </c>
      <c r="T703" s="9" t="str">
        <f>IF(SalesTbl[[#This Row],[RowIdx]]&lt;=ROUNDUP(COUNTA(SalesTbl[Customer ID])*0.8,0),"Train","Test")</f>
        <v>Train</v>
      </c>
    </row>
    <row r="704" spans="1:20" x14ac:dyDescent="0.25">
      <c r="A704" t="s">
        <v>63</v>
      </c>
      <c r="B704" t="s">
        <v>13</v>
      </c>
      <c r="C704" t="s">
        <v>321</v>
      </c>
      <c r="D704" t="s">
        <v>23</v>
      </c>
      <c r="E704" t="s">
        <v>15</v>
      </c>
      <c r="F704">
        <v>61</v>
      </c>
      <c r="G704">
        <v>3109.5606124866499</v>
      </c>
      <c r="H704">
        <v>1</v>
      </c>
      <c r="I704">
        <v>1500</v>
      </c>
      <c r="J704">
        <v>18.37</v>
      </c>
      <c r="K704" s="2">
        <v>45170</v>
      </c>
      <c r="L704" t="s">
        <v>317</v>
      </c>
      <c r="M704" s="6">
        <f>SalesTbl[[#This Row],[Unit Price]]*SalesTbl[[#This Row],[Quantity]]</f>
        <v>3109.5606124866499</v>
      </c>
      <c r="N704" s="6">
        <f>YEAR(SalesTbl[[#This Row],[Order Date]])</f>
        <v>2023</v>
      </c>
      <c r="O704" s="6" t="str">
        <f>TEXT(SalesTbl[[#This Row],[Order Date]],"yyyy-mm")</f>
        <v>2023-09</v>
      </c>
      <c r="P704" s="13">
        <f>WEEKNUM(SalesTbl[[#This Row],[Order Date]],2)</f>
        <v>36</v>
      </c>
      <c r="Q704" s="14">
        <f>MEDIAN(SalesTbl[Quantity])</f>
        <v>3</v>
      </c>
      <c r="R704" s="14">
        <f>IF(ISBLANK(SalesTbl[[#This Row],[Quantity]]),$H$2,SalesTbl[[#This Row],[Quantity]])</f>
        <v>1</v>
      </c>
      <c r="S704">
        <f>ROW()-ROW(SalesTbl[[#Headers],[Customer ID]])</f>
        <v>703</v>
      </c>
      <c r="T704" s="9" t="str">
        <f>IF(SalesTbl[[#This Row],[RowIdx]]&lt;=ROUNDUP(COUNTA(SalesTbl[Customer ID])*0.8,0),"Train","Test")</f>
        <v>Train</v>
      </c>
    </row>
    <row r="705" spans="1:20" x14ac:dyDescent="0.25">
      <c r="A705" t="s">
        <v>102</v>
      </c>
      <c r="B705" t="s">
        <v>20</v>
      </c>
      <c r="C705" t="s">
        <v>321</v>
      </c>
      <c r="D705" t="s">
        <v>30</v>
      </c>
      <c r="E705" t="s">
        <v>18</v>
      </c>
      <c r="F705">
        <v>30</v>
      </c>
      <c r="G705">
        <v>30</v>
      </c>
      <c r="H705">
        <v>3</v>
      </c>
      <c r="I705">
        <v>90</v>
      </c>
      <c r="J705">
        <v>11.78</v>
      </c>
      <c r="K705" s="2">
        <v>45152</v>
      </c>
      <c r="L705" t="s">
        <v>316</v>
      </c>
      <c r="M705" s="6">
        <f>SalesTbl[[#This Row],[Unit Price]]*SalesTbl[[#This Row],[Quantity]]</f>
        <v>90</v>
      </c>
      <c r="N705" s="6">
        <f>YEAR(SalesTbl[[#This Row],[Order Date]])</f>
        <v>2023</v>
      </c>
      <c r="O705" s="6" t="str">
        <f>TEXT(SalesTbl[[#This Row],[Order Date]],"yyyy-mm")</f>
        <v>2023-08</v>
      </c>
      <c r="P705" s="13">
        <f>WEEKNUM(SalesTbl[[#This Row],[Order Date]],2)</f>
        <v>34</v>
      </c>
      <c r="Q705" s="14">
        <f>MEDIAN(SalesTbl[Quantity])</f>
        <v>3</v>
      </c>
      <c r="R705" s="14">
        <f>IF(ISBLANK(SalesTbl[[#This Row],[Quantity]]),$H$2,SalesTbl[[#This Row],[Quantity]])</f>
        <v>3</v>
      </c>
      <c r="S705">
        <f>ROW()-ROW(SalesTbl[[#Headers],[Customer ID]])</f>
        <v>704</v>
      </c>
      <c r="T705" s="9" t="str">
        <f>IF(SalesTbl[[#This Row],[RowIdx]]&lt;=ROUNDUP(COUNTA(SalesTbl[Customer ID])*0.8,0),"Train","Test")</f>
        <v>Train</v>
      </c>
    </row>
    <row r="706" spans="1:20" x14ac:dyDescent="0.25">
      <c r="A706" t="s">
        <v>110</v>
      </c>
      <c r="B706" t="s">
        <v>20</v>
      </c>
      <c r="C706" t="s">
        <v>323</v>
      </c>
      <c r="D706" t="s">
        <v>23</v>
      </c>
      <c r="E706" t="s">
        <v>15</v>
      </c>
      <c r="F706">
        <v>38</v>
      </c>
      <c r="G706">
        <v>1500</v>
      </c>
      <c r="H706">
        <v>3</v>
      </c>
      <c r="I706">
        <v>4500</v>
      </c>
      <c r="J706">
        <v>7.52</v>
      </c>
      <c r="K706" s="2">
        <v>44960</v>
      </c>
      <c r="L706" t="s">
        <v>318</v>
      </c>
      <c r="M706" s="6">
        <f>SalesTbl[[#This Row],[Unit Price]]*SalesTbl[[#This Row],[Quantity]]</f>
        <v>4500</v>
      </c>
      <c r="N706" s="6">
        <f>YEAR(SalesTbl[[#This Row],[Order Date]])</f>
        <v>2023</v>
      </c>
      <c r="O706" s="6" t="str">
        <f>TEXT(SalesTbl[[#This Row],[Order Date]],"yyyy-mm")</f>
        <v>2023-02</v>
      </c>
      <c r="P706" s="13">
        <f>WEEKNUM(SalesTbl[[#This Row],[Order Date]],2)</f>
        <v>6</v>
      </c>
      <c r="Q706" s="14">
        <f>MEDIAN(SalesTbl[Quantity])</f>
        <v>3</v>
      </c>
      <c r="R706" s="14">
        <f>IF(ISBLANK(SalesTbl[[#This Row],[Quantity]]),$H$2,SalesTbl[[#This Row],[Quantity]])</f>
        <v>3</v>
      </c>
      <c r="S706">
        <f>ROW()-ROW(SalesTbl[[#Headers],[Customer ID]])</f>
        <v>705</v>
      </c>
      <c r="T706" s="9" t="str">
        <f>IF(SalesTbl[[#This Row],[RowIdx]]&lt;=ROUNDUP(COUNTA(SalesTbl[Customer ID])*0.8,0),"Train","Test")</f>
        <v>Train</v>
      </c>
    </row>
    <row r="707" spans="1:20" x14ac:dyDescent="0.25">
      <c r="A707" t="s">
        <v>294</v>
      </c>
      <c r="B707" t="s">
        <v>20</v>
      </c>
      <c r="C707" t="s">
        <v>319</v>
      </c>
      <c r="D707" t="s">
        <v>30</v>
      </c>
      <c r="E707" t="s">
        <v>18</v>
      </c>
      <c r="F707">
        <v>49</v>
      </c>
      <c r="G707">
        <v>30</v>
      </c>
      <c r="H707">
        <v>2</v>
      </c>
      <c r="I707">
        <v>60</v>
      </c>
      <c r="J707">
        <v>17.46</v>
      </c>
      <c r="K707" s="2">
        <v>44962</v>
      </c>
      <c r="L707" t="s">
        <v>318</v>
      </c>
      <c r="M707" s="6">
        <f>SalesTbl[[#This Row],[Unit Price]]*SalesTbl[[#This Row],[Quantity]]</f>
        <v>60</v>
      </c>
      <c r="N707" s="6">
        <f>YEAR(SalesTbl[[#This Row],[Order Date]])</f>
        <v>2023</v>
      </c>
      <c r="O707" s="6" t="str">
        <f>TEXT(SalesTbl[[#This Row],[Order Date]],"yyyy-mm")</f>
        <v>2023-02</v>
      </c>
      <c r="P707" s="13">
        <f>WEEKNUM(SalesTbl[[#This Row],[Order Date]],2)</f>
        <v>6</v>
      </c>
      <c r="Q707" s="14">
        <f>MEDIAN(SalesTbl[Quantity])</f>
        <v>3</v>
      </c>
      <c r="R707" s="14">
        <f>IF(ISBLANK(SalesTbl[[#This Row],[Quantity]]),$H$2,SalesTbl[[#This Row],[Quantity]])</f>
        <v>2</v>
      </c>
      <c r="S707">
        <f>ROW()-ROW(SalesTbl[[#Headers],[Customer ID]])</f>
        <v>706</v>
      </c>
      <c r="T707" s="9" t="str">
        <f>IF(SalesTbl[[#This Row],[RowIdx]]&lt;=ROUNDUP(COUNTA(SalesTbl[Customer ID])*0.8,0),"Train","Test")</f>
        <v>Train</v>
      </c>
    </row>
    <row r="708" spans="1:20" x14ac:dyDescent="0.25">
      <c r="A708" t="s">
        <v>294</v>
      </c>
      <c r="B708" t="s">
        <v>13</v>
      </c>
      <c r="C708" t="s">
        <v>322</v>
      </c>
      <c r="D708" t="s">
        <v>14</v>
      </c>
      <c r="E708" t="s">
        <v>15</v>
      </c>
      <c r="F708">
        <v>49</v>
      </c>
      <c r="G708">
        <v>300</v>
      </c>
      <c r="H708">
        <v>3</v>
      </c>
      <c r="I708">
        <v>900</v>
      </c>
      <c r="J708">
        <v>17.940000000000001</v>
      </c>
      <c r="K708" s="2">
        <v>44946</v>
      </c>
      <c r="L708" t="s">
        <v>319</v>
      </c>
      <c r="M708" s="6">
        <f>SalesTbl[[#This Row],[Unit Price]]*SalesTbl[[#This Row],[Quantity]]</f>
        <v>900</v>
      </c>
      <c r="N708" s="6">
        <f>YEAR(SalesTbl[[#This Row],[Order Date]])</f>
        <v>2023</v>
      </c>
      <c r="O708" s="6" t="str">
        <f>TEXT(SalesTbl[[#This Row],[Order Date]],"yyyy-mm")</f>
        <v>2023-01</v>
      </c>
      <c r="P708" s="13">
        <f>WEEKNUM(SalesTbl[[#This Row],[Order Date]],2)</f>
        <v>4</v>
      </c>
      <c r="Q708" s="14">
        <f>MEDIAN(SalesTbl[Quantity])</f>
        <v>3</v>
      </c>
      <c r="R708" s="14">
        <f>IF(ISBLANK(SalesTbl[[#This Row],[Quantity]]),$H$2,SalesTbl[[#This Row],[Quantity]])</f>
        <v>3</v>
      </c>
      <c r="S708">
        <f>ROW()-ROW(SalesTbl[[#Headers],[Customer ID]])</f>
        <v>707</v>
      </c>
      <c r="T708" s="9" t="str">
        <f>IF(SalesTbl[[#This Row],[RowIdx]]&lt;=ROUNDUP(COUNTA(SalesTbl[Customer ID])*0.8,0),"Train","Test")</f>
        <v>Train</v>
      </c>
    </row>
    <row r="709" spans="1:20" x14ac:dyDescent="0.25">
      <c r="A709" t="s">
        <v>295</v>
      </c>
      <c r="B709" t="s">
        <v>13</v>
      </c>
      <c r="C709" t="s">
        <v>321</v>
      </c>
      <c r="D709" t="s">
        <v>40</v>
      </c>
      <c r="E709" t="s">
        <v>15</v>
      </c>
      <c r="F709">
        <v>49</v>
      </c>
      <c r="G709">
        <v>800</v>
      </c>
      <c r="H709">
        <v>3</v>
      </c>
      <c r="I709">
        <v>2400</v>
      </c>
      <c r="J709">
        <v>10.5</v>
      </c>
      <c r="K709" s="2">
        <v>44975</v>
      </c>
      <c r="L709" t="s">
        <v>318</v>
      </c>
      <c r="M709" s="6">
        <f>SalesTbl[[#This Row],[Unit Price]]*SalesTbl[[#This Row],[Quantity]]</f>
        <v>2400</v>
      </c>
      <c r="N709" s="6">
        <f>YEAR(SalesTbl[[#This Row],[Order Date]])</f>
        <v>2023</v>
      </c>
      <c r="O709" s="6" t="str">
        <f>TEXT(SalesTbl[[#This Row],[Order Date]],"yyyy-mm")</f>
        <v>2023-02</v>
      </c>
      <c r="P709" s="13">
        <f>WEEKNUM(SalesTbl[[#This Row],[Order Date]],2)</f>
        <v>8</v>
      </c>
      <c r="Q709" s="14">
        <f>MEDIAN(SalesTbl[Quantity])</f>
        <v>3</v>
      </c>
      <c r="R709" s="14">
        <f>IF(ISBLANK(SalesTbl[[#This Row],[Quantity]]),$H$2,SalesTbl[[#This Row],[Quantity]])</f>
        <v>3</v>
      </c>
      <c r="S709">
        <f>ROW()-ROW(SalesTbl[[#Headers],[Customer ID]])</f>
        <v>708</v>
      </c>
      <c r="T709" s="9" t="str">
        <f>IF(SalesTbl[[#This Row],[RowIdx]]&lt;=ROUNDUP(COUNTA(SalesTbl[Customer ID])*0.8,0),"Train","Test")</f>
        <v>Train</v>
      </c>
    </row>
    <row r="710" spans="1:20" x14ac:dyDescent="0.25">
      <c r="A710" t="s">
        <v>145</v>
      </c>
      <c r="B710" t="s">
        <v>20</v>
      </c>
      <c r="C710" t="s">
        <v>322</v>
      </c>
      <c r="D710" t="s">
        <v>14</v>
      </c>
      <c r="E710" t="s">
        <v>15</v>
      </c>
      <c r="F710">
        <v>30</v>
      </c>
      <c r="G710">
        <v>300</v>
      </c>
      <c r="H710">
        <v>1</v>
      </c>
      <c r="I710">
        <v>300</v>
      </c>
      <c r="J710">
        <v>14.91</v>
      </c>
      <c r="K710" s="2">
        <v>45136</v>
      </c>
      <c r="L710" t="s">
        <v>317</v>
      </c>
      <c r="M710" s="6">
        <f>SalesTbl[[#This Row],[Unit Price]]*SalesTbl[[#This Row],[Quantity]]</f>
        <v>300</v>
      </c>
      <c r="N710" s="6">
        <f>YEAR(SalesTbl[[#This Row],[Order Date]])</f>
        <v>2023</v>
      </c>
      <c r="O710" s="6" t="str">
        <f>TEXT(SalesTbl[[#This Row],[Order Date]],"yyyy-mm")</f>
        <v>2023-07</v>
      </c>
      <c r="P710" s="13">
        <f>WEEKNUM(SalesTbl[[#This Row],[Order Date]],2)</f>
        <v>31</v>
      </c>
      <c r="Q710" s="14">
        <f>MEDIAN(SalesTbl[Quantity])</f>
        <v>3</v>
      </c>
      <c r="R710" s="14">
        <f>IF(ISBLANK(SalesTbl[[#This Row],[Quantity]]),$H$2,SalesTbl[[#This Row],[Quantity]])</f>
        <v>1</v>
      </c>
      <c r="S710">
        <f>ROW()-ROW(SalesTbl[[#Headers],[Customer ID]])</f>
        <v>709</v>
      </c>
      <c r="T710" s="9" t="str">
        <f>IF(SalesTbl[[#This Row],[RowIdx]]&lt;=ROUNDUP(COUNTA(SalesTbl[Customer ID])*0.8,0),"Train","Test")</f>
        <v>Train</v>
      </c>
    </row>
    <row r="711" spans="1:20" x14ac:dyDescent="0.25">
      <c r="A711" t="s">
        <v>93</v>
      </c>
      <c r="B711" t="s">
        <v>20</v>
      </c>
      <c r="C711" t="s">
        <v>323</v>
      </c>
      <c r="D711" t="s">
        <v>23</v>
      </c>
      <c r="E711" t="s">
        <v>15</v>
      </c>
      <c r="F711">
        <v>47</v>
      </c>
      <c r="G711">
        <v>1500</v>
      </c>
      <c r="H711">
        <v>3</v>
      </c>
      <c r="I711">
        <v>4500</v>
      </c>
      <c r="J711">
        <v>15.5</v>
      </c>
      <c r="K711" s="2">
        <v>45132</v>
      </c>
      <c r="L711" t="s">
        <v>318</v>
      </c>
      <c r="M711" s="6">
        <f>SalesTbl[[#This Row],[Unit Price]]*SalesTbl[[#This Row],[Quantity]]</f>
        <v>4500</v>
      </c>
      <c r="N711" s="6">
        <f>YEAR(SalesTbl[[#This Row],[Order Date]])</f>
        <v>2023</v>
      </c>
      <c r="O711" s="6" t="str">
        <f>TEXT(SalesTbl[[#This Row],[Order Date]],"yyyy-mm")</f>
        <v>2023-07</v>
      </c>
      <c r="P711" s="13">
        <f>WEEKNUM(SalesTbl[[#This Row],[Order Date]],2)</f>
        <v>31</v>
      </c>
      <c r="Q711" s="14">
        <f>MEDIAN(SalesTbl[Quantity])</f>
        <v>3</v>
      </c>
      <c r="R711" s="14">
        <f>IF(ISBLANK(SalesTbl[[#This Row],[Quantity]]),$H$2,SalesTbl[[#This Row],[Quantity]])</f>
        <v>3</v>
      </c>
      <c r="S711">
        <f>ROW()-ROW(SalesTbl[[#Headers],[Customer ID]])</f>
        <v>710</v>
      </c>
      <c r="T711" s="9" t="str">
        <f>IF(SalesTbl[[#This Row],[RowIdx]]&lt;=ROUNDUP(COUNTA(SalesTbl[Customer ID])*0.8,0),"Train","Test")</f>
        <v>Train</v>
      </c>
    </row>
    <row r="712" spans="1:20" x14ac:dyDescent="0.25">
      <c r="A712" t="s">
        <v>71</v>
      </c>
      <c r="B712" t="s">
        <v>13</v>
      </c>
      <c r="C712" t="s">
        <v>323</v>
      </c>
      <c r="D712" t="s">
        <v>14</v>
      </c>
      <c r="E712" t="s">
        <v>15</v>
      </c>
      <c r="F712">
        <v>68</v>
      </c>
      <c r="G712">
        <v>300</v>
      </c>
      <c r="H712">
        <v>3</v>
      </c>
      <c r="I712">
        <v>900</v>
      </c>
      <c r="J712">
        <v>16.440000000000001</v>
      </c>
      <c r="K712" s="2">
        <v>45276</v>
      </c>
      <c r="L712" t="s">
        <v>318</v>
      </c>
      <c r="M712" s="6">
        <f>SalesTbl[[#This Row],[Unit Price]]*SalesTbl[[#This Row],[Quantity]]</f>
        <v>900</v>
      </c>
      <c r="N712" s="6">
        <f>YEAR(SalesTbl[[#This Row],[Order Date]])</f>
        <v>2023</v>
      </c>
      <c r="O712" s="6" t="str">
        <f>TEXT(SalesTbl[[#This Row],[Order Date]],"yyyy-mm")</f>
        <v>2023-12</v>
      </c>
      <c r="P712" s="13">
        <f>WEEKNUM(SalesTbl[[#This Row],[Order Date]],2)</f>
        <v>51</v>
      </c>
      <c r="Q712" s="14">
        <f>MEDIAN(SalesTbl[Quantity])</f>
        <v>3</v>
      </c>
      <c r="R712" s="14">
        <f>IF(ISBLANK(SalesTbl[[#This Row],[Quantity]]),$H$2,SalesTbl[[#This Row],[Quantity]])</f>
        <v>3</v>
      </c>
      <c r="S712">
        <f>ROW()-ROW(SalesTbl[[#Headers],[Customer ID]])</f>
        <v>711</v>
      </c>
      <c r="T712" s="9" t="str">
        <f>IF(SalesTbl[[#This Row],[RowIdx]]&lt;=ROUNDUP(COUNTA(SalesTbl[Customer ID])*0.8,0),"Train","Test")</f>
        <v>Train</v>
      </c>
    </row>
    <row r="713" spans="1:20" x14ac:dyDescent="0.25">
      <c r="A713" t="s">
        <v>214</v>
      </c>
      <c r="B713" t="s">
        <v>13</v>
      </c>
      <c r="C713" t="s">
        <v>321</v>
      </c>
      <c r="D713" t="s">
        <v>23</v>
      </c>
      <c r="E713" t="s">
        <v>15</v>
      </c>
      <c r="F713">
        <v>67</v>
      </c>
      <c r="G713">
        <v>1500</v>
      </c>
      <c r="H713">
        <v>2</v>
      </c>
      <c r="I713">
        <v>3000</v>
      </c>
      <c r="J713">
        <v>13.04</v>
      </c>
      <c r="K713" s="2">
        <v>45015</v>
      </c>
      <c r="L713" t="s">
        <v>316</v>
      </c>
      <c r="M713" s="6">
        <f>SalesTbl[[#This Row],[Unit Price]]*SalesTbl[[#This Row],[Quantity]]</f>
        <v>3000</v>
      </c>
      <c r="N713" s="6">
        <f>YEAR(SalesTbl[[#This Row],[Order Date]])</f>
        <v>2023</v>
      </c>
      <c r="O713" s="6" t="str">
        <f>TEXT(SalesTbl[[#This Row],[Order Date]],"yyyy-mm")</f>
        <v>2023-03</v>
      </c>
      <c r="P713" s="13">
        <f>WEEKNUM(SalesTbl[[#This Row],[Order Date]],2)</f>
        <v>14</v>
      </c>
      <c r="Q713" s="14">
        <f>MEDIAN(SalesTbl[Quantity])</f>
        <v>3</v>
      </c>
      <c r="R713" s="14">
        <f>IF(ISBLANK(SalesTbl[[#This Row],[Quantity]]),$H$2,SalesTbl[[#This Row],[Quantity]])</f>
        <v>2</v>
      </c>
      <c r="S713">
        <f>ROW()-ROW(SalesTbl[[#Headers],[Customer ID]])</f>
        <v>712</v>
      </c>
      <c r="T713" s="9" t="str">
        <f>IF(SalesTbl[[#This Row],[RowIdx]]&lt;=ROUNDUP(COUNTA(SalesTbl[Customer ID])*0.8,0),"Train","Test")</f>
        <v>Train</v>
      </c>
    </row>
    <row r="714" spans="1:20" x14ac:dyDescent="0.25">
      <c r="A714" t="s">
        <v>99</v>
      </c>
      <c r="B714" t="s">
        <v>13</v>
      </c>
      <c r="C714" t="s">
        <v>323</v>
      </c>
      <c r="D714" t="s">
        <v>17</v>
      </c>
      <c r="E714" t="s">
        <v>18</v>
      </c>
      <c r="F714">
        <v>19</v>
      </c>
      <c r="G714">
        <v>100</v>
      </c>
      <c r="H714">
        <v>2</v>
      </c>
      <c r="I714">
        <v>200</v>
      </c>
      <c r="J714">
        <v>14.11</v>
      </c>
      <c r="K714" s="2">
        <v>44948</v>
      </c>
      <c r="L714" t="s">
        <v>316</v>
      </c>
      <c r="M714" s="6">
        <f>SalesTbl[[#This Row],[Unit Price]]*SalesTbl[[#This Row],[Quantity]]</f>
        <v>200</v>
      </c>
      <c r="N714" s="6">
        <f>YEAR(SalesTbl[[#This Row],[Order Date]])</f>
        <v>2023</v>
      </c>
      <c r="O714" s="6" t="str">
        <f>TEXT(SalesTbl[[#This Row],[Order Date]],"yyyy-mm")</f>
        <v>2023-01</v>
      </c>
      <c r="P714" s="13">
        <f>WEEKNUM(SalesTbl[[#This Row],[Order Date]],2)</f>
        <v>4</v>
      </c>
      <c r="Q714" s="14">
        <f>MEDIAN(SalesTbl[Quantity])</f>
        <v>3</v>
      </c>
      <c r="R714" s="14">
        <f>IF(ISBLANK(SalesTbl[[#This Row],[Quantity]]),$H$2,SalesTbl[[#This Row],[Quantity]])</f>
        <v>2</v>
      </c>
      <c r="S714">
        <f>ROW()-ROW(SalesTbl[[#Headers],[Customer ID]])</f>
        <v>713</v>
      </c>
      <c r="T714" s="9" t="str">
        <f>IF(SalesTbl[[#This Row],[RowIdx]]&lt;=ROUNDUP(COUNTA(SalesTbl[Customer ID])*0.8,0),"Train","Test")</f>
        <v>Train</v>
      </c>
    </row>
    <row r="715" spans="1:20" x14ac:dyDescent="0.25">
      <c r="A715" t="s">
        <v>65</v>
      </c>
      <c r="B715" t="s">
        <v>13</v>
      </c>
      <c r="C715" t="s">
        <v>320</v>
      </c>
      <c r="D715" t="s">
        <v>14</v>
      </c>
      <c r="E715" t="s">
        <v>15</v>
      </c>
      <c r="F715">
        <v>38</v>
      </c>
      <c r="G715">
        <v>300</v>
      </c>
      <c r="H715">
        <v>2</v>
      </c>
      <c r="I715">
        <v>600</v>
      </c>
      <c r="J715">
        <v>5.79</v>
      </c>
      <c r="K715" s="2">
        <v>44945</v>
      </c>
      <c r="L715" t="s">
        <v>316</v>
      </c>
      <c r="M715" s="6">
        <f>SalesTbl[[#This Row],[Unit Price]]*SalesTbl[[#This Row],[Quantity]]</f>
        <v>600</v>
      </c>
      <c r="N715" s="6">
        <f>YEAR(SalesTbl[[#This Row],[Order Date]])</f>
        <v>2023</v>
      </c>
      <c r="O715" s="6" t="str">
        <f>TEXT(SalesTbl[[#This Row],[Order Date]],"yyyy-mm")</f>
        <v>2023-01</v>
      </c>
      <c r="P715" s="13">
        <f>WEEKNUM(SalesTbl[[#This Row],[Order Date]],2)</f>
        <v>4</v>
      </c>
      <c r="Q715" s="14">
        <f>MEDIAN(SalesTbl[Quantity])</f>
        <v>3</v>
      </c>
      <c r="R715" s="14">
        <f>IF(ISBLANK(SalesTbl[[#This Row],[Quantity]]),$H$2,SalesTbl[[#This Row],[Quantity]])</f>
        <v>2</v>
      </c>
      <c r="S715">
        <f>ROW()-ROW(SalesTbl[[#Headers],[Customer ID]])</f>
        <v>714</v>
      </c>
      <c r="T715" s="9" t="str">
        <f>IF(SalesTbl[[#This Row],[RowIdx]]&lt;=ROUNDUP(COUNTA(SalesTbl[Customer ID])*0.8,0),"Train","Test")</f>
        <v>Train</v>
      </c>
    </row>
    <row r="716" spans="1:20" x14ac:dyDescent="0.25">
      <c r="A716" t="s">
        <v>236</v>
      </c>
      <c r="B716" t="s">
        <v>13</v>
      </c>
      <c r="C716" t="s">
        <v>322</v>
      </c>
      <c r="D716" t="s">
        <v>25</v>
      </c>
      <c r="E716" t="s">
        <v>26</v>
      </c>
      <c r="F716">
        <v>57</v>
      </c>
      <c r="G716">
        <v>200</v>
      </c>
      <c r="H716">
        <v>4</v>
      </c>
      <c r="I716">
        <v>800</v>
      </c>
      <c r="J716">
        <v>13.93</v>
      </c>
      <c r="K716" s="2">
        <v>45273</v>
      </c>
      <c r="L716" t="s">
        <v>318</v>
      </c>
      <c r="M716" s="6">
        <f>SalesTbl[[#This Row],[Unit Price]]*SalesTbl[[#This Row],[Quantity]]</f>
        <v>800</v>
      </c>
      <c r="N716" s="6">
        <f>YEAR(SalesTbl[[#This Row],[Order Date]])</f>
        <v>2023</v>
      </c>
      <c r="O716" s="6" t="str">
        <f>TEXT(SalesTbl[[#This Row],[Order Date]],"yyyy-mm")</f>
        <v>2023-12</v>
      </c>
      <c r="P716" s="13">
        <f>WEEKNUM(SalesTbl[[#This Row],[Order Date]],2)</f>
        <v>51</v>
      </c>
      <c r="Q716" s="14">
        <f>MEDIAN(SalesTbl[Quantity])</f>
        <v>3</v>
      </c>
      <c r="R716" s="14">
        <f>IF(ISBLANK(SalesTbl[[#This Row],[Quantity]]),$H$2,SalesTbl[[#This Row],[Quantity]])</f>
        <v>4</v>
      </c>
      <c r="S716">
        <f>ROW()-ROW(SalesTbl[[#Headers],[Customer ID]])</f>
        <v>715</v>
      </c>
      <c r="T716" s="9" t="str">
        <f>IF(SalesTbl[[#This Row],[RowIdx]]&lt;=ROUNDUP(COUNTA(SalesTbl[Customer ID])*0.8,0),"Train","Test")</f>
        <v>Train</v>
      </c>
    </row>
    <row r="717" spans="1:20" x14ac:dyDescent="0.25">
      <c r="A717" t="s">
        <v>70</v>
      </c>
      <c r="B717" t="s">
        <v>13</v>
      </c>
      <c r="C717" t="s">
        <v>322</v>
      </c>
      <c r="D717" t="s">
        <v>40</v>
      </c>
      <c r="E717" t="s">
        <v>15</v>
      </c>
      <c r="F717">
        <v>23</v>
      </c>
      <c r="G717">
        <v>800</v>
      </c>
      <c r="H717">
        <v>1</v>
      </c>
      <c r="I717">
        <v>800</v>
      </c>
      <c r="J717">
        <v>6.7</v>
      </c>
      <c r="K717" s="2">
        <v>45113</v>
      </c>
      <c r="L717" t="s">
        <v>319</v>
      </c>
      <c r="M717" s="6">
        <f>SalesTbl[[#This Row],[Unit Price]]*SalesTbl[[#This Row],[Quantity]]</f>
        <v>800</v>
      </c>
      <c r="N717" s="6">
        <f>YEAR(SalesTbl[[#This Row],[Order Date]])</f>
        <v>2023</v>
      </c>
      <c r="O717" s="6" t="str">
        <f>TEXT(SalesTbl[[#This Row],[Order Date]],"yyyy-mm")</f>
        <v>2023-07</v>
      </c>
      <c r="P717" s="13">
        <f>WEEKNUM(SalesTbl[[#This Row],[Order Date]],2)</f>
        <v>28</v>
      </c>
      <c r="Q717" s="14">
        <f>MEDIAN(SalesTbl[Quantity])</f>
        <v>3</v>
      </c>
      <c r="R717" s="14">
        <f>IF(ISBLANK(SalesTbl[[#This Row],[Quantity]]),$H$2,SalesTbl[[#This Row],[Quantity]])</f>
        <v>1</v>
      </c>
      <c r="S717">
        <f>ROW()-ROW(SalesTbl[[#Headers],[Customer ID]])</f>
        <v>716</v>
      </c>
      <c r="T717" s="9" t="str">
        <f>IF(SalesTbl[[#This Row],[RowIdx]]&lt;=ROUNDUP(COUNTA(SalesTbl[Customer ID])*0.8,0),"Train","Test")</f>
        <v>Train</v>
      </c>
    </row>
    <row r="718" spans="1:20" x14ac:dyDescent="0.25">
      <c r="A718" t="s">
        <v>186</v>
      </c>
      <c r="B718" t="s">
        <v>20</v>
      </c>
      <c r="C718" t="s">
        <v>321</v>
      </c>
      <c r="D718" t="s">
        <v>14</v>
      </c>
      <c r="E718" t="s">
        <v>15</v>
      </c>
      <c r="F718">
        <v>40</v>
      </c>
      <c r="G718">
        <v>300</v>
      </c>
      <c r="H718">
        <v>1</v>
      </c>
      <c r="I718">
        <v>300</v>
      </c>
      <c r="J718">
        <v>11.65</v>
      </c>
      <c r="K718" s="2">
        <v>45129</v>
      </c>
      <c r="L718" t="s">
        <v>318</v>
      </c>
      <c r="M718" s="6">
        <f>SalesTbl[[#This Row],[Unit Price]]*SalesTbl[[#This Row],[Quantity]]</f>
        <v>300</v>
      </c>
      <c r="N718" s="6">
        <f>YEAR(SalesTbl[[#This Row],[Order Date]])</f>
        <v>2023</v>
      </c>
      <c r="O718" s="6" t="str">
        <f>TEXT(SalesTbl[[#This Row],[Order Date]],"yyyy-mm")</f>
        <v>2023-07</v>
      </c>
      <c r="P718" s="13">
        <f>WEEKNUM(SalesTbl[[#This Row],[Order Date]],2)</f>
        <v>30</v>
      </c>
      <c r="Q718" s="14">
        <f>MEDIAN(SalesTbl[Quantity])</f>
        <v>3</v>
      </c>
      <c r="R718" s="14">
        <f>IF(ISBLANK(SalesTbl[[#This Row],[Quantity]]),$H$2,SalesTbl[[#This Row],[Quantity]])</f>
        <v>1</v>
      </c>
      <c r="S718">
        <f>ROW()-ROW(SalesTbl[[#Headers],[Customer ID]])</f>
        <v>717</v>
      </c>
      <c r="T718" s="9" t="str">
        <f>IF(SalesTbl[[#This Row],[RowIdx]]&lt;=ROUNDUP(COUNTA(SalesTbl[Customer ID])*0.8,0),"Train","Test")</f>
        <v>Train</v>
      </c>
    </row>
    <row r="719" spans="1:20" x14ac:dyDescent="0.25">
      <c r="A719" t="s">
        <v>165</v>
      </c>
      <c r="B719" t="s">
        <v>20</v>
      </c>
      <c r="C719" t="s">
        <v>320</v>
      </c>
      <c r="D719" t="s">
        <v>29</v>
      </c>
      <c r="E719" t="s">
        <v>18</v>
      </c>
      <c r="F719">
        <v>66</v>
      </c>
      <c r="G719">
        <v>50</v>
      </c>
      <c r="H719">
        <v>4</v>
      </c>
      <c r="I719">
        <v>200</v>
      </c>
      <c r="J719">
        <v>14.49</v>
      </c>
      <c r="K719" s="2">
        <v>45083</v>
      </c>
      <c r="L719" t="s">
        <v>318</v>
      </c>
      <c r="M719" s="6">
        <f>SalesTbl[[#This Row],[Unit Price]]*SalesTbl[[#This Row],[Quantity]]</f>
        <v>200</v>
      </c>
      <c r="N719" s="6">
        <f>YEAR(SalesTbl[[#This Row],[Order Date]])</f>
        <v>2023</v>
      </c>
      <c r="O719" s="6" t="str">
        <f>TEXT(SalesTbl[[#This Row],[Order Date]],"yyyy-mm")</f>
        <v>2023-06</v>
      </c>
      <c r="P719" s="13">
        <f>WEEKNUM(SalesTbl[[#This Row],[Order Date]],2)</f>
        <v>24</v>
      </c>
      <c r="Q719" s="14">
        <f>MEDIAN(SalesTbl[Quantity])</f>
        <v>3</v>
      </c>
      <c r="R719" s="14">
        <f>IF(ISBLANK(SalesTbl[[#This Row],[Quantity]]),$H$2,SalesTbl[[#This Row],[Quantity]])</f>
        <v>4</v>
      </c>
      <c r="S719">
        <f>ROW()-ROW(SalesTbl[[#Headers],[Customer ID]])</f>
        <v>718</v>
      </c>
      <c r="T719" s="9" t="str">
        <f>IF(SalesTbl[[#This Row],[RowIdx]]&lt;=ROUNDUP(COUNTA(SalesTbl[Customer ID])*0.8,0),"Train","Test")</f>
        <v>Train</v>
      </c>
    </row>
    <row r="720" spans="1:20" x14ac:dyDescent="0.25">
      <c r="A720" t="s">
        <v>184</v>
      </c>
      <c r="B720" t="s">
        <v>13</v>
      </c>
      <c r="C720" t="s">
        <v>320</v>
      </c>
      <c r="D720" t="s">
        <v>14</v>
      </c>
      <c r="E720" t="s">
        <v>15</v>
      </c>
      <c r="F720">
        <v>51</v>
      </c>
      <c r="G720">
        <v>300</v>
      </c>
      <c r="H720">
        <v>5</v>
      </c>
      <c r="I720">
        <v>1500</v>
      </c>
      <c r="J720">
        <v>14.23</v>
      </c>
      <c r="K720" s="2">
        <v>45141</v>
      </c>
      <c r="L720" t="s">
        <v>317</v>
      </c>
      <c r="M720" s="6">
        <f>SalesTbl[[#This Row],[Unit Price]]*SalesTbl[[#This Row],[Quantity]]</f>
        <v>1500</v>
      </c>
      <c r="N720" s="6">
        <f>YEAR(SalesTbl[[#This Row],[Order Date]])</f>
        <v>2023</v>
      </c>
      <c r="O720" s="6" t="str">
        <f>TEXT(SalesTbl[[#This Row],[Order Date]],"yyyy-mm")</f>
        <v>2023-08</v>
      </c>
      <c r="P720" s="13">
        <f>WEEKNUM(SalesTbl[[#This Row],[Order Date]],2)</f>
        <v>32</v>
      </c>
      <c r="Q720" s="14">
        <f>MEDIAN(SalesTbl[Quantity])</f>
        <v>3</v>
      </c>
      <c r="R720" s="14">
        <f>IF(ISBLANK(SalesTbl[[#This Row],[Quantity]]),$H$2,SalesTbl[[#This Row],[Quantity]])</f>
        <v>5</v>
      </c>
      <c r="S720">
        <f>ROW()-ROW(SalesTbl[[#Headers],[Customer ID]])</f>
        <v>719</v>
      </c>
      <c r="T720" s="9" t="str">
        <f>IF(SalesTbl[[#This Row],[RowIdx]]&lt;=ROUNDUP(COUNTA(SalesTbl[Customer ID])*0.8,0),"Train","Test")</f>
        <v>Train</v>
      </c>
    </row>
    <row r="721" spans="1:20" x14ac:dyDescent="0.25">
      <c r="A721" t="s">
        <v>173</v>
      </c>
      <c r="B721" t="s">
        <v>13</v>
      </c>
      <c r="C721" t="s">
        <v>320</v>
      </c>
      <c r="D721" t="s">
        <v>14</v>
      </c>
      <c r="E721" t="s">
        <v>15</v>
      </c>
      <c r="F721">
        <v>60</v>
      </c>
      <c r="G721">
        <v>300</v>
      </c>
      <c r="H721">
        <v>2</v>
      </c>
      <c r="I721">
        <v>600</v>
      </c>
      <c r="J721">
        <v>15.88</v>
      </c>
      <c r="K721" s="2">
        <v>44938</v>
      </c>
      <c r="L721" t="s">
        <v>317</v>
      </c>
      <c r="M721" s="6">
        <f>SalesTbl[[#This Row],[Unit Price]]*SalesTbl[[#This Row],[Quantity]]</f>
        <v>600</v>
      </c>
      <c r="N721" s="6">
        <f>YEAR(SalesTbl[[#This Row],[Order Date]])</f>
        <v>2023</v>
      </c>
      <c r="O721" s="6" t="str">
        <f>TEXT(SalesTbl[[#This Row],[Order Date]],"yyyy-mm")</f>
        <v>2023-01</v>
      </c>
      <c r="P721" s="13">
        <f>WEEKNUM(SalesTbl[[#This Row],[Order Date]],2)</f>
        <v>3</v>
      </c>
      <c r="Q721" s="14">
        <f>MEDIAN(SalesTbl[Quantity])</f>
        <v>3</v>
      </c>
      <c r="R721" s="14">
        <f>IF(ISBLANK(SalesTbl[[#This Row],[Quantity]]),$H$2,SalesTbl[[#This Row],[Quantity]])</f>
        <v>2</v>
      </c>
      <c r="S721">
        <f>ROW()-ROW(SalesTbl[[#Headers],[Customer ID]])</f>
        <v>720</v>
      </c>
      <c r="T721" s="9" t="str">
        <f>IF(SalesTbl[[#This Row],[RowIdx]]&lt;=ROUNDUP(COUNTA(SalesTbl[Customer ID])*0.8,0),"Train","Test")</f>
        <v>Train</v>
      </c>
    </row>
    <row r="722" spans="1:20" x14ac:dyDescent="0.25">
      <c r="A722" t="s">
        <v>222</v>
      </c>
      <c r="B722" t="s">
        <v>13</v>
      </c>
      <c r="C722" t="s">
        <v>323</v>
      </c>
      <c r="D722" t="s">
        <v>29</v>
      </c>
      <c r="E722" t="s">
        <v>18</v>
      </c>
      <c r="F722">
        <v>67</v>
      </c>
      <c r="G722">
        <v>50</v>
      </c>
      <c r="H722">
        <v>1</v>
      </c>
      <c r="I722">
        <v>50</v>
      </c>
      <c r="J722">
        <v>19.41</v>
      </c>
      <c r="K722" s="2">
        <v>45136</v>
      </c>
      <c r="L722" t="s">
        <v>317</v>
      </c>
      <c r="M722" s="6">
        <f>SalesTbl[[#This Row],[Unit Price]]*SalesTbl[[#This Row],[Quantity]]</f>
        <v>50</v>
      </c>
      <c r="N722" s="6">
        <f>YEAR(SalesTbl[[#This Row],[Order Date]])</f>
        <v>2023</v>
      </c>
      <c r="O722" s="6" t="str">
        <f>TEXT(SalesTbl[[#This Row],[Order Date]],"yyyy-mm")</f>
        <v>2023-07</v>
      </c>
      <c r="P722" s="13">
        <f>WEEKNUM(SalesTbl[[#This Row],[Order Date]],2)</f>
        <v>31</v>
      </c>
      <c r="Q722" s="14">
        <f>MEDIAN(SalesTbl[Quantity])</f>
        <v>3</v>
      </c>
      <c r="R722" s="14">
        <f>IF(ISBLANK(SalesTbl[[#This Row],[Quantity]]),$H$2,SalesTbl[[#This Row],[Quantity]])</f>
        <v>1</v>
      </c>
      <c r="S722">
        <f>ROW()-ROW(SalesTbl[[#Headers],[Customer ID]])</f>
        <v>721</v>
      </c>
      <c r="T722" s="9" t="str">
        <f>IF(SalesTbl[[#This Row],[RowIdx]]&lt;=ROUNDUP(COUNTA(SalesTbl[Customer ID])*0.8,0),"Train","Test")</f>
        <v>Train</v>
      </c>
    </row>
    <row r="723" spans="1:20" x14ac:dyDescent="0.25">
      <c r="A723" t="s">
        <v>193</v>
      </c>
      <c r="B723" t="s">
        <v>13</v>
      </c>
      <c r="C723" t="s">
        <v>319</v>
      </c>
      <c r="D723" t="s">
        <v>40</v>
      </c>
      <c r="E723" t="s">
        <v>15</v>
      </c>
      <c r="F723">
        <v>52</v>
      </c>
      <c r="G723">
        <v>800</v>
      </c>
      <c r="H723">
        <v>4</v>
      </c>
      <c r="I723">
        <v>3200</v>
      </c>
      <c r="J723">
        <v>15.79</v>
      </c>
      <c r="K723" s="2">
        <v>45158</v>
      </c>
      <c r="L723" t="s">
        <v>317</v>
      </c>
      <c r="M723" s="6">
        <f>SalesTbl[[#This Row],[Unit Price]]*SalesTbl[[#This Row],[Quantity]]</f>
        <v>3200</v>
      </c>
      <c r="N723" s="6">
        <f>YEAR(SalesTbl[[#This Row],[Order Date]])</f>
        <v>2023</v>
      </c>
      <c r="O723" s="6" t="str">
        <f>TEXT(SalesTbl[[#This Row],[Order Date]],"yyyy-mm")</f>
        <v>2023-08</v>
      </c>
      <c r="P723" s="13">
        <f>WEEKNUM(SalesTbl[[#This Row],[Order Date]],2)</f>
        <v>34</v>
      </c>
      <c r="Q723" s="14">
        <f>MEDIAN(SalesTbl[Quantity])</f>
        <v>3</v>
      </c>
      <c r="R723" s="14">
        <f>IF(ISBLANK(SalesTbl[[#This Row],[Quantity]]),$H$2,SalesTbl[[#This Row],[Quantity]])</f>
        <v>4</v>
      </c>
      <c r="S723">
        <f>ROW()-ROW(SalesTbl[[#Headers],[Customer ID]])</f>
        <v>722</v>
      </c>
      <c r="T723" s="9" t="str">
        <f>IF(SalesTbl[[#This Row],[RowIdx]]&lt;=ROUNDUP(COUNTA(SalesTbl[Customer ID])*0.8,0),"Train","Test")</f>
        <v>Train</v>
      </c>
    </row>
    <row r="724" spans="1:20" x14ac:dyDescent="0.25">
      <c r="A724" t="s">
        <v>90</v>
      </c>
      <c r="B724" t="s">
        <v>13</v>
      </c>
      <c r="C724" t="s">
        <v>321</v>
      </c>
      <c r="D724" t="s">
        <v>30</v>
      </c>
      <c r="E724" t="s">
        <v>18</v>
      </c>
      <c r="F724">
        <v>50</v>
      </c>
      <c r="G724">
        <v>30</v>
      </c>
      <c r="H724">
        <v>4</v>
      </c>
      <c r="I724">
        <v>120</v>
      </c>
      <c r="J724">
        <v>17.84</v>
      </c>
      <c r="K724" s="2">
        <v>44994</v>
      </c>
      <c r="L724" t="s">
        <v>316</v>
      </c>
      <c r="M724" s="6">
        <f>SalesTbl[[#This Row],[Unit Price]]*SalesTbl[[#This Row],[Quantity]]</f>
        <v>120</v>
      </c>
      <c r="N724" s="6">
        <f>YEAR(SalesTbl[[#This Row],[Order Date]])</f>
        <v>2023</v>
      </c>
      <c r="O724" s="6" t="str">
        <f>TEXT(SalesTbl[[#This Row],[Order Date]],"yyyy-mm")</f>
        <v>2023-03</v>
      </c>
      <c r="P724" s="13">
        <f>WEEKNUM(SalesTbl[[#This Row],[Order Date]],2)</f>
        <v>11</v>
      </c>
      <c r="Q724" s="14">
        <f>MEDIAN(SalesTbl[Quantity])</f>
        <v>3</v>
      </c>
      <c r="R724" s="14">
        <f>IF(ISBLANK(SalesTbl[[#This Row],[Quantity]]),$H$2,SalesTbl[[#This Row],[Quantity]])</f>
        <v>4</v>
      </c>
      <c r="S724">
        <f>ROW()-ROW(SalesTbl[[#Headers],[Customer ID]])</f>
        <v>723</v>
      </c>
      <c r="T724" s="9" t="str">
        <f>IF(SalesTbl[[#This Row],[RowIdx]]&lt;=ROUNDUP(COUNTA(SalesTbl[Customer ID])*0.8,0),"Train","Test")</f>
        <v>Train</v>
      </c>
    </row>
    <row r="725" spans="1:20" x14ac:dyDescent="0.25">
      <c r="A725" t="s">
        <v>64</v>
      </c>
      <c r="B725" t="s">
        <v>13</v>
      </c>
      <c r="C725" t="s">
        <v>322</v>
      </c>
      <c r="D725" t="s">
        <v>25</v>
      </c>
      <c r="E725" t="s">
        <v>26</v>
      </c>
      <c r="F725">
        <v>19</v>
      </c>
      <c r="G725">
        <v>200</v>
      </c>
      <c r="H725">
        <v>3</v>
      </c>
      <c r="I725">
        <v>600</v>
      </c>
      <c r="J725">
        <v>10.07</v>
      </c>
      <c r="K725" s="2">
        <v>45248</v>
      </c>
      <c r="L725" t="s">
        <v>317</v>
      </c>
      <c r="M725" s="6">
        <f>SalesTbl[[#This Row],[Unit Price]]*SalesTbl[[#This Row],[Quantity]]</f>
        <v>600</v>
      </c>
      <c r="N725" s="6">
        <f>YEAR(SalesTbl[[#This Row],[Order Date]])</f>
        <v>2023</v>
      </c>
      <c r="O725" s="6" t="str">
        <f>TEXT(SalesTbl[[#This Row],[Order Date]],"yyyy-mm")</f>
        <v>2023-11</v>
      </c>
      <c r="P725" s="13">
        <f>WEEKNUM(SalesTbl[[#This Row],[Order Date]],2)</f>
        <v>47</v>
      </c>
      <c r="Q725" s="14">
        <f>MEDIAN(SalesTbl[Quantity])</f>
        <v>3</v>
      </c>
      <c r="R725" s="14">
        <f>IF(ISBLANK(SalesTbl[[#This Row],[Quantity]]),$H$2,SalesTbl[[#This Row],[Quantity]])</f>
        <v>3</v>
      </c>
      <c r="S725">
        <f>ROW()-ROW(SalesTbl[[#Headers],[Customer ID]])</f>
        <v>724</v>
      </c>
      <c r="T725" s="9" t="str">
        <f>IF(SalesTbl[[#This Row],[RowIdx]]&lt;=ROUNDUP(COUNTA(SalesTbl[Customer ID])*0.8,0),"Train","Test")</f>
        <v>Train</v>
      </c>
    </row>
    <row r="726" spans="1:20" x14ac:dyDescent="0.25">
      <c r="A726" t="s">
        <v>22</v>
      </c>
      <c r="B726" t="s">
        <v>13</v>
      </c>
      <c r="C726" t="s">
        <v>321</v>
      </c>
      <c r="D726" t="s">
        <v>30</v>
      </c>
      <c r="E726" t="s">
        <v>18</v>
      </c>
      <c r="F726">
        <v>65</v>
      </c>
      <c r="G726">
        <v>30</v>
      </c>
      <c r="H726">
        <v>5</v>
      </c>
      <c r="I726">
        <v>150</v>
      </c>
      <c r="J726">
        <v>15.11</v>
      </c>
      <c r="K726" s="2">
        <v>45169</v>
      </c>
      <c r="L726" t="s">
        <v>318</v>
      </c>
      <c r="M726" s="6">
        <f>SalesTbl[[#This Row],[Unit Price]]*SalesTbl[[#This Row],[Quantity]]</f>
        <v>150</v>
      </c>
      <c r="N726" s="6">
        <f>YEAR(SalesTbl[[#This Row],[Order Date]])</f>
        <v>2023</v>
      </c>
      <c r="O726" s="6" t="str">
        <f>TEXT(SalesTbl[[#This Row],[Order Date]],"yyyy-mm")</f>
        <v>2023-08</v>
      </c>
      <c r="P726" s="13">
        <f>WEEKNUM(SalesTbl[[#This Row],[Order Date]],2)</f>
        <v>36</v>
      </c>
      <c r="Q726" s="14">
        <f>MEDIAN(SalesTbl[Quantity])</f>
        <v>3</v>
      </c>
      <c r="R726" s="14">
        <f>IF(ISBLANK(SalesTbl[[#This Row],[Quantity]]),$H$2,SalesTbl[[#This Row],[Quantity]])</f>
        <v>5</v>
      </c>
      <c r="S726">
        <f>ROW()-ROW(SalesTbl[[#Headers],[Customer ID]])</f>
        <v>725</v>
      </c>
      <c r="T726" s="9" t="str">
        <f>IF(SalesTbl[[#This Row],[RowIdx]]&lt;=ROUNDUP(COUNTA(SalesTbl[Customer ID])*0.8,0),"Train","Test")</f>
        <v>Train</v>
      </c>
    </row>
    <row r="727" spans="1:20" x14ac:dyDescent="0.25">
      <c r="A727" t="s">
        <v>83</v>
      </c>
      <c r="B727" t="s">
        <v>20</v>
      </c>
      <c r="C727" t="s">
        <v>323</v>
      </c>
      <c r="D727" t="s">
        <v>14</v>
      </c>
      <c r="E727" t="s">
        <v>15</v>
      </c>
      <c r="F727">
        <v>36</v>
      </c>
      <c r="G727">
        <v>300</v>
      </c>
      <c r="H727">
        <v>4</v>
      </c>
      <c r="I727">
        <v>1200</v>
      </c>
      <c r="J727">
        <v>11.23</v>
      </c>
      <c r="K727" s="2">
        <v>45155</v>
      </c>
      <c r="L727" t="s">
        <v>317</v>
      </c>
      <c r="M727" s="6">
        <f>SalesTbl[[#This Row],[Unit Price]]*SalesTbl[[#This Row],[Quantity]]</f>
        <v>1200</v>
      </c>
      <c r="N727" s="6">
        <f>YEAR(SalesTbl[[#This Row],[Order Date]])</f>
        <v>2023</v>
      </c>
      <c r="O727" s="6" t="str">
        <f>TEXT(SalesTbl[[#This Row],[Order Date]],"yyyy-mm")</f>
        <v>2023-08</v>
      </c>
      <c r="P727" s="13">
        <f>WEEKNUM(SalesTbl[[#This Row],[Order Date]],2)</f>
        <v>34</v>
      </c>
      <c r="Q727" s="14">
        <f>MEDIAN(SalesTbl[Quantity])</f>
        <v>3</v>
      </c>
      <c r="R727" s="14">
        <f>IF(ISBLANK(SalesTbl[[#This Row],[Quantity]]),$H$2,SalesTbl[[#This Row],[Quantity]])</f>
        <v>4</v>
      </c>
      <c r="S727">
        <f>ROW()-ROW(SalesTbl[[#Headers],[Customer ID]])</f>
        <v>726</v>
      </c>
      <c r="T727" s="9" t="str">
        <f>IF(SalesTbl[[#This Row],[RowIdx]]&lt;=ROUNDUP(COUNTA(SalesTbl[Customer ID])*0.8,0),"Train","Test")</f>
        <v>Train</v>
      </c>
    </row>
    <row r="728" spans="1:20" x14ac:dyDescent="0.25">
      <c r="A728" t="s">
        <v>251</v>
      </c>
      <c r="B728" t="s">
        <v>13</v>
      </c>
      <c r="C728" t="s">
        <v>322</v>
      </c>
      <c r="D728" t="s">
        <v>29</v>
      </c>
      <c r="E728" t="s">
        <v>18</v>
      </c>
      <c r="F728">
        <v>51</v>
      </c>
      <c r="G728">
        <v>50</v>
      </c>
      <c r="H728">
        <v>5</v>
      </c>
      <c r="I728">
        <v>250</v>
      </c>
      <c r="J728">
        <v>15.38</v>
      </c>
      <c r="K728" s="2">
        <v>45145</v>
      </c>
      <c r="L728" t="s">
        <v>316</v>
      </c>
      <c r="M728" s="6">
        <f>SalesTbl[[#This Row],[Unit Price]]*SalesTbl[[#This Row],[Quantity]]</f>
        <v>250</v>
      </c>
      <c r="N728" s="6">
        <f>YEAR(SalesTbl[[#This Row],[Order Date]])</f>
        <v>2023</v>
      </c>
      <c r="O728" s="6" t="str">
        <f>TEXT(SalesTbl[[#This Row],[Order Date]],"yyyy-mm")</f>
        <v>2023-08</v>
      </c>
      <c r="P728" s="13">
        <f>WEEKNUM(SalesTbl[[#This Row],[Order Date]],2)</f>
        <v>33</v>
      </c>
      <c r="Q728" s="14">
        <f>MEDIAN(SalesTbl[Quantity])</f>
        <v>3</v>
      </c>
      <c r="R728" s="14">
        <f>IF(ISBLANK(SalesTbl[[#This Row],[Quantity]]),$H$2,SalesTbl[[#This Row],[Quantity]])</f>
        <v>5</v>
      </c>
      <c r="S728">
        <f>ROW()-ROW(SalesTbl[[#Headers],[Customer ID]])</f>
        <v>727</v>
      </c>
      <c r="T728" s="9" t="str">
        <f>IF(SalesTbl[[#This Row],[RowIdx]]&lt;=ROUNDUP(COUNTA(SalesTbl[Customer ID])*0.8,0),"Train","Test")</f>
        <v>Train</v>
      </c>
    </row>
    <row r="729" spans="1:20" x14ac:dyDescent="0.25">
      <c r="A729" t="s">
        <v>296</v>
      </c>
      <c r="B729" t="s">
        <v>20</v>
      </c>
      <c r="C729" t="s">
        <v>323</v>
      </c>
      <c r="D729" t="s">
        <v>29</v>
      </c>
      <c r="E729" t="s">
        <v>18</v>
      </c>
      <c r="F729">
        <v>65</v>
      </c>
      <c r="G729">
        <v>50</v>
      </c>
      <c r="H729">
        <v>3</v>
      </c>
      <c r="I729">
        <v>150</v>
      </c>
      <c r="J729">
        <v>10.84</v>
      </c>
      <c r="K729" s="2">
        <v>45247</v>
      </c>
      <c r="L729" t="s">
        <v>319</v>
      </c>
      <c r="M729" s="6">
        <f>SalesTbl[[#This Row],[Unit Price]]*SalesTbl[[#This Row],[Quantity]]</f>
        <v>150</v>
      </c>
      <c r="N729" s="6">
        <f>YEAR(SalesTbl[[#This Row],[Order Date]])</f>
        <v>2023</v>
      </c>
      <c r="O729" s="6" t="str">
        <f>TEXT(SalesTbl[[#This Row],[Order Date]],"yyyy-mm")</f>
        <v>2023-11</v>
      </c>
      <c r="P729" s="13">
        <f>WEEKNUM(SalesTbl[[#This Row],[Order Date]],2)</f>
        <v>47</v>
      </c>
      <c r="Q729" s="14">
        <f>MEDIAN(SalesTbl[Quantity])</f>
        <v>3</v>
      </c>
      <c r="R729" s="14">
        <f>IF(ISBLANK(SalesTbl[[#This Row],[Quantity]]),$H$2,SalesTbl[[#This Row],[Quantity]])</f>
        <v>3</v>
      </c>
      <c r="S729">
        <f>ROW()-ROW(SalesTbl[[#Headers],[Customer ID]])</f>
        <v>728</v>
      </c>
      <c r="T729" s="9" t="str">
        <f>IF(SalesTbl[[#This Row],[RowIdx]]&lt;=ROUNDUP(COUNTA(SalesTbl[Customer ID])*0.8,0),"Train","Test")</f>
        <v>Train</v>
      </c>
    </row>
    <row r="730" spans="1:20" x14ac:dyDescent="0.25">
      <c r="A730" t="s">
        <v>238</v>
      </c>
      <c r="B730" t="s">
        <v>20</v>
      </c>
      <c r="C730" t="s">
        <v>322</v>
      </c>
      <c r="D730" t="s">
        <v>14</v>
      </c>
      <c r="E730" t="s">
        <v>15</v>
      </c>
      <c r="F730">
        <v>58</v>
      </c>
      <c r="G730">
        <v>300</v>
      </c>
      <c r="H730">
        <v>4</v>
      </c>
      <c r="I730">
        <v>1200</v>
      </c>
      <c r="J730">
        <v>13.4</v>
      </c>
      <c r="K730" s="2">
        <v>45016</v>
      </c>
      <c r="L730" t="s">
        <v>318</v>
      </c>
      <c r="M730" s="6">
        <f>SalesTbl[[#This Row],[Unit Price]]*SalesTbl[[#This Row],[Quantity]]</f>
        <v>1200</v>
      </c>
      <c r="N730" s="6">
        <f>YEAR(SalesTbl[[#This Row],[Order Date]])</f>
        <v>2023</v>
      </c>
      <c r="O730" s="6" t="str">
        <f>TEXT(SalesTbl[[#This Row],[Order Date]],"yyyy-mm")</f>
        <v>2023-03</v>
      </c>
      <c r="P730" s="13">
        <f>WEEKNUM(SalesTbl[[#This Row],[Order Date]],2)</f>
        <v>14</v>
      </c>
      <c r="Q730" s="14">
        <f>MEDIAN(SalesTbl[Quantity])</f>
        <v>3</v>
      </c>
      <c r="R730" s="14">
        <f>IF(ISBLANK(SalesTbl[[#This Row],[Quantity]]),$H$2,SalesTbl[[#This Row],[Quantity]])</f>
        <v>4</v>
      </c>
      <c r="S730">
        <f>ROW()-ROW(SalesTbl[[#Headers],[Customer ID]])</f>
        <v>729</v>
      </c>
      <c r="T730" s="9" t="str">
        <f>IF(SalesTbl[[#This Row],[RowIdx]]&lt;=ROUNDUP(COUNTA(SalesTbl[Customer ID])*0.8,0),"Train","Test")</f>
        <v>Train</v>
      </c>
    </row>
    <row r="731" spans="1:20" x14ac:dyDescent="0.25">
      <c r="A731" t="s">
        <v>290</v>
      </c>
      <c r="B731" t="s">
        <v>20</v>
      </c>
      <c r="C731" t="s">
        <v>322</v>
      </c>
      <c r="D731" t="s">
        <v>17</v>
      </c>
      <c r="E731" t="s">
        <v>18</v>
      </c>
      <c r="F731">
        <v>22</v>
      </c>
      <c r="G731">
        <v>100</v>
      </c>
      <c r="H731">
        <v>3</v>
      </c>
      <c r="I731">
        <v>300</v>
      </c>
      <c r="J731">
        <v>7.7</v>
      </c>
      <c r="K731" s="2">
        <v>45127</v>
      </c>
      <c r="L731" t="s">
        <v>318</v>
      </c>
      <c r="M731" s="6">
        <f>SalesTbl[[#This Row],[Unit Price]]*SalesTbl[[#This Row],[Quantity]]</f>
        <v>300</v>
      </c>
      <c r="N731" s="6">
        <f>YEAR(SalesTbl[[#This Row],[Order Date]])</f>
        <v>2023</v>
      </c>
      <c r="O731" s="6" t="str">
        <f>TEXT(SalesTbl[[#This Row],[Order Date]],"yyyy-mm")</f>
        <v>2023-07</v>
      </c>
      <c r="P731" s="13">
        <f>WEEKNUM(SalesTbl[[#This Row],[Order Date]],2)</f>
        <v>30</v>
      </c>
      <c r="Q731" s="14">
        <f>MEDIAN(SalesTbl[Quantity])</f>
        <v>3</v>
      </c>
      <c r="R731" s="14">
        <f>IF(ISBLANK(SalesTbl[[#This Row],[Quantity]]),$H$2,SalesTbl[[#This Row],[Quantity]])</f>
        <v>3</v>
      </c>
      <c r="S731">
        <f>ROW()-ROW(SalesTbl[[#Headers],[Customer ID]])</f>
        <v>730</v>
      </c>
      <c r="T731" s="9" t="str">
        <f>IF(SalesTbl[[#This Row],[RowIdx]]&lt;=ROUNDUP(COUNTA(SalesTbl[Customer ID])*0.8,0),"Train","Test")</f>
        <v>Train</v>
      </c>
    </row>
    <row r="732" spans="1:20" x14ac:dyDescent="0.25">
      <c r="A732" t="s">
        <v>170</v>
      </c>
      <c r="B732" t="s">
        <v>13</v>
      </c>
      <c r="C732" t="s">
        <v>320</v>
      </c>
      <c r="D732" t="s">
        <v>30</v>
      </c>
      <c r="E732" t="s">
        <v>18</v>
      </c>
      <c r="F732">
        <v>57</v>
      </c>
      <c r="G732">
        <v>30</v>
      </c>
      <c r="H732">
        <v>4</v>
      </c>
      <c r="I732">
        <v>120</v>
      </c>
      <c r="J732">
        <v>15.44</v>
      </c>
      <c r="K732" s="2">
        <v>45089</v>
      </c>
      <c r="L732" t="s">
        <v>318</v>
      </c>
      <c r="M732" s="6">
        <f>SalesTbl[[#This Row],[Unit Price]]*SalesTbl[[#This Row],[Quantity]]</f>
        <v>120</v>
      </c>
      <c r="N732" s="6">
        <f>YEAR(SalesTbl[[#This Row],[Order Date]])</f>
        <v>2023</v>
      </c>
      <c r="O732" s="6" t="str">
        <f>TEXT(SalesTbl[[#This Row],[Order Date]],"yyyy-mm")</f>
        <v>2023-06</v>
      </c>
      <c r="P732" s="13">
        <f>WEEKNUM(SalesTbl[[#This Row],[Order Date]],2)</f>
        <v>25</v>
      </c>
      <c r="Q732" s="14">
        <f>MEDIAN(SalesTbl[Quantity])</f>
        <v>3</v>
      </c>
      <c r="R732" s="14">
        <f>IF(ISBLANK(SalesTbl[[#This Row],[Quantity]]),$H$2,SalesTbl[[#This Row],[Quantity]])</f>
        <v>4</v>
      </c>
      <c r="S732">
        <f>ROW()-ROW(SalesTbl[[#Headers],[Customer ID]])</f>
        <v>731</v>
      </c>
      <c r="T732" s="9" t="str">
        <f>IF(SalesTbl[[#This Row],[RowIdx]]&lt;=ROUNDUP(COUNTA(SalesTbl[Customer ID])*0.8,0),"Train","Test")</f>
        <v>Train</v>
      </c>
    </row>
    <row r="733" spans="1:20" x14ac:dyDescent="0.25">
      <c r="A733" t="s">
        <v>289</v>
      </c>
      <c r="B733" t="s">
        <v>20</v>
      </c>
      <c r="C733" t="s">
        <v>322</v>
      </c>
      <c r="D733" t="s">
        <v>17</v>
      </c>
      <c r="E733" t="s">
        <v>18</v>
      </c>
      <c r="F733">
        <v>67</v>
      </c>
      <c r="G733">
        <v>100</v>
      </c>
      <c r="H733">
        <v>5</v>
      </c>
      <c r="I733">
        <v>500</v>
      </c>
      <c r="J733">
        <v>8.74</v>
      </c>
      <c r="K733" s="2">
        <v>45085</v>
      </c>
      <c r="L733" t="s">
        <v>316</v>
      </c>
      <c r="M733" s="6">
        <f>SalesTbl[[#This Row],[Unit Price]]*SalesTbl[[#This Row],[Quantity]]</f>
        <v>500</v>
      </c>
      <c r="N733" s="6">
        <f>YEAR(SalesTbl[[#This Row],[Order Date]])</f>
        <v>2023</v>
      </c>
      <c r="O733" s="6" t="str">
        <f>TEXT(SalesTbl[[#This Row],[Order Date]],"yyyy-mm")</f>
        <v>2023-06</v>
      </c>
      <c r="P733" s="13">
        <f>WEEKNUM(SalesTbl[[#This Row],[Order Date]],2)</f>
        <v>24</v>
      </c>
      <c r="Q733" s="14">
        <f>MEDIAN(SalesTbl[Quantity])</f>
        <v>3</v>
      </c>
      <c r="R733" s="14">
        <f>IF(ISBLANK(SalesTbl[[#This Row],[Quantity]]),$H$2,SalesTbl[[#This Row],[Quantity]])</f>
        <v>5</v>
      </c>
      <c r="S733">
        <f>ROW()-ROW(SalesTbl[[#Headers],[Customer ID]])</f>
        <v>732</v>
      </c>
      <c r="T733" s="9" t="str">
        <f>IF(SalesTbl[[#This Row],[RowIdx]]&lt;=ROUNDUP(COUNTA(SalesTbl[Customer ID])*0.8,0),"Train","Test")</f>
        <v>Train</v>
      </c>
    </row>
    <row r="734" spans="1:20" x14ac:dyDescent="0.25">
      <c r="A734" t="s">
        <v>272</v>
      </c>
      <c r="B734" t="s">
        <v>13</v>
      </c>
      <c r="C734" t="s">
        <v>320</v>
      </c>
      <c r="D734" t="s">
        <v>17</v>
      </c>
      <c r="E734" t="s">
        <v>18</v>
      </c>
      <c r="F734">
        <v>49</v>
      </c>
      <c r="G734">
        <v>100</v>
      </c>
      <c r="H734">
        <v>4</v>
      </c>
      <c r="I734">
        <v>400</v>
      </c>
      <c r="J734">
        <v>14.68</v>
      </c>
      <c r="K734" s="2">
        <v>45268</v>
      </c>
      <c r="L734" t="s">
        <v>317</v>
      </c>
      <c r="M734" s="6">
        <f>SalesTbl[[#This Row],[Unit Price]]*SalesTbl[[#This Row],[Quantity]]</f>
        <v>400</v>
      </c>
      <c r="N734" s="6">
        <f>YEAR(SalesTbl[[#This Row],[Order Date]])</f>
        <v>2023</v>
      </c>
      <c r="O734" s="6" t="str">
        <f>TEXT(SalesTbl[[#This Row],[Order Date]],"yyyy-mm")</f>
        <v>2023-12</v>
      </c>
      <c r="P734" s="13">
        <f>WEEKNUM(SalesTbl[[#This Row],[Order Date]],2)</f>
        <v>50</v>
      </c>
      <c r="Q734" s="14">
        <f>MEDIAN(SalesTbl[Quantity])</f>
        <v>3</v>
      </c>
      <c r="R734" s="14">
        <f>IF(ISBLANK(SalesTbl[[#This Row],[Quantity]]),$H$2,SalesTbl[[#This Row],[Quantity]])</f>
        <v>4</v>
      </c>
      <c r="S734">
        <f>ROW()-ROW(SalesTbl[[#Headers],[Customer ID]])</f>
        <v>733</v>
      </c>
      <c r="T734" s="9" t="str">
        <f>IF(SalesTbl[[#This Row],[RowIdx]]&lt;=ROUNDUP(COUNTA(SalesTbl[Customer ID])*0.8,0),"Train","Test")</f>
        <v>Train</v>
      </c>
    </row>
    <row r="735" spans="1:20" x14ac:dyDescent="0.25">
      <c r="A735" t="s">
        <v>297</v>
      </c>
      <c r="B735" t="s">
        <v>20</v>
      </c>
      <c r="C735" t="s">
        <v>319</v>
      </c>
      <c r="D735" t="s">
        <v>23</v>
      </c>
      <c r="E735" t="s">
        <v>15</v>
      </c>
      <c r="F735">
        <v>44</v>
      </c>
      <c r="G735">
        <v>1500</v>
      </c>
      <c r="H735">
        <v>5</v>
      </c>
      <c r="I735">
        <v>7500</v>
      </c>
      <c r="J735">
        <v>18.3</v>
      </c>
      <c r="K735" s="2">
        <v>45237</v>
      </c>
      <c r="L735" t="s">
        <v>316</v>
      </c>
      <c r="M735" s="6">
        <f>SalesTbl[[#This Row],[Unit Price]]*SalesTbl[[#This Row],[Quantity]]</f>
        <v>7500</v>
      </c>
      <c r="N735" s="6">
        <f>YEAR(SalesTbl[[#This Row],[Order Date]])</f>
        <v>2023</v>
      </c>
      <c r="O735" s="6" t="str">
        <f>TEXT(SalesTbl[[#This Row],[Order Date]],"yyyy-mm")</f>
        <v>2023-11</v>
      </c>
      <c r="P735" s="13">
        <f>WEEKNUM(SalesTbl[[#This Row],[Order Date]],2)</f>
        <v>46</v>
      </c>
      <c r="Q735" s="14">
        <f>MEDIAN(SalesTbl[Quantity])</f>
        <v>3</v>
      </c>
      <c r="R735" s="14">
        <f>IF(ISBLANK(SalesTbl[[#This Row],[Quantity]]),$H$2,SalesTbl[[#This Row],[Quantity]])</f>
        <v>5</v>
      </c>
      <c r="S735">
        <f>ROW()-ROW(SalesTbl[[#Headers],[Customer ID]])</f>
        <v>734</v>
      </c>
      <c r="T735" s="9" t="str">
        <f>IF(SalesTbl[[#This Row],[RowIdx]]&lt;=ROUNDUP(COUNTA(SalesTbl[Customer ID])*0.8,0),"Train","Test")</f>
        <v>Train</v>
      </c>
    </row>
    <row r="736" spans="1:20" x14ac:dyDescent="0.25">
      <c r="A736" t="s">
        <v>35</v>
      </c>
      <c r="B736" t="s">
        <v>13</v>
      </c>
      <c r="C736" t="s">
        <v>323</v>
      </c>
      <c r="D736" t="s">
        <v>25</v>
      </c>
      <c r="E736" t="s">
        <v>26</v>
      </c>
      <c r="F736">
        <v>60</v>
      </c>
      <c r="G736">
        <v>200</v>
      </c>
      <c r="H736">
        <v>1</v>
      </c>
      <c r="I736">
        <v>200</v>
      </c>
      <c r="J736">
        <v>10.14</v>
      </c>
      <c r="K736" s="2">
        <v>45262</v>
      </c>
      <c r="L736" t="s">
        <v>319</v>
      </c>
      <c r="M736" s="6">
        <f>SalesTbl[[#This Row],[Unit Price]]*SalesTbl[[#This Row],[Quantity]]</f>
        <v>200</v>
      </c>
      <c r="N736" s="6">
        <f>YEAR(SalesTbl[[#This Row],[Order Date]])</f>
        <v>2023</v>
      </c>
      <c r="O736" s="6" t="str">
        <f>TEXT(SalesTbl[[#This Row],[Order Date]],"yyyy-mm")</f>
        <v>2023-12</v>
      </c>
      <c r="P736" s="13">
        <f>WEEKNUM(SalesTbl[[#This Row],[Order Date]],2)</f>
        <v>49</v>
      </c>
      <c r="Q736" s="14">
        <f>MEDIAN(SalesTbl[Quantity])</f>
        <v>3</v>
      </c>
      <c r="R736" s="14">
        <f>IF(ISBLANK(SalesTbl[[#This Row],[Quantity]]),$H$2,SalesTbl[[#This Row],[Quantity]])</f>
        <v>1</v>
      </c>
      <c r="S736">
        <f>ROW()-ROW(SalesTbl[[#Headers],[Customer ID]])</f>
        <v>735</v>
      </c>
      <c r="T736" s="9" t="str">
        <f>IF(SalesTbl[[#This Row],[RowIdx]]&lt;=ROUNDUP(COUNTA(SalesTbl[Customer ID])*0.8,0),"Train","Test")</f>
        <v>Train</v>
      </c>
    </row>
    <row r="737" spans="1:20" x14ac:dyDescent="0.25">
      <c r="A737" t="s">
        <v>187</v>
      </c>
      <c r="B737" t="s">
        <v>20</v>
      </c>
      <c r="C737" t="s">
        <v>321</v>
      </c>
      <c r="D737" t="s">
        <v>29</v>
      </c>
      <c r="E737" t="s">
        <v>18</v>
      </c>
      <c r="F737">
        <v>48</v>
      </c>
      <c r="G737">
        <v>50</v>
      </c>
      <c r="H737">
        <v>3</v>
      </c>
      <c r="I737">
        <v>150</v>
      </c>
      <c r="J737">
        <v>6.42</v>
      </c>
      <c r="K737" s="2">
        <v>45230</v>
      </c>
      <c r="L737" t="s">
        <v>317</v>
      </c>
      <c r="M737" s="6">
        <f>SalesTbl[[#This Row],[Unit Price]]*SalesTbl[[#This Row],[Quantity]]</f>
        <v>150</v>
      </c>
      <c r="N737" s="6">
        <f>YEAR(SalesTbl[[#This Row],[Order Date]])</f>
        <v>2023</v>
      </c>
      <c r="O737" s="6" t="str">
        <f>TEXT(SalesTbl[[#This Row],[Order Date]],"yyyy-mm")</f>
        <v>2023-10</v>
      </c>
      <c r="P737" s="13">
        <f>WEEKNUM(SalesTbl[[#This Row],[Order Date]],2)</f>
        <v>45</v>
      </c>
      <c r="Q737" s="14">
        <f>MEDIAN(SalesTbl[Quantity])</f>
        <v>3</v>
      </c>
      <c r="R737" s="14">
        <f>IF(ISBLANK(SalesTbl[[#This Row],[Quantity]]),$H$2,SalesTbl[[#This Row],[Quantity]])</f>
        <v>3</v>
      </c>
      <c r="S737">
        <f>ROW()-ROW(SalesTbl[[#Headers],[Customer ID]])</f>
        <v>736</v>
      </c>
      <c r="T737" s="9" t="str">
        <f>IF(SalesTbl[[#This Row],[RowIdx]]&lt;=ROUNDUP(COUNTA(SalesTbl[Customer ID])*0.8,0),"Train","Test")</f>
        <v>Train</v>
      </c>
    </row>
    <row r="738" spans="1:20" x14ac:dyDescent="0.25">
      <c r="A738" t="s">
        <v>277</v>
      </c>
      <c r="B738" t="s">
        <v>20</v>
      </c>
      <c r="C738" t="s">
        <v>322</v>
      </c>
      <c r="D738" t="s">
        <v>14</v>
      </c>
      <c r="E738" t="s">
        <v>15</v>
      </c>
      <c r="F738">
        <v>29</v>
      </c>
      <c r="G738">
        <v>300</v>
      </c>
      <c r="H738">
        <v>5</v>
      </c>
      <c r="I738">
        <v>1500</v>
      </c>
      <c r="J738">
        <v>18.18</v>
      </c>
      <c r="K738" s="2">
        <v>45175</v>
      </c>
      <c r="L738" t="s">
        <v>317</v>
      </c>
      <c r="M738" s="6">
        <f>SalesTbl[[#This Row],[Unit Price]]*SalesTbl[[#This Row],[Quantity]]</f>
        <v>1500</v>
      </c>
      <c r="N738" s="6">
        <f>YEAR(SalesTbl[[#This Row],[Order Date]])</f>
        <v>2023</v>
      </c>
      <c r="O738" s="6" t="str">
        <f>TEXT(SalesTbl[[#This Row],[Order Date]],"yyyy-mm")</f>
        <v>2023-09</v>
      </c>
      <c r="P738" s="13">
        <f>WEEKNUM(SalesTbl[[#This Row],[Order Date]],2)</f>
        <v>37</v>
      </c>
      <c r="Q738" s="14">
        <f>MEDIAN(SalesTbl[Quantity])</f>
        <v>3</v>
      </c>
      <c r="R738" s="14">
        <f>IF(ISBLANK(SalesTbl[[#This Row],[Quantity]]),$H$2,SalesTbl[[#This Row],[Quantity]])</f>
        <v>5</v>
      </c>
      <c r="S738">
        <f>ROW()-ROW(SalesTbl[[#Headers],[Customer ID]])</f>
        <v>737</v>
      </c>
      <c r="T738" s="9" t="str">
        <f>IF(SalesTbl[[#This Row],[RowIdx]]&lt;=ROUNDUP(COUNTA(SalesTbl[Customer ID])*0.8,0),"Train","Test")</f>
        <v>Train</v>
      </c>
    </row>
    <row r="739" spans="1:20" x14ac:dyDescent="0.25">
      <c r="A739" t="s">
        <v>138</v>
      </c>
      <c r="B739" t="s">
        <v>20</v>
      </c>
      <c r="C739" t="s">
        <v>322</v>
      </c>
      <c r="D739" t="s">
        <v>29</v>
      </c>
      <c r="E739" t="s">
        <v>18</v>
      </c>
      <c r="F739">
        <v>49</v>
      </c>
      <c r="G739">
        <v>50</v>
      </c>
      <c r="H739">
        <v>3</v>
      </c>
      <c r="I739">
        <v>150</v>
      </c>
      <c r="J739">
        <v>5.62</v>
      </c>
      <c r="K739" s="2">
        <v>44990</v>
      </c>
      <c r="L739" t="s">
        <v>317</v>
      </c>
      <c r="M739" s="6">
        <f>SalesTbl[[#This Row],[Unit Price]]*SalesTbl[[#This Row],[Quantity]]</f>
        <v>150</v>
      </c>
      <c r="N739" s="6">
        <f>YEAR(SalesTbl[[#This Row],[Order Date]])</f>
        <v>2023</v>
      </c>
      <c r="O739" s="6" t="str">
        <f>TEXT(SalesTbl[[#This Row],[Order Date]],"yyyy-mm")</f>
        <v>2023-03</v>
      </c>
      <c r="P739" s="13">
        <f>WEEKNUM(SalesTbl[[#This Row],[Order Date]],2)</f>
        <v>10</v>
      </c>
      <c r="Q739" s="14">
        <f>MEDIAN(SalesTbl[Quantity])</f>
        <v>3</v>
      </c>
      <c r="R739" s="14">
        <f>IF(ISBLANK(SalesTbl[[#This Row],[Quantity]]),$H$2,SalesTbl[[#This Row],[Quantity]])</f>
        <v>3</v>
      </c>
      <c r="S739">
        <f>ROW()-ROW(SalesTbl[[#Headers],[Customer ID]])</f>
        <v>738</v>
      </c>
      <c r="T739" s="9" t="str">
        <f>IF(SalesTbl[[#This Row],[RowIdx]]&lt;=ROUNDUP(COUNTA(SalesTbl[Customer ID])*0.8,0),"Train","Test")</f>
        <v>Train</v>
      </c>
    </row>
    <row r="740" spans="1:20" x14ac:dyDescent="0.25">
      <c r="A740" t="s">
        <v>298</v>
      </c>
      <c r="B740" t="s">
        <v>20</v>
      </c>
      <c r="C740" t="s">
        <v>322</v>
      </c>
      <c r="D740" t="s">
        <v>40</v>
      </c>
      <c r="E740" t="s">
        <v>15</v>
      </c>
      <c r="F740">
        <v>35</v>
      </c>
      <c r="G740">
        <v>800</v>
      </c>
      <c r="H740">
        <v>1</v>
      </c>
      <c r="I740">
        <v>800</v>
      </c>
      <c r="J740">
        <v>17.3</v>
      </c>
      <c r="K740" s="2">
        <v>45053</v>
      </c>
      <c r="L740" t="s">
        <v>317</v>
      </c>
      <c r="M740" s="6">
        <f>SalesTbl[[#This Row],[Unit Price]]*SalesTbl[[#This Row],[Quantity]]</f>
        <v>800</v>
      </c>
      <c r="N740" s="6">
        <f>YEAR(SalesTbl[[#This Row],[Order Date]])</f>
        <v>2023</v>
      </c>
      <c r="O740" s="6" t="str">
        <f>TEXT(SalesTbl[[#This Row],[Order Date]],"yyyy-mm")</f>
        <v>2023-05</v>
      </c>
      <c r="P740" s="13">
        <f>WEEKNUM(SalesTbl[[#This Row],[Order Date]],2)</f>
        <v>19</v>
      </c>
      <c r="Q740" s="14">
        <f>MEDIAN(SalesTbl[Quantity])</f>
        <v>3</v>
      </c>
      <c r="R740" s="14">
        <f>IF(ISBLANK(SalesTbl[[#This Row],[Quantity]]),$H$2,SalesTbl[[#This Row],[Quantity]])</f>
        <v>1</v>
      </c>
      <c r="S740">
        <f>ROW()-ROW(SalesTbl[[#Headers],[Customer ID]])</f>
        <v>739</v>
      </c>
      <c r="T740" s="9" t="str">
        <f>IF(SalesTbl[[#This Row],[RowIdx]]&lt;=ROUNDUP(COUNTA(SalesTbl[Customer ID])*0.8,0),"Train","Test")</f>
        <v>Train</v>
      </c>
    </row>
    <row r="741" spans="1:20" x14ac:dyDescent="0.25">
      <c r="A741" t="s">
        <v>297</v>
      </c>
      <c r="B741" t="s">
        <v>13</v>
      </c>
      <c r="C741" t="s">
        <v>323</v>
      </c>
      <c r="D741" t="s">
        <v>30</v>
      </c>
      <c r="E741" t="s">
        <v>18</v>
      </c>
      <c r="F741">
        <v>44</v>
      </c>
      <c r="G741">
        <v>30</v>
      </c>
      <c r="H741">
        <v>3</v>
      </c>
      <c r="I741">
        <v>90</v>
      </c>
      <c r="J741">
        <v>14.91</v>
      </c>
      <c r="K741" s="2">
        <v>45219</v>
      </c>
      <c r="L741" t="s">
        <v>317</v>
      </c>
      <c r="M741" s="6">
        <f>SalesTbl[[#This Row],[Unit Price]]*SalesTbl[[#This Row],[Quantity]]</f>
        <v>90</v>
      </c>
      <c r="N741" s="6">
        <f>YEAR(SalesTbl[[#This Row],[Order Date]])</f>
        <v>2023</v>
      </c>
      <c r="O741" s="6" t="str">
        <f>TEXT(SalesTbl[[#This Row],[Order Date]],"yyyy-mm")</f>
        <v>2023-10</v>
      </c>
      <c r="P741" s="13">
        <f>WEEKNUM(SalesTbl[[#This Row],[Order Date]],2)</f>
        <v>43</v>
      </c>
      <c r="Q741" s="14">
        <f>MEDIAN(SalesTbl[Quantity])</f>
        <v>3</v>
      </c>
      <c r="R741" s="14">
        <f>IF(ISBLANK(SalesTbl[[#This Row],[Quantity]]),$H$2,SalesTbl[[#This Row],[Quantity]])</f>
        <v>3</v>
      </c>
      <c r="S741">
        <f>ROW()-ROW(SalesTbl[[#Headers],[Customer ID]])</f>
        <v>740</v>
      </c>
      <c r="T741" s="9" t="str">
        <f>IF(SalesTbl[[#This Row],[RowIdx]]&lt;=ROUNDUP(COUNTA(SalesTbl[Customer ID])*0.8,0),"Train","Test")</f>
        <v>Train</v>
      </c>
    </row>
    <row r="742" spans="1:20" x14ac:dyDescent="0.25">
      <c r="A742" t="s">
        <v>252</v>
      </c>
      <c r="B742" t="s">
        <v>20</v>
      </c>
      <c r="C742" t="s">
        <v>322</v>
      </c>
      <c r="D742" t="s">
        <v>25</v>
      </c>
      <c r="E742" t="s">
        <v>26</v>
      </c>
      <c r="F742">
        <v>55</v>
      </c>
      <c r="G742">
        <v>200</v>
      </c>
      <c r="H742">
        <v>4</v>
      </c>
      <c r="I742">
        <v>800</v>
      </c>
      <c r="J742">
        <v>7.31</v>
      </c>
      <c r="K742" s="2">
        <v>45001</v>
      </c>
      <c r="L742" t="s">
        <v>316</v>
      </c>
      <c r="M742" s="6">
        <f>SalesTbl[[#This Row],[Unit Price]]*SalesTbl[[#This Row],[Quantity]]</f>
        <v>800</v>
      </c>
      <c r="N742" s="6">
        <f>YEAR(SalesTbl[[#This Row],[Order Date]])</f>
        <v>2023</v>
      </c>
      <c r="O742" s="6" t="str">
        <f>TEXT(SalesTbl[[#This Row],[Order Date]],"yyyy-mm")</f>
        <v>2023-03</v>
      </c>
      <c r="P742" s="13">
        <f>WEEKNUM(SalesTbl[[#This Row],[Order Date]],2)</f>
        <v>12</v>
      </c>
      <c r="Q742" s="14">
        <f>MEDIAN(SalesTbl[Quantity])</f>
        <v>3</v>
      </c>
      <c r="R742" s="14">
        <f>IF(ISBLANK(SalesTbl[[#This Row],[Quantity]]),$H$2,SalesTbl[[#This Row],[Quantity]])</f>
        <v>4</v>
      </c>
      <c r="S742">
        <f>ROW()-ROW(SalesTbl[[#Headers],[Customer ID]])</f>
        <v>741</v>
      </c>
      <c r="T742" s="9" t="str">
        <f>IF(SalesTbl[[#This Row],[RowIdx]]&lt;=ROUNDUP(COUNTA(SalesTbl[Customer ID])*0.8,0),"Train","Test")</f>
        <v>Train</v>
      </c>
    </row>
    <row r="743" spans="1:20" x14ac:dyDescent="0.25">
      <c r="A743" t="s">
        <v>230</v>
      </c>
      <c r="B743" t="s">
        <v>20</v>
      </c>
      <c r="C743" t="s">
        <v>321</v>
      </c>
      <c r="D743" t="s">
        <v>29</v>
      </c>
      <c r="E743" t="s">
        <v>18</v>
      </c>
      <c r="F743">
        <v>42</v>
      </c>
      <c r="G743">
        <v>50</v>
      </c>
      <c r="H743">
        <v>1</v>
      </c>
      <c r="I743">
        <v>50</v>
      </c>
      <c r="J743">
        <v>8.0500000000000007</v>
      </c>
      <c r="K743" s="2">
        <v>45120</v>
      </c>
      <c r="L743" t="s">
        <v>318</v>
      </c>
      <c r="M743" s="6">
        <f>SalesTbl[[#This Row],[Unit Price]]*SalesTbl[[#This Row],[Quantity]]</f>
        <v>50</v>
      </c>
      <c r="N743" s="6">
        <f>YEAR(SalesTbl[[#This Row],[Order Date]])</f>
        <v>2023</v>
      </c>
      <c r="O743" s="6" t="str">
        <f>TEXT(SalesTbl[[#This Row],[Order Date]],"yyyy-mm")</f>
        <v>2023-07</v>
      </c>
      <c r="P743" s="13">
        <f>WEEKNUM(SalesTbl[[#This Row],[Order Date]],2)</f>
        <v>29</v>
      </c>
      <c r="Q743" s="14">
        <f>MEDIAN(SalesTbl[Quantity])</f>
        <v>3</v>
      </c>
      <c r="R743" s="14">
        <f>IF(ISBLANK(SalesTbl[[#This Row],[Quantity]]),$H$2,SalesTbl[[#This Row],[Quantity]])</f>
        <v>1</v>
      </c>
      <c r="S743">
        <f>ROW()-ROW(SalesTbl[[#Headers],[Customer ID]])</f>
        <v>742</v>
      </c>
      <c r="T743" s="9" t="str">
        <f>IF(SalesTbl[[#This Row],[RowIdx]]&lt;=ROUNDUP(COUNTA(SalesTbl[Customer ID])*0.8,0),"Train","Test")</f>
        <v>Train</v>
      </c>
    </row>
    <row r="744" spans="1:20" x14ac:dyDescent="0.25">
      <c r="A744" t="s">
        <v>28</v>
      </c>
      <c r="B744" t="s">
        <v>20</v>
      </c>
      <c r="C744" t="s">
        <v>320</v>
      </c>
      <c r="D744" t="s">
        <v>23</v>
      </c>
      <c r="E744" t="s">
        <v>15</v>
      </c>
      <c r="F744">
        <v>18</v>
      </c>
      <c r="G744">
        <v>1500</v>
      </c>
      <c r="H744">
        <v>1</v>
      </c>
      <c r="I744">
        <v>1500</v>
      </c>
      <c r="J744">
        <v>5.29</v>
      </c>
      <c r="K744" s="2">
        <v>44947</v>
      </c>
      <c r="L744" t="s">
        <v>316</v>
      </c>
      <c r="M744" s="6">
        <f>SalesTbl[[#This Row],[Unit Price]]*SalesTbl[[#This Row],[Quantity]]</f>
        <v>1500</v>
      </c>
      <c r="N744" s="6">
        <f>YEAR(SalesTbl[[#This Row],[Order Date]])</f>
        <v>2023</v>
      </c>
      <c r="O744" s="6" t="str">
        <f>TEXT(SalesTbl[[#This Row],[Order Date]],"yyyy-mm")</f>
        <v>2023-01</v>
      </c>
      <c r="P744" s="13">
        <f>WEEKNUM(SalesTbl[[#This Row],[Order Date]],2)</f>
        <v>4</v>
      </c>
      <c r="Q744" s="14">
        <f>MEDIAN(SalesTbl[Quantity])</f>
        <v>3</v>
      </c>
      <c r="R744" s="14">
        <f>IF(ISBLANK(SalesTbl[[#This Row],[Quantity]]),$H$2,SalesTbl[[#This Row],[Quantity]])</f>
        <v>1</v>
      </c>
      <c r="S744">
        <f>ROW()-ROW(SalesTbl[[#Headers],[Customer ID]])</f>
        <v>743</v>
      </c>
      <c r="T744" s="9" t="str">
        <f>IF(SalesTbl[[#This Row],[RowIdx]]&lt;=ROUNDUP(COUNTA(SalesTbl[Customer ID])*0.8,0),"Train","Test")</f>
        <v>Train</v>
      </c>
    </row>
    <row r="745" spans="1:20" x14ac:dyDescent="0.25">
      <c r="A745" t="s">
        <v>105</v>
      </c>
      <c r="B745" t="s">
        <v>13</v>
      </c>
      <c r="C745" t="s">
        <v>321</v>
      </c>
      <c r="D745" t="s">
        <v>23</v>
      </c>
      <c r="E745" t="s">
        <v>15</v>
      </c>
      <c r="F745">
        <v>18</v>
      </c>
      <c r="G745">
        <v>1500</v>
      </c>
      <c r="H745">
        <v>3</v>
      </c>
      <c r="I745">
        <v>4500</v>
      </c>
      <c r="J745">
        <v>19.41</v>
      </c>
      <c r="K745" s="2">
        <v>45157</v>
      </c>
      <c r="L745" t="s">
        <v>318</v>
      </c>
      <c r="M745" s="6">
        <f>SalesTbl[[#This Row],[Unit Price]]*SalesTbl[[#This Row],[Quantity]]</f>
        <v>4500</v>
      </c>
      <c r="N745" s="6">
        <f>YEAR(SalesTbl[[#This Row],[Order Date]])</f>
        <v>2023</v>
      </c>
      <c r="O745" s="6" t="str">
        <f>TEXT(SalesTbl[[#This Row],[Order Date]],"yyyy-mm")</f>
        <v>2023-08</v>
      </c>
      <c r="P745" s="13">
        <f>WEEKNUM(SalesTbl[[#This Row],[Order Date]],2)</f>
        <v>34</v>
      </c>
      <c r="Q745" s="14">
        <f>MEDIAN(SalesTbl[Quantity])</f>
        <v>3</v>
      </c>
      <c r="R745" s="14">
        <f>IF(ISBLANK(SalesTbl[[#This Row],[Quantity]]),$H$2,SalesTbl[[#This Row],[Quantity]])</f>
        <v>3</v>
      </c>
      <c r="S745">
        <f>ROW()-ROW(SalesTbl[[#Headers],[Customer ID]])</f>
        <v>744</v>
      </c>
      <c r="T745" s="9" t="str">
        <f>IF(SalesTbl[[#This Row],[RowIdx]]&lt;=ROUNDUP(COUNTA(SalesTbl[Customer ID])*0.8,0),"Train","Test")</f>
        <v>Train</v>
      </c>
    </row>
    <row r="746" spans="1:20" x14ac:dyDescent="0.25">
      <c r="A746" t="s">
        <v>138</v>
      </c>
      <c r="B746" t="s">
        <v>20</v>
      </c>
      <c r="C746" t="s">
        <v>320</v>
      </c>
      <c r="D746" t="s">
        <v>14</v>
      </c>
      <c r="E746" t="s">
        <v>15</v>
      </c>
      <c r="F746">
        <v>44</v>
      </c>
      <c r="G746">
        <v>300</v>
      </c>
      <c r="H746">
        <v>2</v>
      </c>
      <c r="I746">
        <v>600</v>
      </c>
      <c r="J746">
        <v>19.97</v>
      </c>
      <c r="K746" s="2">
        <v>45199</v>
      </c>
      <c r="L746" t="s">
        <v>317</v>
      </c>
      <c r="M746" s="6">
        <f>SalesTbl[[#This Row],[Unit Price]]*SalesTbl[[#This Row],[Quantity]]</f>
        <v>600</v>
      </c>
      <c r="N746" s="6">
        <f>YEAR(SalesTbl[[#This Row],[Order Date]])</f>
        <v>2023</v>
      </c>
      <c r="O746" s="6" t="str">
        <f>TEXT(SalesTbl[[#This Row],[Order Date]],"yyyy-mm")</f>
        <v>2023-09</v>
      </c>
      <c r="P746" s="13">
        <f>WEEKNUM(SalesTbl[[#This Row],[Order Date]],2)</f>
        <v>40</v>
      </c>
      <c r="Q746" s="14">
        <f>MEDIAN(SalesTbl[Quantity])</f>
        <v>3</v>
      </c>
      <c r="R746" s="14">
        <f>IF(ISBLANK(SalesTbl[[#This Row],[Quantity]]),$H$2,SalesTbl[[#This Row],[Quantity]])</f>
        <v>2</v>
      </c>
      <c r="S746">
        <f>ROW()-ROW(SalesTbl[[#Headers],[Customer ID]])</f>
        <v>745</v>
      </c>
      <c r="T746" s="9" t="str">
        <f>IF(SalesTbl[[#This Row],[RowIdx]]&lt;=ROUNDUP(COUNTA(SalesTbl[Customer ID])*0.8,0),"Train","Test")</f>
        <v>Train</v>
      </c>
    </row>
    <row r="747" spans="1:20" x14ac:dyDescent="0.25">
      <c r="A747" t="s">
        <v>284</v>
      </c>
      <c r="B747" t="s">
        <v>20</v>
      </c>
      <c r="C747" t="s">
        <v>322</v>
      </c>
      <c r="D747" t="s">
        <v>25</v>
      </c>
      <c r="E747" t="s">
        <v>26</v>
      </c>
      <c r="F747">
        <v>49</v>
      </c>
      <c r="G747">
        <v>200</v>
      </c>
      <c r="H747">
        <v>5</v>
      </c>
      <c r="I747">
        <v>1000</v>
      </c>
      <c r="J747">
        <v>9.18</v>
      </c>
      <c r="K747" s="2">
        <v>45230</v>
      </c>
      <c r="L747" t="s">
        <v>317</v>
      </c>
      <c r="M747" s="6">
        <f>SalesTbl[[#This Row],[Unit Price]]*SalesTbl[[#This Row],[Quantity]]</f>
        <v>1000</v>
      </c>
      <c r="N747" s="6">
        <f>YEAR(SalesTbl[[#This Row],[Order Date]])</f>
        <v>2023</v>
      </c>
      <c r="O747" s="6" t="str">
        <f>TEXT(SalesTbl[[#This Row],[Order Date]],"yyyy-mm")</f>
        <v>2023-10</v>
      </c>
      <c r="P747" s="13">
        <f>WEEKNUM(SalesTbl[[#This Row],[Order Date]],2)</f>
        <v>45</v>
      </c>
      <c r="Q747" s="14">
        <f>MEDIAN(SalesTbl[Quantity])</f>
        <v>3</v>
      </c>
      <c r="R747" s="14">
        <f>IF(ISBLANK(SalesTbl[[#This Row],[Quantity]]),$H$2,SalesTbl[[#This Row],[Quantity]])</f>
        <v>5</v>
      </c>
      <c r="S747">
        <f>ROW()-ROW(SalesTbl[[#Headers],[Customer ID]])</f>
        <v>746</v>
      </c>
      <c r="T747" s="9" t="str">
        <f>IF(SalesTbl[[#This Row],[RowIdx]]&lt;=ROUNDUP(COUNTA(SalesTbl[Customer ID])*0.8,0),"Train","Test")</f>
        <v>Train</v>
      </c>
    </row>
    <row r="748" spans="1:20" x14ac:dyDescent="0.25">
      <c r="A748" t="s">
        <v>103</v>
      </c>
      <c r="B748" t="s">
        <v>13</v>
      </c>
      <c r="C748" t="s">
        <v>321</v>
      </c>
      <c r="D748" t="s">
        <v>29</v>
      </c>
      <c r="E748" t="s">
        <v>18</v>
      </c>
      <c r="F748">
        <v>63</v>
      </c>
      <c r="G748">
        <v>50</v>
      </c>
      <c r="H748">
        <v>2</v>
      </c>
      <c r="I748">
        <v>100</v>
      </c>
      <c r="J748">
        <v>6.28</v>
      </c>
      <c r="K748" s="2">
        <v>45006</v>
      </c>
      <c r="L748" t="s">
        <v>316</v>
      </c>
      <c r="M748" s="6">
        <f>SalesTbl[[#This Row],[Unit Price]]*SalesTbl[[#This Row],[Quantity]]</f>
        <v>100</v>
      </c>
      <c r="N748" s="6">
        <f>YEAR(SalesTbl[[#This Row],[Order Date]])</f>
        <v>2023</v>
      </c>
      <c r="O748" s="6" t="str">
        <f>TEXT(SalesTbl[[#This Row],[Order Date]],"yyyy-mm")</f>
        <v>2023-03</v>
      </c>
      <c r="P748" s="13">
        <f>WEEKNUM(SalesTbl[[#This Row],[Order Date]],2)</f>
        <v>13</v>
      </c>
      <c r="Q748" s="14">
        <f>MEDIAN(SalesTbl[Quantity])</f>
        <v>3</v>
      </c>
      <c r="R748" s="14">
        <f>IF(ISBLANK(SalesTbl[[#This Row],[Quantity]]),$H$2,SalesTbl[[#This Row],[Quantity]])</f>
        <v>2</v>
      </c>
      <c r="S748">
        <f>ROW()-ROW(SalesTbl[[#Headers],[Customer ID]])</f>
        <v>747</v>
      </c>
      <c r="T748" s="9" t="str">
        <f>IF(SalesTbl[[#This Row],[RowIdx]]&lt;=ROUNDUP(COUNTA(SalesTbl[Customer ID])*0.8,0),"Train","Test")</f>
        <v>Train</v>
      </c>
    </row>
    <row r="749" spans="1:20" x14ac:dyDescent="0.25">
      <c r="A749" t="s">
        <v>256</v>
      </c>
      <c r="B749" t="s">
        <v>20</v>
      </c>
      <c r="C749" t="s">
        <v>323</v>
      </c>
      <c r="D749" t="s">
        <v>29</v>
      </c>
      <c r="E749" t="s">
        <v>18</v>
      </c>
      <c r="F749">
        <v>36</v>
      </c>
      <c r="G749">
        <v>50</v>
      </c>
      <c r="H749">
        <v>4</v>
      </c>
      <c r="I749">
        <v>200</v>
      </c>
      <c r="J749">
        <v>9.3000000000000007</v>
      </c>
      <c r="K749" s="2">
        <v>45116</v>
      </c>
      <c r="L749" t="s">
        <v>316</v>
      </c>
      <c r="M749" s="6">
        <f>SalesTbl[[#This Row],[Unit Price]]*SalesTbl[[#This Row],[Quantity]]</f>
        <v>200</v>
      </c>
      <c r="N749" s="6">
        <f>YEAR(SalesTbl[[#This Row],[Order Date]])</f>
        <v>2023</v>
      </c>
      <c r="O749" s="6" t="str">
        <f>TEXT(SalesTbl[[#This Row],[Order Date]],"yyyy-mm")</f>
        <v>2023-07</v>
      </c>
      <c r="P749" s="13">
        <f>WEEKNUM(SalesTbl[[#This Row],[Order Date]],2)</f>
        <v>28</v>
      </c>
      <c r="Q749" s="14">
        <f>MEDIAN(SalesTbl[Quantity])</f>
        <v>3</v>
      </c>
      <c r="R749" s="14">
        <f>IF(ISBLANK(SalesTbl[[#This Row],[Quantity]]),$H$2,SalesTbl[[#This Row],[Quantity]])</f>
        <v>4</v>
      </c>
      <c r="S749">
        <f>ROW()-ROW(SalesTbl[[#Headers],[Customer ID]])</f>
        <v>748</v>
      </c>
      <c r="T749" s="9" t="str">
        <f>IF(SalesTbl[[#This Row],[RowIdx]]&lt;=ROUNDUP(COUNTA(SalesTbl[Customer ID])*0.8,0),"Train","Test")</f>
        <v>Train</v>
      </c>
    </row>
    <row r="750" spans="1:20" x14ac:dyDescent="0.25">
      <c r="A750" t="s">
        <v>108</v>
      </c>
      <c r="B750" t="s">
        <v>13</v>
      </c>
      <c r="C750" t="s">
        <v>321</v>
      </c>
      <c r="D750" t="s">
        <v>29</v>
      </c>
      <c r="E750" t="s">
        <v>18</v>
      </c>
      <c r="F750">
        <v>25</v>
      </c>
      <c r="G750">
        <v>50</v>
      </c>
      <c r="H750">
        <v>1</v>
      </c>
      <c r="I750">
        <v>50</v>
      </c>
      <c r="J750">
        <v>18.71</v>
      </c>
      <c r="K750" s="2">
        <v>45267</v>
      </c>
      <c r="L750" t="s">
        <v>317</v>
      </c>
      <c r="M750" s="6">
        <f>SalesTbl[[#This Row],[Unit Price]]*SalesTbl[[#This Row],[Quantity]]</f>
        <v>50</v>
      </c>
      <c r="N750" s="6">
        <f>YEAR(SalesTbl[[#This Row],[Order Date]])</f>
        <v>2023</v>
      </c>
      <c r="O750" s="6" t="str">
        <f>TEXT(SalesTbl[[#This Row],[Order Date]],"yyyy-mm")</f>
        <v>2023-12</v>
      </c>
      <c r="P750" s="13">
        <f>WEEKNUM(SalesTbl[[#This Row],[Order Date]],2)</f>
        <v>50</v>
      </c>
      <c r="Q750" s="14">
        <f>MEDIAN(SalesTbl[Quantity])</f>
        <v>3</v>
      </c>
      <c r="R750" s="14">
        <f>IF(ISBLANK(SalesTbl[[#This Row],[Quantity]]),$H$2,SalesTbl[[#This Row],[Quantity]])</f>
        <v>1</v>
      </c>
      <c r="S750">
        <f>ROW()-ROW(SalesTbl[[#Headers],[Customer ID]])</f>
        <v>749</v>
      </c>
      <c r="T750" s="9" t="str">
        <f>IF(SalesTbl[[#This Row],[RowIdx]]&lt;=ROUNDUP(COUNTA(SalesTbl[Customer ID])*0.8,0),"Train","Test")</f>
        <v>Train</v>
      </c>
    </row>
    <row r="751" spans="1:20" x14ac:dyDescent="0.25">
      <c r="A751" t="s">
        <v>54</v>
      </c>
      <c r="B751" t="s">
        <v>20</v>
      </c>
      <c r="C751" t="s">
        <v>320</v>
      </c>
      <c r="D751" t="s">
        <v>17</v>
      </c>
      <c r="E751" t="s">
        <v>18</v>
      </c>
      <c r="F751">
        <v>49</v>
      </c>
      <c r="G751">
        <v>100</v>
      </c>
      <c r="H751">
        <v>5</v>
      </c>
      <c r="I751">
        <v>500</v>
      </c>
      <c r="J751">
        <v>14.28</v>
      </c>
      <c r="K751" s="2">
        <v>45079</v>
      </c>
      <c r="L751" t="s">
        <v>316</v>
      </c>
      <c r="M751" s="6">
        <f>SalesTbl[[#This Row],[Unit Price]]*SalesTbl[[#This Row],[Quantity]]</f>
        <v>500</v>
      </c>
      <c r="N751" s="6">
        <f>YEAR(SalesTbl[[#This Row],[Order Date]])</f>
        <v>2023</v>
      </c>
      <c r="O751" s="6" t="str">
        <f>TEXT(SalesTbl[[#This Row],[Order Date]],"yyyy-mm")</f>
        <v>2023-06</v>
      </c>
      <c r="P751" s="13">
        <f>WEEKNUM(SalesTbl[[#This Row],[Order Date]],2)</f>
        <v>23</v>
      </c>
      <c r="Q751" s="14">
        <f>MEDIAN(SalesTbl[Quantity])</f>
        <v>3</v>
      </c>
      <c r="R751" s="14">
        <f>IF(ISBLANK(SalesTbl[[#This Row],[Quantity]]),$H$2,SalesTbl[[#This Row],[Quantity]])</f>
        <v>5</v>
      </c>
      <c r="S751">
        <f>ROW()-ROW(SalesTbl[[#Headers],[Customer ID]])</f>
        <v>750</v>
      </c>
      <c r="T751" s="9" t="str">
        <f>IF(SalesTbl[[#This Row],[RowIdx]]&lt;=ROUNDUP(COUNTA(SalesTbl[Customer ID])*0.8,0),"Train","Test")</f>
        <v>Train</v>
      </c>
    </row>
    <row r="752" spans="1:20" x14ac:dyDescent="0.25">
      <c r="A752" t="s">
        <v>32</v>
      </c>
      <c r="B752" t="s">
        <v>13</v>
      </c>
      <c r="C752" t="s">
        <v>321</v>
      </c>
      <c r="D752" t="s">
        <v>40</v>
      </c>
      <c r="E752" t="s">
        <v>15</v>
      </c>
      <c r="F752">
        <v>49</v>
      </c>
      <c r="G752">
        <v>800</v>
      </c>
      <c r="H752">
        <v>1</v>
      </c>
      <c r="I752">
        <v>800</v>
      </c>
      <c r="J752">
        <v>12.3</v>
      </c>
      <c r="K752" s="2">
        <v>45076</v>
      </c>
      <c r="L752" t="s">
        <v>318</v>
      </c>
      <c r="M752" s="6">
        <f>SalesTbl[[#This Row],[Unit Price]]*SalesTbl[[#This Row],[Quantity]]</f>
        <v>800</v>
      </c>
      <c r="N752" s="6">
        <f>YEAR(SalesTbl[[#This Row],[Order Date]])</f>
        <v>2023</v>
      </c>
      <c r="O752" s="6" t="str">
        <f>TEXT(SalesTbl[[#This Row],[Order Date]],"yyyy-mm")</f>
        <v>2023-05</v>
      </c>
      <c r="P752" s="13">
        <f>WEEKNUM(SalesTbl[[#This Row],[Order Date]],2)</f>
        <v>23</v>
      </c>
      <c r="Q752" s="14">
        <f>MEDIAN(SalesTbl[Quantity])</f>
        <v>3</v>
      </c>
      <c r="R752" s="14">
        <f>IF(ISBLANK(SalesTbl[[#This Row],[Quantity]]),$H$2,SalesTbl[[#This Row],[Quantity]])</f>
        <v>1</v>
      </c>
      <c r="S752">
        <f>ROW()-ROW(SalesTbl[[#Headers],[Customer ID]])</f>
        <v>751</v>
      </c>
      <c r="T752" s="9" t="str">
        <f>IF(SalesTbl[[#This Row],[RowIdx]]&lt;=ROUNDUP(COUNTA(SalesTbl[Customer ID])*0.8,0),"Train","Test")</f>
        <v>Train</v>
      </c>
    </row>
    <row r="753" spans="1:20" x14ac:dyDescent="0.25">
      <c r="A753" t="s">
        <v>52</v>
      </c>
      <c r="B753" t="s">
        <v>13</v>
      </c>
      <c r="C753" t="s">
        <v>319</v>
      </c>
      <c r="D753" t="s">
        <v>40</v>
      </c>
      <c r="E753" t="s">
        <v>15</v>
      </c>
      <c r="F753">
        <v>57</v>
      </c>
      <c r="G753">
        <v>800</v>
      </c>
      <c r="H753">
        <v>2</v>
      </c>
      <c r="I753">
        <v>1600</v>
      </c>
      <c r="J753">
        <v>19.87</v>
      </c>
      <c r="K753" s="2">
        <v>45078</v>
      </c>
      <c r="L753" t="s">
        <v>316</v>
      </c>
      <c r="M753" s="6">
        <f>SalesTbl[[#This Row],[Unit Price]]*SalesTbl[[#This Row],[Quantity]]</f>
        <v>1600</v>
      </c>
      <c r="N753" s="6">
        <f>YEAR(SalesTbl[[#This Row],[Order Date]])</f>
        <v>2023</v>
      </c>
      <c r="O753" s="6" t="str">
        <f>TEXT(SalesTbl[[#This Row],[Order Date]],"yyyy-mm")</f>
        <v>2023-06</v>
      </c>
      <c r="P753" s="13">
        <f>WEEKNUM(SalesTbl[[#This Row],[Order Date]],2)</f>
        <v>23</v>
      </c>
      <c r="Q753" s="14">
        <f>MEDIAN(SalesTbl[Quantity])</f>
        <v>3</v>
      </c>
      <c r="R753" s="14">
        <f>IF(ISBLANK(SalesTbl[[#This Row],[Quantity]]),$H$2,SalesTbl[[#This Row],[Quantity]])</f>
        <v>2</v>
      </c>
      <c r="S753">
        <f>ROW()-ROW(SalesTbl[[#Headers],[Customer ID]])</f>
        <v>752</v>
      </c>
      <c r="T753" s="9" t="str">
        <f>IF(SalesTbl[[#This Row],[RowIdx]]&lt;=ROUNDUP(COUNTA(SalesTbl[Customer ID])*0.8,0),"Train","Test")</f>
        <v>Train</v>
      </c>
    </row>
    <row r="754" spans="1:20" x14ac:dyDescent="0.25">
      <c r="A754" t="s">
        <v>36</v>
      </c>
      <c r="B754" t="s">
        <v>20</v>
      </c>
      <c r="C754" t="s">
        <v>322</v>
      </c>
      <c r="D754" t="s">
        <v>23</v>
      </c>
      <c r="E754" t="s">
        <v>15</v>
      </c>
      <c r="F754">
        <v>66</v>
      </c>
      <c r="G754">
        <v>1500</v>
      </c>
      <c r="H754">
        <v>3</v>
      </c>
      <c r="I754">
        <v>4500</v>
      </c>
      <c r="J754">
        <v>14.73</v>
      </c>
      <c r="K754" s="2">
        <v>45261</v>
      </c>
      <c r="L754" t="s">
        <v>318</v>
      </c>
      <c r="M754" s="6">
        <f>SalesTbl[[#This Row],[Unit Price]]*SalesTbl[[#This Row],[Quantity]]</f>
        <v>4500</v>
      </c>
      <c r="N754" s="6">
        <f>YEAR(SalesTbl[[#This Row],[Order Date]])</f>
        <v>2023</v>
      </c>
      <c r="O754" s="6" t="str">
        <f>TEXT(SalesTbl[[#This Row],[Order Date]],"yyyy-mm")</f>
        <v>2023-12</v>
      </c>
      <c r="P754" s="13">
        <f>WEEKNUM(SalesTbl[[#This Row],[Order Date]],2)</f>
        <v>49</v>
      </c>
      <c r="Q754" s="14">
        <f>MEDIAN(SalesTbl[Quantity])</f>
        <v>3</v>
      </c>
      <c r="R754" s="14">
        <f>IF(ISBLANK(SalesTbl[[#This Row],[Quantity]]),$H$2,SalesTbl[[#This Row],[Quantity]])</f>
        <v>3</v>
      </c>
      <c r="S754">
        <f>ROW()-ROW(SalesTbl[[#Headers],[Customer ID]])</f>
        <v>753</v>
      </c>
      <c r="T754" s="9" t="str">
        <f>IF(SalesTbl[[#This Row],[RowIdx]]&lt;=ROUNDUP(COUNTA(SalesTbl[Customer ID])*0.8,0),"Train","Test")</f>
        <v>Train</v>
      </c>
    </row>
    <row r="755" spans="1:20" x14ac:dyDescent="0.25">
      <c r="A755" t="s">
        <v>32</v>
      </c>
      <c r="B755" t="s">
        <v>20</v>
      </c>
      <c r="C755" t="s">
        <v>320</v>
      </c>
      <c r="D755" t="s">
        <v>25</v>
      </c>
      <c r="E755" t="s">
        <v>26</v>
      </c>
      <c r="F755">
        <v>49</v>
      </c>
      <c r="G755">
        <v>200</v>
      </c>
      <c r="H755">
        <v>3</v>
      </c>
      <c r="I755">
        <v>600</v>
      </c>
      <c r="J755">
        <v>9.26</v>
      </c>
      <c r="K755" s="2">
        <v>45222</v>
      </c>
      <c r="L755" t="s">
        <v>318</v>
      </c>
      <c r="M755" s="6">
        <f>SalesTbl[[#This Row],[Unit Price]]*SalesTbl[[#This Row],[Quantity]]</f>
        <v>600</v>
      </c>
      <c r="N755" s="6">
        <f>YEAR(SalesTbl[[#This Row],[Order Date]])</f>
        <v>2023</v>
      </c>
      <c r="O755" s="6" t="str">
        <f>TEXT(SalesTbl[[#This Row],[Order Date]],"yyyy-mm")</f>
        <v>2023-10</v>
      </c>
      <c r="P755" s="13">
        <f>WEEKNUM(SalesTbl[[#This Row],[Order Date]],2)</f>
        <v>44</v>
      </c>
      <c r="Q755" s="14">
        <f>MEDIAN(SalesTbl[Quantity])</f>
        <v>3</v>
      </c>
      <c r="R755" s="14">
        <f>IF(ISBLANK(SalesTbl[[#This Row],[Quantity]]),$H$2,SalesTbl[[#This Row],[Quantity]])</f>
        <v>3</v>
      </c>
      <c r="S755">
        <f>ROW()-ROW(SalesTbl[[#Headers],[Customer ID]])</f>
        <v>754</v>
      </c>
      <c r="T755" s="9" t="str">
        <f>IF(SalesTbl[[#This Row],[RowIdx]]&lt;=ROUNDUP(COUNTA(SalesTbl[Customer ID])*0.8,0),"Train","Test")</f>
        <v>Train</v>
      </c>
    </row>
    <row r="756" spans="1:20" x14ac:dyDescent="0.25">
      <c r="A756" t="s">
        <v>299</v>
      </c>
      <c r="B756" t="s">
        <v>20</v>
      </c>
      <c r="C756" t="s">
        <v>323</v>
      </c>
      <c r="D756" t="s">
        <v>29</v>
      </c>
      <c r="E756" t="s">
        <v>18</v>
      </c>
      <c r="F756">
        <v>40</v>
      </c>
      <c r="G756">
        <v>50</v>
      </c>
      <c r="H756">
        <v>4</v>
      </c>
      <c r="I756">
        <v>200</v>
      </c>
      <c r="J756">
        <v>15.14</v>
      </c>
      <c r="K756" s="2">
        <v>45094</v>
      </c>
      <c r="L756" t="s">
        <v>318</v>
      </c>
      <c r="M756" s="6">
        <f>SalesTbl[[#This Row],[Unit Price]]*SalesTbl[[#This Row],[Quantity]]</f>
        <v>200</v>
      </c>
      <c r="N756" s="6">
        <f>YEAR(SalesTbl[[#This Row],[Order Date]])</f>
        <v>2023</v>
      </c>
      <c r="O756" s="6" t="str">
        <f>TEXT(SalesTbl[[#This Row],[Order Date]],"yyyy-mm")</f>
        <v>2023-06</v>
      </c>
      <c r="P756" s="13">
        <f>WEEKNUM(SalesTbl[[#This Row],[Order Date]],2)</f>
        <v>25</v>
      </c>
      <c r="Q756" s="14">
        <f>MEDIAN(SalesTbl[Quantity])</f>
        <v>3</v>
      </c>
      <c r="R756" s="14">
        <f>IF(ISBLANK(SalesTbl[[#This Row],[Quantity]]),$H$2,SalesTbl[[#This Row],[Quantity]])</f>
        <v>4</v>
      </c>
      <c r="S756">
        <f>ROW()-ROW(SalesTbl[[#Headers],[Customer ID]])</f>
        <v>755</v>
      </c>
      <c r="T756" s="9" t="str">
        <f>IF(SalesTbl[[#This Row],[RowIdx]]&lt;=ROUNDUP(COUNTA(SalesTbl[Customer ID])*0.8,0),"Train","Test")</f>
        <v>Train</v>
      </c>
    </row>
    <row r="757" spans="1:20" x14ac:dyDescent="0.25">
      <c r="A757" t="s">
        <v>291</v>
      </c>
      <c r="B757" t="s">
        <v>20</v>
      </c>
      <c r="C757" t="s">
        <v>323</v>
      </c>
      <c r="D757" t="s">
        <v>25</v>
      </c>
      <c r="E757" t="s">
        <v>26</v>
      </c>
      <c r="F757">
        <v>53</v>
      </c>
      <c r="G757">
        <v>200</v>
      </c>
      <c r="H757">
        <v>4</v>
      </c>
      <c r="I757">
        <v>800</v>
      </c>
      <c r="J757">
        <v>14.28</v>
      </c>
      <c r="K757" s="2">
        <v>45235</v>
      </c>
      <c r="L757" t="s">
        <v>319</v>
      </c>
      <c r="M757" s="6">
        <f>SalesTbl[[#This Row],[Unit Price]]*SalesTbl[[#This Row],[Quantity]]</f>
        <v>800</v>
      </c>
      <c r="N757" s="6">
        <f>YEAR(SalesTbl[[#This Row],[Order Date]])</f>
        <v>2023</v>
      </c>
      <c r="O757" s="6" t="str">
        <f>TEXT(SalesTbl[[#This Row],[Order Date]],"yyyy-mm")</f>
        <v>2023-11</v>
      </c>
      <c r="P757" s="13">
        <f>WEEKNUM(SalesTbl[[#This Row],[Order Date]],2)</f>
        <v>45</v>
      </c>
      <c r="Q757" s="14">
        <f>MEDIAN(SalesTbl[Quantity])</f>
        <v>3</v>
      </c>
      <c r="R757" s="14">
        <f>IF(ISBLANK(SalesTbl[[#This Row],[Quantity]]),$H$2,SalesTbl[[#This Row],[Quantity]])</f>
        <v>4</v>
      </c>
      <c r="S757">
        <f>ROW()-ROW(SalesTbl[[#Headers],[Customer ID]])</f>
        <v>756</v>
      </c>
      <c r="T757" s="9" t="str">
        <f>IF(SalesTbl[[#This Row],[RowIdx]]&lt;=ROUNDUP(COUNTA(SalesTbl[Customer ID])*0.8,0),"Train","Test")</f>
        <v>Train</v>
      </c>
    </row>
    <row r="758" spans="1:20" x14ac:dyDescent="0.25">
      <c r="A758" t="s">
        <v>134</v>
      </c>
      <c r="B758" t="s">
        <v>20</v>
      </c>
      <c r="C758" t="s">
        <v>321</v>
      </c>
      <c r="D758" t="s">
        <v>23</v>
      </c>
      <c r="E758" t="s">
        <v>15</v>
      </c>
      <c r="F758">
        <v>46</v>
      </c>
      <c r="G758">
        <v>3109.5606124866499</v>
      </c>
      <c r="H758">
        <v>2</v>
      </c>
      <c r="I758">
        <v>3000</v>
      </c>
      <c r="J758">
        <v>6.44</v>
      </c>
      <c r="K758" s="2">
        <v>45268</v>
      </c>
      <c r="L758" t="s">
        <v>318</v>
      </c>
      <c r="M758" s="6">
        <f>SalesTbl[[#This Row],[Unit Price]]*SalesTbl[[#This Row],[Quantity]]</f>
        <v>6219.1212249732998</v>
      </c>
      <c r="N758" s="6">
        <f>YEAR(SalesTbl[[#This Row],[Order Date]])</f>
        <v>2023</v>
      </c>
      <c r="O758" s="6" t="str">
        <f>TEXT(SalesTbl[[#This Row],[Order Date]],"yyyy-mm")</f>
        <v>2023-12</v>
      </c>
      <c r="P758" s="13">
        <f>WEEKNUM(SalesTbl[[#This Row],[Order Date]],2)</f>
        <v>50</v>
      </c>
      <c r="Q758" s="14">
        <f>MEDIAN(SalesTbl[Quantity])</f>
        <v>3</v>
      </c>
      <c r="R758" s="14">
        <f>IF(ISBLANK(SalesTbl[[#This Row],[Quantity]]),$H$2,SalesTbl[[#This Row],[Quantity]])</f>
        <v>2</v>
      </c>
      <c r="S758">
        <f>ROW()-ROW(SalesTbl[[#Headers],[Customer ID]])</f>
        <v>757</v>
      </c>
      <c r="T758" s="9" t="str">
        <f>IF(SalesTbl[[#This Row],[RowIdx]]&lt;=ROUNDUP(COUNTA(SalesTbl[Customer ID])*0.8,0),"Train","Test")</f>
        <v>Train</v>
      </c>
    </row>
    <row r="759" spans="1:20" x14ac:dyDescent="0.25">
      <c r="A759" t="s">
        <v>287</v>
      </c>
      <c r="B759" t="s">
        <v>20</v>
      </c>
      <c r="C759" t="s">
        <v>322</v>
      </c>
      <c r="D759" t="s">
        <v>29</v>
      </c>
      <c r="E759" t="s">
        <v>18</v>
      </c>
      <c r="F759">
        <v>20</v>
      </c>
      <c r="G759">
        <v>50</v>
      </c>
      <c r="H759">
        <v>3</v>
      </c>
      <c r="I759">
        <v>150</v>
      </c>
      <c r="J759">
        <v>11.05</v>
      </c>
      <c r="K759" s="2">
        <v>45185</v>
      </c>
      <c r="L759" t="s">
        <v>316</v>
      </c>
      <c r="M759" s="6">
        <f>SalesTbl[[#This Row],[Unit Price]]*SalesTbl[[#This Row],[Quantity]]</f>
        <v>150</v>
      </c>
      <c r="N759" s="6">
        <f>YEAR(SalesTbl[[#This Row],[Order Date]])</f>
        <v>2023</v>
      </c>
      <c r="O759" s="6" t="str">
        <f>TEXT(SalesTbl[[#This Row],[Order Date]],"yyyy-mm")</f>
        <v>2023-09</v>
      </c>
      <c r="P759" s="13">
        <f>WEEKNUM(SalesTbl[[#This Row],[Order Date]],2)</f>
        <v>38</v>
      </c>
      <c r="Q759" s="14">
        <f>MEDIAN(SalesTbl[Quantity])</f>
        <v>3</v>
      </c>
      <c r="R759" s="14">
        <f>IF(ISBLANK(SalesTbl[[#This Row],[Quantity]]),$H$2,SalesTbl[[#This Row],[Quantity]])</f>
        <v>3</v>
      </c>
      <c r="S759">
        <f>ROW()-ROW(SalesTbl[[#Headers],[Customer ID]])</f>
        <v>758</v>
      </c>
      <c r="T759" s="9" t="str">
        <f>IF(SalesTbl[[#This Row],[RowIdx]]&lt;=ROUNDUP(COUNTA(SalesTbl[Customer ID])*0.8,0),"Train","Test")</f>
        <v>Train</v>
      </c>
    </row>
    <row r="760" spans="1:20" x14ac:dyDescent="0.25">
      <c r="A760" t="s">
        <v>180</v>
      </c>
      <c r="B760" t="s">
        <v>20</v>
      </c>
      <c r="C760" t="s">
        <v>322</v>
      </c>
      <c r="D760" t="s">
        <v>30</v>
      </c>
      <c r="E760" t="s">
        <v>18</v>
      </c>
      <c r="F760">
        <v>55</v>
      </c>
      <c r="G760">
        <v>30</v>
      </c>
      <c r="H760">
        <v>3</v>
      </c>
      <c r="I760">
        <v>90</v>
      </c>
      <c r="J760">
        <v>11.24</v>
      </c>
      <c r="K760" s="2">
        <v>45178</v>
      </c>
      <c r="L760" t="s">
        <v>316</v>
      </c>
      <c r="M760" s="6">
        <f>SalesTbl[[#This Row],[Unit Price]]*SalesTbl[[#This Row],[Quantity]]</f>
        <v>90</v>
      </c>
      <c r="N760" s="6">
        <f>YEAR(SalesTbl[[#This Row],[Order Date]])</f>
        <v>2023</v>
      </c>
      <c r="O760" s="6" t="str">
        <f>TEXT(SalesTbl[[#This Row],[Order Date]],"yyyy-mm")</f>
        <v>2023-09</v>
      </c>
      <c r="P760" s="13">
        <f>WEEKNUM(SalesTbl[[#This Row],[Order Date]],2)</f>
        <v>37</v>
      </c>
      <c r="Q760" s="14">
        <f>MEDIAN(SalesTbl[Quantity])</f>
        <v>3</v>
      </c>
      <c r="R760" s="14">
        <f>IF(ISBLANK(SalesTbl[[#This Row],[Quantity]]),$H$2,SalesTbl[[#This Row],[Quantity]])</f>
        <v>3</v>
      </c>
      <c r="S760">
        <f>ROW()-ROW(SalesTbl[[#Headers],[Customer ID]])</f>
        <v>759</v>
      </c>
      <c r="T760" s="9" t="str">
        <f>IF(SalesTbl[[#This Row],[RowIdx]]&lt;=ROUNDUP(COUNTA(SalesTbl[Customer ID])*0.8,0),"Train","Test")</f>
        <v>Train</v>
      </c>
    </row>
    <row r="761" spans="1:20" x14ac:dyDescent="0.25">
      <c r="A761" t="s">
        <v>108</v>
      </c>
      <c r="B761" t="s">
        <v>20</v>
      </c>
      <c r="C761" t="s">
        <v>321</v>
      </c>
      <c r="D761" t="s">
        <v>40</v>
      </c>
      <c r="E761" t="s">
        <v>15</v>
      </c>
      <c r="F761">
        <v>25</v>
      </c>
      <c r="G761">
        <v>800</v>
      </c>
      <c r="H761">
        <v>1</v>
      </c>
      <c r="I761">
        <v>800</v>
      </c>
      <c r="J761">
        <v>7.25</v>
      </c>
      <c r="K761" s="2">
        <v>44994</v>
      </c>
      <c r="L761" t="s">
        <v>317</v>
      </c>
      <c r="M761" s="6">
        <f>SalesTbl[[#This Row],[Unit Price]]*SalesTbl[[#This Row],[Quantity]]</f>
        <v>800</v>
      </c>
      <c r="N761" s="6">
        <f>YEAR(SalesTbl[[#This Row],[Order Date]])</f>
        <v>2023</v>
      </c>
      <c r="O761" s="6" t="str">
        <f>TEXT(SalesTbl[[#This Row],[Order Date]],"yyyy-mm")</f>
        <v>2023-03</v>
      </c>
      <c r="P761" s="13">
        <f>WEEKNUM(SalesTbl[[#This Row],[Order Date]],2)</f>
        <v>11</v>
      </c>
      <c r="Q761" s="14">
        <f>MEDIAN(SalesTbl[Quantity])</f>
        <v>3</v>
      </c>
      <c r="R761" s="14">
        <f>IF(ISBLANK(SalesTbl[[#This Row],[Quantity]]),$H$2,SalesTbl[[#This Row],[Quantity]])</f>
        <v>1</v>
      </c>
      <c r="S761">
        <f>ROW()-ROW(SalesTbl[[#Headers],[Customer ID]])</f>
        <v>760</v>
      </c>
      <c r="T761" s="9" t="str">
        <f>IF(SalesTbl[[#This Row],[RowIdx]]&lt;=ROUNDUP(COUNTA(SalesTbl[Customer ID])*0.8,0),"Train","Test")</f>
        <v>Train</v>
      </c>
    </row>
    <row r="762" spans="1:20" x14ac:dyDescent="0.25">
      <c r="A762" t="s">
        <v>300</v>
      </c>
      <c r="B762" t="s">
        <v>20</v>
      </c>
      <c r="C762" t="s">
        <v>319</v>
      </c>
      <c r="D762" t="s">
        <v>23</v>
      </c>
      <c r="E762" t="s">
        <v>15</v>
      </c>
      <c r="F762">
        <v>41</v>
      </c>
      <c r="G762">
        <v>1500</v>
      </c>
      <c r="H762">
        <v>4</v>
      </c>
      <c r="I762">
        <v>6000</v>
      </c>
      <c r="J762">
        <v>6.76</v>
      </c>
      <c r="K762" s="2">
        <v>45139</v>
      </c>
      <c r="L762" t="s">
        <v>319</v>
      </c>
      <c r="M762" s="6">
        <f>SalesTbl[[#This Row],[Unit Price]]*SalesTbl[[#This Row],[Quantity]]</f>
        <v>6000</v>
      </c>
      <c r="N762" s="6">
        <f>YEAR(SalesTbl[[#This Row],[Order Date]])</f>
        <v>2023</v>
      </c>
      <c r="O762" s="6" t="str">
        <f>TEXT(SalesTbl[[#This Row],[Order Date]],"yyyy-mm")</f>
        <v>2023-08</v>
      </c>
      <c r="P762" s="13">
        <f>WEEKNUM(SalesTbl[[#This Row],[Order Date]],2)</f>
        <v>32</v>
      </c>
      <c r="Q762" s="14">
        <f>MEDIAN(SalesTbl[Quantity])</f>
        <v>3</v>
      </c>
      <c r="R762" s="14">
        <f>IF(ISBLANK(SalesTbl[[#This Row],[Quantity]]),$H$2,SalesTbl[[#This Row],[Quantity]])</f>
        <v>4</v>
      </c>
      <c r="S762">
        <f>ROW()-ROW(SalesTbl[[#Headers],[Customer ID]])</f>
        <v>761</v>
      </c>
      <c r="T762" s="9" t="str">
        <f>IF(SalesTbl[[#This Row],[RowIdx]]&lt;=ROUNDUP(COUNTA(SalesTbl[Customer ID])*0.8,0),"Train","Test")</f>
        <v>Train</v>
      </c>
    </row>
    <row r="763" spans="1:20" x14ac:dyDescent="0.25">
      <c r="A763" t="s">
        <v>294</v>
      </c>
      <c r="B763" t="s">
        <v>20</v>
      </c>
      <c r="C763" t="s">
        <v>320</v>
      </c>
      <c r="D763" t="s">
        <v>17</v>
      </c>
      <c r="E763" t="s">
        <v>18</v>
      </c>
      <c r="F763">
        <v>49</v>
      </c>
      <c r="G763">
        <v>100</v>
      </c>
      <c r="H763">
        <v>2</v>
      </c>
      <c r="I763">
        <v>200</v>
      </c>
      <c r="J763">
        <v>19.07</v>
      </c>
      <c r="K763" s="2">
        <v>45054</v>
      </c>
      <c r="L763" t="s">
        <v>319</v>
      </c>
      <c r="M763" s="6">
        <f>SalesTbl[[#This Row],[Unit Price]]*SalesTbl[[#This Row],[Quantity]]</f>
        <v>200</v>
      </c>
      <c r="N763" s="6">
        <f>YEAR(SalesTbl[[#This Row],[Order Date]])</f>
        <v>2023</v>
      </c>
      <c r="O763" s="6" t="str">
        <f>TEXT(SalesTbl[[#This Row],[Order Date]],"yyyy-mm")</f>
        <v>2023-05</v>
      </c>
      <c r="P763" s="13">
        <f>WEEKNUM(SalesTbl[[#This Row],[Order Date]],2)</f>
        <v>20</v>
      </c>
      <c r="Q763" s="14">
        <f>MEDIAN(SalesTbl[Quantity])</f>
        <v>3</v>
      </c>
      <c r="R763" s="14">
        <f>IF(ISBLANK(SalesTbl[[#This Row],[Quantity]]),$H$2,SalesTbl[[#This Row],[Quantity]])</f>
        <v>2</v>
      </c>
      <c r="S763">
        <f>ROW()-ROW(SalesTbl[[#Headers],[Customer ID]])</f>
        <v>762</v>
      </c>
      <c r="T763" s="9" t="str">
        <f>IF(SalesTbl[[#This Row],[RowIdx]]&lt;=ROUNDUP(COUNTA(SalesTbl[Customer ID])*0.8,0),"Train","Test")</f>
        <v>Train</v>
      </c>
    </row>
    <row r="764" spans="1:20" x14ac:dyDescent="0.25">
      <c r="A764" t="s">
        <v>70</v>
      </c>
      <c r="B764" t="s">
        <v>20</v>
      </c>
      <c r="C764" t="s">
        <v>321</v>
      </c>
      <c r="D764" t="s">
        <v>23</v>
      </c>
      <c r="E764" t="s">
        <v>15</v>
      </c>
      <c r="F764">
        <v>23</v>
      </c>
      <c r="G764">
        <v>1500</v>
      </c>
      <c r="H764">
        <v>5</v>
      </c>
      <c r="I764">
        <v>7500</v>
      </c>
      <c r="J764">
        <v>19.41</v>
      </c>
      <c r="K764" s="2">
        <v>45281</v>
      </c>
      <c r="L764" t="s">
        <v>318</v>
      </c>
      <c r="M764" s="6">
        <f>SalesTbl[[#This Row],[Unit Price]]*SalesTbl[[#This Row],[Quantity]]</f>
        <v>7500</v>
      </c>
      <c r="N764" s="6">
        <f>YEAR(SalesTbl[[#This Row],[Order Date]])</f>
        <v>2023</v>
      </c>
      <c r="O764" s="6" t="str">
        <f>TEXT(SalesTbl[[#This Row],[Order Date]],"yyyy-mm")</f>
        <v>2023-12</v>
      </c>
      <c r="P764" s="13">
        <f>WEEKNUM(SalesTbl[[#This Row],[Order Date]],2)</f>
        <v>52</v>
      </c>
      <c r="Q764" s="14">
        <f>MEDIAN(SalesTbl[Quantity])</f>
        <v>3</v>
      </c>
      <c r="R764" s="14">
        <f>IF(ISBLANK(SalesTbl[[#This Row],[Quantity]]),$H$2,SalesTbl[[#This Row],[Quantity]])</f>
        <v>5</v>
      </c>
      <c r="S764">
        <f>ROW()-ROW(SalesTbl[[#Headers],[Customer ID]])</f>
        <v>763</v>
      </c>
      <c r="T764" s="9" t="str">
        <f>IF(SalesTbl[[#This Row],[RowIdx]]&lt;=ROUNDUP(COUNTA(SalesTbl[Customer ID])*0.8,0),"Train","Test")</f>
        <v>Train</v>
      </c>
    </row>
    <row r="765" spans="1:20" x14ac:dyDescent="0.25">
      <c r="A765" t="s">
        <v>196</v>
      </c>
      <c r="B765" t="s">
        <v>13</v>
      </c>
      <c r="C765" t="s">
        <v>321</v>
      </c>
      <c r="D765" t="s">
        <v>14</v>
      </c>
      <c r="E765" t="s">
        <v>15</v>
      </c>
      <c r="F765">
        <v>66</v>
      </c>
      <c r="G765">
        <v>300</v>
      </c>
      <c r="H765">
        <v>1</v>
      </c>
      <c r="I765">
        <v>300</v>
      </c>
      <c r="J765">
        <v>7.84</v>
      </c>
      <c r="K765" s="2">
        <v>45268</v>
      </c>
      <c r="L765" t="s">
        <v>317</v>
      </c>
      <c r="M765" s="6">
        <f>SalesTbl[[#This Row],[Unit Price]]*SalesTbl[[#This Row],[Quantity]]</f>
        <v>300</v>
      </c>
      <c r="N765" s="6">
        <f>YEAR(SalesTbl[[#This Row],[Order Date]])</f>
        <v>2023</v>
      </c>
      <c r="O765" s="6" t="str">
        <f>TEXT(SalesTbl[[#This Row],[Order Date]],"yyyy-mm")</f>
        <v>2023-12</v>
      </c>
      <c r="P765" s="13">
        <f>WEEKNUM(SalesTbl[[#This Row],[Order Date]],2)</f>
        <v>50</v>
      </c>
      <c r="Q765" s="14">
        <f>MEDIAN(SalesTbl[Quantity])</f>
        <v>3</v>
      </c>
      <c r="R765" s="14">
        <f>IF(ISBLANK(SalesTbl[[#This Row],[Quantity]]),$H$2,SalesTbl[[#This Row],[Quantity]])</f>
        <v>1</v>
      </c>
      <c r="S765">
        <f>ROW()-ROW(SalesTbl[[#Headers],[Customer ID]])</f>
        <v>764</v>
      </c>
      <c r="T765" s="9" t="str">
        <f>IF(SalesTbl[[#This Row],[RowIdx]]&lt;=ROUNDUP(COUNTA(SalesTbl[Customer ID])*0.8,0),"Train","Test")</f>
        <v>Train</v>
      </c>
    </row>
    <row r="766" spans="1:20" x14ac:dyDescent="0.25">
      <c r="A766" t="s">
        <v>301</v>
      </c>
      <c r="B766" t="s">
        <v>20</v>
      </c>
      <c r="C766" t="s">
        <v>322</v>
      </c>
      <c r="D766" t="s">
        <v>40</v>
      </c>
      <c r="E766" t="s">
        <v>15</v>
      </c>
      <c r="F766">
        <v>60</v>
      </c>
      <c r="G766">
        <v>800</v>
      </c>
      <c r="H766">
        <v>4</v>
      </c>
      <c r="I766">
        <v>3200</v>
      </c>
      <c r="J766">
        <v>9.99</v>
      </c>
      <c r="K766" s="2">
        <v>45106</v>
      </c>
      <c r="L766" t="s">
        <v>316</v>
      </c>
      <c r="M766" s="6">
        <f>SalesTbl[[#This Row],[Unit Price]]*SalesTbl[[#This Row],[Quantity]]</f>
        <v>3200</v>
      </c>
      <c r="N766" s="6">
        <f>YEAR(SalesTbl[[#This Row],[Order Date]])</f>
        <v>2023</v>
      </c>
      <c r="O766" s="6" t="str">
        <f>TEXT(SalesTbl[[#This Row],[Order Date]],"yyyy-mm")</f>
        <v>2023-06</v>
      </c>
      <c r="P766" s="13">
        <f>WEEKNUM(SalesTbl[[#This Row],[Order Date]],2)</f>
        <v>27</v>
      </c>
      <c r="Q766" s="14">
        <f>MEDIAN(SalesTbl[Quantity])</f>
        <v>3</v>
      </c>
      <c r="R766" s="14">
        <f>IF(ISBLANK(SalesTbl[[#This Row],[Quantity]]),$H$2,SalesTbl[[#This Row],[Quantity]])</f>
        <v>4</v>
      </c>
      <c r="S766">
        <f>ROW()-ROW(SalesTbl[[#Headers],[Customer ID]])</f>
        <v>765</v>
      </c>
      <c r="T766" s="9" t="str">
        <f>IF(SalesTbl[[#This Row],[RowIdx]]&lt;=ROUNDUP(COUNTA(SalesTbl[Customer ID])*0.8,0),"Train","Test")</f>
        <v>Train</v>
      </c>
    </row>
    <row r="767" spans="1:20" x14ac:dyDescent="0.25">
      <c r="A767" t="s">
        <v>176</v>
      </c>
      <c r="B767" t="s">
        <v>13</v>
      </c>
      <c r="C767" t="s">
        <v>322</v>
      </c>
      <c r="D767" t="s">
        <v>14</v>
      </c>
      <c r="E767" t="s">
        <v>15</v>
      </c>
      <c r="F767">
        <v>20</v>
      </c>
      <c r="G767">
        <v>300</v>
      </c>
      <c r="H767">
        <v>2</v>
      </c>
      <c r="I767">
        <v>600</v>
      </c>
      <c r="J767">
        <v>9.77</v>
      </c>
      <c r="K767" s="2">
        <v>45193</v>
      </c>
      <c r="L767" t="s">
        <v>316</v>
      </c>
      <c r="M767" s="6">
        <f>SalesTbl[[#This Row],[Unit Price]]*SalesTbl[[#This Row],[Quantity]]</f>
        <v>600</v>
      </c>
      <c r="N767" s="6">
        <f>YEAR(SalesTbl[[#This Row],[Order Date]])</f>
        <v>2023</v>
      </c>
      <c r="O767" s="6" t="str">
        <f>TEXT(SalesTbl[[#This Row],[Order Date]],"yyyy-mm")</f>
        <v>2023-09</v>
      </c>
      <c r="P767" s="13">
        <f>WEEKNUM(SalesTbl[[#This Row],[Order Date]],2)</f>
        <v>39</v>
      </c>
      <c r="Q767" s="14">
        <f>MEDIAN(SalesTbl[Quantity])</f>
        <v>3</v>
      </c>
      <c r="R767" s="14">
        <f>IF(ISBLANK(SalesTbl[[#This Row],[Quantity]]),$H$2,SalesTbl[[#This Row],[Quantity]])</f>
        <v>2</v>
      </c>
      <c r="S767">
        <f>ROW()-ROW(SalesTbl[[#Headers],[Customer ID]])</f>
        <v>766</v>
      </c>
      <c r="T767" s="9" t="str">
        <f>IF(SalesTbl[[#This Row],[RowIdx]]&lt;=ROUNDUP(COUNTA(SalesTbl[Customer ID])*0.8,0),"Train","Test")</f>
        <v>Train</v>
      </c>
    </row>
    <row r="768" spans="1:20" x14ac:dyDescent="0.25">
      <c r="A768" t="s">
        <v>101</v>
      </c>
      <c r="B768" t="s">
        <v>20</v>
      </c>
      <c r="C768" t="s">
        <v>321</v>
      </c>
      <c r="D768" t="s">
        <v>40</v>
      </c>
      <c r="E768" t="s">
        <v>15</v>
      </c>
      <c r="F768">
        <v>51</v>
      </c>
      <c r="G768">
        <v>800</v>
      </c>
      <c r="H768">
        <v>3</v>
      </c>
      <c r="I768">
        <v>2400</v>
      </c>
      <c r="J768">
        <v>15.28</v>
      </c>
      <c r="K768" s="2">
        <v>45068</v>
      </c>
      <c r="L768" t="s">
        <v>317</v>
      </c>
      <c r="M768" s="6">
        <f>SalesTbl[[#This Row],[Unit Price]]*SalesTbl[[#This Row],[Quantity]]</f>
        <v>2400</v>
      </c>
      <c r="N768" s="6">
        <f>YEAR(SalesTbl[[#This Row],[Order Date]])</f>
        <v>2023</v>
      </c>
      <c r="O768" s="6" t="str">
        <f>TEXT(SalesTbl[[#This Row],[Order Date]],"yyyy-mm")</f>
        <v>2023-05</v>
      </c>
      <c r="P768" s="13">
        <f>WEEKNUM(SalesTbl[[#This Row],[Order Date]],2)</f>
        <v>22</v>
      </c>
      <c r="Q768" s="14">
        <f>MEDIAN(SalesTbl[Quantity])</f>
        <v>3</v>
      </c>
      <c r="R768" s="14">
        <f>IF(ISBLANK(SalesTbl[[#This Row],[Quantity]]),$H$2,SalesTbl[[#This Row],[Quantity]])</f>
        <v>3</v>
      </c>
      <c r="S768">
        <f>ROW()-ROW(SalesTbl[[#Headers],[Customer ID]])</f>
        <v>767</v>
      </c>
      <c r="T768" s="9" t="str">
        <f>IF(SalesTbl[[#This Row],[RowIdx]]&lt;=ROUNDUP(COUNTA(SalesTbl[Customer ID])*0.8,0),"Train","Test")</f>
        <v>Train</v>
      </c>
    </row>
    <row r="769" spans="1:20" x14ac:dyDescent="0.25">
      <c r="A769" t="s">
        <v>260</v>
      </c>
      <c r="B769" t="s">
        <v>20</v>
      </c>
      <c r="C769" t="s">
        <v>323</v>
      </c>
      <c r="D769" t="s">
        <v>30</v>
      </c>
      <c r="E769" t="s">
        <v>18</v>
      </c>
      <c r="F769">
        <v>35</v>
      </c>
      <c r="G769">
        <v>30</v>
      </c>
      <c r="H769">
        <v>3</v>
      </c>
      <c r="I769">
        <v>90</v>
      </c>
      <c r="J769">
        <v>8.7899999999999991</v>
      </c>
      <c r="K769" s="2">
        <v>45136</v>
      </c>
      <c r="L769" t="s">
        <v>316</v>
      </c>
      <c r="M769" s="6">
        <f>SalesTbl[[#This Row],[Unit Price]]*SalesTbl[[#This Row],[Quantity]]</f>
        <v>90</v>
      </c>
      <c r="N769" s="6">
        <f>YEAR(SalesTbl[[#This Row],[Order Date]])</f>
        <v>2023</v>
      </c>
      <c r="O769" s="6" t="str">
        <f>TEXT(SalesTbl[[#This Row],[Order Date]],"yyyy-mm")</f>
        <v>2023-07</v>
      </c>
      <c r="P769" s="13">
        <f>WEEKNUM(SalesTbl[[#This Row],[Order Date]],2)</f>
        <v>31</v>
      </c>
      <c r="Q769" s="14">
        <f>MEDIAN(SalesTbl[Quantity])</f>
        <v>3</v>
      </c>
      <c r="R769" s="14">
        <f>IF(ISBLANK(SalesTbl[[#This Row],[Quantity]]),$H$2,SalesTbl[[#This Row],[Quantity]])</f>
        <v>3</v>
      </c>
      <c r="S769">
        <f>ROW()-ROW(SalesTbl[[#Headers],[Customer ID]])</f>
        <v>768</v>
      </c>
      <c r="T769" s="9" t="str">
        <f>IF(SalesTbl[[#This Row],[RowIdx]]&lt;=ROUNDUP(COUNTA(SalesTbl[Customer ID])*0.8,0),"Train","Test")</f>
        <v>Train</v>
      </c>
    </row>
    <row r="770" spans="1:20" x14ac:dyDescent="0.25">
      <c r="A770" t="s">
        <v>299</v>
      </c>
      <c r="B770" t="s">
        <v>13</v>
      </c>
      <c r="C770" t="s">
        <v>321</v>
      </c>
      <c r="D770" t="s">
        <v>29</v>
      </c>
      <c r="E770" t="s">
        <v>18</v>
      </c>
      <c r="F770">
        <v>40</v>
      </c>
      <c r="G770">
        <v>50</v>
      </c>
      <c r="H770">
        <v>4</v>
      </c>
      <c r="I770">
        <v>200</v>
      </c>
      <c r="J770">
        <v>12.79</v>
      </c>
      <c r="K770" s="2">
        <v>45218</v>
      </c>
      <c r="L770" t="s">
        <v>318</v>
      </c>
      <c r="M770" s="6">
        <f>SalesTbl[[#This Row],[Unit Price]]*SalesTbl[[#This Row],[Quantity]]</f>
        <v>200</v>
      </c>
      <c r="N770" s="6">
        <f>YEAR(SalesTbl[[#This Row],[Order Date]])</f>
        <v>2023</v>
      </c>
      <c r="O770" s="6" t="str">
        <f>TEXT(SalesTbl[[#This Row],[Order Date]],"yyyy-mm")</f>
        <v>2023-10</v>
      </c>
      <c r="P770" s="13">
        <f>WEEKNUM(SalesTbl[[#This Row],[Order Date]],2)</f>
        <v>43</v>
      </c>
      <c r="Q770" s="14">
        <f>MEDIAN(SalesTbl[Quantity])</f>
        <v>3</v>
      </c>
      <c r="R770" s="14">
        <f>IF(ISBLANK(SalesTbl[[#This Row],[Quantity]]),$H$2,SalesTbl[[#This Row],[Quantity]])</f>
        <v>4</v>
      </c>
      <c r="S770">
        <f>ROW()-ROW(SalesTbl[[#Headers],[Customer ID]])</f>
        <v>769</v>
      </c>
      <c r="T770" s="9" t="str">
        <f>IF(SalesTbl[[#This Row],[RowIdx]]&lt;=ROUNDUP(COUNTA(SalesTbl[Customer ID])*0.8,0),"Train","Test")</f>
        <v>Train</v>
      </c>
    </row>
    <row r="771" spans="1:20" x14ac:dyDescent="0.25">
      <c r="A771" t="s">
        <v>135</v>
      </c>
      <c r="B771" t="s">
        <v>13</v>
      </c>
      <c r="C771" t="s">
        <v>320</v>
      </c>
      <c r="D771" t="s">
        <v>40</v>
      </c>
      <c r="E771" t="s">
        <v>15</v>
      </c>
      <c r="F771">
        <v>54</v>
      </c>
      <c r="G771">
        <v>800</v>
      </c>
      <c r="H771">
        <v>5</v>
      </c>
      <c r="I771">
        <v>4000</v>
      </c>
      <c r="J771">
        <v>9.5500000000000007</v>
      </c>
      <c r="K771" s="2">
        <v>45171</v>
      </c>
      <c r="L771" t="s">
        <v>318</v>
      </c>
      <c r="M771" s="6">
        <f>SalesTbl[[#This Row],[Unit Price]]*SalesTbl[[#This Row],[Quantity]]</f>
        <v>4000</v>
      </c>
      <c r="N771" s="6">
        <f>YEAR(SalesTbl[[#This Row],[Order Date]])</f>
        <v>2023</v>
      </c>
      <c r="O771" s="6" t="str">
        <f>TEXT(SalesTbl[[#This Row],[Order Date]],"yyyy-mm")</f>
        <v>2023-09</v>
      </c>
      <c r="P771" s="13">
        <f>WEEKNUM(SalesTbl[[#This Row],[Order Date]],2)</f>
        <v>36</v>
      </c>
      <c r="Q771" s="14">
        <f>MEDIAN(SalesTbl[Quantity])</f>
        <v>3</v>
      </c>
      <c r="R771" s="14">
        <f>IF(ISBLANK(SalesTbl[[#This Row],[Quantity]]),$H$2,SalesTbl[[#This Row],[Quantity]])</f>
        <v>5</v>
      </c>
      <c r="S771">
        <f>ROW()-ROW(SalesTbl[[#Headers],[Customer ID]])</f>
        <v>770</v>
      </c>
      <c r="T771" s="9" t="str">
        <f>IF(SalesTbl[[#This Row],[RowIdx]]&lt;=ROUNDUP(COUNTA(SalesTbl[Customer ID])*0.8,0),"Train","Test")</f>
        <v>Train</v>
      </c>
    </row>
    <row r="772" spans="1:20" x14ac:dyDescent="0.25">
      <c r="A772" t="s">
        <v>55</v>
      </c>
      <c r="B772" t="s">
        <v>20</v>
      </c>
      <c r="C772" t="s">
        <v>323</v>
      </c>
      <c r="D772" t="s">
        <v>30</v>
      </c>
      <c r="E772" t="s">
        <v>18</v>
      </c>
      <c r="F772">
        <v>58</v>
      </c>
      <c r="G772">
        <v>30</v>
      </c>
      <c r="H772">
        <v>4</v>
      </c>
      <c r="I772">
        <v>120</v>
      </c>
      <c r="J772">
        <v>8.85</v>
      </c>
      <c r="K772" s="2">
        <v>45098</v>
      </c>
      <c r="L772" t="s">
        <v>316</v>
      </c>
      <c r="M772" s="6">
        <f>SalesTbl[[#This Row],[Unit Price]]*SalesTbl[[#This Row],[Quantity]]</f>
        <v>120</v>
      </c>
      <c r="N772" s="6">
        <f>YEAR(SalesTbl[[#This Row],[Order Date]])</f>
        <v>2023</v>
      </c>
      <c r="O772" s="6" t="str">
        <f>TEXT(SalesTbl[[#This Row],[Order Date]],"yyyy-mm")</f>
        <v>2023-06</v>
      </c>
      <c r="P772" s="13">
        <f>WEEKNUM(SalesTbl[[#This Row],[Order Date]],2)</f>
        <v>26</v>
      </c>
      <c r="Q772" s="14">
        <f>MEDIAN(SalesTbl[Quantity])</f>
        <v>3</v>
      </c>
      <c r="R772" s="14">
        <f>IF(ISBLANK(SalesTbl[[#This Row],[Quantity]]),$H$2,SalesTbl[[#This Row],[Quantity]])</f>
        <v>4</v>
      </c>
      <c r="S772">
        <f>ROW()-ROW(SalesTbl[[#Headers],[Customer ID]])</f>
        <v>771</v>
      </c>
      <c r="T772" s="9" t="str">
        <f>IF(SalesTbl[[#This Row],[RowIdx]]&lt;=ROUNDUP(COUNTA(SalesTbl[Customer ID])*0.8,0),"Train","Test")</f>
        <v>Train</v>
      </c>
    </row>
    <row r="773" spans="1:20" x14ac:dyDescent="0.25">
      <c r="A773" t="s">
        <v>302</v>
      </c>
      <c r="B773" t="s">
        <v>13</v>
      </c>
      <c r="C773" t="s">
        <v>322</v>
      </c>
      <c r="D773" t="s">
        <v>29</v>
      </c>
      <c r="E773" t="s">
        <v>18</v>
      </c>
      <c r="F773">
        <v>26</v>
      </c>
      <c r="G773">
        <v>50</v>
      </c>
      <c r="H773">
        <v>2</v>
      </c>
      <c r="I773">
        <v>100</v>
      </c>
      <c r="J773">
        <v>9.76</v>
      </c>
      <c r="K773" s="2">
        <v>45090</v>
      </c>
      <c r="L773" t="s">
        <v>317</v>
      </c>
      <c r="M773" s="6">
        <f>SalesTbl[[#This Row],[Unit Price]]*SalesTbl[[#This Row],[Quantity]]</f>
        <v>100</v>
      </c>
      <c r="N773" s="6">
        <f>YEAR(SalesTbl[[#This Row],[Order Date]])</f>
        <v>2023</v>
      </c>
      <c r="O773" s="6" t="str">
        <f>TEXT(SalesTbl[[#This Row],[Order Date]],"yyyy-mm")</f>
        <v>2023-06</v>
      </c>
      <c r="P773" s="13">
        <f>WEEKNUM(SalesTbl[[#This Row],[Order Date]],2)</f>
        <v>25</v>
      </c>
      <c r="Q773" s="14">
        <f>MEDIAN(SalesTbl[Quantity])</f>
        <v>3</v>
      </c>
      <c r="R773" s="14">
        <f>IF(ISBLANK(SalesTbl[[#This Row],[Quantity]]),$H$2,SalesTbl[[#This Row],[Quantity]])</f>
        <v>2</v>
      </c>
      <c r="S773">
        <f>ROW()-ROW(SalesTbl[[#Headers],[Customer ID]])</f>
        <v>772</v>
      </c>
      <c r="T773" s="9" t="str">
        <f>IF(SalesTbl[[#This Row],[RowIdx]]&lt;=ROUNDUP(COUNTA(SalesTbl[Customer ID])*0.8,0),"Train","Test")</f>
        <v>Train</v>
      </c>
    </row>
    <row r="774" spans="1:20" x14ac:dyDescent="0.25">
      <c r="A774" t="s">
        <v>281</v>
      </c>
      <c r="B774" t="s">
        <v>20</v>
      </c>
      <c r="C774" t="s">
        <v>323</v>
      </c>
      <c r="D774" t="s">
        <v>25</v>
      </c>
      <c r="E774" t="s">
        <v>26</v>
      </c>
      <c r="F774">
        <v>43</v>
      </c>
      <c r="G774">
        <v>200</v>
      </c>
      <c r="H774">
        <v>1</v>
      </c>
      <c r="I774">
        <v>200</v>
      </c>
      <c r="J774">
        <v>6.18</v>
      </c>
      <c r="K774" s="2">
        <v>45288</v>
      </c>
      <c r="L774" t="s">
        <v>317</v>
      </c>
      <c r="M774" s="6">
        <f>SalesTbl[[#This Row],[Unit Price]]*SalesTbl[[#This Row],[Quantity]]</f>
        <v>200</v>
      </c>
      <c r="N774" s="6">
        <f>YEAR(SalesTbl[[#This Row],[Order Date]])</f>
        <v>2023</v>
      </c>
      <c r="O774" s="6" t="str">
        <f>TEXT(SalesTbl[[#This Row],[Order Date]],"yyyy-mm")</f>
        <v>2023-12</v>
      </c>
      <c r="P774" s="13">
        <f>WEEKNUM(SalesTbl[[#This Row],[Order Date]],2)</f>
        <v>53</v>
      </c>
      <c r="Q774" s="14">
        <f>MEDIAN(SalesTbl[Quantity])</f>
        <v>3</v>
      </c>
      <c r="R774" s="14">
        <f>IF(ISBLANK(SalesTbl[[#This Row],[Quantity]]),$H$2,SalesTbl[[#This Row],[Quantity]])</f>
        <v>1</v>
      </c>
      <c r="S774">
        <f>ROW()-ROW(SalesTbl[[#Headers],[Customer ID]])</f>
        <v>773</v>
      </c>
      <c r="T774" s="9" t="str">
        <f>IF(SalesTbl[[#This Row],[RowIdx]]&lt;=ROUNDUP(COUNTA(SalesTbl[Customer ID])*0.8,0),"Train","Test")</f>
        <v>Train</v>
      </c>
    </row>
    <row r="775" spans="1:20" x14ac:dyDescent="0.25">
      <c r="A775" t="s">
        <v>217</v>
      </c>
      <c r="B775" t="s">
        <v>13</v>
      </c>
      <c r="C775" t="s">
        <v>323</v>
      </c>
      <c r="D775" t="s">
        <v>23</v>
      </c>
      <c r="E775" t="s">
        <v>15</v>
      </c>
      <c r="F775">
        <v>69</v>
      </c>
      <c r="G775">
        <v>1500</v>
      </c>
      <c r="H775">
        <v>3</v>
      </c>
      <c r="I775">
        <v>4500</v>
      </c>
      <c r="J775">
        <v>6.08</v>
      </c>
      <c r="K775" s="2">
        <v>45113</v>
      </c>
      <c r="L775" t="s">
        <v>316</v>
      </c>
      <c r="M775" s="6">
        <f>SalesTbl[[#This Row],[Unit Price]]*SalesTbl[[#This Row],[Quantity]]</f>
        <v>4500</v>
      </c>
      <c r="N775" s="6">
        <f>YEAR(SalesTbl[[#This Row],[Order Date]])</f>
        <v>2023</v>
      </c>
      <c r="O775" s="6" t="str">
        <f>TEXT(SalesTbl[[#This Row],[Order Date]],"yyyy-mm")</f>
        <v>2023-07</v>
      </c>
      <c r="P775" s="13">
        <f>WEEKNUM(SalesTbl[[#This Row],[Order Date]],2)</f>
        <v>28</v>
      </c>
      <c r="Q775" s="14">
        <f>MEDIAN(SalesTbl[Quantity])</f>
        <v>3</v>
      </c>
      <c r="R775" s="14">
        <f>IF(ISBLANK(SalesTbl[[#This Row],[Quantity]]),$H$2,SalesTbl[[#This Row],[Quantity]])</f>
        <v>3</v>
      </c>
      <c r="S775">
        <f>ROW()-ROW(SalesTbl[[#Headers],[Customer ID]])</f>
        <v>774</v>
      </c>
      <c r="T775" s="9" t="str">
        <f>IF(SalesTbl[[#This Row],[RowIdx]]&lt;=ROUNDUP(COUNTA(SalesTbl[Customer ID])*0.8,0),"Train","Test")</f>
        <v>Train</v>
      </c>
    </row>
    <row r="776" spans="1:20" x14ac:dyDescent="0.25">
      <c r="A776" t="s">
        <v>303</v>
      </c>
      <c r="B776" t="s">
        <v>13</v>
      </c>
      <c r="C776" t="s">
        <v>321</v>
      </c>
      <c r="D776" t="s">
        <v>23</v>
      </c>
      <c r="E776" t="s">
        <v>15</v>
      </c>
      <c r="F776">
        <v>61</v>
      </c>
      <c r="G776">
        <v>1500</v>
      </c>
      <c r="H776">
        <v>4</v>
      </c>
      <c r="I776">
        <v>6000</v>
      </c>
      <c r="J776">
        <v>9.4600000000000009</v>
      </c>
      <c r="K776" s="2">
        <v>45090</v>
      </c>
      <c r="L776" t="s">
        <v>318</v>
      </c>
      <c r="M776" s="6">
        <f>SalesTbl[[#This Row],[Unit Price]]*SalesTbl[[#This Row],[Quantity]]</f>
        <v>6000</v>
      </c>
      <c r="N776" s="6">
        <f>YEAR(SalesTbl[[#This Row],[Order Date]])</f>
        <v>2023</v>
      </c>
      <c r="O776" s="6" t="str">
        <f>TEXT(SalesTbl[[#This Row],[Order Date]],"yyyy-mm")</f>
        <v>2023-06</v>
      </c>
      <c r="P776" s="13">
        <f>WEEKNUM(SalesTbl[[#This Row],[Order Date]],2)</f>
        <v>25</v>
      </c>
      <c r="Q776" s="14">
        <f>MEDIAN(SalesTbl[Quantity])</f>
        <v>3</v>
      </c>
      <c r="R776" s="14">
        <f>IF(ISBLANK(SalesTbl[[#This Row],[Quantity]]),$H$2,SalesTbl[[#This Row],[Quantity]])</f>
        <v>4</v>
      </c>
      <c r="S776">
        <f>ROW()-ROW(SalesTbl[[#Headers],[Customer ID]])</f>
        <v>775</v>
      </c>
      <c r="T776" s="9" t="str">
        <f>IF(SalesTbl[[#This Row],[RowIdx]]&lt;=ROUNDUP(COUNTA(SalesTbl[Customer ID])*0.8,0),"Train","Test")</f>
        <v>Train</v>
      </c>
    </row>
    <row r="777" spans="1:20" x14ac:dyDescent="0.25">
      <c r="A777" t="s">
        <v>63</v>
      </c>
      <c r="B777" t="s">
        <v>20</v>
      </c>
      <c r="C777" t="s">
        <v>321</v>
      </c>
      <c r="D777" t="s">
        <v>17</v>
      </c>
      <c r="E777" t="s">
        <v>18</v>
      </c>
      <c r="F777">
        <v>61</v>
      </c>
      <c r="G777">
        <v>100</v>
      </c>
      <c r="H777">
        <v>1</v>
      </c>
      <c r="I777">
        <v>100</v>
      </c>
      <c r="J777">
        <v>6.6</v>
      </c>
      <c r="K777" s="2">
        <v>45005</v>
      </c>
      <c r="L777" t="s">
        <v>316</v>
      </c>
      <c r="M777" s="6">
        <f>SalesTbl[[#This Row],[Unit Price]]*SalesTbl[[#This Row],[Quantity]]</f>
        <v>100</v>
      </c>
      <c r="N777" s="6">
        <f>YEAR(SalesTbl[[#This Row],[Order Date]])</f>
        <v>2023</v>
      </c>
      <c r="O777" s="6" t="str">
        <f>TEXT(SalesTbl[[#This Row],[Order Date]],"yyyy-mm")</f>
        <v>2023-03</v>
      </c>
      <c r="P777" s="13">
        <f>WEEKNUM(SalesTbl[[#This Row],[Order Date]],2)</f>
        <v>13</v>
      </c>
      <c r="Q777" s="14">
        <f>MEDIAN(SalesTbl[Quantity])</f>
        <v>3</v>
      </c>
      <c r="R777" s="14">
        <f>IF(ISBLANK(SalesTbl[[#This Row],[Quantity]]),$H$2,SalesTbl[[#This Row],[Quantity]])</f>
        <v>1</v>
      </c>
      <c r="S777">
        <f>ROW()-ROW(SalesTbl[[#Headers],[Customer ID]])</f>
        <v>776</v>
      </c>
      <c r="T777" s="9" t="str">
        <f>IF(SalesTbl[[#This Row],[RowIdx]]&lt;=ROUNDUP(COUNTA(SalesTbl[Customer ID])*0.8,0),"Train","Test")</f>
        <v>Train</v>
      </c>
    </row>
    <row r="778" spans="1:20" x14ac:dyDescent="0.25">
      <c r="A778" t="s">
        <v>212</v>
      </c>
      <c r="B778" t="s">
        <v>20</v>
      </c>
      <c r="C778" t="s">
        <v>320</v>
      </c>
      <c r="D778" t="s">
        <v>30</v>
      </c>
      <c r="E778" t="s">
        <v>18</v>
      </c>
      <c r="F778">
        <v>67</v>
      </c>
      <c r="G778">
        <v>30</v>
      </c>
      <c r="H778">
        <v>4</v>
      </c>
      <c r="I778">
        <v>120</v>
      </c>
      <c r="J778">
        <v>19.59</v>
      </c>
      <c r="K778" s="2">
        <v>44977</v>
      </c>
      <c r="L778" t="s">
        <v>317</v>
      </c>
      <c r="M778" s="6">
        <f>SalesTbl[[#This Row],[Unit Price]]*SalesTbl[[#This Row],[Quantity]]</f>
        <v>120</v>
      </c>
      <c r="N778" s="6">
        <f>YEAR(SalesTbl[[#This Row],[Order Date]])</f>
        <v>2023</v>
      </c>
      <c r="O778" s="6" t="str">
        <f>TEXT(SalesTbl[[#This Row],[Order Date]],"yyyy-mm")</f>
        <v>2023-02</v>
      </c>
      <c r="P778" s="13">
        <f>WEEKNUM(SalesTbl[[#This Row],[Order Date]],2)</f>
        <v>9</v>
      </c>
      <c r="Q778" s="14">
        <f>MEDIAN(SalesTbl[Quantity])</f>
        <v>3</v>
      </c>
      <c r="R778" s="14">
        <f>IF(ISBLANK(SalesTbl[[#This Row],[Quantity]]),$H$2,SalesTbl[[#This Row],[Quantity]])</f>
        <v>4</v>
      </c>
      <c r="S778">
        <f>ROW()-ROW(SalesTbl[[#Headers],[Customer ID]])</f>
        <v>777</v>
      </c>
      <c r="T778" s="9" t="str">
        <f>IF(SalesTbl[[#This Row],[RowIdx]]&lt;=ROUNDUP(COUNTA(SalesTbl[Customer ID])*0.8,0),"Train","Test")</f>
        <v>Train</v>
      </c>
    </row>
    <row r="779" spans="1:20" x14ac:dyDescent="0.25">
      <c r="A779" t="s">
        <v>65</v>
      </c>
      <c r="B779" t="s">
        <v>20</v>
      </c>
      <c r="C779" t="s">
        <v>321</v>
      </c>
      <c r="D779" t="s">
        <v>14</v>
      </c>
      <c r="E779" t="s">
        <v>15</v>
      </c>
      <c r="F779">
        <v>38</v>
      </c>
      <c r="G779">
        <v>300</v>
      </c>
      <c r="H779">
        <v>4</v>
      </c>
      <c r="I779">
        <v>1200</v>
      </c>
      <c r="J779">
        <v>12.55</v>
      </c>
      <c r="K779" s="2">
        <v>45165</v>
      </c>
      <c r="L779" t="s">
        <v>318</v>
      </c>
      <c r="M779" s="6">
        <f>SalesTbl[[#This Row],[Unit Price]]*SalesTbl[[#This Row],[Quantity]]</f>
        <v>1200</v>
      </c>
      <c r="N779" s="6">
        <f>YEAR(SalesTbl[[#This Row],[Order Date]])</f>
        <v>2023</v>
      </c>
      <c r="O779" s="6" t="str">
        <f>TEXT(SalesTbl[[#This Row],[Order Date]],"yyyy-mm")</f>
        <v>2023-08</v>
      </c>
      <c r="P779" s="13">
        <f>WEEKNUM(SalesTbl[[#This Row],[Order Date]],2)</f>
        <v>35</v>
      </c>
      <c r="Q779" s="14">
        <f>MEDIAN(SalesTbl[Quantity])</f>
        <v>3</v>
      </c>
      <c r="R779" s="14">
        <f>IF(ISBLANK(SalesTbl[[#This Row],[Quantity]]),$H$2,SalesTbl[[#This Row],[Quantity]])</f>
        <v>4</v>
      </c>
      <c r="S779">
        <f>ROW()-ROW(SalesTbl[[#Headers],[Customer ID]])</f>
        <v>778</v>
      </c>
      <c r="T779" s="9" t="str">
        <f>IF(SalesTbl[[#This Row],[RowIdx]]&lt;=ROUNDUP(COUNTA(SalesTbl[Customer ID])*0.8,0),"Train","Test")</f>
        <v>Train</v>
      </c>
    </row>
    <row r="780" spans="1:20" x14ac:dyDescent="0.25">
      <c r="A780" t="s">
        <v>254</v>
      </c>
      <c r="B780" t="s">
        <v>13</v>
      </c>
      <c r="C780" t="s">
        <v>320</v>
      </c>
      <c r="D780" t="s">
        <v>29</v>
      </c>
      <c r="E780" t="s">
        <v>18</v>
      </c>
      <c r="F780">
        <v>69</v>
      </c>
      <c r="G780">
        <v>50</v>
      </c>
      <c r="H780">
        <v>5</v>
      </c>
      <c r="I780">
        <v>250</v>
      </c>
      <c r="J780">
        <v>14.32</v>
      </c>
      <c r="K780" s="2">
        <v>44960</v>
      </c>
      <c r="L780" t="s">
        <v>319</v>
      </c>
      <c r="M780" s="6">
        <f>SalesTbl[[#This Row],[Unit Price]]*SalesTbl[[#This Row],[Quantity]]</f>
        <v>250</v>
      </c>
      <c r="N780" s="6">
        <f>YEAR(SalesTbl[[#This Row],[Order Date]])</f>
        <v>2023</v>
      </c>
      <c r="O780" s="6" t="str">
        <f>TEXT(SalesTbl[[#This Row],[Order Date]],"yyyy-mm")</f>
        <v>2023-02</v>
      </c>
      <c r="P780" s="13">
        <f>WEEKNUM(SalesTbl[[#This Row],[Order Date]],2)</f>
        <v>6</v>
      </c>
      <c r="Q780" s="14">
        <f>MEDIAN(SalesTbl[Quantity])</f>
        <v>3</v>
      </c>
      <c r="R780" s="14">
        <f>IF(ISBLANK(SalesTbl[[#This Row],[Quantity]]),$H$2,SalesTbl[[#This Row],[Quantity]])</f>
        <v>5</v>
      </c>
      <c r="S780">
        <f>ROW()-ROW(SalesTbl[[#Headers],[Customer ID]])</f>
        <v>779</v>
      </c>
      <c r="T780" s="9" t="str">
        <f>IF(SalesTbl[[#This Row],[RowIdx]]&lt;=ROUNDUP(COUNTA(SalesTbl[Customer ID])*0.8,0),"Train","Test")</f>
        <v>Train</v>
      </c>
    </row>
    <row r="781" spans="1:20" x14ac:dyDescent="0.25">
      <c r="A781" t="s">
        <v>169</v>
      </c>
      <c r="B781" t="s">
        <v>13</v>
      </c>
      <c r="C781" t="s">
        <v>321</v>
      </c>
      <c r="D781" t="s">
        <v>40</v>
      </c>
      <c r="E781" t="s">
        <v>15</v>
      </c>
      <c r="F781">
        <v>51</v>
      </c>
      <c r="G781">
        <v>800</v>
      </c>
      <c r="H781">
        <v>5</v>
      </c>
      <c r="I781">
        <v>4000</v>
      </c>
      <c r="J781">
        <v>6.74</v>
      </c>
      <c r="K781" s="2">
        <v>45196</v>
      </c>
      <c r="L781" t="s">
        <v>318</v>
      </c>
      <c r="M781" s="6">
        <f>SalesTbl[[#This Row],[Unit Price]]*SalesTbl[[#This Row],[Quantity]]</f>
        <v>4000</v>
      </c>
      <c r="N781" s="6">
        <f>YEAR(SalesTbl[[#This Row],[Order Date]])</f>
        <v>2023</v>
      </c>
      <c r="O781" s="6" t="str">
        <f>TEXT(SalesTbl[[#This Row],[Order Date]],"yyyy-mm")</f>
        <v>2023-09</v>
      </c>
      <c r="P781" s="13">
        <f>WEEKNUM(SalesTbl[[#This Row],[Order Date]],2)</f>
        <v>40</v>
      </c>
      <c r="Q781" s="14">
        <f>MEDIAN(SalesTbl[Quantity])</f>
        <v>3</v>
      </c>
      <c r="R781" s="14">
        <f>IF(ISBLANK(SalesTbl[[#This Row],[Quantity]]),$H$2,SalesTbl[[#This Row],[Quantity]])</f>
        <v>5</v>
      </c>
      <c r="S781">
        <f>ROW()-ROW(SalesTbl[[#Headers],[Customer ID]])</f>
        <v>780</v>
      </c>
      <c r="T781" s="9" t="str">
        <f>IF(SalesTbl[[#This Row],[RowIdx]]&lt;=ROUNDUP(COUNTA(SalesTbl[Customer ID])*0.8,0),"Train","Test")</f>
        <v>Train</v>
      </c>
    </row>
    <row r="782" spans="1:20" x14ac:dyDescent="0.25">
      <c r="A782" t="s">
        <v>102</v>
      </c>
      <c r="B782" t="s">
        <v>13</v>
      </c>
      <c r="C782" t="s">
        <v>322</v>
      </c>
      <c r="D782" t="s">
        <v>17</v>
      </c>
      <c r="E782" t="s">
        <v>18</v>
      </c>
      <c r="F782">
        <v>30</v>
      </c>
      <c r="G782">
        <v>100</v>
      </c>
      <c r="H782">
        <v>2</v>
      </c>
      <c r="I782">
        <v>200</v>
      </c>
      <c r="J782">
        <v>7.01</v>
      </c>
      <c r="K782" s="2">
        <v>45003</v>
      </c>
      <c r="L782" t="s">
        <v>317</v>
      </c>
      <c r="M782" s="6">
        <f>SalesTbl[[#This Row],[Unit Price]]*SalesTbl[[#This Row],[Quantity]]</f>
        <v>200</v>
      </c>
      <c r="N782" s="6">
        <f>YEAR(SalesTbl[[#This Row],[Order Date]])</f>
        <v>2023</v>
      </c>
      <c r="O782" s="6" t="str">
        <f>TEXT(SalesTbl[[#This Row],[Order Date]],"yyyy-mm")</f>
        <v>2023-03</v>
      </c>
      <c r="P782" s="13">
        <f>WEEKNUM(SalesTbl[[#This Row],[Order Date]],2)</f>
        <v>12</v>
      </c>
      <c r="Q782" s="14">
        <f>MEDIAN(SalesTbl[Quantity])</f>
        <v>3</v>
      </c>
      <c r="R782" s="14">
        <f>IF(ISBLANK(SalesTbl[[#This Row],[Quantity]]),$H$2,SalesTbl[[#This Row],[Quantity]])</f>
        <v>2</v>
      </c>
      <c r="S782">
        <f>ROW()-ROW(SalesTbl[[#Headers],[Customer ID]])</f>
        <v>781</v>
      </c>
      <c r="T782" s="9" t="str">
        <f>IF(SalesTbl[[#This Row],[RowIdx]]&lt;=ROUNDUP(COUNTA(SalesTbl[Customer ID])*0.8,0),"Train","Test")</f>
        <v>Train</v>
      </c>
    </row>
    <row r="783" spans="1:20" x14ac:dyDescent="0.25">
      <c r="A783" t="s">
        <v>81</v>
      </c>
      <c r="B783" t="s">
        <v>13</v>
      </c>
      <c r="C783" t="s">
        <v>323</v>
      </c>
      <c r="D783" t="s">
        <v>23</v>
      </c>
      <c r="E783" t="s">
        <v>15</v>
      </c>
      <c r="F783">
        <v>33</v>
      </c>
      <c r="G783">
        <v>1500</v>
      </c>
      <c r="H783">
        <v>2</v>
      </c>
      <c r="I783">
        <v>3000</v>
      </c>
      <c r="J783">
        <v>14.97</v>
      </c>
      <c r="K783" s="2">
        <v>44943</v>
      </c>
      <c r="L783" t="s">
        <v>318</v>
      </c>
      <c r="M783" s="6">
        <f>SalesTbl[[#This Row],[Unit Price]]*SalesTbl[[#This Row],[Quantity]]</f>
        <v>3000</v>
      </c>
      <c r="N783" s="6">
        <f>YEAR(SalesTbl[[#This Row],[Order Date]])</f>
        <v>2023</v>
      </c>
      <c r="O783" s="6" t="str">
        <f>TEXT(SalesTbl[[#This Row],[Order Date]],"yyyy-mm")</f>
        <v>2023-01</v>
      </c>
      <c r="P783" s="13">
        <f>WEEKNUM(SalesTbl[[#This Row],[Order Date]],2)</f>
        <v>4</v>
      </c>
      <c r="Q783" s="14">
        <f>MEDIAN(SalesTbl[Quantity])</f>
        <v>3</v>
      </c>
      <c r="R783" s="14">
        <f>IF(ISBLANK(SalesTbl[[#This Row],[Quantity]]),$H$2,SalesTbl[[#This Row],[Quantity]])</f>
        <v>2</v>
      </c>
      <c r="S783">
        <f>ROW()-ROW(SalesTbl[[#Headers],[Customer ID]])</f>
        <v>782</v>
      </c>
      <c r="T783" s="9" t="str">
        <f>IF(SalesTbl[[#This Row],[RowIdx]]&lt;=ROUNDUP(COUNTA(SalesTbl[Customer ID])*0.8,0),"Train","Test")</f>
        <v>Train</v>
      </c>
    </row>
    <row r="784" spans="1:20" x14ac:dyDescent="0.25">
      <c r="A784" t="s">
        <v>285</v>
      </c>
      <c r="B784" t="s">
        <v>20</v>
      </c>
      <c r="C784" t="s">
        <v>321</v>
      </c>
      <c r="D784" t="s">
        <v>17</v>
      </c>
      <c r="E784" t="s">
        <v>18</v>
      </c>
      <c r="F784">
        <v>44</v>
      </c>
      <c r="G784">
        <v>100</v>
      </c>
      <c r="H784">
        <v>4</v>
      </c>
      <c r="I784">
        <v>400</v>
      </c>
      <c r="J784">
        <v>10.029999999999999</v>
      </c>
      <c r="K784" s="2">
        <v>45057</v>
      </c>
      <c r="L784" t="s">
        <v>317</v>
      </c>
      <c r="M784" s="6">
        <f>SalesTbl[[#This Row],[Unit Price]]*SalesTbl[[#This Row],[Quantity]]</f>
        <v>400</v>
      </c>
      <c r="N784" s="6">
        <f>YEAR(SalesTbl[[#This Row],[Order Date]])</f>
        <v>2023</v>
      </c>
      <c r="O784" s="6" t="str">
        <f>TEXT(SalesTbl[[#This Row],[Order Date]],"yyyy-mm")</f>
        <v>2023-05</v>
      </c>
      <c r="P784" s="13">
        <f>WEEKNUM(SalesTbl[[#This Row],[Order Date]],2)</f>
        <v>20</v>
      </c>
      <c r="Q784" s="14">
        <f>MEDIAN(SalesTbl[Quantity])</f>
        <v>3</v>
      </c>
      <c r="R784" s="14">
        <f>IF(ISBLANK(SalesTbl[[#This Row],[Quantity]]),$H$2,SalesTbl[[#This Row],[Quantity]])</f>
        <v>4</v>
      </c>
      <c r="S784">
        <f>ROW()-ROW(SalesTbl[[#Headers],[Customer ID]])</f>
        <v>783</v>
      </c>
      <c r="T784" s="9" t="str">
        <f>IF(SalesTbl[[#This Row],[RowIdx]]&lt;=ROUNDUP(COUNTA(SalesTbl[Customer ID])*0.8,0),"Train","Test")</f>
        <v>Train</v>
      </c>
    </row>
    <row r="785" spans="1:20" x14ac:dyDescent="0.25">
      <c r="A785" t="s">
        <v>36</v>
      </c>
      <c r="B785" t="s">
        <v>13</v>
      </c>
      <c r="C785" t="s">
        <v>322</v>
      </c>
      <c r="D785" t="s">
        <v>29</v>
      </c>
      <c r="E785" t="s">
        <v>18</v>
      </c>
      <c r="F785">
        <v>66</v>
      </c>
      <c r="G785">
        <v>50</v>
      </c>
      <c r="H785">
        <v>2</v>
      </c>
      <c r="I785">
        <v>100</v>
      </c>
      <c r="J785">
        <v>8.51</v>
      </c>
      <c r="K785" s="2">
        <v>44995</v>
      </c>
      <c r="L785" t="s">
        <v>317</v>
      </c>
      <c r="M785" s="6">
        <f>SalesTbl[[#This Row],[Unit Price]]*SalesTbl[[#This Row],[Quantity]]</f>
        <v>100</v>
      </c>
      <c r="N785" s="6">
        <f>YEAR(SalesTbl[[#This Row],[Order Date]])</f>
        <v>2023</v>
      </c>
      <c r="O785" s="6" t="str">
        <f>TEXT(SalesTbl[[#This Row],[Order Date]],"yyyy-mm")</f>
        <v>2023-03</v>
      </c>
      <c r="P785" s="13">
        <f>WEEKNUM(SalesTbl[[#This Row],[Order Date]],2)</f>
        <v>11</v>
      </c>
      <c r="Q785" s="14">
        <f>MEDIAN(SalesTbl[Quantity])</f>
        <v>3</v>
      </c>
      <c r="R785" s="14">
        <f>IF(ISBLANK(SalesTbl[[#This Row],[Quantity]]),$H$2,SalesTbl[[#This Row],[Quantity]])</f>
        <v>2</v>
      </c>
      <c r="S785">
        <f>ROW()-ROW(SalesTbl[[#Headers],[Customer ID]])</f>
        <v>784</v>
      </c>
      <c r="T785" s="9" t="str">
        <f>IF(SalesTbl[[#This Row],[RowIdx]]&lt;=ROUNDUP(COUNTA(SalesTbl[Customer ID])*0.8,0),"Train","Test")</f>
        <v>Train</v>
      </c>
    </row>
    <row r="786" spans="1:20" x14ac:dyDescent="0.25">
      <c r="A786" t="s">
        <v>296</v>
      </c>
      <c r="B786" t="s">
        <v>20</v>
      </c>
      <c r="C786" t="s">
        <v>321</v>
      </c>
      <c r="D786" t="s">
        <v>29</v>
      </c>
      <c r="E786" t="s">
        <v>18</v>
      </c>
      <c r="F786">
        <v>65</v>
      </c>
      <c r="G786">
        <v>50</v>
      </c>
      <c r="H786">
        <v>1</v>
      </c>
      <c r="I786">
        <v>50</v>
      </c>
      <c r="J786">
        <v>7.55</v>
      </c>
      <c r="K786" s="2">
        <v>45104</v>
      </c>
      <c r="L786" t="s">
        <v>318</v>
      </c>
      <c r="M786" s="6">
        <f>SalesTbl[[#This Row],[Unit Price]]*SalesTbl[[#This Row],[Quantity]]</f>
        <v>50</v>
      </c>
      <c r="N786" s="6">
        <f>YEAR(SalesTbl[[#This Row],[Order Date]])</f>
        <v>2023</v>
      </c>
      <c r="O786" s="6" t="str">
        <f>TEXT(SalesTbl[[#This Row],[Order Date]],"yyyy-mm")</f>
        <v>2023-06</v>
      </c>
      <c r="P786" s="13">
        <f>WEEKNUM(SalesTbl[[#This Row],[Order Date]],2)</f>
        <v>27</v>
      </c>
      <c r="Q786" s="14">
        <f>MEDIAN(SalesTbl[Quantity])</f>
        <v>3</v>
      </c>
      <c r="R786" s="14">
        <f>IF(ISBLANK(SalesTbl[[#This Row],[Quantity]]),$H$2,SalesTbl[[#This Row],[Quantity]])</f>
        <v>1</v>
      </c>
      <c r="S786">
        <f>ROW()-ROW(SalesTbl[[#Headers],[Customer ID]])</f>
        <v>785</v>
      </c>
      <c r="T786" s="9" t="str">
        <f>IF(SalesTbl[[#This Row],[RowIdx]]&lt;=ROUNDUP(COUNTA(SalesTbl[Customer ID])*0.8,0),"Train","Test")</f>
        <v>Train</v>
      </c>
    </row>
    <row r="787" spans="1:20" x14ac:dyDescent="0.25">
      <c r="A787" t="s">
        <v>282</v>
      </c>
      <c r="B787" t="s">
        <v>20</v>
      </c>
      <c r="C787" t="s">
        <v>320</v>
      </c>
      <c r="D787" t="s">
        <v>30</v>
      </c>
      <c r="E787" t="s">
        <v>18</v>
      </c>
      <c r="F787">
        <v>46</v>
      </c>
      <c r="G787">
        <v>30</v>
      </c>
      <c r="H787">
        <v>4</v>
      </c>
      <c r="I787">
        <v>120</v>
      </c>
      <c r="J787">
        <v>18.309999999999999</v>
      </c>
      <c r="K787" s="2">
        <v>45237</v>
      </c>
      <c r="L787" t="s">
        <v>317</v>
      </c>
      <c r="M787" s="6">
        <f>SalesTbl[[#This Row],[Unit Price]]*SalesTbl[[#This Row],[Quantity]]</f>
        <v>120</v>
      </c>
      <c r="N787" s="6">
        <f>YEAR(SalesTbl[[#This Row],[Order Date]])</f>
        <v>2023</v>
      </c>
      <c r="O787" s="6" t="str">
        <f>TEXT(SalesTbl[[#This Row],[Order Date]],"yyyy-mm")</f>
        <v>2023-11</v>
      </c>
      <c r="P787" s="13">
        <f>WEEKNUM(SalesTbl[[#This Row],[Order Date]],2)</f>
        <v>46</v>
      </c>
      <c r="Q787" s="14">
        <f>MEDIAN(SalesTbl[Quantity])</f>
        <v>3</v>
      </c>
      <c r="R787" s="14">
        <f>IF(ISBLANK(SalesTbl[[#This Row],[Quantity]]),$H$2,SalesTbl[[#This Row],[Quantity]])</f>
        <v>4</v>
      </c>
      <c r="S787">
        <f>ROW()-ROW(SalesTbl[[#Headers],[Customer ID]])</f>
        <v>786</v>
      </c>
      <c r="T787" s="9" t="str">
        <f>IF(SalesTbl[[#This Row],[RowIdx]]&lt;=ROUNDUP(COUNTA(SalesTbl[Customer ID])*0.8,0),"Train","Test")</f>
        <v>Train</v>
      </c>
    </row>
    <row r="788" spans="1:20" x14ac:dyDescent="0.25">
      <c r="A788" t="s">
        <v>296</v>
      </c>
      <c r="B788" t="s">
        <v>13</v>
      </c>
      <c r="C788" t="s">
        <v>320</v>
      </c>
      <c r="D788" t="s">
        <v>23</v>
      </c>
      <c r="E788" t="s">
        <v>15</v>
      </c>
      <c r="F788">
        <v>65</v>
      </c>
      <c r="G788">
        <v>1500</v>
      </c>
      <c r="H788">
        <v>5</v>
      </c>
      <c r="I788">
        <v>7500</v>
      </c>
      <c r="J788">
        <v>16.39</v>
      </c>
      <c r="K788" s="2">
        <v>45024</v>
      </c>
      <c r="L788" t="s">
        <v>316</v>
      </c>
      <c r="M788" s="6">
        <f>SalesTbl[[#This Row],[Unit Price]]*SalesTbl[[#This Row],[Quantity]]</f>
        <v>7500</v>
      </c>
      <c r="N788" s="6">
        <f>YEAR(SalesTbl[[#This Row],[Order Date]])</f>
        <v>2023</v>
      </c>
      <c r="O788" s="6" t="str">
        <f>TEXT(SalesTbl[[#This Row],[Order Date]],"yyyy-mm")</f>
        <v>2023-04</v>
      </c>
      <c r="P788" s="13">
        <f>WEEKNUM(SalesTbl[[#This Row],[Order Date]],2)</f>
        <v>15</v>
      </c>
      <c r="Q788" s="14">
        <f>MEDIAN(SalesTbl[Quantity])</f>
        <v>3</v>
      </c>
      <c r="R788" s="14">
        <f>IF(ISBLANK(SalesTbl[[#This Row],[Quantity]]),$H$2,SalesTbl[[#This Row],[Quantity]])</f>
        <v>5</v>
      </c>
      <c r="S788">
        <f>ROW()-ROW(SalesTbl[[#Headers],[Customer ID]])</f>
        <v>787</v>
      </c>
      <c r="T788" s="9" t="str">
        <f>IF(SalesTbl[[#This Row],[RowIdx]]&lt;=ROUNDUP(COUNTA(SalesTbl[Customer ID])*0.8,0),"Train","Test")</f>
        <v>Train</v>
      </c>
    </row>
    <row r="789" spans="1:20" x14ac:dyDescent="0.25">
      <c r="A789" t="s">
        <v>71</v>
      </c>
      <c r="B789" t="s">
        <v>13</v>
      </c>
      <c r="C789" t="s">
        <v>320</v>
      </c>
      <c r="D789" t="s">
        <v>23</v>
      </c>
      <c r="E789" t="s">
        <v>15</v>
      </c>
      <c r="F789">
        <v>68</v>
      </c>
      <c r="G789">
        <v>1500</v>
      </c>
      <c r="H789">
        <v>2</v>
      </c>
      <c r="I789">
        <v>3000</v>
      </c>
      <c r="J789">
        <v>18.77</v>
      </c>
      <c r="K789" s="2">
        <v>45226</v>
      </c>
      <c r="L789" t="s">
        <v>316</v>
      </c>
      <c r="M789" s="6">
        <f>SalesTbl[[#This Row],[Unit Price]]*SalesTbl[[#This Row],[Quantity]]</f>
        <v>3000</v>
      </c>
      <c r="N789" s="6">
        <f>YEAR(SalesTbl[[#This Row],[Order Date]])</f>
        <v>2023</v>
      </c>
      <c r="O789" s="6" t="str">
        <f>TEXT(SalesTbl[[#This Row],[Order Date]],"yyyy-mm")</f>
        <v>2023-10</v>
      </c>
      <c r="P789" s="13">
        <f>WEEKNUM(SalesTbl[[#This Row],[Order Date]],2)</f>
        <v>44</v>
      </c>
      <c r="Q789" s="14">
        <f>MEDIAN(SalesTbl[Quantity])</f>
        <v>3</v>
      </c>
      <c r="R789" s="14">
        <f>IF(ISBLANK(SalesTbl[[#This Row],[Quantity]]),$H$2,SalesTbl[[#This Row],[Quantity]])</f>
        <v>2</v>
      </c>
      <c r="S789">
        <f>ROW()-ROW(SalesTbl[[#Headers],[Customer ID]])</f>
        <v>788</v>
      </c>
      <c r="T789" s="9" t="str">
        <f>IF(SalesTbl[[#This Row],[RowIdx]]&lt;=ROUNDUP(COUNTA(SalesTbl[Customer ID])*0.8,0),"Train","Test")</f>
        <v>Train</v>
      </c>
    </row>
    <row r="790" spans="1:20" x14ac:dyDescent="0.25">
      <c r="A790" t="s">
        <v>116</v>
      </c>
      <c r="B790" t="s">
        <v>20</v>
      </c>
      <c r="C790" t="s">
        <v>323</v>
      </c>
      <c r="D790" t="s">
        <v>23</v>
      </c>
      <c r="E790" t="s">
        <v>15</v>
      </c>
      <c r="F790">
        <v>20</v>
      </c>
      <c r="G790">
        <v>1500</v>
      </c>
      <c r="H790">
        <v>5</v>
      </c>
      <c r="I790">
        <v>7500</v>
      </c>
      <c r="J790">
        <v>9.26</v>
      </c>
      <c r="K790" s="2">
        <v>44958</v>
      </c>
      <c r="L790" t="s">
        <v>316</v>
      </c>
      <c r="M790" s="6">
        <f>SalesTbl[[#This Row],[Unit Price]]*SalesTbl[[#This Row],[Quantity]]</f>
        <v>7500</v>
      </c>
      <c r="N790" s="6">
        <f>YEAR(SalesTbl[[#This Row],[Order Date]])</f>
        <v>2023</v>
      </c>
      <c r="O790" s="6" t="str">
        <f>TEXT(SalesTbl[[#This Row],[Order Date]],"yyyy-mm")</f>
        <v>2023-02</v>
      </c>
      <c r="P790" s="13">
        <f>WEEKNUM(SalesTbl[[#This Row],[Order Date]],2)</f>
        <v>6</v>
      </c>
      <c r="Q790" s="14">
        <f>MEDIAN(SalesTbl[Quantity])</f>
        <v>3</v>
      </c>
      <c r="R790" s="14">
        <f>IF(ISBLANK(SalesTbl[[#This Row],[Quantity]]),$H$2,SalesTbl[[#This Row],[Quantity]])</f>
        <v>5</v>
      </c>
      <c r="S790">
        <f>ROW()-ROW(SalesTbl[[#Headers],[Customer ID]])</f>
        <v>789</v>
      </c>
      <c r="T790" s="9" t="str">
        <f>IF(SalesTbl[[#This Row],[RowIdx]]&lt;=ROUNDUP(COUNTA(SalesTbl[Customer ID])*0.8,0),"Train","Test")</f>
        <v>Train</v>
      </c>
    </row>
    <row r="791" spans="1:20" x14ac:dyDescent="0.25">
      <c r="A791" t="s">
        <v>165</v>
      </c>
      <c r="B791" t="s">
        <v>13</v>
      </c>
      <c r="C791" t="s">
        <v>320</v>
      </c>
      <c r="D791" t="s">
        <v>40</v>
      </c>
      <c r="E791" t="s">
        <v>15</v>
      </c>
      <c r="F791">
        <v>66</v>
      </c>
      <c r="G791">
        <v>800</v>
      </c>
      <c r="H791">
        <v>4</v>
      </c>
      <c r="I791">
        <v>3200</v>
      </c>
      <c r="J791">
        <v>15.69</v>
      </c>
      <c r="K791" s="2">
        <v>45073</v>
      </c>
      <c r="L791" t="s">
        <v>317</v>
      </c>
      <c r="M791" s="6">
        <f>SalesTbl[[#This Row],[Unit Price]]*SalesTbl[[#This Row],[Quantity]]</f>
        <v>3200</v>
      </c>
      <c r="N791" s="6">
        <f>YEAR(SalesTbl[[#This Row],[Order Date]])</f>
        <v>2023</v>
      </c>
      <c r="O791" s="6" t="str">
        <f>TEXT(SalesTbl[[#This Row],[Order Date]],"yyyy-mm")</f>
        <v>2023-05</v>
      </c>
      <c r="P791" s="13">
        <f>WEEKNUM(SalesTbl[[#This Row],[Order Date]],2)</f>
        <v>22</v>
      </c>
      <c r="Q791" s="14">
        <f>MEDIAN(SalesTbl[Quantity])</f>
        <v>3</v>
      </c>
      <c r="R791" s="14">
        <f>IF(ISBLANK(SalesTbl[[#This Row],[Quantity]]),$H$2,SalesTbl[[#This Row],[Quantity]])</f>
        <v>4</v>
      </c>
      <c r="S791">
        <f>ROW()-ROW(SalesTbl[[#Headers],[Customer ID]])</f>
        <v>790</v>
      </c>
      <c r="T791" s="9" t="str">
        <f>IF(SalesTbl[[#This Row],[RowIdx]]&lt;=ROUNDUP(COUNTA(SalesTbl[Customer ID])*0.8,0),"Train","Test")</f>
        <v>Train</v>
      </c>
    </row>
    <row r="792" spans="1:20" x14ac:dyDescent="0.25">
      <c r="A792" t="s">
        <v>73</v>
      </c>
      <c r="B792" t="s">
        <v>13</v>
      </c>
      <c r="C792" t="s">
        <v>322</v>
      </c>
      <c r="D792" t="s">
        <v>29</v>
      </c>
      <c r="E792" t="s">
        <v>18</v>
      </c>
      <c r="F792">
        <v>49</v>
      </c>
      <c r="G792">
        <v>50</v>
      </c>
      <c r="H792">
        <v>4</v>
      </c>
      <c r="I792">
        <v>200</v>
      </c>
      <c r="J792">
        <v>11.55</v>
      </c>
      <c r="K792" s="2">
        <v>45200</v>
      </c>
      <c r="L792" t="s">
        <v>318</v>
      </c>
      <c r="M792" s="6">
        <f>SalesTbl[[#This Row],[Unit Price]]*SalesTbl[[#This Row],[Quantity]]</f>
        <v>200</v>
      </c>
      <c r="N792" s="6">
        <f>YEAR(SalesTbl[[#This Row],[Order Date]])</f>
        <v>2023</v>
      </c>
      <c r="O792" s="6" t="str">
        <f>TEXT(SalesTbl[[#This Row],[Order Date]],"yyyy-mm")</f>
        <v>2023-10</v>
      </c>
      <c r="P792" s="13">
        <f>WEEKNUM(SalesTbl[[#This Row],[Order Date]],2)</f>
        <v>40</v>
      </c>
      <c r="Q792" s="14">
        <f>MEDIAN(SalesTbl[Quantity])</f>
        <v>3</v>
      </c>
      <c r="R792" s="14">
        <f>IF(ISBLANK(SalesTbl[[#This Row],[Quantity]]),$H$2,SalesTbl[[#This Row],[Quantity]])</f>
        <v>4</v>
      </c>
      <c r="S792">
        <f>ROW()-ROW(SalesTbl[[#Headers],[Customer ID]])</f>
        <v>791</v>
      </c>
      <c r="T792" s="9" t="str">
        <f>IF(SalesTbl[[#This Row],[RowIdx]]&lt;=ROUNDUP(COUNTA(SalesTbl[Customer ID])*0.8,0),"Train","Test")</f>
        <v>Train</v>
      </c>
    </row>
    <row r="793" spans="1:20" x14ac:dyDescent="0.25">
      <c r="A793" t="s">
        <v>36</v>
      </c>
      <c r="B793" t="s">
        <v>13</v>
      </c>
      <c r="C793" t="s">
        <v>321</v>
      </c>
      <c r="D793" t="s">
        <v>40</v>
      </c>
      <c r="E793" t="s">
        <v>15</v>
      </c>
      <c r="F793">
        <v>66</v>
      </c>
      <c r="G793">
        <v>800</v>
      </c>
      <c r="H793">
        <v>3</v>
      </c>
      <c r="I793">
        <v>2400</v>
      </c>
      <c r="J793">
        <v>15.27</v>
      </c>
      <c r="K793" s="2">
        <v>45051</v>
      </c>
      <c r="L793" t="s">
        <v>317</v>
      </c>
      <c r="M793" s="6">
        <f>SalesTbl[[#This Row],[Unit Price]]*SalesTbl[[#This Row],[Quantity]]</f>
        <v>2400</v>
      </c>
      <c r="N793" s="6">
        <f>YEAR(SalesTbl[[#This Row],[Order Date]])</f>
        <v>2023</v>
      </c>
      <c r="O793" s="6" t="str">
        <f>TEXT(SalesTbl[[#This Row],[Order Date]],"yyyy-mm")</f>
        <v>2023-05</v>
      </c>
      <c r="P793" s="13">
        <f>WEEKNUM(SalesTbl[[#This Row],[Order Date]],2)</f>
        <v>19</v>
      </c>
      <c r="Q793" s="14">
        <f>MEDIAN(SalesTbl[Quantity])</f>
        <v>3</v>
      </c>
      <c r="R793" s="14">
        <f>IF(ISBLANK(SalesTbl[[#This Row],[Quantity]]),$H$2,SalesTbl[[#This Row],[Quantity]])</f>
        <v>3</v>
      </c>
      <c r="S793">
        <f>ROW()-ROW(SalesTbl[[#Headers],[Customer ID]])</f>
        <v>792</v>
      </c>
      <c r="T793" s="9" t="str">
        <f>IF(SalesTbl[[#This Row],[RowIdx]]&lt;=ROUNDUP(COUNTA(SalesTbl[Customer ID])*0.8,0),"Train","Test")</f>
        <v>Train</v>
      </c>
    </row>
    <row r="794" spans="1:20" x14ac:dyDescent="0.25">
      <c r="A794" t="s">
        <v>277</v>
      </c>
      <c r="B794" t="s">
        <v>20</v>
      </c>
      <c r="C794" t="s">
        <v>321</v>
      </c>
      <c r="D794" t="s">
        <v>29</v>
      </c>
      <c r="E794" t="s">
        <v>18</v>
      </c>
      <c r="F794">
        <v>29</v>
      </c>
      <c r="G794">
        <v>50</v>
      </c>
      <c r="H794">
        <v>4</v>
      </c>
      <c r="I794">
        <v>200</v>
      </c>
      <c r="J794">
        <v>6.75</v>
      </c>
      <c r="K794" s="2">
        <v>45282</v>
      </c>
      <c r="L794" t="s">
        <v>318</v>
      </c>
      <c r="M794" s="6">
        <f>SalesTbl[[#This Row],[Unit Price]]*SalesTbl[[#This Row],[Quantity]]</f>
        <v>200</v>
      </c>
      <c r="N794" s="6">
        <f>YEAR(SalesTbl[[#This Row],[Order Date]])</f>
        <v>2023</v>
      </c>
      <c r="O794" s="6" t="str">
        <f>TEXT(SalesTbl[[#This Row],[Order Date]],"yyyy-mm")</f>
        <v>2023-12</v>
      </c>
      <c r="P794" s="13">
        <f>WEEKNUM(SalesTbl[[#This Row],[Order Date]],2)</f>
        <v>52</v>
      </c>
      <c r="Q794" s="14">
        <f>MEDIAN(SalesTbl[Quantity])</f>
        <v>3</v>
      </c>
      <c r="R794" s="14">
        <f>IF(ISBLANK(SalesTbl[[#This Row],[Quantity]]),$H$2,SalesTbl[[#This Row],[Quantity]])</f>
        <v>4</v>
      </c>
      <c r="S794">
        <f>ROW()-ROW(SalesTbl[[#Headers],[Customer ID]])</f>
        <v>793</v>
      </c>
      <c r="T794" s="9" t="str">
        <f>IF(SalesTbl[[#This Row],[RowIdx]]&lt;=ROUNDUP(COUNTA(SalesTbl[Customer ID])*0.8,0),"Train","Test")</f>
        <v>Train</v>
      </c>
    </row>
    <row r="795" spans="1:20" x14ac:dyDescent="0.25">
      <c r="A795" t="s">
        <v>184</v>
      </c>
      <c r="B795" t="s">
        <v>20</v>
      </c>
      <c r="C795" t="s">
        <v>323</v>
      </c>
      <c r="D795" t="s">
        <v>17</v>
      </c>
      <c r="E795" t="s">
        <v>18</v>
      </c>
      <c r="F795">
        <v>51</v>
      </c>
      <c r="G795">
        <v>100</v>
      </c>
      <c r="H795">
        <v>2</v>
      </c>
      <c r="I795">
        <v>200</v>
      </c>
      <c r="J795">
        <v>5.79</v>
      </c>
      <c r="K795" s="2">
        <v>45090</v>
      </c>
      <c r="L795" t="s">
        <v>318</v>
      </c>
      <c r="M795" s="6">
        <f>SalesTbl[[#This Row],[Unit Price]]*SalesTbl[[#This Row],[Quantity]]</f>
        <v>200</v>
      </c>
      <c r="N795" s="6">
        <f>YEAR(SalesTbl[[#This Row],[Order Date]])</f>
        <v>2023</v>
      </c>
      <c r="O795" s="6" t="str">
        <f>TEXT(SalesTbl[[#This Row],[Order Date]],"yyyy-mm")</f>
        <v>2023-06</v>
      </c>
      <c r="P795" s="13">
        <f>WEEKNUM(SalesTbl[[#This Row],[Order Date]],2)</f>
        <v>25</v>
      </c>
      <c r="Q795" s="14">
        <f>MEDIAN(SalesTbl[Quantity])</f>
        <v>3</v>
      </c>
      <c r="R795" s="14">
        <f>IF(ISBLANK(SalesTbl[[#This Row],[Quantity]]),$H$2,SalesTbl[[#This Row],[Quantity]])</f>
        <v>2</v>
      </c>
      <c r="S795">
        <f>ROW()-ROW(SalesTbl[[#Headers],[Customer ID]])</f>
        <v>794</v>
      </c>
      <c r="T795" s="9" t="str">
        <f>IF(SalesTbl[[#This Row],[RowIdx]]&lt;=ROUNDUP(COUNTA(SalesTbl[Customer ID])*0.8,0),"Train","Test")</f>
        <v>Train</v>
      </c>
    </row>
    <row r="796" spans="1:20" x14ac:dyDescent="0.25">
      <c r="A796" t="s">
        <v>197</v>
      </c>
      <c r="B796" t="s">
        <v>13</v>
      </c>
      <c r="C796" t="s">
        <v>323</v>
      </c>
      <c r="D796" t="s">
        <v>25</v>
      </c>
      <c r="E796" t="s">
        <v>26</v>
      </c>
      <c r="F796">
        <v>45</v>
      </c>
      <c r="G796">
        <v>200</v>
      </c>
      <c r="H796">
        <v>4</v>
      </c>
      <c r="I796">
        <v>800</v>
      </c>
      <c r="J796">
        <v>10.62</v>
      </c>
      <c r="K796" s="2">
        <v>44937</v>
      </c>
      <c r="L796" t="s">
        <v>316</v>
      </c>
      <c r="M796" s="6">
        <f>SalesTbl[[#This Row],[Unit Price]]*SalesTbl[[#This Row],[Quantity]]</f>
        <v>800</v>
      </c>
      <c r="N796" s="6">
        <f>YEAR(SalesTbl[[#This Row],[Order Date]])</f>
        <v>2023</v>
      </c>
      <c r="O796" s="6" t="str">
        <f>TEXT(SalesTbl[[#This Row],[Order Date]],"yyyy-mm")</f>
        <v>2023-01</v>
      </c>
      <c r="P796" s="13">
        <f>WEEKNUM(SalesTbl[[#This Row],[Order Date]],2)</f>
        <v>3</v>
      </c>
      <c r="Q796" s="14">
        <f>MEDIAN(SalesTbl[Quantity])</f>
        <v>3</v>
      </c>
      <c r="R796" s="14">
        <f>IF(ISBLANK(SalesTbl[[#This Row],[Quantity]]),$H$2,SalesTbl[[#This Row],[Quantity]])</f>
        <v>4</v>
      </c>
      <c r="S796">
        <f>ROW()-ROW(SalesTbl[[#Headers],[Customer ID]])</f>
        <v>795</v>
      </c>
      <c r="T796" s="9" t="str">
        <f>IF(SalesTbl[[#This Row],[RowIdx]]&lt;=ROUNDUP(COUNTA(SalesTbl[Customer ID])*0.8,0),"Train","Test")</f>
        <v>Train</v>
      </c>
    </row>
    <row r="797" spans="1:20" x14ac:dyDescent="0.25">
      <c r="A797" t="s">
        <v>206</v>
      </c>
      <c r="B797" t="s">
        <v>20</v>
      </c>
      <c r="C797" t="s">
        <v>320</v>
      </c>
      <c r="D797" t="s">
        <v>14</v>
      </c>
      <c r="E797" t="s">
        <v>15</v>
      </c>
      <c r="F797">
        <v>49</v>
      </c>
      <c r="G797">
        <v>300</v>
      </c>
      <c r="H797">
        <v>1</v>
      </c>
      <c r="I797">
        <v>300</v>
      </c>
      <c r="J797">
        <v>5.83</v>
      </c>
      <c r="K797" s="2">
        <v>44964</v>
      </c>
      <c r="L797" t="s">
        <v>318</v>
      </c>
      <c r="M797" s="6">
        <f>SalesTbl[[#This Row],[Unit Price]]*SalesTbl[[#This Row],[Quantity]]</f>
        <v>300</v>
      </c>
      <c r="N797" s="6">
        <f>YEAR(SalesTbl[[#This Row],[Order Date]])</f>
        <v>2023</v>
      </c>
      <c r="O797" s="6" t="str">
        <f>TEXT(SalesTbl[[#This Row],[Order Date]],"yyyy-mm")</f>
        <v>2023-02</v>
      </c>
      <c r="P797" s="13">
        <f>WEEKNUM(SalesTbl[[#This Row],[Order Date]],2)</f>
        <v>7</v>
      </c>
      <c r="Q797" s="14">
        <f>MEDIAN(SalesTbl[Quantity])</f>
        <v>3</v>
      </c>
      <c r="R797" s="14">
        <f>IF(ISBLANK(SalesTbl[[#This Row],[Quantity]]),$H$2,SalesTbl[[#This Row],[Quantity]])</f>
        <v>1</v>
      </c>
      <c r="S797">
        <f>ROW()-ROW(SalesTbl[[#Headers],[Customer ID]])</f>
        <v>796</v>
      </c>
      <c r="T797" s="9" t="str">
        <f>IF(SalesTbl[[#This Row],[RowIdx]]&lt;=ROUNDUP(COUNTA(SalesTbl[Customer ID])*0.8,0),"Train","Test")</f>
        <v>Train</v>
      </c>
    </row>
    <row r="798" spans="1:20" x14ac:dyDescent="0.25">
      <c r="A798" t="s">
        <v>262</v>
      </c>
      <c r="B798" t="s">
        <v>20</v>
      </c>
      <c r="C798" t="s">
        <v>319</v>
      </c>
      <c r="D798" t="s">
        <v>17</v>
      </c>
      <c r="E798" t="s">
        <v>18</v>
      </c>
      <c r="F798">
        <v>40</v>
      </c>
      <c r="G798">
        <v>100</v>
      </c>
      <c r="H798">
        <v>2</v>
      </c>
      <c r="I798">
        <v>200</v>
      </c>
      <c r="J798">
        <v>9.42</v>
      </c>
      <c r="K798" s="2">
        <v>45121</v>
      </c>
      <c r="L798" t="s">
        <v>316</v>
      </c>
      <c r="M798" s="6">
        <f>SalesTbl[[#This Row],[Unit Price]]*SalesTbl[[#This Row],[Quantity]]</f>
        <v>200</v>
      </c>
      <c r="N798" s="6">
        <f>YEAR(SalesTbl[[#This Row],[Order Date]])</f>
        <v>2023</v>
      </c>
      <c r="O798" s="6" t="str">
        <f>TEXT(SalesTbl[[#This Row],[Order Date]],"yyyy-mm")</f>
        <v>2023-07</v>
      </c>
      <c r="P798" s="13">
        <f>WEEKNUM(SalesTbl[[#This Row],[Order Date]],2)</f>
        <v>29</v>
      </c>
      <c r="Q798" s="14">
        <f>MEDIAN(SalesTbl[Quantity])</f>
        <v>3</v>
      </c>
      <c r="R798" s="14">
        <f>IF(ISBLANK(SalesTbl[[#This Row],[Quantity]]),$H$2,SalesTbl[[#This Row],[Quantity]])</f>
        <v>2</v>
      </c>
      <c r="S798">
        <f>ROW()-ROW(SalesTbl[[#Headers],[Customer ID]])</f>
        <v>797</v>
      </c>
      <c r="T798" s="9" t="str">
        <f>IF(SalesTbl[[#This Row],[RowIdx]]&lt;=ROUNDUP(COUNTA(SalesTbl[Customer ID])*0.8,0),"Train","Test")</f>
        <v>Train</v>
      </c>
    </row>
    <row r="799" spans="1:20" x14ac:dyDescent="0.25">
      <c r="A799" t="s">
        <v>126</v>
      </c>
      <c r="B799" t="s">
        <v>13</v>
      </c>
      <c r="C799" t="s">
        <v>323</v>
      </c>
      <c r="D799" t="s">
        <v>30</v>
      </c>
      <c r="E799" t="s">
        <v>18</v>
      </c>
      <c r="F799">
        <v>50</v>
      </c>
      <c r="G799">
        <v>30</v>
      </c>
      <c r="H799">
        <v>5</v>
      </c>
      <c r="I799">
        <v>150</v>
      </c>
      <c r="J799">
        <v>6.26</v>
      </c>
      <c r="K799" s="2">
        <v>45023</v>
      </c>
      <c r="L799" t="s">
        <v>318</v>
      </c>
      <c r="M799" s="6">
        <f>SalesTbl[[#This Row],[Unit Price]]*SalesTbl[[#This Row],[Quantity]]</f>
        <v>150</v>
      </c>
      <c r="N799" s="6">
        <f>YEAR(SalesTbl[[#This Row],[Order Date]])</f>
        <v>2023</v>
      </c>
      <c r="O799" s="6" t="str">
        <f>TEXT(SalesTbl[[#This Row],[Order Date]],"yyyy-mm")</f>
        <v>2023-04</v>
      </c>
      <c r="P799" s="13">
        <f>WEEKNUM(SalesTbl[[#This Row],[Order Date]],2)</f>
        <v>15</v>
      </c>
      <c r="Q799" s="14">
        <f>MEDIAN(SalesTbl[Quantity])</f>
        <v>3</v>
      </c>
      <c r="R799" s="14">
        <f>IF(ISBLANK(SalesTbl[[#This Row],[Quantity]]),$H$2,SalesTbl[[#This Row],[Quantity]])</f>
        <v>5</v>
      </c>
      <c r="S799">
        <f>ROW()-ROW(SalesTbl[[#Headers],[Customer ID]])</f>
        <v>798</v>
      </c>
      <c r="T799" s="9" t="str">
        <f>IF(SalesTbl[[#This Row],[RowIdx]]&lt;=ROUNDUP(COUNTA(SalesTbl[Customer ID])*0.8,0),"Train","Test")</f>
        <v>Train</v>
      </c>
    </row>
    <row r="800" spans="1:20" x14ac:dyDescent="0.25">
      <c r="A800" t="s">
        <v>246</v>
      </c>
      <c r="B800" t="s">
        <v>13</v>
      </c>
      <c r="C800" t="s">
        <v>322</v>
      </c>
      <c r="D800" t="s">
        <v>17</v>
      </c>
      <c r="E800" t="s">
        <v>18</v>
      </c>
      <c r="F800">
        <v>54</v>
      </c>
      <c r="G800">
        <v>100</v>
      </c>
      <c r="H800">
        <v>1</v>
      </c>
      <c r="I800">
        <v>100</v>
      </c>
      <c r="J800">
        <v>19.25</v>
      </c>
      <c r="K800" s="2">
        <v>45278</v>
      </c>
      <c r="L800" t="s">
        <v>318</v>
      </c>
      <c r="M800" s="6">
        <f>SalesTbl[[#This Row],[Unit Price]]*SalesTbl[[#This Row],[Quantity]]</f>
        <v>100</v>
      </c>
      <c r="N800" s="6">
        <f>YEAR(SalesTbl[[#This Row],[Order Date]])</f>
        <v>2023</v>
      </c>
      <c r="O800" s="6" t="str">
        <f>TEXT(SalesTbl[[#This Row],[Order Date]],"yyyy-mm")</f>
        <v>2023-12</v>
      </c>
      <c r="P800" s="13">
        <f>WEEKNUM(SalesTbl[[#This Row],[Order Date]],2)</f>
        <v>52</v>
      </c>
      <c r="Q800" s="14">
        <f>MEDIAN(SalesTbl[Quantity])</f>
        <v>3</v>
      </c>
      <c r="R800" s="14">
        <f>IF(ISBLANK(SalesTbl[[#This Row],[Quantity]]),$H$2,SalesTbl[[#This Row],[Quantity]])</f>
        <v>1</v>
      </c>
      <c r="S800">
        <f>ROW()-ROW(SalesTbl[[#Headers],[Customer ID]])</f>
        <v>799</v>
      </c>
      <c r="T800" s="9" t="str">
        <f>IF(SalesTbl[[#This Row],[RowIdx]]&lt;=ROUNDUP(COUNTA(SalesTbl[Customer ID])*0.8,0),"Train","Test")</f>
        <v>Train</v>
      </c>
    </row>
    <row r="801" spans="1:20" x14ac:dyDescent="0.25">
      <c r="A801" t="s">
        <v>149</v>
      </c>
      <c r="B801" t="s">
        <v>13</v>
      </c>
      <c r="C801" t="s">
        <v>321</v>
      </c>
      <c r="D801" t="s">
        <v>30</v>
      </c>
      <c r="E801" t="s">
        <v>18</v>
      </c>
      <c r="F801">
        <v>59</v>
      </c>
      <c r="G801">
        <v>30</v>
      </c>
      <c r="H801">
        <v>2</v>
      </c>
      <c r="I801">
        <v>60</v>
      </c>
      <c r="J801">
        <v>18.170000000000002</v>
      </c>
      <c r="K801" s="2">
        <v>45247</v>
      </c>
      <c r="L801" t="s">
        <v>317</v>
      </c>
      <c r="M801" s="6">
        <f>SalesTbl[[#This Row],[Unit Price]]*SalesTbl[[#This Row],[Quantity]]</f>
        <v>60</v>
      </c>
      <c r="N801" s="6">
        <f>YEAR(SalesTbl[[#This Row],[Order Date]])</f>
        <v>2023</v>
      </c>
      <c r="O801" s="6" t="str">
        <f>TEXT(SalesTbl[[#This Row],[Order Date]],"yyyy-mm")</f>
        <v>2023-11</v>
      </c>
      <c r="P801" s="13">
        <f>WEEKNUM(SalesTbl[[#This Row],[Order Date]],2)</f>
        <v>47</v>
      </c>
      <c r="Q801" s="14">
        <f>MEDIAN(SalesTbl[Quantity])</f>
        <v>3</v>
      </c>
      <c r="R801" s="14">
        <f>IF(ISBLANK(SalesTbl[[#This Row],[Quantity]]),$H$2,SalesTbl[[#This Row],[Quantity]])</f>
        <v>2</v>
      </c>
      <c r="S801">
        <f>ROW()-ROW(SalesTbl[[#Headers],[Customer ID]])</f>
        <v>800</v>
      </c>
      <c r="T801" s="9" t="str">
        <f>IF(SalesTbl[[#This Row],[RowIdx]]&lt;=ROUNDUP(COUNTA(SalesTbl[Customer ID])*0.8,0),"Train","Test")</f>
        <v>Train</v>
      </c>
    </row>
    <row r="802" spans="1:20" x14ac:dyDescent="0.25">
      <c r="A802" t="s">
        <v>88</v>
      </c>
      <c r="B802" t="s">
        <v>20</v>
      </c>
      <c r="C802" t="s">
        <v>321</v>
      </c>
      <c r="D802" t="s">
        <v>14</v>
      </c>
      <c r="E802" t="s">
        <v>15</v>
      </c>
      <c r="F802">
        <v>50</v>
      </c>
      <c r="G802">
        <v>300</v>
      </c>
      <c r="H802">
        <v>1</v>
      </c>
      <c r="I802">
        <v>300</v>
      </c>
      <c r="J802">
        <v>5.94</v>
      </c>
      <c r="K802" s="2">
        <v>45286</v>
      </c>
      <c r="L802" t="s">
        <v>316</v>
      </c>
      <c r="M802" s="6">
        <f>SalesTbl[[#This Row],[Unit Price]]*SalesTbl[[#This Row],[Quantity]]</f>
        <v>300</v>
      </c>
      <c r="N802" s="6">
        <f>YEAR(SalesTbl[[#This Row],[Order Date]])</f>
        <v>2023</v>
      </c>
      <c r="O802" s="6" t="str">
        <f>TEXT(SalesTbl[[#This Row],[Order Date]],"yyyy-mm")</f>
        <v>2023-12</v>
      </c>
      <c r="P802" s="13">
        <f>WEEKNUM(SalesTbl[[#This Row],[Order Date]],2)</f>
        <v>53</v>
      </c>
      <c r="Q802" s="14">
        <f>MEDIAN(SalesTbl[Quantity])</f>
        <v>3</v>
      </c>
      <c r="R802" s="14">
        <f>IF(ISBLANK(SalesTbl[[#This Row],[Quantity]]),$H$2,SalesTbl[[#This Row],[Quantity]])</f>
        <v>1</v>
      </c>
      <c r="S802">
        <f>ROW()-ROW(SalesTbl[[#Headers],[Customer ID]])</f>
        <v>801</v>
      </c>
      <c r="T802" s="9" t="str">
        <f>IF(SalesTbl[[#This Row],[RowIdx]]&lt;=ROUNDUP(COUNTA(SalesTbl[Customer ID])*0.8,0),"Train","Test")</f>
        <v>Test</v>
      </c>
    </row>
    <row r="803" spans="1:20" x14ac:dyDescent="0.25">
      <c r="A803" t="s">
        <v>291</v>
      </c>
      <c r="B803" t="s">
        <v>13</v>
      </c>
      <c r="C803" t="s">
        <v>323</v>
      </c>
      <c r="D803" t="s">
        <v>17</v>
      </c>
      <c r="E803" t="s">
        <v>18</v>
      </c>
      <c r="F803">
        <v>53</v>
      </c>
      <c r="G803">
        <v>100</v>
      </c>
      <c r="H803">
        <v>3</v>
      </c>
      <c r="I803">
        <v>300</v>
      </c>
      <c r="J803">
        <v>15.61</v>
      </c>
      <c r="K803" s="2">
        <v>45264</v>
      </c>
      <c r="L803" t="s">
        <v>317</v>
      </c>
      <c r="M803" s="6">
        <f>SalesTbl[[#This Row],[Unit Price]]*SalesTbl[[#This Row],[Quantity]]</f>
        <v>300</v>
      </c>
      <c r="N803" s="6">
        <f>YEAR(SalesTbl[[#This Row],[Order Date]])</f>
        <v>2023</v>
      </c>
      <c r="O803" s="6" t="str">
        <f>TEXT(SalesTbl[[#This Row],[Order Date]],"yyyy-mm")</f>
        <v>2023-12</v>
      </c>
      <c r="P803" s="13">
        <f>WEEKNUM(SalesTbl[[#This Row],[Order Date]],2)</f>
        <v>50</v>
      </c>
      <c r="Q803" s="14">
        <f>MEDIAN(SalesTbl[Quantity])</f>
        <v>3</v>
      </c>
      <c r="R803" s="14">
        <f>IF(ISBLANK(SalesTbl[[#This Row],[Quantity]]),$H$2,SalesTbl[[#This Row],[Quantity]])</f>
        <v>3</v>
      </c>
      <c r="S803">
        <f>ROW()-ROW(SalesTbl[[#Headers],[Customer ID]])</f>
        <v>802</v>
      </c>
      <c r="T803" s="9" t="str">
        <f>IF(SalesTbl[[#This Row],[RowIdx]]&lt;=ROUNDUP(COUNTA(SalesTbl[Customer ID])*0.8,0),"Train","Test")</f>
        <v>Test</v>
      </c>
    </row>
    <row r="804" spans="1:20" x14ac:dyDescent="0.25">
      <c r="A804" t="s">
        <v>53</v>
      </c>
      <c r="B804" t="s">
        <v>13</v>
      </c>
      <c r="C804" t="s">
        <v>321</v>
      </c>
      <c r="D804" t="s">
        <v>23</v>
      </c>
      <c r="E804" t="s">
        <v>15</v>
      </c>
      <c r="F804">
        <v>55</v>
      </c>
      <c r="G804">
        <v>1500</v>
      </c>
      <c r="H804">
        <v>2</v>
      </c>
      <c r="I804">
        <v>3000</v>
      </c>
      <c r="J804">
        <v>9.06</v>
      </c>
      <c r="K804" s="2">
        <v>45085</v>
      </c>
      <c r="L804" t="s">
        <v>318</v>
      </c>
      <c r="M804" s="6">
        <f>SalesTbl[[#This Row],[Unit Price]]*SalesTbl[[#This Row],[Quantity]]</f>
        <v>3000</v>
      </c>
      <c r="N804" s="6">
        <f>YEAR(SalesTbl[[#This Row],[Order Date]])</f>
        <v>2023</v>
      </c>
      <c r="O804" s="6" t="str">
        <f>TEXT(SalesTbl[[#This Row],[Order Date]],"yyyy-mm")</f>
        <v>2023-06</v>
      </c>
      <c r="P804" s="13">
        <f>WEEKNUM(SalesTbl[[#This Row],[Order Date]],2)</f>
        <v>24</v>
      </c>
      <c r="Q804" s="14">
        <f>MEDIAN(SalesTbl[Quantity])</f>
        <v>3</v>
      </c>
      <c r="R804" s="14">
        <f>IF(ISBLANK(SalesTbl[[#This Row],[Quantity]]),$H$2,SalesTbl[[#This Row],[Quantity]])</f>
        <v>2</v>
      </c>
      <c r="S804">
        <f>ROW()-ROW(SalesTbl[[#Headers],[Customer ID]])</f>
        <v>803</v>
      </c>
      <c r="T804" s="9" t="str">
        <f>IF(SalesTbl[[#This Row],[RowIdx]]&lt;=ROUNDUP(COUNTA(SalesTbl[Customer ID])*0.8,0),"Train","Test")</f>
        <v>Test</v>
      </c>
    </row>
    <row r="805" spans="1:20" x14ac:dyDescent="0.25">
      <c r="A805" t="s">
        <v>268</v>
      </c>
      <c r="B805" t="s">
        <v>20</v>
      </c>
      <c r="C805" t="s">
        <v>319</v>
      </c>
      <c r="D805" t="s">
        <v>29</v>
      </c>
      <c r="E805" t="s">
        <v>18</v>
      </c>
      <c r="F805">
        <v>43</v>
      </c>
      <c r="G805">
        <v>50</v>
      </c>
      <c r="H805">
        <v>4</v>
      </c>
      <c r="I805">
        <v>200</v>
      </c>
      <c r="J805">
        <v>16.25</v>
      </c>
      <c r="K805" s="2">
        <v>45152</v>
      </c>
      <c r="L805" t="s">
        <v>317</v>
      </c>
      <c r="M805" s="6">
        <f>SalesTbl[[#This Row],[Unit Price]]*SalesTbl[[#This Row],[Quantity]]</f>
        <v>200</v>
      </c>
      <c r="N805" s="6">
        <f>YEAR(SalesTbl[[#This Row],[Order Date]])</f>
        <v>2023</v>
      </c>
      <c r="O805" s="6" t="str">
        <f>TEXT(SalesTbl[[#This Row],[Order Date]],"yyyy-mm")</f>
        <v>2023-08</v>
      </c>
      <c r="P805" s="13">
        <f>WEEKNUM(SalesTbl[[#This Row],[Order Date]],2)</f>
        <v>34</v>
      </c>
      <c r="Q805" s="14">
        <f>MEDIAN(SalesTbl[Quantity])</f>
        <v>3</v>
      </c>
      <c r="R805" s="14">
        <f>IF(ISBLANK(SalesTbl[[#This Row],[Quantity]]),$H$2,SalesTbl[[#This Row],[Quantity]])</f>
        <v>4</v>
      </c>
      <c r="S805">
        <f>ROW()-ROW(SalesTbl[[#Headers],[Customer ID]])</f>
        <v>804</v>
      </c>
      <c r="T805" s="9" t="str">
        <f>IF(SalesTbl[[#This Row],[RowIdx]]&lt;=ROUNDUP(COUNTA(SalesTbl[Customer ID])*0.8,0),"Train","Test")</f>
        <v>Test</v>
      </c>
    </row>
    <row r="806" spans="1:20" x14ac:dyDescent="0.25">
      <c r="A806" t="s">
        <v>94</v>
      </c>
      <c r="B806" t="s">
        <v>13</v>
      </c>
      <c r="C806" t="s">
        <v>320</v>
      </c>
      <c r="D806" t="s">
        <v>14</v>
      </c>
      <c r="E806" t="s">
        <v>15</v>
      </c>
      <c r="F806">
        <v>45</v>
      </c>
      <c r="G806">
        <v>300</v>
      </c>
      <c r="H806">
        <v>4</v>
      </c>
      <c r="I806">
        <v>1200</v>
      </c>
      <c r="J806">
        <v>7.16</v>
      </c>
      <c r="K806" s="2">
        <v>45243</v>
      </c>
      <c r="L806" t="s">
        <v>317</v>
      </c>
      <c r="M806" s="6">
        <f>SalesTbl[[#This Row],[Unit Price]]*SalesTbl[[#This Row],[Quantity]]</f>
        <v>1200</v>
      </c>
      <c r="N806" s="6">
        <f>YEAR(SalesTbl[[#This Row],[Order Date]])</f>
        <v>2023</v>
      </c>
      <c r="O806" s="6" t="str">
        <f>TEXT(SalesTbl[[#This Row],[Order Date]],"yyyy-mm")</f>
        <v>2023-11</v>
      </c>
      <c r="P806" s="13">
        <f>WEEKNUM(SalesTbl[[#This Row],[Order Date]],2)</f>
        <v>47</v>
      </c>
      <c r="Q806" s="14">
        <f>MEDIAN(SalesTbl[Quantity])</f>
        <v>3</v>
      </c>
      <c r="R806" s="14">
        <f>IF(ISBLANK(SalesTbl[[#This Row],[Quantity]]),$H$2,SalesTbl[[#This Row],[Quantity]])</f>
        <v>4</v>
      </c>
      <c r="S806">
        <f>ROW()-ROW(SalesTbl[[#Headers],[Customer ID]])</f>
        <v>805</v>
      </c>
      <c r="T806" s="9" t="str">
        <f>IF(SalesTbl[[#This Row],[RowIdx]]&lt;=ROUNDUP(COUNTA(SalesTbl[Customer ID])*0.8,0),"Train","Test")</f>
        <v>Test</v>
      </c>
    </row>
    <row r="807" spans="1:20" x14ac:dyDescent="0.25">
      <c r="A807" t="s">
        <v>41</v>
      </c>
      <c r="B807" t="s">
        <v>13</v>
      </c>
      <c r="C807" t="s">
        <v>321</v>
      </c>
      <c r="D807" t="s">
        <v>14</v>
      </c>
      <c r="E807" t="s">
        <v>15</v>
      </c>
      <c r="F807">
        <v>32</v>
      </c>
      <c r="G807">
        <v>300</v>
      </c>
      <c r="H807">
        <v>2</v>
      </c>
      <c r="I807">
        <v>600</v>
      </c>
      <c r="J807">
        <v>9.52</v>
      </c>
      <c r="K807" s="2">
        <v>45216</v>
      </c>
      <c r="L807" t="s">
        <v>317</v>
      </c>
      <c r="M807" s="6">
        <f>SalesTbl[[#This Row],[Unit Price]]*SalesTbl[[#This Row],[Quantity]]</f>
        <v>600</v>
      </c>
      <c r="N807" s="6">
        <f>YEAR(SalesTbl[[#This Row],[Order Date]])</f>
        <v>2023</v>
      </c>
      <c r="O807" s="6" t="str">
        <f>TEXT(SalesTbl[[#This Row],[Order Date]],"yyyy-mm")</f>
        <v>2023-10</v>
      </c>
      <c r="P807" s="13">
        <f>WEEKNUM(SalesTbl[[#This Row],[Order Date]],2)</f>
        <v>43</v>
      </c>
      <c r="Q807" s="14">
        <f>MEDIAN(SalesTbl[Quantity])</f>
        <v>3</v>
      </c>
      <c r="R807" s="14">
        <f>IF(ISBLANK(SalesTbl[[#This Row],[Quantity]]),$H$2,SalesTbl[[#This Row],[Quantity]])</f>
        <v>2</v>
      </c>
      <c r="S807">
        <f>ROW()-ROW(SalesTbl[[#Headers],[Customer ID]])</f>
        <v>806</v>
      </c>
      <c r="T807" s="9" t="str">
        <f>IF(SalesTbl[[#This Row],[RowIdx]]&lt;=ROUNDUP(COUNTA(SalesTbl[Customer ID])*0.8,0),"Train","Test")</f>
        <v>Test</v>
      </c>
    </row>
    <row r="808" spans="1:20" x14ac:dyDescent="0.25">
      <c r="A808" t="s">
        <v>304</v>
      </c>
      <c r="B808" t="s">
        <v>20</v>
      </c>
      <c r="C808" t="s">
        <v>320</v>
      </c>
      <c r="D808" t="s">
        <v>17</v>
      </c>
      <c r="E808" t="s">
        <v>18</v>
      </c>
      <c r="F808">
        <v>35</v>
      </c>
      <c r="G808">
        <v>100</v>
      </c>
      <c r="H808">
        <v>4</v>
      </c>
      <c r="I808">
        <v>400</v>
      </c>
      <c r="J808">
        <v>12.85</v>
      </c>
      <c r="K808" s="2">
        <v>45130</v>
      </c>
      <c r="L808" t="s">
        <v>318</v>
      </c>
      <c r="M808" s="6">
        <f>SalesTbl[[#This Row],[Unit Price]]*SalesTbl[[#This Row],[Quantity]]</f>
        <v>400</v>
      </c>
      <c r="N808" s="6">
        <f>YEAR(SalesTbl[[#This Row],[Order Date]])</f>
        <v>2023</v>
      </c>
      <c r="O808" s="6" t="str">
        <f>TEXT(SalesTbl[[#This Row],[Order Date]],"yyyy-mm")</f>
        <v>2023-07</v>
      </c>
      <c r="P808" s="13">
        <f>WEEKNUM(SalesTbl[[#This Row],[Order Date]],2)</f>
        <v>30</v>
      </c>
      <c r="Q808" s="14">
        <f>MEDIAN(SalesTbl[Quantity])</f>
        <v>3</v>
      </c>
      <c r="R808" s="14">
        <f>IF(ISBLANK(SalesTbl[[#This Row],[Quantity]]),$H$2,SalesTbl[[#This Row],[Quantity]])</f>
        <v>4</v>
      </c>
      <c r="S808">
        <f>ROW()-ROW(SalesTbl[[#Headers],[Customer ID]])</f>
        <v>807</v>
      </c>
      <c r="T808" s="9" t="str">
        <f>IF(SalesTbl[[#This Row],[RowIdx]]&lt;=ROUNDUP(COUNTA(SalesTbl[Customer ID])*0.8,0),"Train","Test")</f>
        <v>Test</v>
      </c>
    </row>
    <row r="809" spans="1:20" x14ac:dyDescent="0.25">
      <c r="A809" t="s">
        <v>81</v>
      </c>
      <c r="B809" t="s">
        <v>13</v>
      </c>
      <c r="C809" t="s">
        <v>321</v>
      </c>
      <c r="D809" t="s">
        <v>40</v>
      </c>
      <c r="E809" t="s">
        <v>15</v>
      </c>
      <c r="F809">
        <v>33</v>
      </c>
      <c r="G809">
        <v>800</v>
      </c>
      <c r="H809">
        <v>5</v>
      </c>
      <c r="I809">
        <v>4000</v>
      </c>
      <c r="J809">
        <v>5.14</v>
      </c>
      <c r="K809" s="2">
        <v>45092</v>
      </c>
      <c r="L809" t="s">
        <v>316</v>
      </c>
      <c r="M809" s="6">
        <f>SalesTbl[[#This Row],[Unit Price]]*SalesTbl[[#This Row],[Quantity]]</f>
        <v>4000</v>
      </c>
      <c r="N809" s="6">
        <f>YEAR(SalesTbl[[#This Row],[Order Date]])</f>
        <v>2023</v>
      </c>
      <c r="O809" s="6" t="str">
        <f>TEXT(SalesTbl[[#This Row],[Order Date]],"yyyy-mm")</f>
        <v>2023-06</v>
      </c>
      <c r="P809" s="13">
        <f>WEEKNUM(SalesTbl[[#This Row],[Order Date]],2)</f>
        <v>25</v>
      </c>
      <c r="Q809" s="14">
        <f>MEDIAN(SalesTbl[Quantity])</f>
        <v>3</v>
      </c>
      <c r="R809" s="14">
        <f>IF(ISBLANK(SalesTbl[[#This Row],[Quantity]]),$H$2,SalesTbl[[#This Row],[Quantity]])</f>
        <v>5</v>
      </c>
      <c r="S809">
        <f>ROW()-ROW(SalesTbl[[#Headers],[Customer ID]])</f>
        <v>808</v>
      </c>
      <c r="T809" s="9" t="str">
        <f>IF(SalesTbl[[#This Row],[RowIdx]]&lt;=ROUNDUP(COUNTA(SalesTbl[Customer ID])*0.8,0),"Train","Test")</f>
        <v>Test</v>
      </c>
    </row>
    <row r="810" spans="1:20" x14ac:dyDescent="0.25">
      <c r="A810" t="s">
        <v>83</v>
      </c>
      <c r="B810" t="s">
        <v>20</v>
      </c>
      <c r="C810" t="s">
        <v>323</v>
      </c>
      <c r="D810" t="s">
        <v>30</v>
      </c>
      <c r="E810" t="s">
        <v>18</v>
      </c>
      <c r="F810">
        <v>36</v>
      </c>
      <c r="G810">
        <v>30</v>
      </c>
      <c r="H810">
        <v>5</v>
      </c>
      <c r="I810">
        <v>150</v>
      </c>
      <c r="J810">
        <v>6.78</v>
      </c>
      <c r="K810" s="2">
        <v>45125</v>
      </c>
      <c r="L810" t="s">
        <v>317</v>
      </c>
      <c r="M810" s="6">
        <f>SalesTbl[[#This Row],[Unit Price]]*SalesTbl[[#This Row],[Quantity]]</f>
        <v>150</v>
      </c>
      <c r="N810" s="6">
        <f>YEAR(SalesTbl[[#This Row],[Order Date]])</f>
        <v>2023</v>
      </c>
      <c r="O810" s="6" t="str">
        <f>TEXT(SalesTbl[[#This Row],[Order Date]],"yyyy-mm")</f>
        <v>2023-07</v>
      </c>
      <c r="P810" s="13">
        <f>WEEKNUM(SalesTbl[[#This Row],[Order Date]],2)</f>
        <v>30</v>
      </c>
      <c r="Q810" s="14">
        <f>MEDIAN(SalesTbl[Quantity])</f>
        <v>3</v>
      </c>
      <c r="R810" s="14">
        <f>IF(ISBLANK(SalesTbl[[#This Row],[Quantity]]),$H$2,SalesTbl[[#This Row],[Quantity]])</f>
        <v>5</v>
      </c>
      <c r="S810">
        <f>ROW()-ROW(SalesTbl[[#Headers],[Customer ID]])</f>
        <v>809</v>
      </c>
      <c r="T810" s="9" t="str">
        <f>IF(SalesTbl[[#This Row],[RowIdx]]&lt;=ROUNDUP(COUNTA(SalesTbl[Customer ID])*0.8,0),"Train","Test")</f>
        <v>Test</v>
      </c>
    </row>
    <row r="811" spans="1:20" x14ac:dyDescent="0.25">
      <c r="A811" t="s">
        <v>233</v>
      </c>
      <c r="B811" t="s">
        <v>20</v>
      </c>
      <c r="C811" t="s">
        <v>322</v>
      </c>
      <c r="D811" t="s">
        <v>29</v>
      </c>
      <c r="E811" t="s">
        <v>18</v>
      </c>
      <c r="F811">
        <v>38</v>
      </c>
      <c r="G811">
        <v>50</v>
      </c>
      <c r="H811">
        <v>5</v>
      </c>
      <c r="I811">
        <v>250</v>
      </c>
      <c r="J811">
        <v>12.25</v>
      </c>
      <c r="K811" s="2">
        <v>45058</v>
      </c>
      <c r="L811" t="s">
        <v>317</v>
      </c>
      <c r="M811" s="6">
        <f>SalesTbl[[#This Row],[Unit Price]]*SalesTbl[[#This Row],[Quantity]]</f>
        <v>250</v>
      </c>
      <c r="N811" s="6">
        <f>YEAR(SalesTbl[[#This Row],[Order Date]])</f>
        <v>2023</v>
      </c>
      <c r="O811" s="6" t="str">
        <f>TEXT(SalesTbl[[#This Row],[Order Date]],"yyyy-mm")</f>
        <v>2023-05</v>
      </c>
      <c r="P811" s="13">
        <f>WEEKNUM(SalesTbl[[#This Row],[Order Date]],2)</f>
        <v>20</v>
      </c>
      <c r="Q811" s="14">
        <f>MEDIAN(SalesTbl[Quantity])</f>
        <v>3</v>
      </c>
      <c r="R811" s="14">
        <f>IF(ISBLANK(SalesTbl[[#This Row],[Quantity]]),$H$2,SalesTbl[[#This Row],[Quantity]])</f>
        <v>5</v>
      </c>
      <c r="S811">
        <f>ROW()-ROW(SalesTbl[[#Headers],[Customer ID]])</f>
        <v>810</v>
      </c>
      <c r="T811" s="9" t="str">
        <f>IF(SalesTbl[[#This Row],[RowIdx]]&lt;=ROUNDUP(COUNTA(SalesTbl[Customer ID])*0.8,0),"Train","Test")</f>
        <v>Test</v>
      </c>
    </row>
    <row r="812" spans="1:20" x14ac:dyDescent="0.25">
      <c r="A812" t="s">
        <v>249</v>
      </c>
      <c r="B812" t="s">
        <v>13</v>
      </c>
      <c r="C812" t="s">
        <v>320</v>
      </c>
      <c r="D812" t="s">
        <v>23</v>
      </c>
      <c r="E812" t="s">
        <v>15</v>
      </c>
      <c r="F812">
        <v>64</v>
      </c>
      <c r="G812">
        <v>1500</v>
      </c>
      <c r="H812">
        <v>4</v>
      </c>
      <c r="I812">
        <v>6000</v>
      </c>
      <c r="J812">
        <v>9.8699999999999992</v>
      </c>
      <c r="K812" s="2">
        <v>44976</v>
      </c>
      <c r="L812" t="s">
        <v>318</v>
      </c>
      <c r="M812" s="6">
        <f>SalesTbl[[#This Row],[Unit Price]]*SalesTbl[[#This Row],[Quantity]]</f>
        <v>6000</v>
      </c>
      <c r="N812" s="6">
        <f>YEAR(SalesTbl[[#This Row],[Order Date]])</f>
        <v>2023</v>
      </c>
      <c r="O812" s="6" t="str">
        <f>TEXT(SalesTbl[[#This Row],[Order Date]],"yyyy-mm")</f>
        <v>2023-02</v>
      </c>
      <c r="P812" s="13">
        <f>WEEKNUM(SalesTbl[[#This Row],[Order Date]],2)</f>
        <v>8</v>
      </c>
      <c r="Q812" s="14">
        <f>MEDIAN(SalesTbl[Quantity])</f>
        <v>3</v>
      </c>
      <c r="R812" s="14">
        <f>IF(ISBLANK(SalesTbl[[#This Row],[Quantity]]),$H$2,SalesTbl[[#This Row],[Quantity]])</f>
        <v>4</v>
      </c>
      <c r="S812">
        <f>ROW()-ROW(SalesTbl[[#Headers],[Customer ID]])</f>
        <v>811</v>
      </c>
      <c r="T812" s="9" t="str">
        <f>IF(SalesTbl[[#This Row],[RowIdx]]&lt;=ROUNDUP(COUNTA(SalesTbl[Customer ID])*0.8,0),"Train","Test")</f>
        <v>Test</v>
      </c>
    </row>
    <row r="813" spans="1:20" x14ac:dyDescent="0.25">
      <c r="A813" t="s">
        <v>196</v>
      </c>
      <c r="B813" t="s">
        <v>13</v>
      </c>
      <c r="C813" t="s">
        <v>321</v>
      </c>
      <c r="D813" t="s">
        <v>23</v>
      </c>
      <c r="E813" t="s">
        <v>15</v>
      </c>
      <c r="F813">
        <v>66</v>
      </c>
      <c r="G813">
        <v>1500</v>
      </c>
      <c r="H813">
        <v>4</v>
      </c>
      <c r="I813">
        <v>6000</v>
      </c>
      <c r="J813">
        <v>11.5</v>
      </c>
      <c r="K813" s="2">
        <v>45216</v>
      </c>
      <c r="L813" t="s">
        <v>317</v>
      </c>
      <c r="M813" s="6">
        <f>SalesTbl[[#This Row],[Unit Price]]*SalesTbl[[#This Row],[Quantity]]</f>
        <v>6000</v>
      </c>
      <c r="N813" s="6">
        <f>YEAR(SalesTbl[[#This Row],[Order Date]])</f>
        <v>2023</v>
      </c>
      <c r="O813" s="6" t="str">
        <f>TEXT(SalesTbl[[#This Row],[Order Date]],"yyyy-mm")</f>
        <v>2023-10</v>
      </c>
      <c r="P813" s="13">
        <f>WEEKNUM(SalesTbl[[#This Row],[Order Date]],2)</f>
        <v>43</v>
      </c>
      <c r="Q813" s="14">
        <f>MEDIAN(SalesTbl[Quantity])</f>
        <v>3</v>
      </c>
      <c r="R813" s="14">
        <f>IF(ISBLANK(SalesTbl[[#This Row],[Quantity]]),$H$2,SalesTbl[[#This Row],[Quantity]])</f>
        <v>4</v>
      </c>
      <c r="S813">
        <f>ROW()-ROW(SalesTbl[[#Headers],[Customer ID]])</f>
        <v>812</v>
      </c>
      <c r="T813" s="9" t="str">
        <f>IF(SalesTbl[[#This Row],[RowIdx]]&lt;=ROUNDUP(COUNTA(SalesTbl[Customer ID])*0.8,0),"Train","Test")</f>
        <v>Test</v>
      </c>
    </row>
    <row r="814" spans="1:20" x14ac:dyDescent="0.25">
      <c r="A814" t="s">
        <v>176</v>
      </c>
      <c r="B814" t="s">
        <v>13</v>
      </c>
      <c r="C814" t="s">
        <v>322</v>
      </c>
      <c r="D814" t="s">
        <v>30</v>
      </c>
      <c r="E814" t="s">
        <v>18</v>
      </c>
      <c r="F814">
        <v>20</v>
      </c>
      <c r="G814">
        <v>30</v>
      </c>
      <c r="H814">
        <v>3</v>
      </c>
      <c r="I814">
        <v>90</v>
      </c>
      <c r="J814">
        <v>16.07</v>
      </c>
      <c r="K814" s="2">
        <v>45199</v>
      </c>
      <c r="L814" t="s">
        <v>316</v>
      </c>
      <c r="M814" s="6">
        <f>SalesTbl[[#This Row],[Unit Price]]*SalesTbl[[#This Row],[Quantity]]</f>
        <v>90</v>
      </c>
      <c r="N814" s="6">
        <f>YEAR(SalesTbl[[#This Row],[Order Date]])</f>
        <v>2023</v>
      </c>
      <c r="O814" s="6" t="str">
        <f>TEXT(SalesTbl[[#This Row],[Order Date]],"yyyy-mm")</f>
        <v>2023-09</v>
      </c>
      <c r="P814" s="13">
        <f>WEEKNUM(SalesTbl[[#This Row],[Order Date]],2)</f>
        <v>40</v>
      </c>
      <c r="Q814" s="14">
        <f>MEDIAN(SalesTbl[Quantity])</f>
        <v>3</v>
      </c>
      <c r="R814" s="14">
        <f>IF(ISBLANK(SalesTbl[[#This Row],[Quantity]]),$H$2,SalesTbl[[#This Row],[Quantity]])</f>
        <v>3</v>
      </c>
      <c r="S814">
        <f>ROW()-ROW(SalesTbl[[#Headers],[Customer ID]])</f>
        <v>813</v>
      </c>
      <c r="T814" s="9" t="str">
        <f>IF(SalesTbl[[#This Row],[RowIdx]]&lt;=ROUNDUP(COUNTA(SalesTbl[Customer ID])*0.8,0),"Train","Test")</f>
        <v>Test</v>
      </c>
    </row>
    <row r="815" spans="1:20" x14ac:dyDescent="0.25">
      <c r="A815" t="s">
        <v>204</v>
      </c>
      <c r="B815" t="s">
        <v>20</v>
      </c>
      <c r="C815" t="s">
        <v>321</v>
      </c>
      <c r="D815" t="s">
        <v>29</v>
      </c>
      <c r="E815" t="s">
        <v>18</v>
      </c>
      <c r="F815">
        <v>69</v>
      </c>
      <c r="G815">
        <v>50</v>
      </c>
      <c r="H815">
        <v>4</v>
      </c>
      <c r="I815">
        <v>200</v>
      </c>
      <c r="J815">
        <v>18.96</v>
      </c>
      <c r="K815" s="2">
        <v>45066</v>
      </c>
      <c r="L815" t="s">
        <v>316</v>
      </c>
      <c r="M815" s="6">
        <f>SalesTbl[[#This Row],[Unit Price]]*SalesTbl[[#This Row],[Quantity]]</f>
        <v>200</v>
      </c>
      <c r="N815" s="6">
        <f>YEAR(SalesTbl[[#This Row],[Order Date]])</f>
        <v>2023</v>
      </c>
      <c r="O815" s="6" t="str">
        <f>TEXT(SalesTbl[[#This Row],[Order Date]],"yyyy-mm")</f>
        <v>2023-05</v>
      </c>
      <c r="P815" s="13">
        <f>WEEKNUM(SalesTbl[[#This Row],[Order Date]],2)</f>
        <v>21</v>
      </c>
      <c r="Q815" s="14">
        <f>MEDIAN(SalesTbl[Quantity])</f>
        <v>3</v>
      </c>
      <c r="R815" s="14">
        <f>IF(ISBLANK(SalesTbl[[#This Row],[Quantity]]),$H$2,SalesTbl[[#This Row],[Quantity]])</f>
        <v>4</v>
      </c>
      <c r="S815">
        <f>ROW()-ROW(SalesTbl[[#Headers],[Customer ID]])</f>
        <v>814</v>
      </c>
      <c r="T815" s="9" t="str">
        <f>IF(SalesTbl[[#This Row],[RowIdx]]&lt;=ROUNDUP(COUNTA(SalesTbl[Customer ID])*0.8,0),"Train","Test")</f>
        <v>Test</v>
      </c>
    </row>
    <row r="816" spans="1:20" x14ac:dyDescent="0.25">
      <c r="A816" t="s">
        <v>247</v>
      </c>
      <c r="B816" t="s">
        <v>20</v>
      </c>
      <c r="C816" t="s">
        <v>323</v>
      </c>
      <c r="D816" t="s">
        <v>25</v>
      </c>
      <c r="E816" t="s">
        <v>26</v>
      </c>
      <c r="F816">
        <v>37</v>
      </c>
      <c r="G816">
        <v>200</v>
      </c>
      <c r="H816">
        <v>4</v>
      </c>
      <c r="I816">
        <v>800</v>
      </c>
      <c r="J816">
        <v>5.98</v>
      </c>
      <c r="K816" s="2">
        <v>45043</v>
      </c>
      <c r="L816" t="s">
        <v>317</v>
      </c>
      <c r="M816" s="6">
        <f>SalesTbl[[#This Row],[Unit Price]]*SalesTbl[[#This Row],[Quantity]]</f>
        <v>800</v>
      </c>
      <c r="N816" s="6">
        <f>YEAR(SalesTbl[[#This Row],[Order Date]])</f>
        <v>2023</v>
      </c>
      <c r="O816" s="6" t="str">
        <f>TEXT(SalesTbl[[#This Row],[Order Date]],"yyyy-mm")</f>
        <v>2023-04</v>
      </c>
      <c r="P816" s="13">
        <f>WEEKNUM(SalesTbl[[#This Row],[Order Date]],2)</f>
        <v>18</v>
      </c>
      <c r="Q816" s="14">
        <f>MEDIAN(SalesTbl[Quantity])</f>
        <v>3</v>
      </c>
      <c r="R816" s="14">
        <f>IF(ISBLANK(SalesTbl[[#This Row],[Quantity]]),$H$2,SalesTbl[[#This Row],[Quantity]])</f>
        <v>4</v>
      </c>
      <c r="S816">
        <f>ROW()-ROW(SalesTbl[[#Headers],[Customer ID]])</f>
        <v>815</v>
      </c>
      <c r="T816" s="9" t="str">
        <f>IF(SalesTbl[[#This Row],[RowIdx]]&lt;=ROUNDUP(COUNTA(SalesTbl[Customer ID])*0.8,0),"Train","Test")</f>
        <v>Test</v>
      </c>
    </row>
    <row r="817" spans="1:20" x14ac:dyDescent="0.25">
      <c r="A817" t="s">
        <v>41</v>
      </c>
      <c r="B817" t="s">
        <v>13</v>
      </c>
      <c r="C817" t="s">
        <v>322</v>
      </c>
      <c r="D817" t="s">
        <v>14</v>
      </c>
      <c r="E817" t="s">
        <v>15</v>
      </c>
      <c r="F817">
        <v>32</v>
      </c>
      <c r="G817">
        <v>300</v>
      </c>
      <c r="H817">
        <v>2</v>
      </c>
      <c r="I817">
        <v>600</v>
      </c>
      <c r="J817">
        <v>14.24</v>
      </c>
      <c r="K817" s="2">
        <v>45012</v>
      </c>
      <c r="L817" t="s">
        <v>318</v>
      </c>
      <c r="M817" s="6">
        <f>SalesTbl[[#This Row],[Unit Price]]*SalesTbl[[#This Row],[Quantity]]</f>
        <v>600</v>
      </c>
      <c r="N817" s="6">
        <f>YEAR(SalesTbl[[#This Row],[Order Date]])</f>
        <v>2023</v>
      </c>
      <c r="O817" s="6" t="str">
        <f>TEXT(SalesTbl[[#This Row],[Order Date]],"yyyy-mm")</f>
        <v>2023-03</v>
      </c>
      <c r="P817" s="13">
        <f>WEEKNUM(SalesTbl[[#This Row],[Order Date]],2)</f>
        <v>14</v>
      </c>
      <c r="Q817" s="14">
        <f>MEDIAN(SalesTbl[Quantity])</f>
        <v>3</v>
      </c>
      <c r="R817" s="14">
        <f>IF(ISBLANK(SalesTbl[[#This Row],[Quantity]]),$H$2,SalesTbl[[#This Row],[Quantity]])</f>
        <v>2</v>
      </c>
      <c r="S817">
        <f>ROW()-ROW(SalesTbl[[#Headers],[Customer ID]])</f>
        <v>816</v>
      </c>
      <c r="T817" s="9" t="str">
        <f>IF(SalesTbl[[#This Row],[RowIdx]]&lt;=ROUNDUP(COUNTA(SalesTbl[Customer ID])*0.8,0),"Train","Test")</f>
        <v>Test</v>
      </c>
    </row>
    <row r="818" spans="1:20" x14ac:dyDescent="0.25">
      <c r="A818" t="s">
        <v>169</v>
      </c>
      <c r="B818" t="s">
        <v>13</v>
      </c>
      <c r="C818" t="s">
        <v>322</v>
      </c>
      <c r="D818" t="s">
        <v>14</v>
      </c>
      <c r="E818" t="s">
        <v>15</v>
      </c>
      <c r="F818">
        <v>51</v>
      </c>
      <c r="G818">
        <v>300</v>
      </c>
      <c r="H818">
        <v>5</v>
      </c>
      <c r="I818">
        <v>1500</v>
      </c>
      <c r="J818">
        <v>11.39</v>
      </c>
      <c r="K818" s="2">
        <v>45138</v>
      </c>
      <c r="L818" t="s">
        <v>316</v>
      </c>
      <c r="M818" s="6">
        <f>SalesTbl[[#This Row],[Unit Price]]*SalesTbl[[#This Row],[Quantity]]</f>
        <v>1500</v>
      </c>
      <c r="N818" s="6">
        <f>YEAR(SalesTbl[[#This Row],[Order Date]])</f>
        <v>2023</v>
      </c>
      <c r="O818" s="6" t="str">
        <f>TEXT(SalesTbl[[#This Row],[Order Date]],"yyyy-mm")</f>
        <v>2023-07</v>
      </c>
      <c r="P818" s="13">
        <f>WEEKNUM(SalesTbl[[#This Row],[Order Date]],2)</f>
        <v>32</v>
      </c>
      <c r="Q818" s="14">
        <f>MEDIAN(SalesTbl[Quantity])</f>
        <v>3</v>
      </c>
      <c r="R818" s="14">
        <f>IF(ISBLANK(SalesTbl[[#This Row],[Quantity]]),$H$2,SalesTbl[[#This Row],[Quantity]])</f>
        <v>5</v>
      </c>
      <c r="S818">
        <f>ROW()-ROW(SalesTbl[[#Headers],[Customer ID]])</f>
        <v>817</v>
      </c>
      <c r="T818" s="9" t="str">
        <f>IF(SalesTbl[[#This Row],[RowIdx]]&lt;=ROUNDUP(COUNTA(SalesTbl[Customer ID])*0.8,0),"Train","Test")</f>
        <v>Test</v>
      </c>
    </row>
    <row r="819" spans="1:20" x14ac:dyDescent="0.25">
      <c r="A819" t="s">
        <v>175</v>
      </c>
      <c r="B819" t="s">
        <v>20</v>
      </c>
      <c r="C819" t="s">
        <v>320</v>
      </c>
      <c r="D819" t="s">
        <v>29</v>
      </c>
      <c r="E819" t="s">
        <v>18</v>
      </c>
      <c r="F819">
        <v>58</v>
      </c>
      <c r="G819">
        <v>50</v>
      </c>
      <c r="H819">
        <v>4</v>
      </c>
      <c r="I819">
        <v>200</v>
      </c>
      <c r="J819">
        <v>17.649999999999999</v>
      </c>
      <c r="K819" s="2">
        <v>44968</v>
      </c>
      <c r="L819" t="s">
        <v>317</v>
      </c>
      <c r="M819" s="6">
        <f>SalesTbl[[#This Row],[Unit Price]]*SalesTbl[[#This Row],[Quantity]]</f>
        <v>200</v>
      </c>
      <c r="N819" s="6">
        <f>YEAR(SalesTbl[[#This Row],[Order Date]])</f>
        <v>2023</v>
      </c>
      <c r="O819" s="6" t="str">
        <f>TEXT(SalesTbl[[#This Row],[Order Date]],"yyyy-mm")</f>
        <v>2023-02</v>
      </c>
      <c r="P819" s="13">
        <f>WEEKNUM(SalesTbl[[#This Row],[Order Date]],2)</f>
        <v>7</v>
      </c>
      <c r="Q819" s="14">
        <f>MEDIAN(SalesTbl[Quantity])</f>
        <v>3</v>
      </c>
      <c r="R819" s="14">
        <f>IF(ISBLANK(SalesTbl[[#This Row],[Quantity]]),$H$2,SalesTbl[[#This Row],[Quantity]])</f>
        <v>4</v>
      </c>
      <c r="S819">
        <f>ROW()-ROW(SalesTbl[[#Headers],[Customer ID]])</f>
        <v>818</v>
      </c>
      <c r="T819" s="9" t="str">
        <f>IF(SalesTbl[[#This Row],[RowIdx]]&lt;=ROUNDUP(COUNTA(SalesTbl[Customer ID])*0.8,0),"Train","Test")</f>
        <v>Test</v>
      </c>
    </row>
    <row r="820" spans="1:20" x14ac:dyDescent="0.25">
      <c r="A820" t="s">
        <v>221</v>
      </c>
      <c r="B820" t="s">
        <v>20</v>
      </c>
      <c r="C820" t="s">
        <v>323</v>
      </c>
      <c r="D820" t="s">
        <v>40</v>
      </c>
      <c r="E820" t="s">
        <v>15</v>
      </c>
      <c r="F820">
        <v>37</v>
      </c>
      <c r="G820">
        <v>800</v>
      </c>
      <c r="H820">
        <v>5</v>
      </c>
      <c r="I820">
        <v>4000</v>
      </c>
      <c r="J820">
        <v>6.67</v>
      </c>
      <c r="K820" s="2">
        <v>44930</v>
      </c>
      <c r="L820" t="s">
        <v>317</v>
      </c>
      <c r="M820" s="6">
        <f>SalesTbl[[#This Row],[Unit Price]]*SalesTbl[[#This Row],[Quantity]]</f>
        <v>4000</v>
      </c>
      <c r="N820" s="6">
        <f>YEAR(SalesTbl[[#This Row],[Order Date]])</f>
        <v>2023</v>
      </c>
      <c r="O820" s="6" t="str">
        <f>TEXT(SalesTbl[[#This Row],[Order Date]],"yyyy-mm")</f>
        <v>2023-01</v>
      </c>
      <c r="P820" s="13">
        <f>WEEKNUM(SalesTbl[[#This Row],[Order Date]],2)</f>
        <v>2</v>
      </c>
      <c r="Q820" s="14">
        <f>MEDIAN(SalesTbl[Quantity])</f>
        <v>3</v>
      </c>
      <c r="R820" s="14">
        <f>IF(ISBLANK(SalesTbl[[#This Row],[Quantity]]),$H$2,SalesTbl[[#This Row],[Quantity]])</f>
        <v>5</v>
      </c>
      <c r="S820">
        <f>ROW()-ROW(SalesTbl[[#Headers],[Customer ID]])</f>
        <v>819</v>
      </c>
      <c r="T820" s="9" t="str">
        <f>IF(SalesTbl[[#This Row],[RowIdx]]&lt;=ROUNDUP(COUNTA(SalesTbl[Customer ID])*0.8,0),"Train","Test")</f>
        <v>Test</v>
      </c>
    </row>
    <row r="821" spans="1:20" x14ac:dyDescent="0.25">
      <c r="A821" t="s">
        <v>258</v>
      </c>
      <c r="B821" t="s">
        <v>13</v>
      </c>
      <c r="C821" t="s">
        <v>322</v>
      </c>
      <c r="D821" t="s">
        <v>25</v>
      </c>
      <c r="E821" t="s">
        <v>26</v>
      </c>
      <c r="F821">
        <v>55</v>
      </c>
      <c r="G821">
        <v>200</v>
      </c>
      <c r="H821">
        <v>3</v>
      </c>
      <c r="I821">
        <v>600</v>
      </c>
      <c r="J821">
        <v>8.26</v>
      </c>
      <c r="K821" s="2">
        <v>45168</v>
      </c>
      <c r="L821" t="s">
        <v>319</v>
      </c>
      <c r="M821" s="6">
        <f>SalesTbl[[#This Row],[Unit Price]]*SalesTbl[[#This Row],[Quantity]]</f>
        <v>600</v>
      </c>
      <c r="N821" s="6">
        <f>YEAR(SalesTbl[[#This Row],[Order Date]])</f>
        <v>2023</v>
      </c>
      <c r="O821" s="6" t="str">
        <f>TEXT(SalesTbl[[#This Row],[Order Date]],"yyyy-mm")</f>
        <v>2023-08</v>
      </c>
      <c r="P821" s="13">
        <f>WEEKNUM(SalesTbl[[#This Row],[Order Date]],2)</f>
        <v>36</v>
      </c>
      <c r="Q821" s="14">
        <f>MEDIAN(SalesTbl[Quantity])</f>
        <v>3</v>
      </c>
      <c r="R821" s="14">
        <f>IF(ISBLANK(SalesTbl[[#This Row],[Quantity]]),$H$2,SalesTbl[[#This Row],[Quantity]])</f>
        <v>3</v>
      </c>
      <c r="S821">
        <f>ROW()-ROW(SalesTbl[[#Headers],[Customer ID]])</f>
        <v>820</v>
      </c>
      <c r="T821" s="9" t="str">
        <f>IF(SalesTbl[[#This Row],[RowIdx]]&lt;=ROUNDUP(COUNTA(SalesTbl[Customer ID])*0.8,0),"Train","Test")</f>
        <v>Test</v>
      </c>
    </row>
    <row r="822" spans="1:20" x14ac:dyDescent="0.25">
      <c r="A822" t="s">
        <v>56</v>
      </c>
      <c r="B822" t="s">
        <v>20</v>
      </c>
      <c r="C822" t="s">
        <v>321</v>
      </c>
      <c r="D822" t="s">
        <v>14</v>
      </c>
      <c r="E822" t="s">
        <v>15</v>
      </c>
      <c r="F822">
        <v>35</v>
      </c>
      <c r="G822">
        <v>300</v>
      </c>
      <c r="H822">
        <v>5</v>
      </c>
      <c r="I822">
        <v>1500</v>
      </c>
      <c r="J822">
        <v>18.940000000000001</v>
      </c>
      <c r="K822" s="2">
        <v>44991</v>
      </c>
      <c r="L822" t="s">
        <v>316</v>
      </c>
      <c r="M822" s="6">
        <f>SalesTbl[[#This Row],[Unit Price]]*SalesTbl[[#This Row],[Quantity]]</f>
        <v>1500</v>
      </c>
      <c r="N822" s="6">
        <f>YEAR(SalesTbl[[#This Row],[Order Date]])</f>
        <v>2023</v>
      </c>
      <c r="O822" s="6" t="str">
        <f>TEXT(SalesTbl[[#This Row],[Order Date]],"yyyy-mm")</f>
        <v>2023-03</v>
      </c>
      <c r="P822" s="13">
        <f>WEEKNUM(SalesTbl[[#This Row],[Order Date]],2)</f>
        <v>11</v>
      </c>
      <c r="Q822" s="14">
        <f>MEDIAN(SalesTbl[Quantity])</f>
        <v>3</v>
      </c>
      <c r="R822" s="14">
        <f>IF(ISBLANK(SalesTbl[[#This Row],[Quantity]]),$H$2,SalesTbl[[#This Row],[Quantity]])</f>
        <v>5</v>
      </c>
      <c r="S822">
        <f>ROW()-ROW(SalesTbl[[#Headers],[Customer ID]])</f>
        <v>821</v>
      </c>
      <c r="T822" s="9" t="str">
        <f>IF(SalesTbl[[#This Row],[RowIdx]]&lt;=ROUNDUP(COUNTA(SalesTbl[Customer ID])*0.8,0),"Train","Test")</f>
        <v>Test</v>
      </c>
    </row>
    <row r="823" spans="1:20" x14ac:dyDescent="0.25">
      <c r="A823" t="s">
        <v>173</v>
      </c>
      <c r="B823" t="s">
        <v>20</v>
      </c>
      <c r="C823" t="s">
        <v>322</v>
      </c>
      <c r="D823" t="s">
        <v>14</v>
      </c>
      <c r="E823" t="s">
        <v>15</v>
      </c>
      <c r="F823">
        <v>60</v>
      </c>
      <c r="G823">
        <v>300</v>
      </c>
      <c r="H823">
        <v>3</v>
      </c>
      <c r="I823">
        <v>900</v>
      </c>
      <c r="J823">
        <v>19.78</v>
      </c>
      <c r="K823" s="2">
        <v>44983</v>
      </c>
      <c r="L823" t="s">
        <v>317</v>
      </c>
      <c r="M823" s="6">
        <f>SalesTbl[[#This Row],[Unit Price]]*SalesTbl[[#This Row],[Quantity]]</f>
        <v>900</v>
      </c>
      <c r="N823" s="6">
        <f>YEAR(SalesTbl[[#This Row],[Order Date]])</f>
        <v>2023</v>
      </c>
      <c r="O823" s="6" t="str">
        <f>TEXT(SalesTbl[[#This Row],[Order Date]],"yyyy-mm")</f>
        <v>2023-02</v>
      </c>
      <c r="P823" s="13">
        <f>WEEKNUM(SalesTbl[[#This Row],[Order Date]],2)</f>
        <v>9</v>
      </c>
      <c r="Q823" s="14">
        <f>MEDIAN(SalesTbl[Quantity])</f>
        <v>3</v>
      </c>
      <c r="R823" s="14">
        <f>IF(ISBLANK(SalesTbl[[#This Row],[Quantity]]),$H$2,SalesTbl[[#This Row],[Quantity]])</f>
        <v>3</v>
      </c>
      <c r="S823">
        <f>ROW()-ROW(SalesTbl[[#Headers],[Customer ID]])</f>
        <v>822</v>
      </c>
      <c r="T823" s="9" t="str">
        <f>IF(SalesTbl[[#This Row],[RowIdx]]&lt;=ROUNDUP(COUNTA(SalesTbl[Customer ID])*0.8,0),"Train","Test")</f>
        <v>Test</v>
      </c>
    </row>
    <row r="824" spans="1:20" x14ac:dyDescent="0.25">
      <c r="A824" t="s">
        <v>166</v>
      </c>
      <c r="B824" t="s">
        <v>13</v>
      </c>
      <c r="C824" t="s">
        <v>320</v>
      </c>
      <c r="D824" t="s">
        <v>40</v>
      </c>
      <c r="E824" t="s">
        <v>15</v>
      </c>
      <c r="F824">
        <v>43</v>
      </c>
      <c r="G824">
        <v>800</v>
      </c>
      <c r="H824">
        <v>4</v>
      </c>
      <c r="I824">
        <v>3200</v>
      </c>
      <c r="J824">
        <v>10.65</v>
      </c>
      <c r="K824" s="2">
        <v>44982</v>
      </c>
      <c r="L824" t="s">
        <v>316</v>
      </c>
      <c r="M824" s="6">
        <f>SalesTbl[[#This Row],[Unit Price]]*SalesTbl[[#This Row],[Quantity]]</f>
        <v>3200</v>
      </c>
      <c r="N824" s="6">
        <f>YEAR(SalesTbl[[#This Row],[Order Date]])</f>
        <v>2023</v>
      </c>
      <c r="O824" s="6" t="str">
        <f>TEXT(SalesTbl[[#This Row],[Order Date]],"yyyy-mm")</f>
        <v>2023-02</v>
      </c>
      <c r="P824" s="13">
        <f>WEEKNUM(SalesTbl[[#This Row],[Order Date]],2)</f>
        <v>9</v>
      </c>
      <c r="Q824" s="14">
        <f>MEDIAN(SalesTbl[Quantity])</f>
        <v>3</v>
      </c>
      <c r="R824" s="14">
        <f>IF(ISBLANK(SalesTbl[[#This Row],[Quantity]]),$H$2,SalesTbl[[#This Row],[Quantity]])</f>
        <v>4</v>
      </c>
      <c r="S824">
        <f>ROW()-ROW(SalesTbl[[#Headers],[Customer ID]])</f>
        <v>823</v>
      </c>
      <c r="T824" s="9" t="str">
        <f>IF(SalesTbl[[#This Row],[RowIdx]]&lt;=ROUNDUP(COUNTA(SalesTbl[Customer ID])*0.8,0),"Train","Test")</f>
        <v>Test</v>
      </c>
    </row>
    <row r="825" spans="1:20" x14ac:dyDescent="0.25">
      <c r="A825" t="s">
        <v>208</v>
      </c>
      <c r="B825" t="s">
        <v>20</v>
      </c>
      <c r="C825" t="s">
        <v>320</v>
      </c>
      <c r="D825" t="s">
        <v>25</v>
      </c>
      <c r="E825" t="s">
        <v>26</v>
      </c>
      <c r="F825">
        <v>26</v>
      </c>
      <c r="G825">
        <v>200</v>
      </c>
      <c r="H825">
        <v>4</v>
      </c>
      <c r="I825">
        <v>800</v>
      </c>
      <c r="J825">
        <v>14.25</v>
      </c>
      <c r="K825" s="2">
        <v>44929</v>
      </c>
      <c r="L825" t="s">
        <v>318</v>
      </c>
      <c r="M825" s="6">
        <f>SalesTbl[[#This Row],[Unit Price]]*SalesTbl[[#This Row],[Quantity]]</f>
        <v>800</v>
      </c>
      <c r="N825" s="6">
        <f>YEAR(SalesTbl[[#This Row],[Order Date]])</f>
        <v>2023</v>
      </c>
      <c r="O825" s="6" t="str">
        <f>TEXT(SalesTbl[[#This Row],[Order Date]],"yyyy-mm")</f>
        <v>2023-01</v>
      </c>
      <c r="P825" s="13">
        <f>WEEKNUM(SalesTbl[[#This Row],[Order Date]],2)</f>
        <v>2</v>
      </c>
      <c r="Q825" s="14">
        <f>MEDIAN(SalesTbl[Quantity])</f>
        <v>3</v>
      </c>
      <c r="R825" s="14">
        <f>IF(ISBLANK(SalesTbl[[#This Row],[Quantity]]),$H$2,SalesTbl[[#This Row],[Quantity]])</f>
        <v>4</v>
      </c>
      <c r="S825">
        <f>ROW()-ROW(SalesTbl[[#Headers],[Customer ID]])</f>
        <v>824</v>
      </c>
      <c r="T825" s="9" t="str">
        <f>IF(SalesTbl[[#This Row],[RowIdx]]&lt;=ROUNDUP(COUNTA(SalesTbl[Customer ID])*0.8,0),"Train","Test")</f>
        <v>Test</v>
      </c>
    </row>
    <row r="826" spans="1:20" x14ac:dyDescent="0.25">
      <c r="A826" t="s">
        <v>251</v>
      </c>
      <c r="B826" t="s">
        <v>13</v>
      </c>
      <c r="C826" t="s">
        <v>321</v>
      </c>
      <c r="D826" t="s">
        <v>14</v>
      </c>
      <c r="E826" t="s">
        <v>15</v>
      </c>
      <c r="F826">
        <v>51</v>
      </c>
      <c r="G826">
        <v>300</v>
      </c>
      <c r="H826">
        <v>4</v>
      </c>
      <c r="I826">
        <v>1200</v>
      </c>
      <c r="J826">
        <v>6.26</v>
      </c>
      <c r="K826" s="2">
        <v>45288</v>
      </c>
      <c r="L826" t="s">
        <v>316</v>
      </c>
      <c r="M826" s="6">
        <f>SalesTbl[[#This Row],[Unit Price]]*SalesTbl[[#This Row],[Quantity]]</f>
        <v>1200</v>
      </c>
      <c r="N826" s="6">
        <f>YEAR(SalesTbl[[#This Row],[Order Date]])</f>
        <v>2023</v>
      </c>
      <c r="O826" s="6" t="str">
        <f>TEXT(SalesTbl[[#This Row],[Order Date]],"yyyy-mm")</f>
        <v>2023-12</v>
      </c>
      <c r="P826" s="13">
        <f>WEEKNUM(SalesTbl[[#This Row],[Order Date]],2)</f>
        <v>53</v>
      </c>
      <c r="Q826" s="14">
        <f>MEDIAN(SalesTbl[Quantity])</f>
        <v>3</v>
      </c>
      <c r="R826" s="14">
        <f>IF(ISBLANK(SalesTbl[[#This Row],[Quantity]]),$H$2,SalesTbl[[#This Row],[Quantity]])</f>
        <v>4</v>
      </c>
      <c r="S826">
        <f>ROW()-ROW(SalesTbl[[#Headers],[Customer ID]])</f>
        <v>825</v>
      </c>
      <c r="T826" s="9" t="str">
        <f>IF(SalesTbl[[#This Row],[RowIdx]]&lt;=ROUNDUP(COUNTA(SalesTbl[Customer ID])*0.8,0),"Train","Test")</f>
        <v>Test</v>
      </c>
    </row>
    <row r="827" spans="1:20" x14ac:dyDescent="0.25">
      <c r="A827" t="s">
        <v>271</v>
      </c>
      <c r="B827" t="s">
        <v>13</v>
      </c>
      <c r="C827" t="s">
        <v>322</v>
      </c>
      <c r="D827" t="s">
        <v>29</v>
      </c>
      <c r="E827" t="s">
        <v>18</v>
      </c>
      <c r="F827">
        <v>65</v>
      </c>
      <c r="G827">
        <v>50</v>
      </c>
      <c r="H827">
        <v>3</v>
      </c>
      <c r="I827">
        <v>150</v>
      </c>
      <c r="J827">
        <v>12.69</v>
      </c>
      <c r="K827" s="2">
        <v>45248</v>
      </c>
      <c r="L827" t="s">
        <v>318</v>
      </c>
      <c r="M827" s="6">
        <f>SalesTbl[[#This Row],[Unit Price]]*SalesTbl[[#This Row],[Quantity]]</f>
        <v>150</v>
      </c>
      <c r="N827" s="6">
        <f>YEAR(SalesTbl[[#This Row],[Order Date]])</f>
        <v>2023</v>
      </c>
      <c r="O827" s="6" t="str">
        <f>TEXT(SalesTbl[[#This Row],[Order Date]],"yyyy-mm")</f>
        <v>2023-11</v>
      </c>
      <c r="P827" s="13">
        <f>WEEKNUM(SalesTbl[[#This Row],[Order Date]],2)</f>
        <v>47</v>
      </c>
      <c r="Q827" s="14">
        <f>MEDIAN(SalesTbl[Quantity])</f>
        <v>3</v>
      </c>
      <c r="R827" s="14">
        <f>IF(ISBLANK(SalesTbl[[#This Row],[Quantity]]),$H$2,SalesTbl[[#This Row],[Quantity]])</f>
        <v>3</v>
      </c>
      <c r="S827">
        <f>ROW()-ROW(SalesTbl[[#Headers],[Customer ID]])</f>
        <v>826</v>
      </c>
      <c r="T827" s="9" t="str">
        <f>IF(SalesTbl[[#This Row],[RowIdx]]&lt;=ROUNDUP(COUNTA(SalesTbl[Customer ID])*0.8,0),"Train","Test")</f>
        <v>Test</v>
      </c>
    </row>
    <row r="828" spans="1:20" x14ac:dyDescent="0.25">
      <c r="A828" t="s">
        <v>305</v>
      </c>
      <c r="B828" t="s">
        <v>13</v>
      </c>
      <c r="C828" t="s">
        <v>321</v>
      </c>
      <c r="D828" t="s">
        <v>25</v>
      </c>
      <c r="E828" t="s">
        <v>26</v>
      </c>
      <c r="F828">
        <v>24</v>
      </c>
      <c r="G828">
        <v>200</v>
      </c>
      <c r="H828">
        <v>3</v>
      </c>
      <c r="I828">
        <v>600</v>
      </c>
      <c r="J828">
        <v>19.39</v>
      </c>
      <c r="K828" s="2">
        <v>44996</v>
      </c>
      <c r="L828" t="s">
        <v>317</v>
      </c>
      <c r="M828" s="6">
        <f>SalesTbl[[#This Row],[Unit Price]]*SalesTbl[[#This Row],[Quantity]]</f>
        <v>600</v>
      </c>
      <c r="N828" s="6">
        <f>YEAR(SalesTbl[[#This Row],[Order Date]])</f>
        <v>2023</v>
      </c>
      <c r="O828" s="6" t="str">
        <f>TEXT(SalesTbl[[#This Row],[Order Date]],"yyyy-mm")</f>
        <v>2023-03</v>
      </c>
      <c r="P828" s="13">
        <f>WEEKNUM(SalesTbl[[#This Row],[Order Date]],2)</f>
        <v>11</v>
      </c>
      <c r="Q828" s="14">
        <f>MEDIAN(SalesTbl[Quantity])</f>
        <v>3</v>
      </c>
      <c r="R828" s="14">
        <f>IF(ISBLANK(SalesTbl[[#This Row],[Quantity]]),$H$2,SalesTbl[[#This Row],[Quantity]])</f>
        <v>3</v>
      </c>
      <c r="S828">
        <f>ROW()-ROW(SalesTbl[[#Headers],[Customer ID]])</f>
        <v>827</v>
      </c>
      <c r="T828" s="9" t="str">
        <f>IF(SalesTbl[[#This Row],[RowIdx]]&lt;=ROUNDUP(COUNTA(SalesTbl[Customer ID])*0.8,0),"Train","Test")</f>
        <v>Test</v>
      </c>
    </row>
    <row r="829" spans="1:20" x14ac:dyDescent="0.25">
      <c r="A829" t="s">
        <v>170</v>
      </c>
      <c r="B829" t="s">
        <v>13</v>
      </c>
      <c r="C829" t="s">
        <v>320</v>
      </c>
      <c r="D829" t="s">
        <v>17</v>
      </c>
      <c r="E829" t="s">
        <v>18</v>
      </c>
      <c r="F829">
        <v>57</v>
      </c>
      <c r="G829">
        <v>100</v>
      </c>
      <c r="H829">
        <v>4</v>
      </c>
      <c r="I829">
        <v>400</v>
      </c>
      <c r="J829">
        <v>14.49</v>
      </c>
      <c r="K829" s="2">
        <v>45188</v>
      </c>
      <c r="L829" t="s">
        <v>317</v>
      </c>
      <c r="M829" s="6">
        <f>SalesTbl[[#This Row],[Unit Price]]*SalesTbl[[#This Row],[Quantity]]</f>
        <v>400</v>
      </c>
      <c r="N829" s="6">
        <f>YEAR(SalesTbl[[#This Row],[Order Date]])</f>
        <v>2023</v>
      </c>
      <c r="O829" s="6" t="str">
        <f>TEXT(SalesTbl[[#This Row],[Order Date]],"yyyy-mm")</f>
        <v>2023-09</v>
      </c>
      <c r="P829" s="13">
        <f>WEEKNUM(SalesTbl[[#This Row],[Order Date]],2)</f>
        <v>39</v>
      </c>
      <c r="Q829" s="14">
        <f>MEDIAN(SalesTbl[Quantity])</f>
        <v>3</v>
      </c>
      <c r="R829" s="14">
        <f>IF(ISBLANK(SalesTbl[[#This Row],[Quantity]]),$H$2,SalesTbl[[#This Row],[Quantity]])</f>
        <v>4</v>
      </c>
      <c r="S829">
        <f>ROW()-ROW(SalesTbl[[#Headers],[Customer ID]])</f>
        <v>828</v>
      </c>
      <c r="T829" s="9" t="str">
        <f>IF(SalesTbl[[#This Row],[RowIdx]]&lt;=ROUNDUP(COUNTA(SalesTbl[Customer ID])*0.8,0),"Train","Test")</f>
        <v>Test</v>
      </c>
    </row>
    <row r="830" spans="1:20" x14ac:dyDescent="0.25">
      <c r="A830" t="s">
        <v>79</v>
      </c>
      <c r="B830" t="s">
        <v>13</v>
      </c>
      <c r="C830" t="s">
        <v>322</v>
      </c>
      <c r="D830" t="s">
        <v>25</v>
      </c>
      <c r="E830" t="s">
        <v>26</v>
      </c>
      <c r="F830">
        <v>52</v>
      </c>
      <c r="G830">
        <v>200</v>
      </c>
      <c r="H830">
        <v>5</v>
      </c>
      <c r="I830">
        <v>1000</v>
      </c>
      <c r="J830">
        <v>13.13</v>
      </c>
      <c r="K830" s="2">
        <v>45061</v>
      </c>
      <c r="L830" t="s">
        <v>317</v>
      </c>
      <c r="M830" s="6">
        <f>SalesTbl[[#This Row],[Unit Price]]*SalesTbl[[#This Row],[Quantity]]</f>
        <v>1000</v>
      </c>
      <c r="N830" s="6">
        <f>YEAR(SalesTbl[[#This Row],[Order Date]])</f>
        <v>2023</v>
      </c>
      <c r="O830" s="6" t="str">
        <f>TEXT(SalesTbl[[#This Row],[Order Date]],"yyyy-mm")</f>
        <v>2023-05</v>
      </c>
      <c r="P830" s="13">
        <f>WEEKNUM(SalesTbl[[#This Row],[Order Date]],2)</f>
        <v>21</v>
      </c>
      <c r="Q830" s="14">
        <f>MEDIAN(SalesTbl[Quantity])</f>
        <v>3</v>
      </c>
      <c r="R830" s="14">
        <f>IF(ISBLANK(SalesTbl[[#This Row],[Quantity]]),$H$2,SalesTbl[[#This Row],[Quantity]])</f>
        <v>5</v>
      </c>
      <c r="S830">
        <f>ROW()-ROW(SalesTbl[[#Headers],[Customer ID]])</f>
        <v>829</v>
      </c>
      <c r="T830" s="9" t="str">
        <f>IF(SalesTbl[[#This Row],[RowIdx]]&lt;=ROUNDUP(COUNTA(SalesTbl[Customer ID])*0.8,0),"Train","Test")</f>
        <v>Test</v>
      </c>
    </row>
    <row r="831" spans="1:20" x14ac:dyDescent="0.25">
      <c r="A831" t="s">
        <v>97</v>
      </c>
      <c r="B831" t="s">
        <v>13</v>
      </c>
      <c r="C831" t="s">
        <v>320</v>
      </c>
      <c r="D831" t="s">
        <v>14</v>
      </c>
      <c r="E831" t="s">
        <v>15</v>
      </c>
      <c r="F831">
        <v>59</v>
      </c>
      <c r="G831">
        <v>300</v>
      </c>
      <c r="H831">
        <v>4</v>
      </c>
      <c r="I831">
        <v>1200</v>
      </c>
      <c r="J831">
        <v>15.92</v>
      </c>
      <c r="K831" s="2">
        <v>45222</v>
      </c>
      <c r="L831" t="s">
        <v>317</v>
      </c>
      <c r="M831" s="6">
        <f>SalesTbl[[#This Row],[Unit Price]]*SalesTbl[[#This Row],[Quantity]]</f>
        <v>1200</v>
      </c>
      <c r="N831" s="6">
        <f>YEAR(SalesTbl[[#This Row],[Order Date]])</f>
        <v>2023</v>
      </c>
      <c r="O831" s="6" t="str">
        <f>TEXT(SalesTbl[[#This Row],[Order Date]],"yyyy-mm")</f>
        <v>2023-10</v>
      </c>
      <c r="P831" s="13">
        <f>WEEKNUM(SalesTbl[[#This Row],[Order Date]],2)</f>
        <v>44</v>
      </c>
      <c r="Q831" s="14">
        <f>MEDIAN(SalesTbl[Quantity])</f>
        <v>3</v>
      </c>
      <c r="R831" s="14">
        <f>IF(ISBLANK(SalesTbl[[#This Row],[Quantity]]),$H$2,SalesTbl[[#This Row],[Quantity]])</f>
        <v>4</v>
      </c>
      <c r="S831">
        <f>ROW()-ROW(SalesTbl[[#Headers],[Customer ID]])</f>
        <v>830</v>
      </c>
      <c r="T831" s="9" t="str">
        <f>IF(SalesTbl[[#This Row],[RowIdx]]&lt;=ROUNDUP(COUNTA(SalesTbl[Customer ID])*0.8,0),"Train","Test")</f>
        <v>Test</v>
      </c>
    </row>
    <row r="832" spans="1:20" x14ac:dyDescent="0.25">
      <c r="A832" t="s">
        <v>227</v>
      </c>
      <c r="B832" t="s">
        <v>13</v>
      </c>
      <c r="C832" t="s">
        <v>321</v>
      </c>
      <c r="D832" t="s">
        <v>25</v>
      </c>
      <c r="E832" t="s">
        <v>26</v>
      </c>
      <c r="F832">
        <v>66</v>
      </c>
      <c r="G832">
        <v>200</v>
      </c>
      <c r="H832">
        <v>5</v>
      </c>
      <c r="I832">
        <v>1000</v>
      </c>
      <c r="J832">
        <v>12.06</v>
      </c>
      <c r="K832" s="2">
        <v>44992</v>
      </c>
      <c r="L832" t="s">
        <v>316</v>
      </c>
      <c r="M832" s="6">
        <f>SalesTbl[[#This Row],[Unit Price]]*SalesTbl[[#This Row],[Quantity]]</f>
        <v>1000</v>
      </c>
      <c r="N832" s="6">
        <f>YEAR(SalesTbl[[#This Row],[Order Date]])</f>
        <v>2023</v>
      </c>
      <c r="O832" s="6" t="str">
        <f>TEXT(SalesTbl[[#This Row],[Order Date]],"yyyy-mm")</f>
        <v>2023-03</v>
      </c>
      <c r="P832" s="13">
        <f>WEEKNUM(SalesTbl[[#This Row],[Order Date]],2)</f>
        <v>11</v>
      </c>
      <c r="Q832" s="14">
        <f>MEDIAN(SalesTbl[Quantity])</f>
        <v>3</v>
      </c>
      <c r="R832" s="14">
        <f>IF(ISBLANK(SalesTbl[[#This Row],[Quantity]]),$H$2,SalesTbl[[#This Row],[Quantity]])</f>
        <v>5</v>
      </c>
      <c r="S832">
        <f>ROW()-ROW(SalesTbl[[#Headers],[Customer ID]])</f>
        <v>831</v>
      </c>
      <c r="T832" s="9" t="str">
        <f>IF(SalesTbl[[#This Row],[RowIdx]]&lt;=ROUNDUP(COUNTA(SalesTbl[Customer ID])*0.8,0),"Train","Test")</f>
        <v>Test</v>
      </c>
    </row>
    <row r="833" spans="1:20" x14ac:dyDescent="0.25">
      <c r="A833" t="s">
        <v>244</v>
      </c>
      <c r="B833" t="s">
        <v>13</v>
      </c>
      <c r="C833" t="s">
        <v>323</v>
      </c>
      <c r="D833" t="s">
        <v>29</v>
      </c>
      <c r="E833" t="s">
        <v>18</v>
      </c>
      <c r="F833">
        <v>23</v>
      </c>
      <c r="G833">
        <v>50</v>
      </c>
      <c r="H833">
        <v>1</v>
      </c>
      <c r="I833">
        <v>50</v>
      </c>
      <c r="J833">
        <v>16.34</v>
      </c>
      <c r="K833" s="2">
        <v>44942</v>
      </c>
      <c r="L833" t="s">
        <v>317</v>
      </c>
      <c r="M833" s="6">
        <f>SalesTbl[[#This Row],[Unit Price]]*SalesTbl[[#This Row],[Quantity]]</f>
        <v>50</v>
      </c>
      <c r="N833" s="6">
        <f>YEAR(SalesTbl[[#This Row],[Order Date]])</f>
        <v>2023</v>
      </c>
      <c r="O833" s="6" t="str">
        <f>TEXT(SalesTbl[[#This Row],[Order Date]],"yyyy-mm")</f>
        <v>2023-01</v>
      </c>
      <c r="P833" s="13">
        <f>WEEKNUM(SalesTbl[[#This Row],[Order Date]],2)</f>
        <v>4</v>
      </c>
      <c r="Q833" s="14">
        <f>MEDIAN(SalesTbl[Quantity])</f>
        <v>3</v>
      </c>
      <c r="R833" s="14">
        <f>IF(ISBLANK(SalesTbl[[#This Row],[Quantity]]),$H$2,SalesTbl[[#This Row],[Quantity]])</f>
        <v>1</v>
      </c>
      <c r="S833">
        <f>ROW()-ROW(SalesTbl[[#Headers],[Customer ID]])</f>
        <v>832</v>
      </c>
      <c r="T833" s="9" t="str">
        <f>IF(SalesTbl[[#This Row],[RowIdx]]&lt;=ROUNDUP(COUNTA(SalesTbl[Customer ID])*0.8,0),"Train","Test")</f>
        <v>Test</v>
      </c>
    </row>
    <row r="834" spans="1:20" x14ac:dyDescent="0.25">
      <c r="A834" t="s">
        <v>45</v>
      </c>
      <c r="B834" t="s">
        <v>20</v>
      </c>
      <c r="C834" t="s">
        <v>320</v>
      </c>
      <c r="D834" t="s">
        <v>25</v>
      </c>
      <c r="E834" t="s">
        <v>26</v>
      </c>
      <c r="F834">
        <v>52</v>
      </c>
      <c r="G834">
        <v>200</v>
      </c>
      <c r="H834">
        <v>3</v>
      </c>
      <c r="I834">
        <v>600</v>
      </c>
      <c r="J834">
        <v>15.85</v>
      </c>
      <c r="K834" s="2">
        <v>45026</v>
      </c>
      <c r="L834" t="s">
        <v>318</v>
      </c>
      <c r="M834" s="6">
        <f>SalesTbl[[#This Row],[Unit Price]]*SalesTbl[[#This Row],[Quantity]]</f>
        <v>600</v>
      </c>
      <c r="N834" s="6">
        <f>YEAR(SalesTbl[[#This Row],[Order Date]])</f>
        <v>2023</v>
      </c>
      <c r="O834" s="6" t="str">
        <f>TEXT(SalesTbl[[#This Row],[Order Date]],"yyyy-mm")</f>
        <v>2023-04</v>
      </c>
      <c r="P834" s="13">
        <f>WEEKNUM(SalesTbl[[#This Row],[Order Date]],2)</f>
        <v>16</v>
      </c>
      <c r="Q834" s="14">
        <f>MEDIAN(SalesTbl[Quantity])</f>
        <v>3</v>
      </c>
      <c r="R834" s="14">
        <f>IF(ISBLANK(SalesTbl[[#This Row],[Quantity]]),$H$2,SalesTbl[[#This Row],[Quantity]])</f>
        <v>3</v>
      </c>
      <c r="S834">
        <f>ROW()-ROW(SalesTbl[[#Headers],[Customer ID]])</f>
        <v>833</v>
      </c>
      <c r="T834" s="9" t="str">
        <f>IF(SalesTbl[[#This Row],[RowIdx]]&lt;=ROUNDUP(COUNTA(SalesTbl[Customer ID])*0.8,0),"Train","Test")</f>
        <v>Test</v>
      </c>
    </row>
    <row r="835" spans="1:20" x14ac:dyDescent="0.25">
      <c r="A835" t="s">
        <v>186</v>
      </c>
      <c r="B835" t="s">
        <v>20</v>
      </c>
      <c r="C835" t="s">
        <v>322</v>
      </c>
      <c r="D835" t="s">
        <v>17</v>
      </c>
      <c r="E835" t="s">
        <v>18</v>
      </c>
      <c r="F835">
        <v>49</v>
      </c>
      <c r="G835">
        <v>100</v>
      </c>
      <c r="H835">
        <v>3</v>
      </c>
      <c r="I835">
        <v>300</v>
      </c>
      <c r="J835">
        <v>19.010000000000002</v>
      </c>
      <c r="K835" s="2">
        <v>45182</v>
      </c>
      <c r="L835" t="s">
        <v>317</v>
      </c>
      <c r="M835" s="6">
        <f>SalesTbl[[#This Row],[Unit Price]]*SalesTbl[[#This Row],[Quantity]]</f>
        <v>300</v>
      </c>
      <c r="N835" s="6">
        <f>YEAR(SalesTbl[[#This Row],[Order Date]])</f>
        <v>2023</v>
      </c>
      <c r="O835" s="6" t="str">
        <f>TEXT(SalesTbl[[#This Row],[Order Date]],"yyyy-mm")</f>
        <v>2023-09</v>
      </c>
      <c r="P835" s="13">
        <f>WEEKNUM(SalesTbl[[#This Row],[Order Date]],2)</f>
        <v>38</v>
      </c>
      <c r="Q835" s="14">
        <f>MEDIAN(SalesTbl[Quantity])</f>
        <v>3</v>
      </c>
      <c r="R835" s="14">
        <f>IF(ISBLANK(SalesTbl[[#This Row],[Quantity]]),$H$2,SalesTbl[[#This Row],[Quantity]])</f>
        <v>3</v>
      </c>
      <c r="S835">
        <f>ROW()-ROW(SalesTbl[[#Headers],[Customer ID]])</f>
        <v>834</v>
      </c>
      <c r="T835" s="9" t="str">
        <f>IF(SalesTbl[[#This Row],[RowIdx]]&lt;=ROUNDUP(COUNTA(SalesTbl[Customer ID])*0.8,0),"Train","Test")</f>
        <v>Test</v>
      </c>
    </row>
    <row r="836" spans="1:20" x14ac:dyDescent="0.25">
      <c r="A836" t="s">
        <v>189</v>
      </c>
      <c r="B836" t="s">
        <v>13</v>
      </c>
      <c r="C836" t="s">
        <v>323</v>
      </c>
      <c r="D836" t="s">
        <v>23</v>
      </c>
      <c r="E836" t="s">
        <v>15</v>
      </c>
      <c r="F836">
        <v>49</v>
      </c>
      <c r="G836">
        <v>1500</v>
      </c>
      <c r="H836">
        <v>3</v>
      </c>
      <c r="I836">
        <v>4500</v>
      </c>
      <c r="J836">
        <v>9.83</v>
      </c>
      <c r="K836" s="2">
        <v>45195</v>
      </c>
      <c r="L836" t="s">
        <v>317</v>
      </c>
      <c r="M836" s="6">
        <f>SalesTbl[[#This Row],[Unit Price]]*SalesTbl[[#This Row],[Quantity]]</f>
        <v>4500</v>
      </c>
      <c r="N836" s="6">
        <f>YEAR(SalesTbl[[#This Row],[Order Date]])</f>
        <v>2023</v>
      </c>
      <c r="O836" s="6" t="str">
        <f>TEXT(SalesTbl[[#This Row],[Order Date]],"yyyy-mm")</f>
        <v>2023-09</v>
      </c>
      <c r="P836" s="13">
        <f>WEEKNUM(SalesTbl[[#This Row],[Order Date]],2)</f>
        <v>40</v>
      </c>
      <c r="Q836" s="14">
        <f>MEDIAN(SalesTbl[Quantity])</f>
        <v>3</v>
      </c>
      <c r="R836" s="14">
        <f>IF(ISBLANK(SalesTbl[[#This Row],[Quantity]]),$H$2,SalesTbl[[#This Row],[Quantity]])</f>
        <v>3</v>
      </c>
      <c r="S836">
        <f>ROW()-ROW(SalesTbl[[#Headers],[Customer ID]])</f>
        <v>835</v>
      </c>
      <c r="T836" s="9" t="str">
        <f>IF(SalesTbl[[#This Row],[RowIdx]]&lt;=ROUNDUP(COUNTA(SalesTbl[Customer ID])*0.8,0),"Train","Test")</f>
        <v>Test</v>
      </c>
    </row>
    <row r="837" spans="1:20" x14ac:dyDescent="0.25">
      <c r="A837" t="s">
        <v>274</v>
      </c>
      <c r="B837" t="s">
        <v>20</v>
      </c>
      <c r="C837" t="s">
        <v>323</v>
      </c>
      <c r="D837" t="s">
        <v>30</v>
      </c>
      <c r="E837" t="s">
        <v>18</v>
      </c>
      <c r="F837">
        <v>56</v>
      </c>
      <c r="G837">
        <v>30</v>
      </c>
      <c r="H837">
        <v>4</v>
      </c>
      <c r="I837">
        <v>120</v>
      </c>
      <c r="J837">
        <v>5.17</v>
      </c>
      <c r="K837" s="2">
        <v>45253</v>
      </c>
      <c r="L837" t="s">
        <v>317</v>
      </c>
      <c r="M837" s="6">
        <f>SalesTbl[[#This Row],[Unit Price]]*SalesTbl[[#This Row],[Quantity]]</f>
        <v>120</v>
      </c>
      <c r="N837" s="6">
        <f>YEAR(SalesTbl[[#This Row],[Order Date]])</f>
        <v>2023</v>
      </c>
      <c r="O837" s="6" t="str">
        <f>TEXT(SalesTbl[[#This Row],[Order Date]],"yyyy-mm")</f>
        <v>2023-11</v>
      </c>
      <c r="P837" s="13">
        <f>WEEKNUM(SalesTbl[[#This Row],[Order Date]],2)</f>
        <v>48</v>
      </c>
      <c r="Q837" s="14">
        <f>MEDIAN(SalesTbl[Quantity])</f>
        <v>3</v>
      </c>
      <c r="R837" s="14">
        <f>IF(ISBLANK(SalesTbl[[#This Row],[Quantity]]),$H$2,SalesTbl[[#This Row],[Quantity]])</f>
        <v>4</v>
      </c>
      <c r="S837">
        <f>ROW()-ROW(SalesTbl[[#Headers],[Customer ID]])</f>
        <v>836</v>
      </c>
      <c r="T837" s="9" t="str">
        <f>IF(SalesTbl[[#This Row],[RowIdx]]&lt;=ROUNDUP(COUNTA(SalesTbl[Customer ID])*0.8,0),"Train","Test")</f>
        <v>Test</v>
      </c>
    </row>
    <row r="838" spans="1:20" x14ac:dyDescent="0.25">
      <c r="A838" t="s">
        <v>155</v>
      </c>
      <c r="B838" t="s">
        <v>13</v>
      </c>
      <c r="C838" t="s">
        <v>322</v>
      </c>
      <c r="D838" t="s">
        <v>40</v>
      </c>
      <c r="E838" t="s">
        <v>15</v>
      </c>
      <c r="F838">
        <v>49</v>
      </c>
      <c r="G838">
        <v>800</v>
      </c>
      <c r="H838">
        <v>3</v>
      </c>
      <c r="I838">
        <v>2400</v>
      </c>
      <c r="J838">
        <v>15.04</v>
      </c>
      <c r="K838" s="2">
        <v>45150</v>
      </c>
      <c r="L838" t="s">
        <v>317</v>
      </c>
      <c r="M838" s="6">
        <f>SalesTbl[[#This Row],[Unit Price]]*SalesTbl[[#This Row],[Quantity]]</f>
        <v>2400</v>
      </c>
      <c r="N838" s="6">
        <f>YEAR(SalesTbl[[#This Row],[Order Date]])</f>
        <v>2023</v>
      </c>
      <c r="O838" s="6" t="str">
        <f>TEXT(SalesTbl[[#This Row],[Order Date]],"yyyy-mm")</f>
        <v>2023-08</v>
      </c>
      <c r="P838" s="13">
        <f>WEEKNUM(SalesTbl[[#This Row],[Order Date]],2)</f>
        <v>33</v>
      </c>
      <c r="Q838" s="14">
        <f>MEDIAN(SalesTbl[Quantity])</f>
        <v>3</v>
      </c>
      <c r="R838" s="14">
        <f>IF(ISBLANK(SalesTbl[[#This Row],[Quantity]]),$H$2,SalesTbl[[#This Row],[Quantity]])</f>
        <v>3</v>
      </c>
      <c r="S838">
        <f>ROW()-ROW(SalesTbl[[#Headers],[Customer ID]])</f>
        <v>837</v>
      </c>
      <c r="T838" s="9" t="str">
        <f>IF(SalesTbl[[#This Row],[RowIdx]]&lt;=ROUNDUP(COUNTA(SalesTbl[Customer ID])*0.8,0),"Train","Test")</f>
        <v>Test</v>
      </c>
    </row>
    <row r="839" spans="1:20" x14ac:dyDescent="0.25">
      <c r="A839" t="s">
        <v>239</v>
      </c>
      <c r="B839" t="s">
        <v>13</v>
      </c>
      <c r="C839" t="s">
        <v>321</v>
      </c>
      <c r="D839" t="s">
        <v>40</v>
      </c>
      <c r="E839" t="s">
        <v>15</v>
      </c>
      <c r="F839">
        <v>49</v>
      </c>
      <c r="G839">
        <v>800</v>
      </c>
      <c r="H839">
        <v>5</v>
      </c>
      <c r="I839">
        <v>4000</v>
      </c>
      <c r="J839">
        <v>18.489999999999998</v>
      </c>
      <c r="K839" s="2">
        <v>45273</v>
      </c>
      <c r="L839" t="s">
        <v>318</v>
      </c>
      <c r="M839" s="6">
        <f>SalesTbl[[#This Row],[Unit Price]]*SalesTbl[[#This Row],[Quantity]]</f>
        <v>4000</v>
      </c>
      <c r="N839" s="6">
        <f>YEAR(SalesTbl[[#This Row],[Order Date]])</f>
        <v>2023</v>
      </c>
      <c r="O839" s="6" t="str">
        <f>TEXT(SalesTbl[[#This Row],[Order Date]],"yyyy-mm")</f>
        <v>2023-12</v>
      </c>
      <c r="P839" s="13">
        <f>WEEKNUM(SalesTbl[[#This Row],[Order Date]],2)</f>
        <v>51</v>
      </c>
      <c r="Q839" s="14">
        <f>MEDIAN(SalesTbl[Quantity])</f>
        <v>3</v>
      </c>
      <c r="R839" s="14">
        <f>IF(ISBLANK(SalesTbl[[#This Row],[Quantity]]),$H$2,SalesTbl[[#This Row],[Quantity]])</f>
        <v>5</v>
      </c>
      <c r="S839">
        <f>ROW()-ROW(SalesTbl[[#Headers],[Customer ID]])</f>
        <v>838</v>
      </c>
      <c r="T839" s="9" t="str">
        <f>IF(SalesTbl[[#This Row],[RowIdx]]&lt;=ROUNDUP(COUNTA(SalesTbl[Customer ID])*0.8,0),"Train","Test")</f>
        <v>Test</v>
      </c>
    </row>
    <row r="840" spans="1:20" x14ac:dyDescent="0.25">
      <c r="A840" t="s">
        <v>306</v>
      </c>
      <c r="B840" t="s">
        <v>20</v>
      </c>
      <c r="C840" t="s">
        <v>322</v>
      </c>
      <c r="D840" t="s">
        <v>25</v>
      </c>
      <c r="E840" t="s">
        <v>26</v>
      </c>
      <c r="F840">
        <v>44</v>
      </c>
      <c r="G840">
        <v>200</v>
      </c>
      <c r="H840">
        <v>1</v>
      </c>
      <c r="I840">
        <v>200</v>
      </c>
      <c r="J840">
        <v>7.67</v>
      </c>
      <c r="K840" s="2">
        <v>45115</v>
      </c>
      <c r="L840" t="s">
        <v>316</v>
      </c>
      <c r="M840" s="6">
        <f>SalesTbl[[#This Row],[Unit Price]]*SalesTbl[[#This Row],[Quantity]]</f>
        <v>200</v>
      </c>
      <c r="N840" s="6">
        <f>YEAR(SalesTbl[[#This Row],[Order Date]])</f>
        <v>2023</v>
      </c>
      <c r="O840" s="6" t="str">
        <f>TEXT(SalesTbl[[#This Row],[Order Date]],"yyyy-mm")</f>
        <v>2023-07</v>
      </c>
      <c r="P840" s="13">
        <f>WEEKNUM(SalesTbl[[#This Row],[Order Date]],2)</f>
        <v>28</v>
      </c>
      <c r="Q840" s="14">
        <f>MEDIAN(SalesTbl[Quantity])</f>
        <v>3</v>
      </c>
      <c r="R840" s="14">
        <f>IF(ISBLANK(SalesTbl[[#This Row],[Quantity]]),$H$2,SalesTbl[[#This Row],[Quantity]])</f>
        <v>1</v>
      </c>
      <c r="S840">
        <f>ROW()-ROW(SalesTbl[[#Headers],[Customer ID]])</f>
        <v>839</v>
      </c>
      <c r="T840" s="9" t="str">
        <f>IF(SalesTbl[[#This Row],[RowIdx]]&lt;=ROUNDUP(COUNTA(SalesTbl[Customer ID])*0.8,0),"Train","Test")</f>
        <v>Test</v>
      </c>
    </row>
    <row r="841" spans="1:20" x14ac:dyDescent="0.25">
      <c r="A841" t="s">
        <v>99</v>
      </c>
      <c r="B841" t="s">
        <v>20</v>
      </c>
      <c r="C841" t="s">
        <v>320</v>
      </c>
      <c r="D841" t="s">
        <v>29</v>
      </c>
      <c r="E841" t="s">
        <v>18</v>
      </c>
      <c r="F841">
        <v>19</v>
      </c>
      <c r="G841">
        <v>50</v>
      </c>
      <c r="H841">
        <v>3</v>
      </c>
      <c r="I841">
        <v>150</v>
      </c>
      <c r="J841">
        <v>5.76</v>
      </c>
      <c r="K841" s="2">
        <v>45132</v>
      </c>
      <c r="L841" t="s">
        <v>317</v>
      </c>
      <c r="M841" s="6">
        <f>SalesTbl[[#This Row],[Unit Price]]*SalesTbl[[#This Row],[Quantity]]</f>
        <v>150</v>
      </c>
      <c r="N841" s="6">
        <f>YEAR(SalesTbl[[#This Row],[Order Date]])</f>
        <v>2023</v>
      </c>
      <c r="O841" s="6" t="str">
        <f>TEXT(SalesTbl[[#This Row],[Order Date]],"yyyy-mm")</f>
        <v>2023-07</v>
      </c>
      <c r="P841" s="13">
        <f>WEEKNUM(SalesTbl[[#This Row],[Order Date]],2)</f>
        <v>31</v>
      </c>
      <c r="Q841" s="14">
        <f>MEDIAN(SalesTbl[Quantity])</f>
        <v>3</v>
      </c>
      <c r="R841" s="14">
        <f>IF(ISBLANK(SalesTbl[[#This Row],[Quantity]]),$H$2,SalesTbl[[#This Row],[Quantity]])</f>
        <v>3</v>
      </c>
      <c r="S841">
        <f>ROW()-ROW(SalesTbl[[#Headers],[Customer ID]])</f>
        <v>840</v>
      </c>
      <c r="T841" s="9" t="str">
        <f>IF(SalesTbl[[#This Row],[RowIdx]]&lt;=ROUNDUP(COUNTA(SalesTbl[Customer ID])*0.8,0),"Train","Test")</f>
        <v>Test</v>
      </c>
    </row>
    <row r="842" spans="1:20" x14ac:dyDescent="0.25">
      <c r="A842" t="s">
        <v>299</v>
      </c>
      <c r="B842" t="s">
        <v>13</v>
      </c>
      <c r="C842" t="s">
        <v>319</v>
      </c>
      <c r="D842" t="s">
        <v>25</v>
      </c>
      <c r="E842" t="s">
        <v>26</v>
      </c>
      <c r="F842">
        <v>40</v>
      </c>
      <c r="G842">
        <v>200</v>
      </c>
      <c r="H842">
        <v>1</v>
      </c>
      <c r="I842">
        <v>200</v>
      </c>
      <c r="J842">
        <v>16.29</v>
      </c>
      <c r="K842" s="2">
        <v>45115</v>
      </c>
      <c r="L842" t="s">
        <v>317</v>
      </c>
      <c r="M842" s="6">
        <f>SalesTbl[[#This Row],[Unit Price]]*SalesTbl[[#This Row],[Quantity]]</f>
        <v>200</v>
      </c>
      <c r="N842" s="6">
        <f>YEAR(SalesTbl[[#This Row],[Order Date]])</f>
        <v>2023</v>
      </c>
      <c r="O842" s="6" t="str">
        <f>TEXT(SalesTbl[[#This Row],[Order Date]],"yyyy-mm")</f>
        <v>2023-07</v>
      </c>
      <c r="P842" s="13">
        <f>WEEKNUM(SalesTbl[[#This Row],[Order Date]],2)</f>
        <v>28</v>
      </c>
      <c r="Q842" s="14">
        <f>MEDIAN(SalesTbl[Quantity])</f>
        <v>3</v>
      </c>
      <c r="R842" s="14">
        <f>IF(ISBLANK(SalesTbl[[#This Row],[Quantity]]),$H$2,SalesTbl[[#This Row],[Quantity]])</f>
        <v>1</v>
      </c>
      <c r="S842">
        <f>ROW()-ROW(SalesTbl[[#Headers],[Customer ID]])</f>
        <v>841</v>
      </c>
      <c r="T842" s="9" t="str">
        <f>IF(SalesTbl[[#This Row],[RowIdx]]&lt;=ROUNDUP(COUNTA(SalesTbl[Customer ID])*0.8,0),"Train","Test")</f>
        <v>Test</v>
      </c>
    </row>
    <row r="843" spans="1:20" x14ac:dyDescent="0.25">
      <c r="A843" t="s">
        <v>297</v>
      </c>
      <c r="B843" t="s">
        <v>13</v>
      </c>
      <c r="C843" t="s">
        <v>321</v>
      </c>
      <c r="D843" t="s">
        <v>17</v>
      </c>
      <c r="E843" t="s">
        <v>18</v>
      </c>
      <c r="F843">
        <v>44</v>
      </c>
      <c r="G843">
        <v>100</v>
      </c>
      <c r="H843">
        <v>1</v>
      </c>
      <c r="I843">
        <v>100</v>
      </c>
      <c r="J843">
        <v>6.43</v>
      </c>
      <c r="K843" s="2">
        <v>45135</v>
      </c>
      <c r="L843" t="s">
        <v>316</v>
      </c>
      <c r="M843" s="6">
        <f>SalesTbl[[#This Row],[Unit Price]]*SalesTbl[[#This Row],[Quantity]]</f>
        <v>100</v>
      </c>
      <c r="N843" s="6">
        <f>YEAR(SalesTbl[[#This Row],[Order Date]])</f>
        <v>2023</v>
      </c>
      <c r="O843" s="6" t="str">
        <f>TEXT(SalesTbl[[#This Row],[Order Date]],"yyyy-mm")</f>
        <v>2023-07</v>
      </c>
      <c r="P843" s="13">
        <f>WEEKNUM(SalesTbl[[#This Row],[Order Date]],2)</f>
        <v>31</v>
      </c>
      <c r="Q843" s="14">
        <f>MEDIAN(SalesTbl[Quantity])</f>
        <v>3</v>
      </c>
      <c r="R843" s="14">
        <f>IF(ISBLANK(SalesTbl[[#This Row],[Quantity]]),$H$2,SalesTbl[[#This Row],[Quantity]])</f>
        <v>1</v>
      </c>
      <c r="S843">
        <f>ROW()-ROW(SalesTbl[[#Headers],[Customer ID]])</f>
        <v>842</v>
      </c>
      <c r="T843" s="9" t="str">
        <f>IF(SalesTbl[[#This Row],[RowIdx]]&lt;=ROUNDUP(COUNTA(SalesTbl[Customer ID])*0.8,0),"Train","Test")</f>
        <v>Test</v>
      </c>
    </row>
    <row r="844" spans="1:20" x14ac:dyDescent="0.25">
      <c r="A844" t="s">
        <v>254</v>
      </c>
      <c r="B844" t="s">
        <v>13</v>
      </c>
      <c r="C844" t="s">
        <v>321</v>
      </c>
      <c r="D844" t="s">
        <v>23</v>
      </c>
      <c r="E844" t="s">
        <v>15</v>
      </c>
      <c r="F844">
        <v>69</v>
      </c>
      <c r="G844">
        <v>1500</v>
      </c>
      <c r="H844">
        <v>1</v>
      </c>
      <c r="I844">
        <v>1500</v>
      </c>
      <c r="J844">
        <v>7.32</v>
      </c>
      <c r="K844" s="2">
        <v>45188</v>
      </c>
      <c r="L844" t="s">
        <v>316</v>
      </c>
      <c r="M844" s="6">
        <f>SalesTbl[[#This Row],[Unit Price]]*SalesTbl[[#This Row],[Quantity]]</f>
        <v>1500</v>
      </c>
      <c r="N844" s="6">
        <f>YEAR(SalesTbl[[#This Row],[Order Date]])</f>
        <v>2023</v>
      </c>
      <c r="O844" s="6" t="str">
        <f>TEXT(SalesTbl[[#This Row],[Order Date]],"yyyy-mm")</f>
        <v>2023-09</v>
      </c>
      <c r="P844" s="13">
        <f>WEEKNUM(SalesTbl[[#This Row],[Order Date]],2)</f>
        <v>39</v>
      </c>
      <c r="Q844" s="14">
        <f>MEDIAN(SalesTbl[Quantity])</f>
        <v>3</v>
      </c>
      <c r="R844" s="14">
        <f>IF(ISBLANK(SalesTbl[[#This Row],[Quantity]]),$H$2,SalesTbl[[#This Row],[Quantity]])</f>
        <v>1</v>
      </c>
      <c r="S844">
        <f>ROW()-ROW(SalesTbl[[#Headers],[Customer ID]])</f>
        <v>843</v>
      </c>
      <c r="T844" s="9" t="str">
        <f>IF(SalesTbl[[#This Row],[RowIdx]]&lt;=ROUNDUP(COUNTA(SalesTbl[Customer ID])*0.8,0),"Train","Test")</f>
        <v>Test</v>
      </c>
    </row>
    <row r="845" spans="1:20" x14ac:dyDescent="0.25">
      <c r="A845" t="s">
        <v>160</v>
      </c>
      <c r="B845" t="s">
        <v>20</v>
      </c>
      <c r="C845" t="s">
        <v>322</v>
      </c>
      <c r="D845" t="s">
        <v>25</v>
      </c>
      <c r="E845" t="s">
        <v>26</v>
      </c>
      <c r="F845">
        <v>27</v>
      </c>
      <c r="G845">
        <v>200</v>
      </c>
      <c r="H845">
        <v>2</v>
      </c>
      <c r="I845">
        <v>400</v>
      </c>
      <c r="J845">
        <v>9.9700000000000006</v>
      </c>
      <c r="K845" s="2">
        <v>44944</v>
      </c>
      <c r="L845" t="s">
        <v>316</v>
      </c>
      <c r="M845" s="6">
        <f>SalesTbl[[#This Row],[Unit Price]]*SalesTbl[[#This Row],[Quantity]]</f>
        <v>400</v>
      </c>
      <c r="N845" s="6">
        <f>YEAR(SalesTbl[[#This Row],[Order Date]])</f>
        <v>2023</v>
      </c>
      <c r="O845" s="6" t="str">
        <f>TEXT(SalesTbl[[#This Row],[Order Date]],"yyyy-mm")</f>
        <v>2023-01</v>
      </c>
      <c r="P845" s="13">
        <f>WEEKNUM(SalesTbl[[#This Row],[Order Date]],2)</f>
        <v>4</v>
      </c>
      <c r="Q845" s="14">
        <f>MEDIAN(SalesTbl[Quantity])</f>
        <v>3</v>
      </c>
      <c r="R845" s="14">
        <f>IF(ISBLANK(SalesTbl[[#This Row],[Quantity]]),$H$2,SalesTbl[[#This Row],[Quantity]])</f>
        <v>2</v>
      </c>
      <c r="S845">
        <f>ROW()-ROW(SalesTbl[[#Headers],[Customer ID]])</f>
        <v>844</v>
      </c>
      <c r="T845" s="9" t="str">
        <f>IF(SalesTbl[[#This Row],[RowIdx]]&lt;=ROUNDUP(COUNTA(SalesTbl[Customer ID])*0.8,0),"Train","Test")</f>
        <v>Test</v>
      </c>
    </row>
    <row r="846" spans="1:20" x14ac:dyDescent="0.25">
      <c r="A846" t="s">
        <v>85</v>
      </c>
      <c r="B846" t="s">
        <v>20</v>
      </c>
      <c r="C846" t="s">
        <v>321</v>
      </c>
      <c r="D846" t="s">
        <v>25</v>
      </c>
      <c r="E846" t="s">
        <v>26</v>
      </c>
      <c r="F846">
        <v>41</v>
      </c>
      <c r="G846">
        <v>200</v>
      </c>
      <c r="H846">
        <v>5</v>
      </c>
      <c r="I846">
        <v>1000</v>
      </c>
      <c r="J846">
        <v>12.79</v>
      </c>
      <c r="K846" s="2">
        <v>44932</v>
      </c>
      <c r="L846" t="s">
        <v>317</v>
      </c>
      <c r="M846" s="6">
        <f>SalesTbl[[#This Row],[Unit Price]]*SalesTbl[[#This Row],[Quantity]]</f>
        <v>1000</v>
      </c>
      <c r="N846" s="6">
        <f>YEAR(SalesTbl[[#This Row],[Order Date]])</f>
        <v>2023</v>
      </c>
      <c r="O846" s="6" t="str">
        <f>TEXT(SalesTbl[[#This Row],[Order Date]],"yyyy-mm")</f>
        <v>2023-01</v>
      </c>
      <c r="P846" s="13">
        <f>WEEKNUM(SalesTbl[[#This Row],[Order Date]],2)</f>
        <v>2</v>
      </c>
      <c r="Q846" s="14">
        <f>MEDIAN(SalesTbl[Quantity])</f>
        <v>3</v>
      </c>
      <c r="R846" s="14">
        <f>IF(ISBLANK(SalesTbl[[#This Row],[Quantity]]),$H$2,SalesTbl[[#This Row],[Quantity]])</f>
        <v>5</v>
      </c>
      <c r="S846">
        <f>ROW()-ROW(SalesTbl[[#Headers],[Customer ID]])</f>
        <v>845</v>
      </c>
      <c r="T846" s="9" t="str">
        <f>IF(SalesTbl[[#This Row],[RowIdx]]&lt;=ROUNDUP(COUNTA(SalesTbl[Customer ID])*0.8,0),"Train","Test")</f>
        <v>Test</v>
      </c>
    </row>
    <row r="847" spans="1:20" x14ac:dyDescent="0.25">
      <c r="A847" t="s">
        <v>214</v>
      </c>
      <c r="B847" t="s">
        <v>20</v>
      </c>
      <c r="C847" t="s">
        <v>320</v>
      </c>
      <c r="D847" t="s">
        <v>30</v>
      </c>
      <c r="E847" t="s">
        <v>18</v>
      </c>
      <c r="F847">
        <v>49</v>
      </c>
      <c r="G847">
        <v>30</v>
      </c>
      <c r="H847">
        <v>4</v>
      </c>
      <c r="I847">
        <v>120</v>
      </c>
      <c r="J847">
        <v>17.23</v>
      </c>
      <c r="K847" s="2">
        <v>45116</v>
      </c>
      <c r="L847" t="s">
        <v>316</v>
      </c>
      <c r="M847" s="6">
        <f>SalesTbl[[#This Row],[Unit Price]]*SalesTbl[[#This Row],[Quantity]]</f>
        <v>120</v>
      </c>
      <c r="N847" s="6">
        <f>YEAR(SalesTbl[[#This Row],[Order Date]])</f>
        <v>2023</v>
      </c>
      <c r="O847" s="6" t="str">
        <f>TEXT(SalesTbl[[#This Row],[Order Date]],"yyyy-mm")</f>
        <v>2023-07</v>
      </c>
      <c r="P847" s="13">
        <f>WEEKNUM(SalesTbl[[#This Row],[Order Date]],2)</f>
        <v>28</v>
      </c>
      <c r="Q847" s="14">
        <f>MEDIAN(SalesTbl[Quantity])</f>
        <v>3</v>
      </c>
      <c r="R847" s="14">
        <f>IF(ISBLANK(SalesTbl[[#This Row],[Quantity]]),$H$2,SalesTbl[[#This Row],[Quantity]])</f>
        <v>4</v>
      </c>
      <c r="S847">
        <f>ROW()-ROW(SalesTbl[[#Headers],[Customer ID]])</f>
        <v>846</v>
      </c>
      <c r="T847" s="9" t="str">
        <f>IF(SalesTbl[[#This Row],[RowIdx]]&lt;=ROUNDUP(COUNTA(SalesTbl[Customer ID])*0.8,0),"Train","Test")</f>
        <v>Test</v>
      </c>
    </row>
    <row r="848" spans="1:20" x14ac:dyDescent="0.25">
      <c r="A848" t="s">
        <v>113</v>
      </c>
      <c r="B848" t="s">
        <v>13</v>
      </c>
      <c r="C848" t="s">
        <v>321</v>
      </c>
      <c r="D848" t="s">
        <v>30</v>
      </c>
      <c r="E848" t="s">
        <v>18</v>
      </c>
      <c r="F848">
        <v>63</v>
      </c>
      <c r="G848">
        <v>62.191212249732999</v>
      </c>
      <c r="H848">
        <v>5</v>
      </c>
      <c r="I848">
        <v>150</v>
      </c>
      <c r="J848">
        <v>10.81</v>
      </c>
      <c r="K848" s="2">
        <v>45108</v>
      </c>
      <c r="L848" t="s">
        <v>318</v>
      </c>
      <c r="M848" s="6">
        <f>SalesTbl[[#This Row],[Unit Price]]*SalesTbl[[#This Row],[Quantity]]</f>
        <v>310.95606124866498</v>
      </c>
      <c r="N848" s="6">
        <f>YEAR(SalesTbl[[#This Row],[Order Date]])</f>
        <v>2023</v>
      </c>
      <c r="O848" s="6" t="str">
        <f>TEXT(SalesTbl[[#This Row],[Order Date]],"yyyy-mm")</f>
        <v>2023-07</v>
      </c>
      <c r="P848" s="13">
        <f>WEEKNUM(SalesTbl[[#This Row],[Order Date]],2)</f>
        <v>27</v>
      </c>
      <c r="Q848" s="14">
        <f>MEDIAN(SalesTbl[Quantity])</f>
        <v>3</v>
      </c>
      <c r="R848" s="14">
        <f>IF(ISBLANK(SalesTbl[[#This Row],[Quantity]]),$H$2,SalesTbl[[#This Row],[Quantity]])</f>
        <v>5</v>
      </c>
      <c r="S848">
        <f>ROW()-ROW(SalesTbl[[#Headers],[Customer ID]])</f>
        <v>847</v>
      </c>
      <c r="T848" s="9" t="str">
        <f>IF(SalesTbl[[#This Row],[RowIdx]]&lt;=ROUNDUP(COUNTA(SalesTbl[Customer ID])*0.8,0),"Train","Test")</f>
        <v>Test</v>
      </c>
    </row>
    <row r="849" spans="1:20" x14ac:dyDescent="0.25">
      <c r="A849" t="s">
        <v>202</v>
      </c>
      <c r="B849" t="s">
        <v>13</v>
      </c>
      <c r="C849" t="s">
        <v>323</v>
      </c>
      <c r="D849" t="s">
        <v>25</v>
      </c>
      <c r="E849" t="s">
        <v>26</v>
      </c>
      <c r="F849">
        <v>66</v>
      </c>
      <c r="G849">
        <v>200</v>
      </c>
      <c r="H849">
        <v>4</v>
      </c>
      <c r="I849">
        <v>800</v>
      </c>
      <c r="J849">
        <v>16.989999999999998</v>
      </c>
      <c r="K849" s="2">
        <v>45214</v>
      </c>
      <c r="L849" t="s">
        <v>316</v>
      </c>
      <c r="M849" s="6">
        <f>SalesTbl[[#This Row],[Unit Price]]*SalesTbl[[#This Row],[Quantity]]</f>
        <v>800</v>
      </c>
      <c r="N849" s="6">
        <f>YEAR(SalesTbl[[#This Row],[Order Date]])</f>
        <v>2023</v>
      </c>
      <c r="O849" s="6" t="str">
        <f>TEXT(SalesTbl[[#This Row],[Order Date]],"yyyy-mm")</f>
        <v>2023-10</v>
      </c>
      <c r="P849" s="13">
        <f>WEEKNUM(SalesTbl[[#This Row],[Order Date]],2)</f>
        <v>42</v>
      </c>
      <c r="Q849" s="14">
        <f>MEDIAN(SalesTbl[Quantity])</f>
        <v>3</v>
      </c>
      <c r="R849" s="14">
        <f>IF(ISBLANK(SalesTbl[[#This Row],[Quantity]]),$H$2,SalesTbl[[#This Row],[Quantity]])</f>
        <v>4</v>
      </c>
      <c r="S849">
        <f>ROW()-ROW(SalesTbl[[#Headers],[Customer ID]])</f>
        <v>848</v>
      </c>
      <c r="T849" s="9" t="str">
        <f>IF(SalesTbl[[#This Row],[RowIdx]]&lt;=ROUNDUP(COUNTA(SalesTbl[Customer ID])*0.8,0),"Train","Test")</f>
        <v>Test</v>
      </c>
    </row>
    <row r="850" spans="1:20" x14ac:dyDescent="0.25">
      <c r="A850" t="s">
        <v>136</v>
      </c>
      <c r="B850" t="s">
        <v>20</v>
      </c>
      <c r="C850" t="s">
        <v>320</v>
      </c>
      <c r="D850" t="s">
        <v>14</v>
      </c>
      <c r="E850" t="s">
        <v>15</v>
      </c>
      <c r="F850">
        <v>37</v>
      </c>
      <c r="G850">
        <v>300</v>
      </c>
      <c r="H850">
        <v>3</v>
      </c>
      <c r="I850">
        <v>900</v>
      </c>
      <c r="J850">
        <v>17.149999999999999</v>
      </c>
      <c r="K850" s="2">
        <v>45294</v>
      </c>
      <c r="L850" t="s">
        <v>317</v>
      </c>
      <c r="M850" s="6">
        <f>SalesTbl[[#This Row],[Unit Price]]*SalesTbl[[#This Row],[Quantity]]</f>
        <v>900</v>
      </c>
      <c r="N850" s="6">
        <f>YEAR(SalesTbl[[#This Row],[Order Date]])</f>
        <v>2024</v>
      </c>
      <c r="O850" s="6" t="str">
        <f>TEXT(SalesTbl[[#This Row],[Order Date]],"yyyy-mm")</f>
        <v>2024-01</v>
      </c>
      <c r="P850" s="13">
        <f>WEEKNUM(SalesTbl[[#This Row],[Order Date]],2)</f>
        <v>1</v>
      </c>
      <c r="Q850" s="14">
        <f>MEDIAN(SalesTbl[Quantity])</f>
        <v>3</v>
      </c>
      <c r="R850" s="14">
        <f>IF(ISBLANK(SalesTbl[[#This Row],[Quantity]]),$H$2,SalesTbl[[#This Row],[Quantity]])</f>
        <v>3</v>
      </c>
      <c r="S850">
        <f>ROW()-ROW(SalesTbl[[#Headers],[Customer ID]])</f>
        <v>849</v>
      </c>
      <c r="T850" s="9" t="str">
        <f>IF(SalesTbl[[#This Row],[RowIdx]]&lt;=ROUNDUP(COUNTA(SalesTbl[Customer ID])*0.8,0),"Train","Test")</f>
        <v>Test</v>
      </c>
    </row>
    <row r="851" spans="1:20" x14ac:dyDescent="0.25">
      <c r="A851" t="s">
        <v>295</v>
      </c>
      <c r="B851" t="s">
        <v>13</v>
      </c>
      <c r="C851" t="s">
        <v>322</v>
      </c>
      <c r="D851" t="s">
        <v>23</v>
      </c>
      <c r="E851" t="s">
        <v>15</v>
      </c>
      <c r="F851">
        <v>39</v>
      </c>
      <c r="G851">
        <v>1500</v>
      </c>
      <c r="H851">
        <v>2</v>
      </c>
      <c r="I851">
        <v>3000</v>
      </c>
      <c r="J851">
        <v>11.24</v>
      </c>
      <c r="K851" s="2">
        <v>45246</v>
      </c>
      <c r="L851" t="s">
        <v>316</v>
      </c>
      <c r="M851" s="6">
        <f>SalesTbl[[#This Row],[Unit Price]]*SalesTbl[[#This Row],[Quantity]]</f>
        <v>3000</v>
      </c>
      <c r="N851" s="6">
        <f>YEAR(SalesTbl[[#This Row],[Order Date]])</f>
        <v>2023</v>
      </c>
      <c r="O851" s="6" t="str">
        <f>TEXT(SalesTbl[[#This Row],[Order Date]],"yyyy-mm")</f>
        <v>2023-11</v>
      </c>
      <c r="P851" s="13">
        <f>WEEKNUM(SalesTbl[[#This Row],[Order Date]],2)</f>
        <v>47</v>
      </c>
      <c r="Q851" s="14">
        <f>MEDIAN(SalesTbl[Quantity])</f>
        <v>3</v>
      </c>
      <c r="R851" s="14">
        <f>IF(ISBLANK(SalesTbl[[#This Row],[Quantity]]),$H$2,SalesTbl[[#This Row],[Quantity]])</f>
        <v>2</v>
      </c>
      <c r="S851">
        <f>ROW()-ROW(SalesTbl[[#Headers],[Customer ID]])</f>
        <v>850</v>
      </c>
      <c r="T851" s="9" t="str">
        <f>IF(SalesTbl[[#This Row],[RowIdx]]&lt;=ROUNDUP(COUNTA(SalesTbl[Customer ID])*0.8,0),"Train","Test")</f>
        <v>Test</v>
      </c>
    </row>
    <row r="852" spans="1:20" x14ac:dyDescent="0.25">
      <c r="A852" t="s">
        <v>50</v>
      </c>
      <c r="B852" t="s">
        <v>20</v>
      </c>
      <c r="C852" t="s">
        <v>320</v>
      </c>
      <c r="D852" t="s">
        <v>14</v>
      </c>
      <c r="E852" t="s">
        <v>15</v>
      </c>
      <c r="F852">
        <v>31</v>
      </c>
      <c r="G852">
        <v>300</v>
      </c>
      <c r="H852">
        <v>2</v>
      </c>
      <c r="I852">
        <v>600</v>
      </c>
      <c r="J852">
        <v>5.84</v>
      </c>
      <c r="K852" s="2">
        <v>45157</v>
      </c>
      <c r="L852" t="s">
        <v>317</v>
      </c>
      <c r="M852" s="6">
        <f>SalesTbl[[#This Row],[Unit Price]]*SalesTbl[[#This Row],[Quantity]]</f>
        <v>600</v>
      </c>
      <c r="N852" s="6">
        <f>YEAR(SalesTbl[[#This Row],[Order Date]])</f>
        <v>2023</v>
      </c>
      <c r="O852" s="6" t="str">
        <f>TEXT(SalesTbl[[#This Row],[Order Date]],"yyyy-mm")</f>
        <v>2023-08</v>
      </c>
      <c r="P852" s="13">
        <f>WEEKNUM(SalesTbl[[#This Row],[Order Date]],2)</f>
        <v>34</v>
      </c>
      <c r="Q852" s="14">
        <f>MEDIAN(SalesTbl[Quantity])</f>
        <v>3</v>
      </c>
      <c r="R852" s="14">
        <f>IF(ISBLANK(SalesTbl[[#This Row],[Quantity]]),$H$2,SalesTbl[[#This Row],[Quantity]])</f>
        <v>2</v>
      </c>
      <c r="S852">
        <f>ROW()-ROW(SalesTbl[[#Headers],[Customer ID]])</f>
        <v>851</v>
      </c>
      <c r="T852" s="9" t="str">
        <f>IF(SalesTbl[[#This Row],[RowIdx]]&lt;=ROUNDUP(COUNTA(SalesTbl[Customer ID])*0.8,0),"Train","Test")</f>
        <v>Test</v>
      </c>
    </row>
    <row r="853" spans="1:20" x14ac:dyDescent="0.25">
      <c r="A853" t="s">
        <v>81</v>
      </c>
      <c r="B853" t="s">
        <v>20</v>
      </c>
      <c r="C853" t="s">
        <v>321</v>
      </c>
      <c r="D853" t="s">
        <v>40</v>
      </c>
      <c r="E853" t="s">
        <v>15</v>
      </c>
      <c r="F853">
        <v>33</v>
      </c>
      <c r="G853">
        <v>800</v>
      </c>
      <c r="H853">
        <v>2</v>
      </c>
      <c r="I853">
        <v>1600</v>
      </c>
      <c r="J853">
        <v>7.61</v>
      </c>
      <c r="K853" s="2">
        <v>45268</v>
      </c>
      <c r="L853" t="s">
        <v>316</v>
      </c>
      <c r="M853" s="6">
        <f>SalesTbl[[#This Row],[Unit Price]]*SalesTbl[[#This Row],[Quantity]]</f>
        <v>1600</v>
      </c>
      <c r="N853" s="6">
        <f>YEAR(SalesTbl[[#This Row],[Order Date]])</f>
        <v>2023</v>
      </c>
      <c r="O853" s="6" t="str">
        <f>TEXT(SalesTbl[[#This Row],[Order Date]],"yyyy-mm")</f>
        <v>2023-12</v>
      </c>
      <c r="P853" s="13">
        <f>WEEKNUM(SalesTbl[[#This Row],[Order Date]],2)</f>
        <v>50</v>
      </c>
      <c r="Q853" s="14">
        <f>MEDIAN(SalesTbl[Quantity])</f>
        <v>3</v>
      </c>
      <c r="R853" s="14">
        <f>IF(ISBLANK(SalesTbl[[#This Row],[Quantity]]),$H$2,SalesTbl[[#This Row],[Quantity]])</f>
        <v>2</v>
      </c>
      <c r="S853">
        <f>ROW()-ROW(SalesTbl[[#Headers],[Customer ID]])</f>
        <v>852</v>
      </c>
      <c r="T853" s="9" t="str">
        <f>IF(SalesTbl[[#This Row],[RowIdx]]&lt;=ROUNDUP(COUNTA(SalesTbl[Customer ID])*0.8,0),"Train","Test")</f>
        <v>Test</v>
      </c>
    </row>
    <row r="854" spans="1:20" x14ac:dyDescent="0.25">
      <c r="A854" t="s">
        <v>67</v>
      </c>
      <c r="B854" t="s">
        <v>13</v>
      </c>
      <c r="C854" t="s">
        <v>323</v>
      </c>
      <c r="D854" t="s">
        <v>17</v>
      </c>
      <c r="E854" t="s">
        <v>18</v>
      </c>
      <c r="F854">
        <v>68</v>
      </c>
      <c r="G854">
        <v>100</v>
      </c>
      <c r="H854">
        <v>4</v>
      </c>
      <c r="I854">
        <v>400</v>
      </c>
      <c r="J854">
        <v>14.97</v>
      </c>
      <c r="K854" s="2">
        <v>45269</v>
      </c>
      <c r="L854" t="s">
        <v>316</v>
      </c>
      <c r="M854" s="6">
        <f>SalesTbl[[#This Row],[Unit Price]]*SalesTbl[[#This Row],[Quantity]]</f>
        <v>400</v>
      </c>
      <c r="N854" s="6">
        <f>YEAR(SalesTbl[[#This Row],[Order Date]])</f>
        <v>2023</v>
      </c>
      <c r="O854" s="6" t="str">
        <f>TEXT(SalesTbl[[#This Row],[Order Date]],"yyyy-mm")</f>
        <v>2023-12</v>
      </c>
      <c r="P854" s="13">
        <f>WEEKNUM(SalesTbl[[#This Row],[Order Date]],2)</f>
        <v>50</v>
      </c>
      <c r="Q854" s="14">
        <f>MEDIAN(SalesTbl[Quantity])</f>
        <v>3</v>
      </c>
      <c r="R854" s="14">
        <f>IF(ISBLANK(SalesTbl[[#This Row],[Quantity]]),$H$2,SalesTbl[[#This Row],[Quantity]])</f>
        <v>4</v>
      </c>
      <c r="S854">
        <f>ROW()-ROW(SalesTbl[[#Headers],[Customer ID]])</f>
        <v>853</v>
      </c>
      <c r="T854" s="9" t="str">
        <f>IF(SalesTbl[[#This Row],[RowIdx]]&lt;=ROUNDUP(COUNTA(SalesTbl[Customer ID])*0.8,0),"Train","Test")</f>
        <v>Test</v>
      </c>
    </row>
    <row r="855" spans="1:20" x14ac:dyDescent="0.25">
      <c r="A855" t="s">
        <v>298</v>
      </c>
      <c r="B855" t="s">
        <v>20</v>
      </c>
      <c r="C855" t="s">
        <v>322</v>
      </c>
      <c r="D855" t="s">
        <v>14</v>
      </c>
      <c r="E855" t="s">
        <v>15</v>
      </c>
      <c r="F855">
        <v>35</v>
      </c>
      <c r="G855">
        <v>300</v>
      </c>
      <c r="H855">
        <v>1</v>
      </c>
      <c r="I855">
        <v>300</v>
      </c>
      <c r="J855">
        <v>15.16</v>
      </c>
      <c r="K855" s="2">
        <v>45224</v>
      </c>
      <c r="L855" t="s">
        <v>316</v>
      </c>
      <c r="M855" s="6">
        <f>SalesTbl[[#This Row],[Unit Price]]*SalesTbl[[#This Row],[Quantity]]</f>
        <v>300</v>
      </c>
      <c r="N855" s="6">
        <f>YEAR(SalesTbl[[#This Row],[Order Date]])</f>
        <v>2023</v>
      </c>
      <c r="O855" s="6" t="str">
        <f>TEXT(SalesTbl[[#This Row],[Order Date]],"yyyy-mm")</f>
        <v>2023-10</v>
      </c>
      <c r="P855" s="13">
        <f>WEEKNUM(SalesTbl[[#This Row],[Order Date]],2)</f>
        <v>44</v>
      </c>
      <c r="Q855" s="14">
        <f>MEDIAN(SalesTbl[Quantity])</f>
        <v>3</v>
      </c>
      <c r="R855" s="14">
        <f>IF(ISBLANK(SalesTbl[[#This Row],[Quantity]]),$H$2,SalesTbl[[#This Row],[Quantity]])</f>
        <v>1</v>
      </c>
      <c r="S855">
        <f>ROW()-ROW(SalesTbl[[#Headers],[Customer ID]])</f>
        <v>854</v>
      </c>
      <c r="T855" s="9" t="str">
        <f>IF(SalesTbl[[#This Row],[RowIdx]]&lt;=ROUNDUP(COUNTA(SalesTbl[Customer ID])*0.8,0),"Train","Test")</f>
        <v>Test</v>
      </c>
    </row>
    <row r="856" spans="1:20" x14ac:dyDescent="0.25">
      <c r="A856" t="s">
        <v>16</v>
      </c>
      <c r="B856" t="s">
        <v>13</v>
      </c>
      <c r="C856" t="s">
        <v>323</v>
      </c>
      <c r="D856" t="s">
        <v>23</v>
      </c>
      <c r="E856" t="s">
        <v>15</v>
      </c>
      <c r="F856">
        <v>22</v>
      </c>
      <c r="G856">
        <v>1500</v>
      </c>
      <c r="H856">
        <v>2</v>
      </c>
      <c r="I856">
        <v>3000</v>
      </c>
      <c r="J856">
        <v>15.58</v>
      </c>
      <c r="K856" s="2">
        <v>45276</v>
      </c>
      <c r="L856" t="s">
        <v>318</v>
      </c>
      <c r="M856" s="6">
        <f>SalesTbl[[#This Row],[Unit Price]]*SalesTbl[[#This Row],[Quantity]]</f>
        <v>3000</v>
      </c>
      <c r="N856" s="6">
        <f>YEAR(SalesTbl[[#This Row],[Order Date]])</f>
        <v>2023</v>
      </c>
      <c r="O856" s="6" t="str">
        <f>TEXT(SalesTbl[[#This Row],[Order Date]],"yyyy-mm")</f>
        <v>2023-12</v>
      </c>
      <c r="P856" s="13">
        <f>WEEKNUM(SalesTbl[[#This Row],[Order Date]],2)</f>
        <v>51</v>
      </c>
      <c r="Q856" s="14">
        <f>MEDIAN(SalesTbl[Quantity])</f>
        <v>3</v>
      </c>
      <c r="R856" s="14">
        <f>IF(ISBLANK(SalesTbl[[#This Row],[Quantity]]),$H$2,SalesTbl[[#This Row],[Quantity]])</f>
        <v>2</v>
      </c>
      <c r="S856">
        <f>ROW()-ROW(SalesTbl[[#Headers],[Customer ID]])</f>
        <v>855</v>
      </c>
      <c r="T856" s="9" t="str">
        <f>IF(SalesTbl[[#This Row],[RowIdx]]&lt;=ROUNDUP(COUNTA(SalesTbl[Customer ID])*0.8,0),"Train","Test")</f>
        <v>Test</v>
      </c>
    </row>
    <row r="857" spans="1:20" x14ac:dyDescent="0.25">
      <c r="A857" t="s">
        <v>242</v>
      </c>
      <c r="B857" t="s">
        <v>20</v>
      </c>
      <c r="C857" t="s">
        <v>320</v>
      </c>
      <c r="D857" t="s">
        <v>23</v>
      </c>
      <c r="E857" t="s">
        <v>15</v>
      </c>
      <c r="F857">
        <v>68</v>
      </c>
      <c r="G857">
        <v>1500</v>
      </c>
      <c r="H857">
        <v>1</v>
      </c>
      <c r="I857">
        <v>1500</v>
      </c>
      <c r="J857">
        <v>5.57</v>
      </c>
      <c r="K857" s="2">
        <v>45144</v>
      </c>
      <c r="L857" t="s">
        <v>318</v>
      </c>
      <c r="M857" s="6">
        <f>SalesTbl[[#This Row],[Unit Price]]*SalesTbl[[#This Row],[Quantity]]</f>
        <v>1500</v>
      </c>
      <c r="N857" s="6">
        <f>YEAR(SalesTbl[[#This Row],[Order Date]])</f>
        <v>2023</v>
      </c>
      <c r="O857" s="6" t="str">
        <f>TEXT(SalesTbl[[#This Row],[Order Date]],"yyyy-mm")</f>
        <v>2023-08</v>
      </c>
      <c r="P857" s="13">
        <f>WEEKNUM(SalesTbl[[#This Row],[Order Date]],2)</f>
        <v>32</v>
      </c>
      <c r="Q857" s="14">
        <f>MEDIAN(SalesTbl[Quantity])</f>
        <v>3</v>
      </c>
      <c r="R857" s="14">
        <f>IF(ISBLANK(SalesTbl[[#This Row],[Quantity]]),$H$2,SalesTbl[[#This Row],[Quantity]])</f>
        <v>1</v>
      </c>
      <c r="S857">
        <f>ROW()-ROW(SalesTbl[[#Headers],[Customer ID]])</f>
        <v>856</v>
      </c>
      <c r="T857" s="9" t="str">
        <f>IF(SalesTbl[[#This Row],[RowIdx]]&lt;=ROUNDUP(COUNTA(SalesTbl[Customer ID])*0.8,0),"Train","Test")</f>
        <v>Test</v>
      </c>
    </row>
    <row r="858" spans="1:20" x14ac:dyDescent="0.25">
      <c r="A858" t="s">
        <v>279</v>
      </c>
      <c r="B858" t="s">
        <v>13</v>
      </c>
      <c r="C858" t="s">
        <v>323</v>
      </c>
      <c r="D858" t="s">
        <v>23</v>
      </c>
      <c r="E858" t="s">
        <v>15</v>
      </c>
      <c r="F858">
        <v>38</v>
      </c>
      <c r="G858">
        <v>1500</v>
      </c>
      <c r="H858">
        <v>4</v>
      </c>
      <c r="I858">
        <v>6000</v>
      </c>
      <c r="J858">
        <v>11.28</v>
      </c>
      <c r="K858" s="2">
        <v>45042</v>
      </c>
      <c r="L858" t="s">
        <v>316</v>
      </c>
      <c r="M858" s="6">
        <f>SalesTbl[[#This Row],[Unit Price]]*SalesTbl[[#This Row],[Quantity]]</f>
        <v>6000</v>
      </c>
      <c r="N858" s="6">
        <f>YEAR(SalesTbl[[#This Row],[Order Date]])</f>
        <v>2023</v>
      </c>
      <c r="O858" s="6" t="str">
        <f>TEXT(SalesTbl[[#This Row],[Order Date]],"yyyy-mm")</f>
        <v>2023-04</v>
      </c>
      <c r="P858" s="13">
        <f>WEEKNUM(SalesTbl[[#This Row],[Order Date]],2)</f>
        <v>18</v>
      </c>
      <c r="Q858" s="14">
        <f>MEDIAN(SalesTbl[Quantity])</f>
        <v>3</v>
      </c>
      <c r="R858" s="14">
        <f>IF(ISBLANK(SalesTbl[[#This Row],[Quantity]]),$H$2,SalesTbl[[#This Row],[Quantity]])</f>
        <v>4</v>
      </c>
      <c r="S858">
        <f>ROW()-ROW(SalesTbl[[#Headers],[Customer ID]])</f>
        <v>857</v>
      </c>
      <c r="T858" s="9" t="str">
        <f>IF(SalesTbl[[#This Row],[RowIdx]]&lt;=ROUNDUP(COUNTA(SalesTbl[Customer ID])*0.8,0),"Train","Test")</f>
        <v>Test</v>
      </c>
    </row>
    <row r="859" spans="1:20" x14ac:dyDescent="0.25">
      <c r="A859" t="s">
        <v>291</v>
      </c>
      <c r="B859" t="s">
        <v>20</v>
      </c>
      <c r="C859" t="s">
        <v>321</v>
      </c>
      <c r="D859" t="s">
        <v>40</v>
      </c>
      <c r="E859" t="s">
        <v>15</v>
      </c>
      <c r="F859">
        <v>53</v>
      </c>
      <c r="G859">
        <v>800</v>
      </c>
      <c r="H859">
        <v>4</v>
      </c>
      <c r="I859">
        <v>3200</v>
      </c>
      <c r="J859">
        <v>14.35</v>
      </c>
      <c r="K859" s="2">
        <v>45104</v>
      </c>
      <c r="L859" t="s">
        <v>318</v>
      </c>
      <c r="M859" s="6">
        <f>SalesTbl[[#This Row],[Unit Price]]*SalesTbl[[#This Row],[Quantity]]</f>
        <v>3200</v>
      </c>
      <c r="N859" s="6">
        <f>YEAR(SalesTbl[[#This Row],[Order Date]])</f>
        <v>2023</v>
      </c>
      <c r="O859" s="6" t="str">
        <f>TEXT(SalesTbl[[#This Row],[Order Date]],"yyyy-mm")</f>
        <v>2023-06</v>
      </c>
      <c r="P859" s="13">
        <f>WEEKNUM(SalesTbl[[#This Row],[Order Date]],2)</f>
        <v>27</v>
      </c>
      <c r="Q859" s="14">
        <f>MEDIAN(SalesTbl[Quantity])</f>
        <v>3</v>
      </c>
      <c r="R859" s="14">
        <f>IF(ISBLANK(SalesTbl[[#This Row],[Quantity]]),$H$2,SalesTbl[[#This Row],[Quantity]])</f>
        <v>4</v>
      </c>
      <c r="S859">
        <f>ROW()-ROW(SalesTbl[[#Headers],[Customer ID]])</f>
        <v>858</v>
      </c>
      <c r="T859" s="9" t="str">
        <f>IF(SalesTbl[[#This Row],[RowIdx]]&lt;=ROUNDUP(COUNTA(SalesTbl[Customer ID])*0.8,0),"Train","Test")</f>
        <v>Test</v>
      </c>
    </row>
    <row r="860" spans="1:20" x14ac:dyDescent="0.25">
      <c r="A860" t="s">
        <v>110</v>
      </c>
      <c r="B860" t="s">
        <v>20</v>
      </c>
      <c r="C860" t="s">
        <v>321</v>
      </c>
      <c r="D860" t="s">
        <v>29</v>
      </c>
      <c r="E860" t="s">
        <v>18</v>
      </c>
      <c r="F860">
        <v>38</v>
      </c>
      <c r="G860">
        <v>50</v>
      </c>
      <c r="H860">
        <v>4</v>
      </c>
      <c r="I860">
        <v>200</v>
      </c>
      <c r="J860">
        <v>19.170000000000002</v>
      </c>
      <c r="K860" s="2">
        <v>44952</v>
      </c>
      <c r="L860" t="s">
        <v>316</v>
      </c>
      <c r="M860" s="6">
        <f>SalesTbl[[#This Row],[Unit Price]]*SalesTbl[[#This Row],[Quantity]]</f>
        <v>200</v>
      </c>
      <c r="N860" s="6">
        <f>YEAR(SalesTbl[[#This Row],[Order Date]])</f>
        <v>2023</v>
      </c>
      <c r="O860" s="6" t="str">
        <f>TEXT(SalesTbl[[#This Row],[Order Date]],"yyyy-mm")</f>
        <v>2023-01</v>
      </c>
      <c r="P860" s="13">
        <f>WEEKNUM(SalesTbl[[#This Row],[Order Date]],2)</f>
        <v>5</v>
      </c>
      <c r="Q860" s="14">
        <f>MEDIAN(SalesTbl[Quantity])</f>
        <v>3</v>
      </c>
      <c r="R860" s="14">
        <f>IF(ISBLANK(SalesTbl[[#This Row],[Quantity]]),$H$2,SalesTbl[[#This Row],[Quantity]])</f>
        <v>4</v>
      </c>
      <c r="S860">
        <f>ROW()-ROW(SalesTbl[[#Headers],[Customer ID]])</f>
        <v>859</v>
      </c>
      <c r="T860" s="9" t="str">
        <f>IF(SalesTbl[[#This Row],[RowIdx]]&lt;=ROUNDUP(COUNTA(SalesTbl[Customer ID])*0.8,0),"Train","Test")</f>
        <v>Test</v>
      </c>
    </row>
    <row r="861" spans="1:20" x14ac:dyDescent="0.25">
      <c r="A861" t="s">
        <v>159</v>
      </c>
      <c r="B861" t="s">
        <v>13</v>
      </c>
      <c r="C861" t="s">
        <v>322</v>
      </c>
      <c r="D861" t="s">
        <v>30</v>
      </c>
      <c r="E861" t="s">
        <v>18</v>
      </c>
      <c r="F861">
        <v>26</v>
      </c>
      <c r="G861">
        <v>30</v>
      </c>
      <c r="H861">
        <v>1</v>
      </c>
      <c r="I861">
        <v>30</v>
      </c>
      <c r="J861">
        <v>10.220000000000001</v>
      </c>
      <c r="K861" s="2">
        <v>45225</v>
      </c>
      <c r="L861" t="s">
        <v>318</v>
      </c>
      <c r="M861" s="6">
        <f>SalesTbl[[#This Row],[Unit Price]]*SalesTbl[[#This Row],[Quantity]]</f>
        <v>30</v>
      </c>
      <c r="N861" s="6">
        <f>YEAR(SalesTbl[[#This Row],[Order Date]])</f>
        <v>2023</v>
      </c>
      <c r="O861" s="6" t="str">
        <f>TEXT(SalesTbl[[#This Row],[Order Date]],"yyyy-mm")</f>
        <v>2023-10</v>
      </c>
      <c r="P861" s="13">
        <f>WEEKNUM(SalesTbl[[#This Row],[Order Date]],2)</f>
        <v>44</v>
      </c>
      <c r="Q861" s="14">
        <f>MEDIAN(SalesTbl[Quantity])</f>
        <v>3</v>
      </c>
      <c r="R861" s="14">
        <f>IF(ISBLANK(SalesTbl[[#This Row],[Quantity]]),$H$2,SalesTbl[[#This Row],[Quantity]])</f>
        <v>1</v>
      </c>
      <c r="S861">
        <f>ROW()-ROW(SalesTbl[[#Headers],[Customer ID]])</f>
        <v>860</v>
      </c>
      <c r="T861" s="9" t="str">
        <f>IF(SalesTbl[[#This Row],[RowIdx]]&lt;=ROUNDUP(COUNTA(SalesTbl[Customer ID])*0.8,0),"Train","Test")</f>
        <v>Test</v>
      </c>
    </row>
    <row r="862" spans="1:20" x14ac:dyDescent="0.25">
      <c r="A862" t="s">
        <v>304</v>
      </c>
      <c r="B862" t="s">
        <v>13</v>
      </c>
      <c r="C862" t="s">
        <v>320</v>
      </c>
      <c r="D862" t="s">
        <v>29</v>
      </c>
      <c r="E862" t="s">
        <v>18</v>
      </c>
      <c r="F862">
        <v>35</v>
      </c>
      <c r="G862">
        <v>50</v>
      </c>
      <c r="H862">
        <v>3</v>
      </c>
      <c r="I862">
        <v>150</v>
      </c>
      <c r="J862">
        <v>12.89</v>
      </c>
      <c r="K862" s="2">
        <v>44956</v>
      </c>
      <c r="L862" t="s">
        <v>317</v>
      </c>
      <c r="M862" s="6">
        <f>SalesTbl[[#This Row],[Unit Price]]*SalesTbl[[#This Row],[Quantity]]</f>
        <v>150</v>
      </c>
      <c r="N862" s="6">
        <f>YEAR(SalesTbl[[#This Row],[Order Date]])</f>
        <v>2023</v>
      </c>
      <c r="O862" s="6" t="str">
        <f>TEXT(SalesTbl[[#This Row],[Order Date]],"yyyy-mm")</f>
        <v>2023-01</v>
      </c>
      <c r="P862" s="13">
        <f>WEEKNUM(SalesTbl[[#This Row],[Order Date]],2)</f>
        <v>6</v>
      </c>
      <c r="Q862" s="14">
        <f>MEDIAN(SalesTbl[Quantity])</f>
        <v>3</v>
      </c>
      <c r="R862" s="14">
        <f>IF(ISBLANK(SalesTbl[[#This Row],[Quantity]]),$H$2,SalesTbl[[#This Row],[Quantity]])</f>
        <v>3</v>
      </c>
      <c r="S862">
        <f>ROW()-ROW(SalesTbl[[#Headers],[Customer ID]])</f>
        <v>861</v>
      </c>
      <c r="T862" s="9" t="str">
        <f>IF(SalesTbl[[#This Row],[RowIdx]]&lt;=ROUNDUP(COUNTA(SalesTbl[Customer ID])*0.8,0),"Train","Test")</f>
        <v>Test</v>
      </c>
    </row>
    <row r="863" spans="1:20" x14ac:dyDescent="0.25">
      <c r="A863" t="s">
        <v>307</v>
      </c>
      <c r="B863" t="s">
        <v>20</v>
      </c>
      <c r="C863" t="s">
        <v>320</v>
      </c>
      <c r="D863" t="s">
        <v>29</v>
      </c>
      <c r="E863" t="s">
        <v>18</v>
      </c>
      <c r="F863">
        <v>38</v>
      </c>
      <c r="G863">
        <v>50</v>
      </c>
      <c r="H863">
        <v>4</v>
      </c>
      <c r="I863">
        <v>200</v>
      </c>
      <c r="J863">
        <v>7.52</v>
      </c>
      <c r="K863" s="2">
        <v>45075</v>
      </c>
      <c r="L863" t="s">
        <v>317</v>
      </c>
      <c r="M863" s="6">
        <f>SalesTbl[[#This Row],[Unit Price]]*SalesTbl[[#This Row],[Quantity]]</f>
        <v>200</v>
      </c>
      <c r="N863" s="6">
        <f>YEAR(SalesTbl[[#This Row],[Order Date]])</f>
        <v>2023</v>
      </c>
      <c r="O863" s="6" t="str">
        <f>TEXT(SalesTbl[[#This Row],[Order Date]],"yyyy-mm")</f>
        <v>2023-05</v>
      </c>
      <c r="P863" s="13">
        <f>WEEKNUM(SalesTbl[[#This Row],[Order Date]],2)</f>
        <v>23</v>
      </c>
      <c r="Q863" s="14">
        <f>MEDIAN(SalesTbl[Quantity])</f>
        <v>3</v>
      </c>
      <c r="R863" s="14">
        <f>IF(ISBLANK(SalesTbl[[#This Row],[Quantity]]),$H$2,SalesTbl[[#This Row],[Quantity]])</f>
        <v>4</v>
      </c>
      <c r="S863">
        <f>ROW()-ROW(SalesTbl[[#Headers],[Customer ID]])</f>
        <v>862</v>
      </c>
      <c r="T863" s="9" t="str">
        <f>IF(SalesTbl[[#This Row],[RowIdx]]&lt;=ROUNDUP(COUNTA(SalesTbl[Customer ID])*0.8,0),"Train","Test")</f>
        <v>Test</v>
      </c>
    </row>
    <row r="864" spans="1:20" x14ac:dyDescent="0.25">
      <c r="A864" t="s">
        <v>308</v>
      </c>
      <c r="B864" t="s">
        <v>20</v>
      </c>
      <c r="C864" t="s">
        <v>322</v>
      </c>
      <c r="D864" t="s">
        <v>14</v>
      </c>
      <c r="E864" t="s">
        <v>15</v>
      </c>
      <c r="F864">
        <v>45</v>
      </c>
      <c r="G864">
        <v>300</v>
      </c>
      <c r="H864">
        <v>2</v>
      </c>
      <c r="I864">
        <v>600</v>
      </c>
      <c r="J864">
        <v>9.09</v>
      </c>
      <c r="K864" s="2">
        <v>45201</v>
      </c>
      <c r="L864" t="s">
        <v>317</v>
      </c>
      <c r="M864" s="6">
        <f>SalesTbl[[#This Row],[Unit Price]]*SalesTbl[[#This Row],[Quantity]]</f>
        <v>600</v>
      </c>
      <c r="N864" s="6">
        <f>YEAR(SalesTbl[[#This Row],[Order Date]])</f>
        <v>2023</v>
      </c>
      <c r="O864" s="6" t="str">
        <f>TEXT(SalesTbl[[#This Row],[Order Date]],"yyyy-mm")</f>
        <v>2023-10</v>
      </c>
      <c r="P864" s="13">
        <f>WEEKNUM(SalesTbl[[#This Row],[Order Date]],2)</f>
        <v>41</v>
      </c>
      <c r="Q864" s="14">
        <f>MEDIAN(SalesTbl[Quantity])</f>
        <v>3</v>
      </c>
      <c r="R864" s="14">
        <f>IF(ISBLANK(SalesTbl[[#This Row],[Quantity]]),$H$2,SalesTbl[[#This Row],[Quantity]])</f>
        <v>2</v>
      </c>
      <c r="S864">
        <f>ROW()-ROW(SalesTbl[[#Headers],[Customer ID]])</f>
        <v>863</v>
      </c>
      <c r="T864" s="9" t="str">
        <f>IF(SalesTbl[[#This Row],[RowIdx]]&lt;=ROUNDUP(COUNTA(SalesTbl[Customer ID])*0.8,0),"Train","Test")</f>
        <v>Test</v>
      </c>
    </row>
    <row r="865" spans="1:20" x14ac:dyDescent="0.25">
      <c r="A865" t="s">
        <v>230</v>
      </c>
      <c r="B865" t="s">
        <v>13</v>
      </c>
      <c r="C865" t="s">
        <v>320</v>
      </c>
      <c r="D865" t="s">
        <v>14</v>
      </c>
      <c r="E865" t="s">
        <v>15</v>
      </c>
      <c r="F865">
        <v>42</v>
      </c>
      <c r="G865">
        <v>300</v>
      </c>
      <c r="H865">
        <v>4</v>
      </c>
      <c r="I865">
        <v>1200</v>
      </c>
      <c r="J865">
        <v>5.56</v>
      </c>
      <c r="K865" s="2">
        <v>45083</v>
      </c>
      <c r="L865" t="s">
        <v>317</v>
      </c>
      <c r="M865" s="6">
        <f>SalesTbl[[#This Row],[Unit Price]]*SalesTbl[[#This Row],[Quantity]]</f>
        <v>1200</v>
      </c>
      <c r="N865" s="6">
        <f>YEAR(SalesTbl[[#This Row],[Order Date]])</f>
        <v>2023</v>
      </c>
      <c r="O865" s="6" t="str">
        <f>TEXT(SalesTbl[[#This Row],[Order Date]],"yyyy-mm")</f>
        <v>2023-06</v>
      </c>
      <c r="P865" s="13">
        <f>WEEKNUM(SalesTbl[[#This Row],[Order Date]],2)</f>
        <v>24</v>
      </c>
      <c r="Q865" s="14">
        <f>MEDIAN(SalesTbl[Quantity])</f>
        <v>3</v>
      </c>
      <c r="R865" s="14">
        <f>IF(ISBLANK(SalesTbl[[#This Row],[Quantity]]),$H$2,SalesTbl[[#This Row],[Quantity]])</f>
        <v>4</v>
      </c>
      <c r="S865">
        <f>ROW()-ROW(SalesTbl[[#Headers],[Customer ID]])</f>
        <v>864</v>
      </c>
      <c r="T865" s="9" t="str">
        <f>IF(SalesTbl[[#This Row],[RowIdx]]&lt;=ROUNDUP(COUNTA(SalesTbl[Customer ID])*0.8,0),"Train","Test")</f>
        <v>Test</v>
      </c>
    </row>
    <row r="866" spans="1:20" x14ac:dyDescent="0.25">
      <c r="A866" t="s">
        <v>53</v>
      </c>
      <c r="B866" t="s">
        <v>13</v>
      </c>
      <c r="C866" t="s">
        <v>320</v>
      </c>
      <c r="D866" t="s">
        <v>25</v>
      </c>
      <c r="E866" t="s">
        <v>26</v>
      </c>
      <c r="F866">
        <v>49</v>
      </c>
      <c r="G866">
        <v>200</v>
      </c>
      <c r="H866">
        <v>2</v>
      </c>
      <c r="I866">
        <v>400</v>
      </c>
      <c r="J866">
        <v>19.66</v>
      </c>
      <c r="K866" s="2">
        <v>44957</v>
      </c>
      <c r="L866" t="s">
        <v>316</v>
      </c>
      <c r="M866" s="6">
        <f>SalesTbl[[#This Row],[Unit Price]]*SalesTbl[[#This Row],[Quantity]]</f>
        <v>400</v>
      </c>
      <c r="N866" s="6">
        <f>YEAR(SalesTbl[[#This Row],[Order Date]])</f>
        <v>2023</v>
      </c>
      <c r="O866" s="6" t="str">
        <f>TEXT(SalesTbl[[#This Row],[Order Date]],"yyyy-mm")</f>
        <v>2023-01</v>
      </c>
      <c r="P866" s="13">
        <f>WEEKNUM(SalesTbl[[#This Row],[Order Date]],2)</f>
        <v>6</v>
      </c>
      <c r="Q866" s="14">
        <f>MEDIAN(SalesTbl[Quantity])</f>
        <v>3</v>
      </c>
      <c r="R866" s="14">
        <f>IF(ISBLANK(SalesTbl[[#This Row],[Quantity]]),$H$2,SalesTbl[[#This Row],[Quantity]])</f>
        <v>2</v>
      </c>
      <c r="S866">
        <f>ROW()-ROW(SalesTbl[[#Headers],[Customer ID]])</f>
        <v>865</v>
      </c>
      <c r="T866" s="9" t="str">
        <f>IF(SalesTbl[[#This Row],[RowIdx]]&lt;=ROUNDUP(COUNTA(SalesTbl[Customer ID])*0.8,0),"Train","Test")</f>
        <v>Test</v>
      </c>
    </row>
    <row r="867" spans="1:20" x14ac:dyDescent="0.25">
      <c r="A867" t="s">
        <v>39</v>
      </c>
      <c r="B867" t="s">
        <v>13</v>
      </c>
      <c r="C867" t="s">
        <v>322</v>
      </c>
      <c r="D867" t="s">
        <v>14</v>
      </c>
      <c r="E867" t="s">
        <v>15</v>
      </c>
      <c r="F867">
        <v>30</v>
      </c>
      <c r="G867">
        <v>300</v>
      </c>
      <c r="H867">
        <v>1</v>
      </c>
      <c r="I867">
        <v>300</v>
      </c>
      <c r="J867">
        <v>11.26</v>
      </c>
      <c r="K867" s="2">
        <v>45291</v>
      </c>
      <c r="L867" t="s">
        <v>316</v>
      </c>
      <c r="M867" s="6">
        <f>SalesTbl[[#This Row],[Unit Price]]*SalesTbl[[#This Row],[Quantity]]</f>
        <v>300</v>
      </c>
      <c r="N867" s="6">
        <f>YEAR(SalesTbl[[#This Row],[Order Date]])</f>
        <v>2023</v>
      </c>
      <c r="O867" s="6" t="str">
        <f>TEXT(SalesTbl[[#This Row],[Order Date]],"yyyy-mm")</f>
        <v>2023-12</v>
      </c>
      <c r="P867" s="13">
        <f>WEEKNUM(SalesTbl[[#This Row],[Order Date]],2)</f>
        <v>53</v>
      </c>
      <c r="Q867" s="14">
        <f>MEDIAN(SalesTbl[Quantity])</f>
        <v>3</v>
      </c>
      <c r="R867" s="14">
        <f>IF(ISBLANK(SalesTbl[[#This Row],[Quantity]]),$H$2,SalesTbl[[#This Row],[Quantity]])</f>
        <v>1</v>
      </c>
      <c r="S867">
        <f>ROW()-ROW(SalesTbl[[#Headers],[Customer ID]])</f>
        <v>866</v>
      </c>
      <c r="T867" s="9" t="str">
        <f>IF(SalesTbl[[#This Row],[RowIdx]]&lt;=ROUNDUP(COUNTA(SalesTbl[Customer ID])*0.8,0),"Train","Test")</f>
        <v>Test</v>
      </c>
    </row>
    <row r="868" spans="1:20" x14ac:dyDescent="0.25">
      <c r="A868" t="s">
        <v>176</v>
      </c>
      <c r="B868" t="s">
        <v>13</v>
      </c>
      <c r="C868" t="s">
        <v>322</v>
      </c>
      <c r="D868" t="s">
        <v>30</v>
      </c>
      <c r="E868" t="s">
        <v>18</v>
      </c>
      <c r="F868">
        <v>20</v>
      </c>
      <c r="G868">
        <v>30</v>
      </c>
      <c r="H868">
        <v>1</v>
      </c>
      <c r="I868">
        <v>30</v>
      </c>
      <c r="J868">
        <v>5.41</v>
      </c>
      <c r="K868" s="2">
        <v>44931</v>
      </c>
      <c r="L868" t="s">
        <v>317</v>
      </c>
      <c r="M868" s="6">
        <f>SalesTbl[[#This Row],[Unit Price]]*SalesTbl[[#This Row],[Quantity]]</f>
        <v>30</v>
      </c>
      <c r="N868" s="6">
        <f>YEAR(SalesTbl[[#This Row],[Order Date]])</f>
        <v>2023</v>
      </c>
      <c r="O868" s="6" t="str">
        <f>TEXT(SalesTbl[[#This Row],[Order Date]],"yyyy-mm")</f>
        <v>2023-01</v>
      </c>
      <c r="P868" s="13">
        <f>WEEKNUM(SalesTbl[[#This Row],[Order Date]],2)</f>
        <v>2</v>
      </c>
      <c r="Q868" s="14">
        <f>MEDIAN(SalesTbl[Quantity])</f>
        <v>3</v>
      </c>
      <c r="R868" s="14">
        <f>IF(ISBLANK(SalesTbl[[#This Row],[Quantity]]),$H$2,SalesTbl[[#This Row],[Quantity]])</f>
        <v>1</v>
      </c>
      <c r="S868">
        <f>ROW()-ROW(SalesTbl[[#Headers],[Customer ID]])</f>
        <v>867</v>
      </c>
      <c r="T868" s="9" t="str">
        <f>IF(SalesTbl[[#This Row],[RowIdx]]&lt;=ROUNDUP(COUNTA(SalesTbl[Customer ID])*0.8,0),"Train","Test")</f>
        <v>Test</v>
      </c>
    </row>
    <row r="869" spans="1:20" x14ac:dyDescent="0.25">
      <c r="A869" t="s">
        <v>234</v>
      </c>
      <c r="B869" t="s">
        <v>20</v>
      </c>
      <c r="C869" t="s">
        <v>322</v>
      </c>
      <c r="D869" t="s">
        <v>23</v>
      </c>
      <c r="E869" t="s">
        <v>15</v>
      </c>
      <c r="F869">
        <v>18</v>
      </c>
      <c r="G869">
        <v>1500</v>
      </c>
      <c r="H869">
        <v>2</v>
      </c>
      <c r="I869">
        <v>3000</v>
      </c>
      <c r="J869">
        <v>10.130000000000001</v>
      </c>
      <c r="K869" s="2">
        <v>45087</v>
      </c>
      <c r="L869" t="s">
        <v>318</v>
      </c>
      <c r="M869" s="6">
        <f>SalesTbl[[#This Row],[Unit Price]]*SalesTbl[[#This Row],[Quantity]]</f>
        <v>3000</v>
      </c>
      <c r="N869" s="6">
        <f>YEAR(SalesTbl[[#This Row],[Order Date]])</f>
        <v>2023</v>
      </c>
      <c r="O869" s="6" t="str">
        <f>TEXT(SalesTbl[[#This Row],[Order Date]],"yyyy-mm")</f>
        <v>2023-06</v>
      </c>
      <c r="P869" s="13">
        <f>WEEKNUM(SalesTbl[[#This Row],[Order Date]],2)</f>
        <v>24</v>
      </c>
      <c r="Q869" s="14">
        <f>MEDIAN(SalesTbl[Quantity])</f>
        <v>3</v>
      </c>
      <c r="R869" s="14">
        <f>IF(ISBLANK(SalesTbl[[#This Row],[Quantity]]),$H$2,SalesTbl[[#This Row],[Quantity]])</f>
        <v>2</v>
      </c>
      <c r="S869">
        <f>ROW()-ROW(SalesTbl[[#Headers],[Customer ID]])</f>
        <v>868</v>
      </c>
      <c r="T869" s="9" t="str">
        <f>IF(SalesTbl[[#This Row],[RowIdx]]&lt;=ROUNDUP(COUNTA(SalesTbl[Customer ID])*0.8,0),"Train","Test")</f>
        <v>Test</v>
      </c>
    </row>
    <row r="870" spans="1:20" x14ac:dyDescent="0.25">
      <c r="A870" t="s">
        <v>139</v>
      </c>
      <c r="B870" t="s">
        <v>20</v>
      </c>
      <c r="C870" t="s">
        <v>322</v>
      </c>
      <c r="D870" t="s">
        <v>40</v>
      </c>
      <c r="E870" t="s">
        <v>15</v>
      </c>
      <c r="F870">
        <v>35</v>
      </c>
      <c r="G870">
        <v>800</v>
      </c>
      <c r="H870">
        <v>4</v>
      </c>
      <c r="I870">
        <v>3200</v>
      </c>
      <c r="J870">
        <v>7.74</v>
      </c>
      <c r="K870" s="2">
        <v>45072</v>
      </c>
      <c r="L870" t="s">
        <v>318</v>
      </c>
      <c r="M870" s="6">
        <f>SalesTbl[[#This Row],[Unit Price]]*SalesTbl[[#This Row],[Quantity]]</f>
        <v>3200</v>
      </c>
      <c r="N870" s="6">
        <f>YEAR(SalesTbl[[#This Row],[Order Date]])</f>
        <v>2023</v>
      </c>
      <c r="O870" s="6" t="str">
        <f>TEXT(SalesTbl[[#This Row],[Order Date]],"yyyy-mm")</f>
        <v>2023-05</v>
      </c>
      <c r="P870" s="13">
        <f>WEEKNUM(SalesTbl[[#This Row],[Order Date]],2)</f>
        <v>22</v>
      </c>
      <c r="Q870" s="14">
        <f>MEDIAN(SalesTbl[Quantity])</f>
        <v>3</v>
      </c>
      <c r="R870" s="14">
        <f>IF(ISBLANK(SalesTbl[[#This Row],[Quantity]]),$H$2,SalesTbl[[#This Row],[Quantity]])</f>
        <v>4</v>
      </c>
      <c r="S870">
        <f>ROW()-ROW(SalesTbl[[#Headers],[Customer ID]])</f>
        <v>869</v>
      </c>
      <c r="T870" s="9" t="str">
        <f>IF(SalesTbl[[#This Row],[RowIdx]]&lt;=ROUNDUP(COUNTA(SalesTbl[Customer ID])*0.8,0),"Train","Test")</f>
        <v>Test</v>
      </c>
    </row>
    <row r="871" spans="1:20" x14ac:dyDescent="0.25">
      <c r="A871" t="s">
        <v>107</v>
      </c>
      <c r="B871" t="s">
        <v>13</v>
      </c>
      <c r="C871" t="s">
        <v>321</v>
      </c>
      <c r="D871" t="s">
        <v>25</v>
      </c>
      <c r="E871" t="s">
        <v>26</v>
      </c>
      <c r="F871">
        <v>49</v>
      </c>
      <c r="G871">
        <v>200</v>
      </c>
      <c r="H871">
        <v>1</v>
      </c>
      <c r="I871">
        <v>200</v>
      </c>
      <c r="J871">
        <v>8.2799999999999994</v>
      </c>
      <c r="K871" s="2">
        <v>45205</v>
      </c>
      <c r="L871" t="s">
        <v>317</v>
      </c>
      <c r="M871" s="6">
        <f>SalesTbl[[#This Row],[Unit Price]]*SalesTbl[[#This Row],[Quantity]]</f>
        <v>200</v>
      </c>
      <c r="N871" s="6">
        <f>YEAR(SalesTbl[[#This Row],[Order Date]])</f>
        <v>2023</v>
      </c>
      <c r="O871" s="6" t="str">
        <f>TEXT(SalesTbl[[#This Row],[Order Date]],"yyyy-mm")</f>
        <v>2023-10</v>
      </c>
      <c r="P871" s="13">
        <f>WEEKNUM(SalesTbl[[#This Row],[Order Date]],2)</f>
        <v>41</v>
      </c>
      <c r="Q871" s="14">
        <f>MEDIAN(SalesTbl[Quantity])</f>
        <v>3</v>
      </c>
      <c r="R871" s="14">
        <f>IF(ISBLANK(SalesTbl[[#This Row],[Quantity]]),$H$2,SalesTbl[[#This Row],[Quantity]])</f>
        <v>1</v>
      </c>
      <c r="S871">
        <f>ROW()-ROW(SalesTbl[[#Headers],[Customer ID]])</f>
        <v>870</v>
      </c>
      <c r="T871" s="9" t="str">
        <f>IF(SalesTbl[[#This Row],[RowIdx]]&lt;=ROUNDUP(COUNTA(SalesTbl[Customer ID])*0.8,0),"Train","Test")</f>
        <v>Test</v>
      </c>
    </row>
    <row r="872" spans="1:20" x14ac:dyDescent="0.25">
      <c r="A872" t="s">
        <v>233</v>
      </c>
      <c r="B872" t="s">
        <v>20</v>
      </c>
      <c r="C872" t="s">
        <v>322</v>
      </c>
      <c r="D872" t="s">
        <v>14</v>
      </c>
      <c r="E872" t="s">
        <v>15</v>
      </c>
      <c r="F872">
        <v>38</v>
      </c>
      <c r="G872">
        <v>300</v>
      </c>
      <c r="H872">
        <v>2</v>
      </c>
      <c r="I872">
        <v>600</v>
      </c>
      <c r="J872">
        <v>17.38</v>
      </c>
      <c r="K872" s="2">
        <v>45032</v>
      </c>
      <c r="L872" t="s">
        <v>318</v>
      </c>
      <c r="M872" s="6">
        <f>SalesTbl[[#This Row],[Unit Price]]*SalesTbl[[#This Row],[Quantity]]</f>
        <v>600</v>
      </c>
      <c r="N872" s="6">
        <f>YEAR(SalesTbl[[#This Row],[Order Date]])</f>
        <v>2023</v>
      </c>
      <c r="O872" s="6" t="str">
        <f>TEXT(SalesTbl[[#This Row],[Order Date]],"yyyy-mm")</f>
        <v>2023-04</v>
      </c>
      <c r="P872" s="13">
        <f>WEEKNUM(SalesTbl[[#This Row],[Order Date]],2)</f>
        <v>16</v>
      </c>
      <c r="Q872" s="14">
        <f>MEDIAN(SalesTbl[Quantity])</f>
        <v>3</v>
      </c>
      <c r="R872" s="14">
        <f>IF(ISBLANK(SalesTbl[[#This Row],[Quantity]]),$H$2,SalesTbl[[#This Row],[Quantity]])</f>
        <v>2</v>
      </c>
      <c r="S872">
        <f>ROW()-ROW(SalesTbl[[#Headers],[Customer ID]])</f>
        <v>871</v>
      </c>
      <c r="T872" s="9" t="str">
        <f>IF(SalesTbl[[#This Row],[RowIdx]]&lt;=ROUNDUP(COUNTA(SalesTbl[Customer ID])*0.8,0),"Train","Test")</f>
        <v>Test</v>
      </c>
    </row>
    <row r="873" spans="1:20" x14ac:dyDescent="0.25">
      <c r="A873" t="s">
        <v>126</v>
      </c>
      <c r="B873" t="s">
        <v>13</v>
      </c>
      <c r="C873" t="s">
        <v>321</v>
      </c>
      <c r="D873" t="s">
        <v>29</v>
      </c>
      <c r="E873" t="s">
        <v>18</v>
      </c>
      <c r="F873">
        <v>50</v>
      </c>
      <c r="G873">
        <v>50</v>
      </c>
      <c r="H873">
        <v>4</v>
      </c>
      <c r="I873">
        <v>200</v>
      </c>
      <c r="J873">
        <v>11.39</v>
      </c>
      <c r="K873" s="2">
        <v>44943</v>
      </c>
      <c r="L873" t="s">
        <v>318</v>
      </c>
      <c r="M873" s="6">
        <f>SalesTbl[[#This Row],[Unit Price]]*SalesTbl[[#This Row],[Quantity]]</f>
        <v>200</v>
      </c>
      <c r="N873" s="6">
        <f>YEAR(SalesTbl[[#This Row],[Order Date]])</f>
        <v>2023</v>
      </c>
      <c r="O873" s="6" t="str">
        <f>TEXT(SalesTbl[[#This Row],[Order Date]],"yyyy-mm")</f>
        <v>2023-01</v>
      </c>
      <c r="P873" s="13">
        <f>WEEKNUM(SalesTbl[[#This Row],[Order Date]],2)</f>
        <v>4</v>
      </c>
      <c r="Q873" s="14">
        <f>MEDIAN(SalesTbl[Quantity])</f>
        <v>3</v>
      </c>
      <c r="R873" s="14">
        <f>IF(ISBLANK(SalesTbl[[#This Row],[Quantity]]),$H$2,SalesTbl[[#This Row],[Quantity]])</f>
        <v>4</v>
      </c>
      <c r="S873">
        <f>ROW()-ROW(SalesTbl[[#Headers],[Customer ID]])</f>
        <v>872</v>
      </c>
      <c r="T873" s="9" t="str">
        <f>IF(SalesTbl[[#This Row],[RowIdx]]&lt;=ROUNDUP(COUNTA(SalesTbl[Customer ID])*0.8,0),"Train","Test")</f>
        <v>Test</v>
      </c>
    </row>
    <row r="874" spans="1:20" x14ac:dyDescent="0.25">
      <c r="A874" t="s">
        <v>28</v>
      </c>
      <c r="B874" t="s">
        <v>13</v>
      </c>
      <c r="C874" t="s">
        <v>322</v>
      </c>
      <c r="D874" t="s">
        <v>23</v>
      </c>
      <c r="E874" t="s">
        <v>15</v>
      </c>
      <c r="F874">
        <v>18</v>
      </c>
      <c r="G874">
        <v>1500</v>
      </c>
      <c r="H874">
        <v>3</v>
      </c>
      <c r="I874">
        <v>4500</v>
      </c>
      <c r="J874">
        <v>18.829999999999998</v>
      </c>
      <c r="K874" s="2">
        <v>45007</v>
      </c>
      <c r="L874" t="s">
        <v>317</v>
      </c>
      <c r="M874" s="6">
        <f>SalesTbl[[#This Row],[Unit Price]]*SalesTbl[[#This Row],[Quantity]]</f>
        <v>4500</v>
      </c>
      <c r="N874" s="6">
        <f>YEAR(SalesTbl[[#This Row],[Order Date]])</f>
        <v>2023</v>
      </c>
      <c r="O874" s="6" t="str">
        <f>TEXT(SalesTbl[[#This Row],[Order Date]],"yyyy-mm")</f>
        <v>2023-03</v>
      </c>
      <c r="P874" s="13">
        <f>WEEKNUM(SalesTbl[[#This Row],[Order Date]],2)</f>
        <v>13</v>
      </c>
      <c r="Q874" s="14">
        <f>MEDIAN(SalesTbl[Quantity])</f>
        <v>3</v>
      </c>
      <c r="R874" s="14">
        <f>IF(ISBLANK(SalesTbl[[#This Row],[Quantity]]),$H$2,SalesTbl[[#This Row],[Quantity]])</f>
        <v>3</v>
      </c>
      <c r="S874">
        <f>ROW()-ROW(SalesTbl[[#Headers],[Customer ID]])</f>
        <v>873</v>
      </c>
      <c r="T874" s="9" t="str">
        <f>IF(SalesTbl[[#This Row],[RowIdx]]&lt;=ROUNDUP(COUNTA(SalesTbl[Customer ID])*0.8,0),"Train","Test")</f>
        <v>Test</v>
      </c>
    </row>
    <row r="875" spans="1:20" x14ac:dyDescent="0.25">
      <c r="A875" t="s">
        <v>49</v>
      </c>
      <c r="B875" t="s">
        <v>20</v>
      </c>
      <c r="C875" t="s">
        <v>322</v>
      </c>
      <c r="D875" t="s">
        <v>25</v>
      </c>
      <c r="E875" t="s">
        <v>26</v>
      </c>
      <c r="F875">
        <v>25</v>
      </c>
      <c r="G875">
        <v>200</v>
      </c>
      <c r="H875">
        <v>1</v>
      </c>
      <c r="I875">
        <v>200</v>
      </c>
      <c r="J875">
        <v>6.96</v>
      </c>
      <c r="K875" s="2">
        <v>45250</v>
      </c>
      <c r="L875" t="s">
        <v>316</v>
      </c>
      <c r="M875" s="6">
        <f>SalesTbl[[#This Row],[Unit Price]]*SalesTbl[[#This Row],[Quantity]]</f>
        <v>200</v>
      </c>
      <c r="N875" s="6">
        <f>YEAR(SalesTbl[[#This Row],[Order Date]])</f>
        <v>2023</v>
      </c>
      <c r="O875" s="6" t="str">
        <f>TEXT(SalesTbl[[#This Row],[Order Date]],"yyyy-mm")</f>
        <v>2023-11</v>
      </c>
      <c r="P875" s="13">
        <f>WEEKNUM(SalesTbl[[#This Row],[Order Date]],2)</f>
        <v>48</v>
      </c>
      <c r="Q875" s="14">
        <f>MEDIAN(SalesTbl[Quantity])</f>
        <v>3</v>
      </c>
      <c r="R875" s="14">
        <f>IF(ISBLANK(SalesTbl[[#This Row],[Quantity]]),$H$2,SalesTbl[[#This Row],[Quantity]])</f>
        <v>1</v>
      </c>
      <c r="S875">
        <f>ROW()-ROW(SalesTbl[[#Headers],[Customer ID]])</f>
        <v>874</v>
      </c>
      <c r="T875" s="9" t="str">
        <f>IF(SalesTbl[[#This Row],[RowIdx]]&lt;=ROUNDUP(COUNTA(SalesTbl[Customer ID])*0.8,0),"Train","Test")</f>
        <v>Test</v>
      </c>
    </row>
    <row r="876" spans="1:20" x14ac:dyDescent="0.25">
      <c r="A876" t="s">
        <v>120</v>
      </c>
      <c r="B876" t="s">
        <v>13</v>
      </c>
      <c r="C876" t="s">
        <v>320</v>
      </c>
      <c r="D876" t="s">
        <v>23</v>
      </c>
      <c r="E876" t="s">
        <v>15</v>
      </c>
      <c r="F876">
        <v>58</v>
      </c>
      <c r="G876">
        <v>1500</v>
      </c>
      <c r="H876">
        <v>5</v>
      </c>
      <c r="I876">
        <v>7500</v>
      </c>
      <c r="J876">
        <v>6.21</v>
      </c>
      <c r="K876" s="2">
        <v>45128</v>
      </c>
      <c r="L876" t="s">
        <v>319</v>
      </c>
      <c r="M876" s="6">
        <f>SalesTbl[[#This Row],[Unit Price]]*SalesTbl[[#This Row],[Quantity]]</f>
        <v>7500</v>
      </c>
      <c r="N876" s="6">
        <f>YEAR(SalesTbl[[#This Row],[Order Date]])</f>
        <v>2023</v>
      </c>
      <c r="O876" s="6" t="str">
        <f>TEXT(SalesTbl[[#This Row],[Order Date]],"yyyy-mm")</f>
        <v>2023-07</v>
      </c>
      <c r="P876" s="13">
        <f>WEEKNUM(SalesTbl[[#This Row],[Order Date]],2)</f>
        <v>30</v>
      </c>
      <c r="Q876" s="14">
        <f>MEDIAN(SalesTbl[Quantity])</f>
        <v>3</v>
      </c>
      <c r="R876" s="14">
        <f>IF(ISBLANK(SalesTbl[[#This Row],[Quantity]]),$H$2,SalesTbl[[#This Row],[Quantity]])</f>
        <v>5</v>
      </c>
      <c r="S876">
        <f>ROW()-ROW(SalesTbl[[#Headers],[Customer ID]])</f>
        <v>875</v>
      </c>
      <c r="T876" s="9" t="str">
        <f>IF(SalesTbl[[#This Row],[RowIdx]]&lt;=ROUNDUP(COUNTA(SalesTbl[Customer ID])*0.8,0),"Train","Test")</f>
        <v>Test</v>
      </c>
    </row>
    <row r="877" spans="1:20" x14ac:dyDescent="0.25">
      <c r="A877" t="s">
        <v>87</v>
      </c>
      <c r="B877" t="s">
        <v>13</v>
      </c>
      <c r="C877" t="s">
        <v>323</v>
      </c>
      <c r="D877" t="s">
        <v>17</v>
      </c>
      <c r="E877" t="s">
        <v>18</v>
      </c>
      <c r="F877">
        <v>21</v>
      </c>
      <c r="G877">
        <v>100</v>
      </c>
      <c r="H877">
        <v>4</v>
      </c>
      <c r="I877">
        <v>400</v>
      </c>
      <c r="J877">
        <v>18.3</v>
      </c>
      <c r="K877" s="2">
        <v>45133</v>
      </c>
      <c r="L877" t="s">
        <v>318</v>
      </c>
      <c r="M877" s="6">
        <f>SalesTbl[[#This Row],[Unit Price]]*SalesTbl[[#This Row],[Quantity]]</f>
        <v>400</v>
      </c>
      <c r="N877" s="6">
        <f>YEAR(SalesTbl[[#This Row],[Order Date]])</f>
        <v>2023</v>
      </c>
      <c r="O877" s="6" t="str">
        <f>TEXT(SalesTbl[[#This Row],[Order Date]],"yyyy-mm")</f>
        <v>2023-07</v>
      </c>
      <c r="P877" s="13">
        <f>WEEKNUM(SalesTbl[[#This Row],[Order Date]],2)</f>
        <v>31</v>
      </c>
      <c r="Q877" s="14">
        <f>MEDIAN(SalesTbl[Quantity])</f>
        <v>3</v>
      </c>
      <c r="R877" s="14">
        <f>IF(ISBLANK(SalesTbl[[#This Row],[Quantity]]),$H$2,SalesTbl[[#This Row],[Quantity]])</f>
        <v>4</v>
      </c>
      <c r="S877">
        <f>ROW()-ROW(SalesTbl[[#Headers],[Customer ID]])</f>
        <v>876</v>
      </c>
      <c r="T877" s="9" t="str">
        <f>IF(SalesTbl[[#This Row],[RowIdx]]&lt;=ROUNDUP(COUNTA(SalesTbl[Customer ID])*0.8,0),"Train","Test")</f>
        <v>Test</v>
      </c>
    </row>
    <row r="878" spans="1:20" x14ac:dyDescent="0.25">
      <c r="A878" t="s">
        <v>164</v>
      </c>
      <c r="B878" t="s">
        <v>13</v>
      </c>
      <c r="C878" t="s">
        <v>321</v>
      </c>
      <c r="D878" t="s">
        <v>23</v>
      </c>
      <c r="E878" t="s">
        <v>15</v>
      </c>
      <c r="F878">
        <v>57</v>
      </c>
      <c r="G878">
        <v>1500</v>
      </c>
      <c r="H878">
        <v>5</v>
      </c>
      <c r="I878">
        <v>7500</v>
      </c>
      <c r="J878">
        <v>7.57</v>
      </c>
      <c r="K878" s="2">
        <v>45064</v>
      </c>
      <c r="L878" t="s">
        <v>316</v>
      </c>
      <c r="M878" s="6">
        <f>SalesTbl[[#This Row],[Unit Price]]*SalesTbl[[#This Row],[Quantity]]</f>
        <v>7500</v>
      </c>
      <c r="N878" s="6">
        <f>YEAR(SalesTbl[[#This Row],[Order Date]])</f>
        <v>2023</v>
      </c>
      <c r="O878" s="6" t="str">
        <f>TEXT(SalesTbl[[#This Row],[Order Date]],"yyyy-mm")</f>
        <v>2023-05</v>
      </c>
      <c r="P878" s="13">
        <f>WEEKNUM(SalesTbl[[#This Row],[Order Date]],2)</f>
        <v>21</v>
      </c>
      <c r="Q878" s="14">
        <f>MEDIAN(SalesTbl[Quantity])</f>
        <v>3</v>
      </c>
      <c r="R878" s="14">
        <f>IF(ISBLANK(SalesTbl[[#This Row],[Quantity]]),$H$2,SalesTbl[[#This Row],[Quantity]])</f>
        <v>5</v>
      </c>
      <c r="S878">
        <f>ROW()-ROW(SalesTbl[[#Headers],[Customer ID]])</f>
        <v>877</v>
      </c>
      <c r="T878" s="9" t="str">
        <f>IF(SalesTbl[[#This Row],[RowIdx]]&lt;=ROUNDUP(COUNTA(SalesTbl[Customer ID])*0.8,0),"Train","Test")</f>
        <v>Test</v>
      </c>
    </row>
    <row r="879" spans="1:20" x14ac:dyDescent="0.25">
      <c r="A879" t="s">
        <v>208</v>
      </c>
      <c r="B879" t="s">
        <v>13</v>
      </c>
      <c r="C879" t="s">
        <v>323</v>
      </c>
      <c r="D879" t="s">
        <v>14</v>
      </c>
      <c r="E879" t="s">
        <v>15</v>
      </c>
      <c r="F879">
        <v>26</v>
      </c>
      <c r="G879">
        <v>621.91212249732996</v>
      </c>
      <c r="H879">
        <v>2</v>
      </c>
      <c r="I879">
        <v>600</v>
      </c>
      <c r="J879">
        <v>7.02</v>
      </c>
      <c r="K879" s="2">
        <v>45294</v>
      </c>
      <c r="L879" t="s">
        <v>317</v>
      </c>
      <c r="M879" s="6">
        <f>SalesTbl[[#This Row],[Unit Price]]*SalesTbl[[#This Row],[Quantity]]</f>
        <v>1243.8242449946599</v>
      </c>
      <c r="N879" s="6">
        <f>YEAR(SalesTbl[[#This Row],[Order Date]])</f>
        <v>2024</v>
      </c>
      <c r="O879" s="6" t="str">
        <f>TEXT(SalesTbl[[#This Row],[Order Date]],"yyyy-mm")</f>
        <v>2024-01</v>
      </c>
      <c r="P879" s="13">
        <f>WEEKNUM(SalesTbl[[#This Row],[Order Date]],2)</f>
        <v>1</v>
      </c>
      <c r="Q879" s="14">
        <f>MEDIAN(SalesTbl[Quantity])</f>
        <v>3</v>
      </c>
      <c r="R879" s="14">
        <f>IF(ISBLANK(SalesTbl[[#This Row],[Quantity]]),$H$2,SalesTbl[[#This Row],[Quantity]])</f>
        <v>2</v>
      </c>
      <c r="S879">
        <f>ROW()-ROW(SalesTbl[[#Headers],[Customer ID]])</f>
        <v>878</v>
      </c>
      <c r="T879" s="9" t="str">
        <f>IF(SalesTbl[[#This Row],[RowIdx]]&lt;=ROUNDUP(COUNTA(SalesTbl[Customer ID])*0.8,0),"Train","Test")</f>
        <v>Test</v>
      </c>
    </row>
    <row r="880" spans="1:20" x14ac:dyDescent="0.25">
      <c r="A880" t="s">
        <v>176</v>
      </c>
      <c r="B880" t="s">
        <v>13</v>
      </c>
      <c r="C880" t="s">
        <v>321</v>
      </c>
      <c r="D880" t="s">
        <v>14</v>
      </c>
      <c r="E880" t="s">
        <v>15</v>
      </c>
      <c r="F880">
        <v>20</v>
      </c>
      <c r="G880">
        <v>300</v>
      </c>
      <c r="H880">
        <v>2</v>
      </c>
      <c r="I880">
        <v>600</v>
      </c>
      <c r="J880">
        <v>11.06</v>
      </c>
      <c r="K880" s="2">
        <v>45150</v>
      </c>
      <c r="L880" t="s">
        <v>319</v>
      </c>
      <c r="M880" s="6">
        <f>SalesTbl[[#This Row],[Unit Price]]*SalesTbl[[#This Row],[Quantity]]</f>
        <v>600</v>
      </c>
      <c r="N880" s="6">
        <f>YEAR(SalesTbl[[#This Row],[Order Date]])</f>
        <v>2023</v>
      </c>
      <c r="O880" s="6" t="str">
        <f>TEXT(SalesTbl[[#This Row],[Order Date]],"yyyy-mm")</f>
        <v>2023-08</v>
      </c>
      <c r="P880" s="13">
        <f>WEEKNUM(SalesTbl[[#This Row],[Order Date]],2)</f>
        <v>33</v>
      </c>
      <c r="Q880" s="14">
        <f>MEDIAN(SalesTbl[Quantity])</f>
        <v>3</v>
      </c>
      <c r="R880" s="14">
        <f>IF(ISBLANK(SalesTbl[[#This Row],[Quantity]]),$H$2,SalesTbl[[#This Row],[Quantity]])</f>
        <v>2</v>
      </c>
      <c r="S880">
        <f>ROW()-ROW(SalesTbl[[#Headers],[Customer ID]])</f>
        <v>879</v>
      </c>
      <c r="T880" s="9" t="str">
        <f>IF(SalesTbl[[#This Row],[RowIdx]]&lt;=ROUNDUP(COUNTA(SalesTbl[Customer ID])*0.8,0),"Train","Test")</f>
        <v>Test</v>
      </c>
    </row>
    <row r="881" spans="1:20" x14ac:dyDescent="0.25">
      <c r="A881" t="s">
        <v>139</v>
      </c>
      <c r="B881" t="s">
        <v>20</v>
      </c>
      <c r="C881" t="s">
        <v>323</v>
      </c>
      <c r="D881" t="s">
        <v>30</v>
      </c>
      <c r="E881" t="s">
        <v>18</v>
      </c>
      <c r="F881">
        <v>35</v>
      </c>
      <c r="G881">
        <v>30</v>
      </c>
      <c r="H881">
        <v>5</v>
      </c>
      <c r="I881">
        <v>150</v>
      </c>
      <c r="J881">
        <v>13.08</v>
      </c>
      <c r="K881" s="2">
        <v>45154</v>
      </c>
      <c r="L881" t="s">
        <v>318</v>
      </c>
      <c r="M881" s="6">
        <f>SalesTbl[[#This Row],[Unit Price]]*SalesTbl[[#This Row],[Quantity]]</f>
        <v>150</v>
      </c>
      <c r="N881" s="6">
        <f>YEAR(SalesTbl[[#This Row],[Order Date]])</f>
        <v>2023</v>
      </c>
      <c r="O881" s="6" t="str">
        <f>TEXT(SalesTbl[[#This Row],[Order Date]],"yyyy-mm")</f>
        <v>2023-08</v>
      </c>
      <c r="P881" s="13">
        <f>WEEKNUM(SalesTbl[[#This Row],[Order Date]],2)</f>
        <v>34</v>
      </c>
      <c r="Q881" s="14">
        <f>MEDIAN(SalesTbl[Quantity])</f>
        <v>3</v>
      </c>
      <c r="R881" s="14">
        <f>IF(ISBLANK(SalesTbl[[#This Row],[Quantity]]),$H$2,SalesTbl[[#This Row],[Quantity]])</f>
        <v>5</v>
      </c>
      <c r="S881">
        <f>ROW()-ROW(SalesTbl[[#Headers],[Customer ID]])</f>
        <v>880</v>
      </c>
      <c r="T881" s="9" t="str">
        <f>IF(SalesTbl[[#This Row],[RowIdx]]&lt;=ROUNDUP(COUNTA(SalesTbl[Customer ID])*0.8,0),"Train","Test")</f>
        <v>Test</v>
      </c>
    </row>
    <row r="882" spans="1:20" x14ac:dyDescent="0.25">
      <c r="A882" t="s">
        <v>12</v>
      </c>
      <c r="B882" t="s">
        <v>20</v>
      </c>
      <c r="C882" t="s">
        <v>322</v>
      </c>
      <c r="D882" t="s">
        <v>30</v>
      </c>
      <c r="E882" t="s">
        <v>18</v>
      </c>
      <c r="F882">
        <v>21</v>
      </c>
      <c r="G882">
        <v>30</v>
      </c>
      <c r="H882">
        <v>3</v>
      </c>
      <c r="I882">
        <v>90</v>
      </c>
      <c r="J882">
        <v>10.49</v>
      </c>
      <c r="K882" s="2">
        <v>45149</v>
      </c>
      <c r="L882" t="s">
        <v>318</v>
      </c>
      <c r="M882" s="6">
        <f>SalesTbl[[#This Row],[Unit Price]]*SalesTbl[[#This Row],[Quantity]]</f>
        <v>90</v>
      </c>
      <c r="N882" s="6">
        <f>YEAR(SalesTbl[[#This Row],[Order Date]])</f>
        <v>2023</v>
      </c>
      <c r="O882" s="6" t="str">
        <f>TEXT(SalesTbl[[#This Row],[Order Date]],"yyyy-mm")</f>
        <v>2023-08</v>
      </c>
      <c r="P882" s="13">
        <f>WEEKNUM(SalesTbl[[#This Row],[Order Date]],2)</f>
        <v>33</v>
      </c>
      <c r="Q882" s="14">
        <f>MEDIAN(SalesTbl[Quantity])</f>
        <v>3</v>
      </c>
      <c r="R882" s="14">
        <f>IF(ISBLANK(SalesTbl[[#This Row],[Quantity]]),$H$2,SalesTbl[[#This Row],[Quantity]])</f>
        <v>3</v>
      </c>
      <c r="S882">
        <f>ROW()-ROW(SalesTbl[[#Headers],[Customer ID]])</f>
        <v>881</v>
      </c>
      <c r="T882" s="9" t="str">
        <f>IF(SalesTbl[[#This Row],[RowIdx]]&lt;=ROUNDUP(COUNTA(SalesTbl[Customer ID])*0.8,0),"Train","Test")</f>
        <v>Test</v>
      </c>
    </row>
    <row r="883" spans="1:20" x14ac:dyDescent="0.25">
      <c r="A883" t="s">
        <v>280</v>
      </c>
      <c r="B883" t="s">
        <v>13</v>
      </c>
      <c r="C883" t="s">
        <v>321</v>
      </c>
      <c r="D883" t="s">
        <v>14</v>
      </c>
      <c r="E883" t="s">
        <v>15</v>
      </c>
      <c r="F883">
        <v>26</v>
      </c>
      <c r="G883">
        <v>300</v>
      </c>
      <c r="H883">
        <v>2</v>
      </c>
      <c r="I883">
        <v>600</v>
      </c>
      <c r="J883">
        <v>12.94</v>
      </c>
      <c r="K883" s="2">
        <v>44928</v>
      </c>
      <c r="L883" t="s">
        <v>319</v>
      </c>
      <c r="M883" s="6">
        <f>SalesTbl[[#This Row],[Unit Price]]*SalesTbl[[#This Row],[Quantity]]</f>
        <v>600</v>
      </c>
      <c r="N883" s="6">
        <f>YEAR(SalesTbl[[#This Row],[Order Date]])</f>
        <v>2023</v>
      </c>
      <c r="O883" s="6" t="str">
        <f>TEXT(SalesTbl[[#This Row],[Order Date]],"yyyy-mm")</f>
        <v>2023-01</v>
      </c>
      <c r="P883" s="13">
        <f>WEEKNUM(SalesTbl[[#This Row],[Order Date]],2)</f>
        <v>2</v>
      </c>
      <c r="Q883" s="14">
        <f>MEDIAN(SalesTbl[Quantity])</f>
        <v>3</v>
      </c>
      <c r="R883" s="14">
        <f>IF(ISBLANK(SalesTbl[[#This Row],[Quantity]]),$H$2,SalesTbl[[#This Row],[Quantity]])</f>
        <v>2</v>
      </c>
      <c r="S883">
        <f>ROW()-ROW(SalesTbl[[#Headers],[Customer ID]])</f>
        <v>882</v>
      </c>
      <c r="T883" s="9" t="str">
        <f>IF(SalesTbl[[#This Row],[RowIdx]]&lt;=ROUNDUP(COUNTA(SalesTbl[Customer ID])*0.8,0),"Train","Test")</f>
        <v>Test</v>
      </c>
    </row>
    <row r="884" spans="1:20" x14ac:dyDescent="0.25">
      <c r="A884" t="s">
        <v>294</v>
      </c>
      <c r="B884" t="s">
        <v>20</v>
      </c>
      <c r="C884" t="s">
        <v>320</v>
      </c>
      <c r="D884" t="s">
        <v>23</v>
      </c>
      <c r="E884" t="s">
        <v>15</v>
      </c>
      <c r="F884">
        <v>49</v>
      </c>
      <c r="G884">
        <v>1500</v>
      </c>
      <c r="H884">
        <v>2</v>
      </c>
      <c r="I884">
        <v>3000</v>
      </c>
      <c r="J884">
        <v>11.24</v>
      </c>
      <c r="K884" s="2">
        <v>45135</v>
      </c>
      <c r="L884" t="s">
        <v>317</v>
      </c>
      <c r="M884" s="6">
        <f>SalesTbl[[#This Row],[Unit Price]]*SalesTbl[[#This Row],[Quantity]]</f>
        <v>3000</v>
      </c>
      <c r="N884" s="6">
        <f>YEAR(SalesTbl[[#This Row],[Order Date]])</f>
        <v>2023</v>
      </c>
      <c r="O884" s="6" t="str">
        <f>TEXT(SalesTbl[[#This Row],[Order Date]],"yyyy-mm")</f>
        <v>2023-07</v>
      </c>
      <c r="P884" s="13">
        <f>WEEKNUM(SalesTbl[[#This Row],[Order Date]],2)</f>
        <v>31</v>
      </c>
      <c r="Q884" s="14">
        <f>MEDIAN(SalesTbl[Quantity])</f>
        <v>3</v>
      </c>
      <c r="R884" s="14">
        <f>IF(ISBLANK(SalesTbl[[#This Row],[Quantity]]),$H$2,SalesTbl[[#This Row],[Quantity]])</f>
        <v>2</v>
      </c>
      <c r="S884">
        <f>ROW()-ROW(SalesTbl[[#Headers],[Customer ID]])</f>
        <v>883</v>
      </c>
      <c r="T884" s="9" t="str">
        <f>IF(SalesTbl[[#This Row],[RowIdx]]&lt;=ROUNDUP(COUNTA(SalesTbl[Customer ID])*0.8,0),"Train","Test")</f>
        <v>Test</v>
      </c>
    </row>
    <row r="885" spans="1:20" x14ac:dyDescent="0.25">
      <c r="A885" t="s">
        <v>90</v>
      </c>
      <c r="B885" t="s">
        <v>20</v>
      </c>
      <c r="C885" t="s">
        <v>320</v>
      </c>
      <c r="D885" t="s">
        <v>14</v>
      </c>
      <c r="E885" t="s">
        <v>15</v>
      </c>
      <c r="F885">
        <v>49</v>
      </c>
      <c r="G885">
        <v>621.91212249732996</v>
      </c>
      <c r="H885">
        <v>3</v>
      </c>
      <c r="I885">
        <v>900</v>
      </c>
      <c r="J885">
        <v>14.86</v>
      </c>
      <c r="K885" s="2">
        <v>45043</v>
      </c>
      <c r="L885" t="s">
        <v>317</v>
      </c>
      <c r="M885" s="6">
        <f>SalesTbl[[#This Row],[Unit Price]]*SalesTbl[[#This Row],[Quantity]]</f>
        <v>1865.7363674919898</v>
      </c>
      <c r="N885" s="6">
        <f>YEAR(SalesTbl[[#This Row],[Order Date]])</f>
        <v>2023</v>
      </c>
      <c r="O885" s="6" t="str">
        <f>TEXT(SalesTbl[[#This Row],[Order Date]],"yyyy-mm")</f>
        <v>2023-04</v>
      </c>
      <c r="P885" s="13">
        <f>WEEKNUM(SalesTbl[[#This Row],[Order Date]],2)</f>
        <v>18</v>
      </c>
      <c r="Q885" s="14">
        <f>MEDIAN(SalesTbl[Quantity])</f>
        <v>3</v>
      </c>
      <c r="R885" s="14">
        <f>IF(ISBLANK(SalesTbl[[#This Row],[Quantity]]),$H$2,SalesTbl[[#This Row],[Quantity]])</f>
        <v>3</v>
      </c>
      <c r="S885">
        <f>ROW()-ROW(SalesTbl[[#Headers],[Customer ID]])</f>
        <v>884</v>
      </c>
      <c r="T885" s="9" t="str">
        <f>IF(SalesTbl[[#This Row],[RowIdx]]&lt;=ROUNDUP(COUNTA(SalesTbl[Customer ID])*0.8,0),"Train","Test")</f>
        <v>Test</v>
      </c>
    </row>
    <row r="886" spans="1:20" x14ac:dyDescent="0.25">
      <c r="A886" t="s">
        <v>71</v>
      </c>
      <c r="B886" t="s">
        <v>13</v>
      </c>
      <c r="C886" t="s">
        <v>323</v>
      </c>
      <c r="D886" t="s">
        <v>29</v>
      </c>
      <c r="E886" t="s">
        <v>18</v>
      </c>
      <c r="F886">
        <v>68</v>
      </c>
      <c r="G886">
        <v>50</v>
      </c>
      <c r="H886">
        <v>2</v>
      </c>
      <c r="I886">
        <v>100</v>
      </c>
      <c r="J886">
        <v>11.09</v>
      </c>
      <c r="K886" s="2">
        <v>45154</v>
      </c>
      <c r="L886" t="s">
        <v>319</v>
      </c>
      <c r="M886" s="6">
        <f>SalesTbl[[#This Row],[Unit Price]]*SalesTbl[[#This Row],[Quantity]]</f>
        <v>100</v>
      </c>
      <c r="N886" s="6">
        <f>YEAR(SalesTbl[[#This Row],[Order Date]])</f>
        <v>2023</v>
      </c>
      <c r="O886" s="6" t="str">
        <f>TEXT(SalesTbl[[#This Row],[Order Date]],"yyyy-mm")</f>
        <v>2023-08</v>
      </c>
      <c r="P886" s="13">
        <f>WEEKNUM(SalesTbl[[#This Row],[Order Date]],2)</f>
        <v>34</v>
      </c>
      <c r="Q886" s="14">
        <f>MEDIAN(SalesTbl[Quantity])</f>
        <v>3</v>
      </c>
      <c r="R886" s="14">
        <f>IF(ISBLANK(SalesTbl[[#This Row],[Quantity]]),$H$2,SalesTbl[[#This Row],[Quantity]])</f>
        <v>2</v>
      </c>
      <c r="S886">
        <f>ROW()-ROW(SalesTbl[[#Headers],[Customer ID]])</f>
        <v>885</v>
      </c>
      <c r="T886" s="9" t="str">
        <f>IF(SalesTbl[[#This Row],[RowIdx]]&lt;=ROUNDUP(COUNTA(SalesTbl[Customer ID])*0.8,0),"Train","Test")</f>
        <v>Test</v>
      </c>
    </row>
    <row r="887" spans="1:20" x14ac:dyDescent="0.25">
      <c r="A887" t="s">
        <v>46</v>
      </c>
      <c r="B887" t="s">
        <v>13</v>
      </c>
      <c r="C887" t="s">
        <v>322</v>
      </c>
      <c r="D887" t="s">
        <v>25</v>
      </c>
      <c r="E887" t="s">
        <v>26</v>
      </c>
      <c r="F887">
        <v>58</v>
      </c>
      <c r="G887">
        <v>200</v>
      </c>
      <c r="H887">
        <v>5</v>
      </c>
      <c r="I887">
        <v>1000</v>
      </c>
      <c r="J887">
        <v>10.84</v>
      </c>
      <c r="K887" s="2">
        <v>45221</v>
      </c>
      <c r="L887" t="s">
        <v>317</v>
      </c>
      <c r="M887" s="6">
        <f>SalesTbl[[#This Row],[Unit Price]]*SalesTbl[[#This Row],[Quantity]]</f>
        <v>1000</v>
      </c>
      <c r="N887" s="6">
        <f>YEAR(SalesTbl[[#This Row],[Order Date]])</f>
        <v>2023</v>
      </c>
      <c r="O887" s="6" t="str">
        <f>TEXT(SalesTbl[[#This Row],[Order Date]],"yyyy-mm")</f>
        <v>2023-10</v>
      </c>
      <c r="P887" s="13">
        <f>WEEKNUM(SalesTbl[[#This Row],[Order Date]],2)</f>
        <v>43</v>
      </c>
      <c r="Q887" s="14">
        <f>MEDIAN(SalesTbl[Quantity])</f>
        <v>3</v>
      </c>
      <c r="R887" s="14">
        <f>IF(ISBLANK(SalesTbl[[#This Row],[Quantity]]),$H$2,SalesTbl[[#This Row],[Quantity]])</f>
        <v>5</v>
      </c>
      <c r="S887">
        <f>ROW()-ROW(SalesTbl[[#Headers],[Customer ID]])</f>
        <v>886</v>
      </c>
      <c r="T887" s="9" t="str">
        <f>IF(SalesTbl[[#This Row],[RowIdx]]&lt;=ROUNDUP(COUNTA(SalesTbl[Customer ID])*0.8,0),"Train","Test")</f>
        <v>Test</v>
      </c>
    </row>
    <row r="888" spans="1:20" x14ac:dyDescent="0.25">
      <c r="A888" t="s">
        <v>302</v>
      </c>
      <c r="B888" t="s">
        <v>20</v>
      </c>
      <c r="C888" t="s">
        <v>320</v>
      </c>
      <c r="D888" t="s">
        <v>23</v>
      </c>
      <c r="E888" t="s">
        <v>15</v>
      </c>
      <c r="F888">
        <v>26</v>
      </c>
      <c r="G888">
        <v>1500</v>
      </c>
      <c r="H888">
        <v>4</v>
      </c>
      <c r="I888">
        <v>6000</v>
      </c>
      <c r="J888">
        <v>5.57</v>
      </c>
      <c r="K888" s="2">
        <v>45162</v>
      </c>
      <c r="L888" t="s">
        <v>317</v>
      </c>
      <c r="M888" s="6">
        <f>SalesTbl[[#This Row],[Unit Price]]*SalesTbl[[#This Row],[Quantity]]</f>
        <v>6000</v>
      </c>
      <c r="N888" s="6">
        <f>YEAR(SalesTbl[[#This Row],[Order Date]])</f>
        <v>2023</v>
      </c>
      <c r="O888" s="6" t="str">
        <f>TEXT(SalesTbl[[#This Row],[Order Date]],"yyyy-mm")</f>
        <v>2023-08</v>
      </c>
      <c r="P888" s="13">
        <f>WEEKNUM(SalesTbl[[#This Row],[Order Date]],2)</f>
        <v>35</v>
      </c>
      <c r="Q888" s="14">
        <f>MEDIAN(SalesTbl[Quantity])</f>
        <v>3</v>
      </c>
      <c r="R888" s="14">
        <f>IF(ISBLANK(SalesTbl[[#This Row],[Quantity]]),$H$2,SalesTbl[[#This Row],[Quantity]])</f>
        <v>4</v>
      </c>
      <c r="S888">
        <f>ROW()-ROW(SalesTbl[[#Headers],[Customer ID]])</f>
        <v>887</v>
      </c>
      <c r="T888" s="9" t="str">
        <f>IF(SalesTbl[[#This Row],[RowIdx]]&lt;=ROUNDUP(COUNTA(SalesTbl[Customer ID])*0.8,0),"Train","Test")</f>
        <v>Test</v>
      </c>
    </row>
    <row r="889" spans="1:20" x14ac:dyDescent="0.25">
      <c r="A889" t="s">
        <v>152</v>
      </c>
      <c r="B889" t="s">
        <v>13</v>
      </c>
      <c r="C889" t="s">
        <v>323</v>
      </c>
      <c r="D889" t="s">
        <v>30</v>
      </c>
      <c r="E889" t="s">
        <v>18</v>
      </c>
      <c r="F889">
        <v>53</v>
      </c>
      <c r="G889">
        <v>30</v>
      </c>
      <c r="H889">
        <v>2</v>
      </c>
      <c r="I889">
        <v>60</v>
      </c>
      <c r="J889">
        <v>8.58</v>
      </c>
      <c r="K889" s="2">
        <v>45226</v>
      </c>
      <c r="L889" t="s">
        <v>316</v>
      </c>
      <c r="M889" s="6">
        <f>SalesTbl[[#This Row],[Unit Price]]*SalesTbl[[#This Row],[Quantity]]</f>
        <v>60</v>
      </c>
      <c r="N889" s="6">
        <f>YEAR(SalesTbl[[#This Row],[Order Date]])</f>
        <v>2023</v>
      </c>
      <c r="O889" s="6" t="str">
        <f>TEXT(SalesTbl[[#This Row],[Order Date]],"yyyy-mm")</f>
        <v>2023-10</v>
      </c>
      <c r="P889" s="13">
        <f>WEEKNUM(SalesTbl[[#This Row],[Order Date]],2)</f>
        <v>44</v>
      </c>
      <c r="Q889" s="14">
        <f>MEDIAN(SalesTbl[Quantity])</f>
        <v>3</v>
      </c>
      <c r="R889" s="14">
        <f>IF(ISBLANK(SalesTbl[[#This Row],[Quantity]]),$H$2,SalesTbl[[#This Row],[Quantity]])</f>
        <v>2</v>
      </c>
      <c r="S889">
        <f>ROW()-ROW(SalesTbl[[#Headers],[Customer ID]])</f>
        <v>888</v>
      </c>
      <c r="T889" s="9" t="str">
        <f>IF(SalesTbl[[#This Row],[RowIdx]]&lt;=ROUNDUP(COUNTA(SalesTbl[Customer ID])*0.8,0),"Train","Test")</f>
        <v>Test</v>
      </c>
    </row>
    <row r="890" spans="1:20" x14ac:dyDescent="0.25">
      <c r="A890" t="s">
        <v>203</v>
      </c>
      <c r="B890" t="s">
        <v>20</v>
      </c>
      <c r="C890" t="s">
        <v>321</v>
      </c>
      <c r="D890" t="s">
        <v>29</v>
      </c>
      <c r="E890" t="s">
        <v>18</v>
      </c>
      <c r="F890">
        <v>49</v>
      </c>
      <c r="G890">
        <v>50</v>
      </c>
      <c r="H890">
        <v>3</v>
      </c>
      <c r="I890">
        <v>150</v>
      </c>
      <c r="J890">
        <v>10.050000000000001</v>
      </c>
      <c r="K890" s="2">
        <v>45256</v>
      </c>
      <c r="L890" t="s">
        <v>317</v>
      </c>
      <c r="M890" s="6">
        <f>SalesTbl[[#This Row],[Unit Price]]*SalesTbl[[#This Row],[Quantity]]</f>
        <v>150</v>
      </c>
      <c r="N890" s="6">
        <f>YEAR(SalesTbl[[#This Row],[Order Date]])</f>
        <v>2023</v>
      </c>
      <c r="O890" s="6" t="str">
        <f>TEXT(SalesTbl[[#This Row],[Order Date]],"yyyy-mm")</f>
        <v>2023-11</v>
      </c>
      <c r="P890" s="13">
        <f>WEEKNUM(SalesTbl[[#This Row],[Order Date]],2)</f>
        <v>48</v>
      </c>
      <c r="Q890" s="14">
        <f>MEDIAN(SalesTbl[Quantity])</f>
        <v>3</v>
      </c>
      <c r="R890" s="14">
        <f>IF(ISBLANK(SalesTbl[[#This Row],[Quantity]]),$H$2,SalesTbl[[#This Row],[Quantity]])</f>
        <v>3</v>
      </c>
      <c r="S890">
        <f>ROW()-ROW(SalesTbl[[#Headers],[Customer ID]])</f>
        <v>889</v>
      </c>
      <c r="T890" s="9" t="str">
        <f>IF(SalesTbl[[#This Row],[RowIdx]]&lt;=ROUNDUP(COUNTA(SalesTbl[Customer ID])*0.8,0),"Train","Test")</f>
        <v>Test</v>
      </c>
    </row>
    <row r="891" spans="1:20" x14ac:dyDescent="0.25">
      <c r="A891" t="s">
        <v>43</v>
      </c>
      <c r="B891" t="s">
        <v>13</v>
      </c>
      <c r="C891" t="s">
        <v>322</v>
      </c>
      <c r="D891" t="s">
        <v>25</v>
      </c>
      <c r="E891" t="s">
        <v>26</v>
      </c>
      <c r="F891">
        <v>37</v>
      </c>
      <c r="G891">
        <v>200</v>
      </c>
      <c r="H891">
        <v>2</v>
      </c>
      <c r="I891">
        <v>400</v>
      </c>
      <c r="J891">
        <v>18.38</v>
      </c>
      <c r="K891" s="2">
        <v>44974</v>
      </c>
      <c r="L891" t="s">
        <v>318</v>
      </c>
      <c r="M891" s="6">
        <f>SalesTbl[[#This Row],[Unit Price]]*SalesTbl[[#This Row],[Quantity]]</f>
        <v>400</v>
      </c>
      <c r="N891" s="6">
        <f>YEAR(SalesTbl[[#This Row],[Order Date]])</f>
        <v>2023</v>
      </c>
      <c r="O891" s="6" t="str">
        <f>TEXT(SalesTbl[[#This Row],[Order Date]],"yyyy-mm")</f>
        <v>2023-02</v>
      </c>
      <c r="P891" s="13">
        <f>WEEKNUM(SalesTbl[[#This Row],[Order Date]],2)</f>
        <v>8</v>
      </c>
      <c r="Q891" s="14">
        <f>MEDIAN(SalesTbl[Quantity])</f>
        <v>3</v>
      </c>
      <c r="R891" s="14">
        <f>IF(ISBLANK(SalesTbl[[#This Row],[Quantity]]),$H$2,SalesTbl[[#This Row],[Quantity]])</f>
        <v>2</v>
      </c>
      <c r="S891">
        <f>ROW()-ROW(SalesTbl[[#Headers],[Customer ID]])</f>
        <v>890</v>
      </c>
      <c r="T891" s="9" t="str">
        <f>IF(SalesTbl[[#This Row],[RowIdx]]&lt;=ROUNDUP(COUNTA(SalesTbl[Customer ID])*0.8,0),"Train","Test")</f>
        <v>Test</v>
      </c>
    </row>
    <row r="892" spans="1:20" x14ac:dyDescent="0.25">
      <c r="A892" t="s">
        <v>212</v>
      </c>
      <c r="B892" t="s">
        <v>13</v>
      </c>
      <c r="C892" t="s">
        <v>322</v>
      </c>
      <c r="D892" t="s">
        <v>14</v>
      </c>
      <c r="E892" t="s">
        <v>15</v>
      </c>
      <c r="F892">
        <v>67</v>
      </c>
      <c r="G892">
        <v>300</v>
      </c>
      <c r="H892">
        <v>3</v>
      </c>
      <c r="I892">
        <v>900</v>
      </c>
      <c r="J892">
        <v>19.760000000000002</v>
      </c>
      <c r="K892" s="2">
        <v>45239</v>
      </c>
      <c r="L892" t="s">
        <v>318</v>
      </c>
      <c r="M892" s="6">
        <f>SalesTbl[[#This Row],[Unit Price]]*SalesTbl[[#This Row],[Quantity]]</f>
        <v>900</v>
      </c>
      <c r="N892" s="6">
        <f>YEAR(SalesTbl[[#This Row],[Order Date]])</f>
        <v>2023</v>
      </c>
      <c r="O892" s="6" t="str">
        <f>TEXT(SalesTbl[[#This Row],[Order Date]],"yyyy-mm")</f>
        <v>2023-11</v>
      </c>
      <c r="P892" s="13">
        <f>WEEKNUM(SalesTbl[[#This Row],[Order Date]],2)</f>
        <v>46</v>
      </c>
      <c r="Q892" s="14">
        <f>MEDIAN(SalesTbl[Quantity])</f>
        <v>3</v>
      </c>
      <c r="R892" s="14">
        <f>IF(ISBLANK(SalesTbl[[#This Row],[Quantity]]),$H$2,SalesTbl[[#This Row],[Quantity]])</f>
        <v>3</v>
      </c>
      <c r="S892">
        <f>ROW()-ROW(SalesTbl[[#Headers],[Customer ID]])</f>
        <v>891</v>
      </c>
      <c r="T892" s="9" t="str">
        <f>IF(SalesTbl[[#This Row],[RowIdx]]&lt;=ROUNDUP(COUNTA(SalesTbl[Customer ID])*0.8,0),"Train","Test")</f>
        <v>Test</v>
      </c>
    </row>
    <row r="893" spans="1:20" x14ac:dyDescent="0.25">
      <c r="A893" t="s">
        <v>261</v>
      </c>
      <c r="B893" t="s">
        <v>20</v>
      </c>
      <c r="C893" t="s">
        <v>321</v>
      </c>
      <c r="D893" t="s">
        <v>30</v>
      </c>
      <c r="E893" t="s">
        <v>18</v>
      </c>
      <c r="F893">
        <v>26</v>
      </c>
      <c r="G893">
        <v>30</v>
      </c>
      <c r="H893">
        <v>1</v>
      </c>
      <c r="I893">
        <v>30</v>
      </c>
      <c r="J893">
        <v>13.87</v>
      </c>
      <c r="K893" s="2">
        <v>45087</v>
      </c>
      <c r="L893" t="s">
        <v>317</v>
      </c>
      <c r="M893" s="6">
        <f>SalesTbl[[#This Row],[Unit Price]]*SalesTbl[[#This Row],[Quantity]]</f>
        <v>30</v>
      </c>
      <c r="N893" s="6">
        <f>YEAR(SalesTbl[[#This Row],[Order Date]])</f>
        <v>2023</v>
      </c>
      <c r="O893" s="6" t="str">
        <f>TEXT(SalesTbl[[#This Row],[Order Date]],"yyyy-mm")</f>
        <v>2023-06</v>
      </c>
      <c r="P893" s="13">
        <f>WEEKNUM(SalesTbl[[#This Row],[Order Date]],2)</f>
        <v>24</v>
      </c>
      <c r="Q893" s="14">
        <f>MEDIAN(SalesTbl[Quantity])</f>
        <v>3</v>
      </c>
      <c r="R893" s="14">
        <f>IF(ISBLANK(SalesTbl[[#This Row],[Quantity]]),$H$2,SalesTbl[[#This Row],[Quantity]])</f>
        <v>1</v>
      </c>
      <c r="S893">
        <f>ROW()-ROW(SalesTbl[[#Headers],[Customer ID]])</f>
        <v>892</v>
      </c>
      <c r="T893" s="9" t="str">
        <f>IF(SalesTbl[[#This Row],[RowIdx]]&lt;=ROUNDUP(COUNTA(SalesTbl[Customer ID])*0.8,0),"Train","Test")</f>
        <v>Test</v>
      </c>
    </row>
    <row r="894" spans="1:20" x14ac:dyDescent="0.25">
      <c r="A894" t="s">
        <v>275</v>
      </c>
      <c r="B894" t="s">
        <v>13</v>
      </c>
      <c r="C894" t="s">
        <v>323</v>
      </c>
      <c r="D894" t="s">
        <v>25</v>
      </c>
      <c r="E894" t="s">
        <v>26</v>
      </c>
      <c r="F894">
        <v>34</v>
      </c>
      <c r="G894">
        <v>200</v>
      </c>
      <c r="H894">
        <v>3</v>
      </c>
      <c r="I894">
        <v>600</v>
      </c>
      <c r="J894">
        <v>16.93</v>
      </c>
      <c r="K894" s="2">
        <v>45029</v>
      </c>
      <c r="L894" t="s">
        <v>317</v>
      </c>
      <c r="M894" s="6">
        <f>SalesTbl[[#This Row],[Unit Price]]*SalesTbl[[#This Row],[Quantity]]</f>
        <v>600</v>
      </c>
      <c r="N894" s="6">
        <f>YEAR(SalesTbl[[#This Row],[Order Date]])</f>
        <v>2023</v>
      </c>
      <c r="O894" s="6" t="str">
        <f>TEXT(SalesTbl[[#This Row],[Order Date]],"yyyy-mm")</f>
        <v>2023-04</v>
      </c>
      <c r="P894" s="13">
        <f>WEEKNUM(SalesTbl[[#This Row],[Order Date]],2)</f>
        <v>16</v>
      </c>
      <c r="Q894" s="14">
        <f>MEDIAN(SalesTbl[Quantity])</f>
        <v>3</v>
      </c>
      <c r="R894" s="14">
        <f>IF(ISBLANK(SalesTbl[[#This Row],[Quantity]]),$H$2,SalesTbl[[#This Row],[Quantity]])</f>
        <v>3</v>
      </c>
      <c r="S894">
        <f>ROW()-ROW(SalesTbl[[#Headers],[Customer ID]])</f>
        <v>893</v>
      </c>
      <c r="T894" s="9" t="str">
        <f>IF(SalesTbl[[#This Row],[RowIdx]]&lt;=ROUNDUP(COUNTA(SalesTbl[Customer ID])*0.8,0),"Train","Test")</f>
        <v>Test</v>
      </c>
    </row>
    <row r="895" spans="1:20" x14ac:dyDescent="0.25">
      <c r="A895" t="s">
        <v>194</v>
      </c>
      <c r="B895" t="s">
        <v>20</v>
      </c>
      <c r="C895" t="s">
        <v>322</v>
      </c>
      <c r="D895" t="s">
        <v>30</v>
      </c>
      <c r="E895" t="s">
        <v>18</v>
      </c>
      <c r="F895">
        <v>53</v>
      </c>
      <c r="G895">
        <v>30</v>
      </c>
      <c r="H895">
        <v>3</v>
      </c>
      <c r="I895">
        <v>90</v>
      </c>
      <c r="J895">
        <v>6.18</v>
      </c>
      <c r="K895" s="2">
        <v>45041</v>
      </c>
      <c r="L895" t="s">
        <v>318</v>
      </c>
      <c r="M895" s="6">
        <f>SalesTbl[[#This Row],[Unit Price]]*SalesTbl[[#This Row],[Quantity]]</f>
        <v>90</v>
      </c>
      <c r="N895" s="6">
        <f>YEAR(SalesTbl[[#This Row],[Order Date]])</f>
        <v>2023</v>
      </c>
      <c r="O895" s="6" t="str">
        <f>TEXT(SalesTbl[[#This Row],[Order Date]],"yyyy-mm")</f>
        <v>2023-04</v>
      </c>
      <c r="P895" s="13">
        <f>WEEKNUM(SalesTbl[[#This Row],[Order Date]],2)</f>
        <v>18</v>
      </c>
      <c r="Q895" s="14">
        <f>MEDIAN(SalesTbl[Quantity])</f>
        <v>3</v>
      </c>
      <c r="R895" s="14">
        <f>IF(ISBLANK(SalesTbl[[#This Row],[Quantity]]),$H$2,SalesTbl[[#This Row],[Quantity]])</f>
        <v>3</v>
      </c>
      <c r="S895">
        <f>ROW()-ROW(SalesTbl[[#Headers],[Customer ID]])</f>
        <v>894</v>
      </c>
      <c r="T895" s="9" t="str">
        <f>IF(SalesTbl[[#This Row],[RowIdx]]&lt;=ROUNDUP(COUNTA(SalesTbl[Customer ID])*0.8,0),"Train","Test")</f>
        <v>Test</v>
      </c>
    </row>
    <row r="896" spans="1:20" x14ac:dyDescent="0.25">
      <c r="A896" t="s">
        <v>48</v>
      </c>
      <c r="B896" t="s">
        <v>20</v>
      </c>
      <c r="C896" t="s">
        <v>323</v>
      </c>
      <c r="D896" t="s">
        <v>40</v>
      </c>
      <c r="E896" t="s">
        <v>15</v>
      </c>
      <c r="F896">
        <v>49</v>
      </c>
      <c r="G896">
        <v>800</v>
      </c>
      <c r="H896">
        <v>4</v>
      </c>
      <c r="I896">
        <v>3200</v>
      </c>
      <c r="J896">
        <v>17.440000000000001</v>
      </c>
      <c r="K896" s="2">
        <v>44988</v>
      </c>
      <c r="L896" t="s">
        <v>318</v>
      </c>
      <c r="M896" s="6">
        <f>SalesTbl[[#This Row],[Unit Price]]*SalesTbl[[#This Row],[Quantity]]</f>
        <v>3200</v>
      </c>
      <c r="N896" s="6">
        <f>YEAR(SalesTbl[[#This Row],[Order Date]])</f>
        <v>2023</v>
      </c>
      <c r="O896" s="6" t="str">
        <f>TEXT(SalesTbl[[#This Row],[Order Date]],"yyyy-mm")</f>
        <v>2023-03</v>
      </c>
      <c r="P896" s="13">
        <f>WEEKNUM(SalesTbl[[#This Row],[Order Date]],2)</f>
        <v>10</v>
      </c>
      <c r="Q896" s="14">
        <f>MEDIAN(SalesTbl[Quantity])</f>
        <v>3</v>
      </c>
      <c r="R896" s="14">
        <f>IF(ISBLANK(SalesTbl[[#This Row],[Quantity]]),$H$2,SalesTbl[[#This Row],[Quantity]])</f>
        <v>4</v>
      </c>
      <c r="S896">
        <f>ROW()-ROW(SalesTbl[[#Headers],[Customer ID]])</f>
        <v>895</v>
      </c>
      <c r="T896" s="9" t="str">
        <f>IF(SalesTbl[[#This Row],[RowIdx]]&lt;=ROUNDUP(COUNTA(SalesTbl[Customer ID])*0.8,0),"Train","Test")</f>
        <v>Test</v>
      </c>
    </row>
    <row r="897" spans="1:20" x14ac:dyDescent="0.25">
      <c r="A897" t="s">
        <v>152</v>
      </c>
      <c r="B897" t="s">
        <v>13</v>
      </c>
      <c r="C897" t="s">
        <v>322</v>
      </c>
      <c r="D897" t="s">
        <v>14</v>
      </c>
      <c r="E897" t="s">
        <v>15</v>
      </c>
      <c r="F897">
        <v>53</v>
      </c>
      <c r="G897">
        <v>300</v>
      </c>
      <c r="H897">
        <v>3</v>
      </c>
      <c r="I897">
        <v>900</v>
      </c>
      <c r="J897">
        <v>12.14</v>
      </c>
      <c r="K897" s="2">
        <v>44999</v>
      </c>
      <c r="L897" t="s">
        <v>316</v>
      </c>
      <c r="M897" s="6">
        <f>SalesTbl[[#This Row],[Unit Price]]*SalesTbl[[#This Row],[Quantity]]</f>
        <v>900</v>
      </c>
      <c r="N897" s="6">
        <f>YEAR(SalesTbl[[#This Row],[Order Date]])</f>
        <v>2023</v>
      </c>
      <c r="O897" s="6" t="str">
        <f>TEXT(SalesTbl[[#This Row],[Order Date]],"yyyy-mm")</f>
        <v>2023-03</v>
      </c>
      <c r="P897" s="13">
        <f>WEEKNUM(SalesTbl[[#This Row],[Order Date]],2)</f>
        <v>12</v>
      </c>
      <c r="Q897" s="14">
        <f>MEDIAN(SalesTbl[Quantity])</f>
        <v>3</v>
      </c>
      <c r="R897" s="14">
        <f>IF(ISBLANK(SalesTbl[[#This Row],[Quantity]]),$H$2,SalesTbl[[#This Row],[Quantity]])</f>
        <v>3</v>
      </c>
      <c r="S897">
        <f>ROW()-ROW(SalesTbl[[#Headers],[Customer ID]])</f>
        <v>896</v>
      </c>
      <c r="T897" s="9" t="str">
        <f>IF(SalesTbl[[#This Row],[RowIdx]]&lt;=ROUNDUP(COUNTA(SalesTbl[Customer ID])*0.8,0),"Train","Test")</f>
        <v>Test</v>
      </c>
    </row>
    <row r="898" spans="1:20" x14ac:dyDescent="0.25">
      <c r="A898" t="s">
        <v>288</v>
      </c>
      <c r="B898" t="s">
        <v>13</v>
      </c>
      <c r="C898" t="s">
        <v>322</v>
      </c>
      <c r="D898" t="s">
        <v>14</v>
      </c>
      <c r="E898" t="s">
        <v>15</v>
      </c>
      <c r="F898">
        <v>66</v>
      </c>
      <c r="G898">
        <v>300</v>
      </c>
      <c r="H898">
        <v>1</v>
      </c>
      <c r="I898">
        <v>300</v>
      </c>
      <c r="J898">
        <v>17.09</v>
      </c>
      <c r="K898" s="2">
        <v>45019</v>
      </c>
      <c r="L898" t="s">
        <v>317</v>
      </c>
      <c r="M898" s="6">
        <f>SalesTbl[[#This Row],[Unit Price]]*SalesTbl[[#This Row],[Quantity]]</f>
        <v>300</v>
      </c>
      <c r="N898" s="6">
        <f>YEAR(SalesTbl[[#This Row],[Order Date]])</f>
        <v>2023</v>
      </c>
      <c r="O898" s="6" t="str">
        <f>TEXT(SalesTbl[[#This Row],[Order Date]],"yyyy-mm")</f>
        <v>2023-04</v>
      </c>
      <c r="P898" s="13">
        <f>WEEKNUM(SalesTbl[[#This Row],[Order Date]],2)</f>
        <v>15</v>
      </c>
      <c r="Q898" s="14">
        <f>MEDIAN(SalesTbl[Quantity])</f>
        <v>3</v>
      </c>
      <c r="R898" s="14">
        <f>IF(ISBLANK(SalesTbl[[#This Row],[Quantity]]),$H$2,SalesTbl[[#This Row],[Quantity]])</f>
        <v>1</v>
      </c>
      <c r="S898">
        <f>ROW()-ROW(SalesTbl[[#Headers],[Customer ID]])</f>
        <v>897</v>
      </c>
      <c r="T898" s="9" t="str">
        <f>IF(SalesTbl[[#This Row],[RowIdx]]&lt;=ROUNDUP(COUNTA(SalesTbl[Customer ID])*0.8,0),"Train","Test")</f>
        <v>Test</v>
      </c>
    </row>
    <row r="899" spans="1:20" x14ac:dyDescent="0.25">
      <c r="A899" t="s">
        <v>185</v>
      </c>
      <c r="B899" t="s">
        <v>13</v>
      </c>
      <c r="C899" t="s">
        <v>322</v>
      </c>
      <c r="D899" t="s">
        <v>29</v>
      </c>
      <c r="E899" t="s">
        <v>18</v>
      </c>
      <c r="F899">
        <v>68</v>
      </c>
      <c r="G899">
        <v>50</v>
      </c>
      <c r="H899">
        <v>1</v>
      </c>
      <c r="I899">
        <v>50</v>
      </c>
      <c r="J899">
        <v>11.23</v>
      </c>
      <c r="K899" s="2">
        <v>45018</v>
      </c>
      <c r="L899" t="s">
        <v>318</v>
      </c>
      <c r="M899" s="6">
        <f>SalesTbl[[#This Row],[Unit Price]]*SalesTbl[[#This Row],[Quantity]]</f>
        <v>50</v>
      </c>
      <c r="N899" s="6">
        <f>YEAR(SalesTbl[[#This Row],[Order Date]])</f>
        <v>2023</v>
      </c>
      <c r="O899" s="6" t="str">
        <f>TEXT(SalesTbl[[#This Row],[Order Date]],"yyyy-mm")</f>
        <v>2023-04</v>
      </c>
      <c r="P899" s="13">
        <f>WEEKNUM(SalesTbl[[#This Row],[Order Date]],2)</f>
        <v>14</v>
      </c>
      <c r="Q899" s="14">
        <f>MEDIAN(SalesTbl[Quantity])</f>
        <v>3</v>
      </c>
      <c r="R899" s="14">
        <f>IF(ISBLANK(SalesTbl[[#This Row],[Quantity]]),$H$2,SalesTbl[[#This Row],[Quantity]])</f>
        <v>1</v>
      </c>
      <c r="S899">
        <f>ROW()-ROW(SalesTbl[[#Headers],[Customer ID]])</f>
        <v>898</v>
      </c>
      <c r="T899" s="9" t="str">
        <f>IF(SalesTbl[[#This Row],[RowIdx]]&lt;=ROUNDUP(COUNTA(SalesTbl[Customer ID])*0.8,0),"Train","Test")</f>
        <v>Test</v>
      </c>
    </row>
    <row r="900" spans="1:20" x14ac:dyDescent="0.25">
      <c r="A900" t="s">
        <v>156</v>
      </c>
      <c r="B900" t="s">
        <v>20</v>
      </c>
      <c r="C900" t="s">
        <v>323</v>
      </c>
      <c r="D900" t="s">
        <v>40</v>
      </c>
      <c r="E900" t="s">
        <v>15</v>
      </c>
      <c r="F900">
        <v>54</v>
      </c>
      <c r="G900">
        <v>800</v>
      </c>
      <c r="H900">
        <v>5</v>
      </c>
      <c r="I900">
        <v>4000</v>
      </c>
      <c r="J900">
        <v>5.41</v>
      </c>
      <c r="K900" s="2">
        <v>45115</v>
      </c>
      <c r="L900" t="s">
        <v>316</v>
      </c>
      <c r="M900" s="6">
        <f>SalesTbl[[#This Row],[Unit Price]]*SalesTbl[[#This Row],[Quantity]]</f>
        <v>4000</v>
      </c>
      <c r="N900" s="6">
        <f>YEAR(SalesTbl[[#This Row],[Order Date]])</f>
        <v>2023</v>
      </c>
      <c r="O900" s="6" t="str">
        <f>TEXT(SalesTbl[[#This Row],[Order Date]],"yyyy-mm")</f>
        <v>2023-07</v>
      </c>
      <c r="P900" s="13">
        <f>WEEKNUM(SalesTbl[[#This Row],[Order Date]],2)</f>
        <v>28</v>
      </c>
      <c r="Q900" s="14">
        <f>MEDIAN(SalesTbl[Quantity])</f>
        <v>3</v>
      </c>
      <c r="R900" s="14">
        <f>IF(ISBLANK(SalesTbl[[#This Row],[Quantity]]),$H$2,SalesTbl[[#This Row],[Quantity]])</f>
        <v>5</v>
      </c>
      <c r="S900">
        <f>ROW()-ROW(SalesTbl[[#Headers],[Customer ID]])</f>
        <v>899</v>
      </c>
      <c r="T900" s="9" t="str">
        <f>IF(SalesTbl[[#This Row],[RowIdx]]&lt;=ROUNDUP(COUNTA(SalesTbl[Customer ID])*0.8,0),"Train","Test")</f>
        <v>Test</v>
      </c>
    </row>
    <row r="901" spans="1:20" x14ac:dyDescent="0.25">
      <c r="A901" t="s">
        <v>247</v>
      </c>
      <c r="B901" t="s">
        <v>13</v>
      </c>
      <c r="C901" t="s">
        <v>319</v>
      </c>
      <c r="D901" t="s">
        <v>17</v>
      </c>
      <c r="E901" t="s">
        <v>18</v>
      </c>
      <c r="F901">
        <v>37</v>
      </c>
      <c r="G901">
        <v>100</v>
      </c>
      <c r="H901">
        <v>5</v>
      </c>
      <c r="I901">
        <v>500</v>
      </c>
      <c r="J901">
        <v>6.55</v>
      </c>
      <c r="K901" s="2">
        <v>45036</v>
      </c>
      <c r="L901" t="s">
        <v>316</v>
      </c>
      <c r="M901" s="6">
        <f>SalesTbl[[#This Row],[Unit Price]]*SalesTbl[[#This Row],[Quantity]]</f>
        <v>500</v>
      </c>
      <c r="N901" s="6">
        <f>YEAR(SalesTbl[[#This Row],[Order Date]])</f>
        <v>2023</v>
      </c>
      <c r="O901" s="6" t="str">
        <f>TEXT(SalesTbl[[#This Row],[Order Date]],"yyyy-mm")</f>
        <v>2023-04</v>
      </c>
      <c r="P901" s="13">
        <f>WEEKNUM(SalesTbl[[#This Row],[Order Date]],2)</f>
        <v>17</v>
      </c>
      <c r="Q901" s="14">
        <f>MEDIAN(SalesTbl[Quantity])</f>
        <v>3</v>
      </c>
      <c r="R901" s="14">
        <f>IF(ISBLANK(SalesTbl[[#This Row],[Quantity]]),$H$2,SalesTbl[[#This Row],[Quantity]])</f>
        <v>5</v>
      </c>
      <c r="S901">
        <f>ROW()-ROW(SalesTbl[[#Headers],[Customer ID]])</f>
        <v>900</v>
      </c>
      <c r="T901" s="9" t="str">
        <f>IF(SalesTbl[[#This Row],[RowIdx]]&lt;=ROUNDUP(COUNTA(SalesTbl[Customer ID])*0.8,0),"Train","Test")</f>
        <v>Test</v>
      </c>
    </row>
    <row r="902" spans="1:20" x14ac:dyDescent="0.25">
      <c r="A902" t="s">
        <v>108</v>
      </c>
      <c r="B902" t="s">
        <v>20</v>
      </c>
      <c r="C902" t="s">
        <v>323</v>
      </c>
      <c r="D902" t="s">
        <v>25</v>
      </c>
      <c r="E902" t="s">
        <v>26</v>
      </c>
      <c r="F902">
        <v>25</v>
      </c>
      <c r="G902">
        <v>200</v>
      </c>
      <c r="H902">
        <v>2</v>
      </c>
      <c r="I902">
        <v>400</v>
      </c>
      <c r="J902">
        <v>6.46</v>
      </c>
      <c r="K902" s="2">
        <v>45218</v>
      </c>
      <c r="L902" t="s">
        <v>317</v>
      </c>
      <c r="M902" s="6">
        <f>SalesTbl[[#This Row],[Unit Price]]*SalesTbl[[#This Row],[Quantity]]</f>
        <v>400</v>
      </c>
      <c r="N902" s="6">
        <f>YEAR(SalesTbl[[#This Row],[Order Date]])</f>
        <v>2023</v>
      </c>
      <c r="O902" s="6" t="str">
        <f>TEXT(SalesTbl[[#This Row],[Order Date]],"yyyy-mm")</f>
        <v>2023-10</v>
      </c>
      <c r="P902" s="13">
        <f>WEEKNUM(SalesTbl[[#This Row],[Order Date]],2)</f>
        <v>43</v>
      </c>
      <c r="Q902" s="14">
        <f>MEDIAN(SalesTbl[Quantity])</f>
        <v>3</v>
      </c>
      <c r="R902" s="14">
        <f>IF(ISBLANK(SalesTbl[[#This Row],[Quantity]]),$H$2,SalesTbl[[#This Row],[Quantity]])</f>
        <v>2</v>
      </c>
      <c r="S902">
        <f>ROW()-ROW(SalesTbl[[#Headers],[Customer ID]])</f>
        <v>901</v>
      </c>
      <c r="T902" s="9" t="str">
        <f>IF(SalesTbl[[#This Row],[RowIdx]]&lt;=ROUNDUP(COUNTA(SalesTbl[Customer ID])*0.8,0),"Train","Test")</f>
        <v>Test</v>
      </c>
    </row>
    <row r="903" spans="1:20" x14ac:dyDescent="0.25">
      <c r="A903" t="s">
        <v>257</v>
      </c>
      <c r="B903" t="s">
        <v>13</v>
      </c>
      <c r="C903" t="s">
        <v>321</v>
      </c>
      <c r="D903" t="s">
        <v>14</v>
      </c>
      <c r="E903" t="s">
        <v>15</v>
      </c>
      <c r="F903">
        <v>58</v>
      </c>
      <c r="G903">
        <v>300</v>
      </c>
      <c r="H903">
        <v>4</v>
      </c>
      <c r="I903">
        <v>1200</v>
      </c>
      <c r="J903">
        <v>14.16</v>
      </c>
      <c r="K903" s="2">
        <v>45060</v>
      </c>
      <c r="L903" t="s">
        <v>319</v>
      </c>
      <c r="M903" s="6">
        <f>SalesTbl[[#This Row],[Unit Price]]*SalesTbl[[#This Row],[Quantity]]</f>
        <v>1200</v>
      </c>
      <c r="N903" s="6">
        <f>YEAR(SalesTbl[[#This Row],[Order Date]])</f>
        <v>2023</v>
      </c>
      <c r="O903" s="6" t="str">
        <f>TEXT(SalesTbl[[#This Row],[Order Date]],"yyyy-mm")</f>
        <v>2023-05</v>
      </c>
      <c r="P903" s="13">
        <f>WEEKNUM(SalesTbl[[#This Row],[Order Date]],2)</f>
        <v>20</v>
      </c>
      <c r="Q903" s="14">
        <f>MEDIAN(SalesTbl[Quantity])</f>
        <v>3</v>
      </c>
      <c r="R903" s="14">
        <f>IF(ISBLANK(SalesTbl[[#This Row],[Quantity]]),$H$2,SalesTbl[[#This Row],[Quantity]])</f>
        <v>4</v>
      </c>
      <c r="S903">
        <f>ROW()-ROW(SalesTbl[[#Headers],[Customer ID]])</f>
        <v>902</v>
      </c>
      <c r="T903" s="9" t="str">
        <f>IF(SalesTbl[[#This Row],[RowIdx]]&lt;=ROUNDUP(COUNTA(SalesTbl[Customer ID])*0.8,0),"Train","Test")</f>
        <v>Test</v>
      </c>
    </row>
    <row r="904" spans="1:20" x14ac:dyDescent="0.25">
      <c r="A904" t="s">
        <v>46</v>
      </c>
      <c r="B904" t="s">
        <v>20</v>
      </c>
      <c r="C904" t="s">
        <v>320</v>
      </c>
      <c r="D904" t="s">
        <v>25</v>
      </c>
      <c r="E904" t="s">
        <v>26</v>
      </c>
      <c r="F904">
        <v>58</v>
      </c>
      <c r="G904">
        <v>200</v>
      </c>
      <c r="H904">
        <v>3</v>
      </c>
      <c r="I904">
        <v>600</v>
      </c>
      <c r="J904">
        <v>14.74</v>
      </c>
      <c r="K904" s="2">
        <v>45198</v>
      </c>
      <c r="L904" t="s">
        <v>316</v>
      </c>
      <c r="M904" s="6">
        <f>SalesTbl[[#This Row],[Unit Price]]*SalesTbl[[#This Row],[Quantity]]</f>
        <v>600</v>
      </c>
      <c r="N904" s="6">
        <f>YEAR(SalesTbl[[#This Row],[Order Date]])</f>
        <v>2023</v>
      </c>
      <c r="O904" s="6" t="str">
        <f>TEXT(SalesTbl[[#This Row],[Order Date]],"yyyy-mm")</f>
        <v>2023-09</v>
      </c>
      <c r="P904" s="13">
        <f>WEEKNUM(SalesTbl[[#This Row],[Order Date]],2)</f>
        <v>40</v>
      </c>
      <c r="Q904" s="14">
        <f>MEDIAN(SalesTbl[Quantity])</f>
        <v>3</v>
      </c>
      <c r="R904" s="14">
        <f>IF(ISBLANK(SalesTbl[[#This Row],[Quantity]]),$H$2,SalesTbl[[#This Row],[Quantity]])</f>
        <v>3</v>
      </c>
      <c r="S904">
        <f>ROW()-ROW(SalesTbl[[#Headers],[Customer ID]])</f>
        <v>903</v>
      </c>
      <c r="T904" s="9" t="str">
        <f>IF(SalesTbl[[#This Row],[RowIdx]]&lt;=ROUNDUP(COUNTA(SalesTbl[Customer ID])*0.8,0),"Train","Test")</f>
        <v>Test</v>
      </c>
    </row>
    <row r="905" spans="1:20" x14ac:dyDescent="0.25">
      <c r="A905" t="s">
        <v>158</v>
      </c>
      <c r="B905" t="s">
        <v>13</v>
      </c>
      <c r="C905" t="s">
        <v>322</v>
      </c>
      <c r="D905" t="s">
        <v>23</v>
      </c>
      <c r="E905" t="s">
        <v>15</v>
      </c>
      <c r="F905">
        <v>32</v>
      </c>
      <c r="G905">
        <v>1500</v>
      </c>
      <c r="H905">
        <v>1</v>
      </c>
      <c r="I905">
        <v>1500</v>
      </c>
      <c r="J905">
        <v>6.92</v>
      </c>
      <c r="K905" s="2">
        <v>45286</v>
      </c>
      <c r="L905" t="s">
        <v>317</v>
      </c>
      <c r="M905" s="6">
        <f>SalesTbl[[#This Row],[Unit Price]]*SalesTbl[[#This Row],[Quantity]]</f>
        <v>1500</v>
      </c>
      <c r="N905" s="6">
        <f>YEAR(SalesTbl[[#This Row],[Order Date]])</f>
        <v>2023</v>
      </c>
      <c r="O905" s="6" t="str">
        <f>TEXT(SalesTbl[[#This Row],[Order Date]],"yyyy-mm")</f>
        <v>2023-12</v>
      </c>
      <c r="P905" s="13">
        <f>WEEKNUM(SalesTbl[[#This Row],[Order Date]],2)</f>
        <v>53</v>
      </c>
      <c r="Q905" s="14">
        <f>MEDIAN(SalesTbl[Quantity])</f>
        <v>3</v>
      </c>
      <c r="R905" s="14">
        <f>IF(ISBLANK(SalesTbl[[#This Row],[Quantity]]),$H$2,SalesTbl[[#This Row],[Quantity]])</f>
        <v>1</v>
      </c>
      <c r="S905">
        <f>ROW()-ROW(SalesTbl[[#Headers],[Customer ID]])</f>
        <v>904</v>
      </c>
      <c r="T905" s="9" t="str">
        <f>IF(SalesTbl[[#This Row],[RowIdx]]&lt;=ROUNDUP(COUNTA(SalesTbl[Customer ID])*0.8,0),"Train","Test")</f>
        <v>Test</v>
      </c>
    </row>
    <row r="906" spans="1:20" x14ac:dyDescent="0.25">
      <c r="A906" t="s">
        <v>69</v>
      </c>
      <c r="B906" t="s">
        <v>13</v>
      </c>
      <c r="C906" t="s">
        <v>323</v>
      </c>
      <c r="D906" t="s">
        <v>30</v>
      </c>
      <c r="E906" t="s">
        <v>18</v>
      </c>
      <c r="F906">
        <v>67</v>
      </c>
      <c r="G906">
        <v>30</v>
      </c>
      <c r="H906">
        <v>1</v>
      </c>
      <c r="I906">
        <v>30</v>
      </c>
      <c r="J906">
        <v>13.84</v>
      </c>
      <c r="K906" s="2">
        <v>45085</v>
      </c>
      <c r="L906" t="s">
        <v>318</v>
      </c>
      <c r="M906" s="6">
        <f>SalesTbl[[#This Row],[Unit Price]]*SalesTbl[[#This Row],[Quantity]]</f>
        <v>30</v>
      </c>
      <c r="N906" s="6">
        <f>YEAR(SalesTbl[[#This Row],[Order Date]])</f>
        <v>2023</v>
      </c>
      <c r="O906" s="6" t="str">
        <f>TEXT(SalesTbl[[#This Row],[Order Date]],"yyyy-mm")</f>
        <v>2023-06</v>
      </c>
      <c r="P906" s="13">
        <f>WEEKNUM(SalesTbl[[#This Row],[Order Date]],2)</f>
        <v>24</v>
      </c>
      <c r="Q906" s="14">
        <f>MEDIAN(SalesTbl[Quantity])</f>
        <v>3</v>
      </c>
      <c r="R906" s="14">
        <f>IF(ISBLANK(SalesTbl[[#This Row],[Quantity]]),$H$2,SalesTbl[[#This Row],[Quantity]])</f>
        <v>1</v>
      </c>
      <c r="S906">
        <f>ROW()-ROW(SalesTbl[[#Headers],[Customer ID]])</f>
        <v>905</v>
      </c>
      <c r="T906" s="9" t="str">
        <f>IF(SalesTbl[[#This Row],[RowIdx]]&lt;=ROUNDUP(COUNTA(SalesTbl[Customer ID])*0.8,0),"Train","Test")</f>
        <v>Test</v>
      </c>
    </row>
    <row r="907" spans="1:20" x14ac:dyDescent="0.25">
      <c r="A907" t="s">
        <v>227</v>
      </c>
      <c r="B907" t="s">
        <v>13</v>
      </c>
      <c r="C907" t="s">
        <v>320</v>
      </c>
      <c r="D907" t="s">
        <v>29</v>
      </c>
      <c r="E907" t="s">
        <v>18</v>
      </c>
      <c r="F907">
        <v>66</v>
      </c>
      <c r="G907">
        <v>50</v>
      </c>
      <c r="H907">
        <v>4</v>
      </c>
      <c r="I907">
        <v>200</v>
      </c>
      <c r="J907">
        <v>10.69</v>
      </c>
      <c r="K907" s="2">
        <v>45080</v>
      </c>
      <c r="L907" t="s">
        <v>318</v>
      </c>
      <c r="M907" s="6">
        <f>SalesTbl[[#This Row],[Unit Price]]*SalesTbl[[#This Row],[Quantity]]</f>
        <v>200</v>
      </c>
      <c r="N907" s="6">
        <f>YEAR(SalesTbl[[#This Row],[Order Date]])</f>
        <v>2023</v>
      </c>
      <c r="O907" s="6" t="str">
        <f>TEXT(SalesTbl[[#This Row],[Order Date]],"yyyy-mm")</f>
        <v>2023-06</v>
      </c>
      <c r="P907" s="13">
        <f>WEEKNUM(SalesTbl[[#This Row],[Order Date]],2)</f>
        <v>23</v>
      </c>
      <c r="Q907" s="14">
        <f>MEDIAN(SalesTbl[Quantity])</f>
        <v>3</v>
      </c>
      <c r="R907" s="14">
        <f>IF(ISBLANK(SalesTbl[[#This Row],[Quantity]]),$H$2,SalesTbl[[#This Row],[Quantity]])</f>
        <v>4</v>
      </c>
      <c r="S907">
        <f>ROW()-ROW(SalesTbl[[#Headers],[Customer ID]])</f>
        <v>906</v>
      </c>
      <c r="T907" s="9" t="str">
        <f>IF(SalesTbl[[#This Row],[RowIdx]]&lt;=ROUNDUP(COUNTA(SalesTbl[Customer ID])*0.8,0),"Train","Test")</f>
        <v>Test</v>
      </c>
    </row>
    <row r="908" spans="1:20" x14ac:dyDescent="0.25">
      <c r="A908" t="s">
        <v>307</v>
      </c>
      <c r="B908" t="s">
        <v>13</v>
      </c>
      <c r="C908" t="s">
        <v>321</v>
      </c>
      <c r="D908" t="s">
        <v>17</v>
      </c>
      <c r="E908" t="s">
        <v>18</v>
      </c>
      <c r="F908">
        <v>38</v>
      </c>
      <c r="G908">
        <v>100</v>
      </c>
      <c r="H908">
        <v>3</v>
      </c>
      <c r="I908">
        <v>300</v>
      </c>
      <c r="J908">
        <v>8.1999999999999993</v>
      </c>
      <c r="K908" s="2">
        <v>45260</v>
      </c>
      <c r="L908" t="s">
        <v>316</v>
      </c>
      <c r="M908" s="6">
        <f>SalesTbl[[#This Row],[Unit Price]]*SalesTbl[[#This Row],[Quantity]]</f>
        <v>300</v>
      </c>
      <c r="N908" s="6">
        <f>YEAR(SalesTbl[[#This Row],[Order Date]])</f>
        <v>2023</v>
      </c>
      <c r="O908" s="6" t="str">
        <f>TEXT(SalesTbl[[#This Row],[Order Date]],"yyyy-mm")</f>
        <v>2023-11</v>
      </c>
      <c r="P908" s="13">
        <f>WEEKNUM(SalesTbl[[#This Row],[Order Date]],2)</f>
        <v>49</v>
      </c>
      <c r="Q908" s="14">
        <f>MEDIAN(SalesTbl[Quantity])</f>
        <v>3</v>
      </c>
      <c r="R908" s="14">
        <f>IF(ISBLANK(SalesTbl[[#This Row],[Quantity]]),$H$2,SalesTbl[[#This Row],[Quantity]])</f>
        <v>3</v>
      </c>
      <c r="S908">
        <f>ROW()-ROW(SalesTbl[[#Headers],[Customer ID]])</f>
        <v>907</v>
      </c>
      <c r="T908" s="9" t="str">
        <f>IF(SalesTbl[[#This Row],[RowIdx]]&lt;=ROUNDUP(COUNTA(SalesTbl[Customer ID])*0.8,0),"Train","Test")</f>
        <v>Test</v>
      </c>
    </row>
    <row r="909" spans="1:20" x14ac:dyDescent="0.25">
      <c r="A909" t="s">
        <v>128</v>
      </c>
      <c r="B909" t="s">
        <v>13</v>
      </c>
      <c r="C909" t="s">
        <v>320</v>
      </c>
      <c r="D909" t="s">
        <v>30</v>
      </c>
      <c r="E909" t="s">
        <v>18</v>
      </c>
      <c r="F909">
        <v>63</v>
      </c>
      <c r="G909">
        <v>30</v>
      </c>
      <c r="H909">
        <v>3</v>
      </c>
      <c r="I909">
        <v>90</v>
      </c>
      <c r="J909">
        <v>9.0399999999999991</v>
      </c>
      <c r="K909" s="2">
        <v>44971</v>
      </c>
      <c r="L909" t="s">
        <v>318</v>
      </c>
      <c r="M909" s="6">
        <f>SalesTbl[[#This Row],[Unit Price]]*SalesTbl[[#This Row],[Quantity]]</f>
        <v>90</v>
      </c>
      <c r="N909" s="6">
        <f>YEAR(SalesTbl[[#This Row],[Order Date]])</f>
        <v>2023</v>
      </c>
      <c r="O909" s="6" t="str">
        <f>TEXT(SalesTbl[[#This Row],[Order Date]],"yyyy-mm")</f>
        <v>2023-02</v>
      </c>
      <c r="P909" s="13">
        <f>WEEKNUM(SalesTbl[[#This Row],[Order Date]],2)</f>
        <v>8</v>
      </c>
      <c r="Q909" s="14">
        <f>MEDIAN(SalesTbl[Quantity])</f>
        <v>3</v>
      </c>
      <c r="R909" s="14">
        <f>IF(ISBLANK(SalesTbl[[#This Row],[Quantity]]),$H$2,SalesTbl[[#This Row],[Quantity]])</f>
        <v>3</v>
      </c>
      <c r="S909">
        <f>ROW()-ROW(SalesTbl[[#Headers],[Customer ID]])</f>
        <v>908</v>
      </c>
      <c r="T909" s="9" t="str">
        <f>IF(SalesTbl[[#This Row],[RowIdx]]&lt;=ROUNDUP(COUNTA(SalesTbl[Customer ID])*0.8,0),"Train","Test")</f>
        <v>Test</v>
      </c>
    </row>
    <row r="910" spans="1:20" x14ac:dyDescent="0.25">
      <c r="A910" t="s">
        <v>129</v>
      </c>
      <c r="B910" t="s">
        <v>13</v>
      </c>
      <c r="C910" t="s">
        <v>321</v>
      </c>
      <c r="D910" t="s">
        <v>29</v>
      </c>
      <c r="E910" t="s">
        <v>18</v>
      </c>
      <c r="F910">
        <v>62</v>
      </c>
      <c r="G910">
        <v>50</v>
      </c>
      <c r="H910">
        <v>2</v>
      </c>
      <c r="I910">
        <v>100</v>
      </c>
      <c r="J910">
        <v>8.68</v>
      </c>
      <c r="K910" s="2">
        <v>45109</v>
      </c>
      <c r="L910" t="s">
        <v>317</v>
      </c>
      <c r="M910" s="6">
        <f>SalesTbl[[#This Row],[Unit Price]]*SalesTbl[[#This Row],[Quantity]]</f>
        <v>100</v>
      </c>
      <c r="N910" s="6">
        <f>YEAR(SalesTbl[[#This Row],[Order Date]])</f>
        <v>2023</v>
      </c>
      <c r="O910" s="6" t="str">
        <f>TEXT(SalesTbl[[#This Row],[Order Date]],"yyyy-mm")</f>
        <v>2023-07</v>
      </c>
      <c r="P910" s="13">
        <f>WEEKNUM(SalesTbl[[#This Row],[Order Date]],2)</f>
        <v>27</v>
      </c>
      <c r="Q910" s="14">
        <f>MEDIAN(SalesTbl[Quantity])</f>
        <v>3</v>
      </c>
      <c r="R910" s="14">
        <f>IF(ISBLANK(SalesTbl[[#This Row],[Quantity]]),$H$2,SalesTbl[[#This Row],[Quantity]])</f>
        <v>2</v>
      </c>
      <c r="S910">
        <f>ROW()-ROW(SalesTbl[[#Headers],[Customer ID]])</f>
        <v>909</v>
      </c>
      <c r="T910" s="9" t="str">
        <f>IF(SalesTbl[[#This Row],[RowIdx]]&lt;=ROUNDUP(COUNTA(SalesTbl[Customer ID])*0.8,0),"Train","Test")</f>
        <v>Test</v>
      </c>
    </row>
    <row r="911" spans="1:20" x14ac:dyDescent="0.25">
      <c r="A911" t="s">
        <v>199</v>
      </c>
      <c r="B911" t="s">
        <v>20</v>
      </c>
      <c r="C911" t="s">
        <v>321</v>
      </c>
      <c r="D911" t="s">
        <v>40</v>
      </c>
      <c r="E911" t="s">
        <v>15</v>
      </c>
      <c r="F911">
        <v>50</v>
      </c>
      <c r="G911">
        <v>800</v>
      </c>
      <c r="H911">
        <v>1</v>
      </c>
      <c r="I911">
        <v>800</v>
      </c>
      <c r="J911">
        <v>7.34</v>
      </c>
      <c r="K911" s="2">
        <v>45090</v>
      </c>
      <c r="L911" t="s">
        <v>317</v>
      </c>
      <c r="M911" s="6">
        <f>SalesTbl[[#This Row],[Unit Price]]*SalesTbl[[#This Row],[Quantity]]</f>
        <v>800</v>
      </c>
      <c r="N911" s="6">
        <f>YEAR(SalesTbl[[#This Row],[Order Date]])</f>
        <v>2023</v>
      </c>
      <c r="O911" s="6" t="str">
        <f>TEXT(SalesTbl[[#This Row],[Order Date]],"yyyy-mm")</f>
        <v>2023-06</v>
      </c>
      <c r="P911" s="13">
        <f>WEEKNUM(SalesTbl[[#This Row],[Order Date]],2)</f>
        <v>25</v>
      </c>
      <c r="Q911" s="14">
        <f>MEDIAN(SalesTbl[Quantity])</f>
        <v>3</v>
      </c>
      <c r="R911" s="14">
        <f>IF(ISBLANK(SalesTbl[[#This Row],[Quantity]]),$H$2,SalesTbl[[#This Row],[Quantity]])</f>
        <v>1</v>
      </c>
      <c r="S911">
        <f>ROW()-ROW(SalesTbl[[#Headers],[Customer ID]])</f>
        <v>910</v>
      </c>
      <c r="T911" s="9" t="str">
        <f>IF(SalesTbl[[#This Row],[RowIdx]]&lt;=ROUNDUP(COUNTA(SalesTbl[Customer ID])*0.8,0),"Train","Test")</f>
        <v>Test</v>
      </c>
    </row>
    <row r="912" spans="1:20" x14ac:dyDescent="0.25">
      <c r="A912" t="s">
        <v>244</v>
      </c>
      <c r="B912" t="s">
        <v>13</v>
      </c>
      <c r="C912" t="s">
        <v>321</v>
      </c>
      <c r="D912" t="s">
        <v>14</v>
      </c>
      <c r="E912" t="s">
        <v>15</v>
      </c>
      <c r="F912">
        <v>23</v>
      </c>
      <c r="G912">
        <v>300</v>
      </c>
      <c r="H912">
        <v>4</v>
      </c>
      <c r="I912">
        <v>1200</v>
      </c>
      <c r="J912">
        <v>11.76</v>
      </c>
      <c r="K912" s="2">
        <v>45013</v>
      </c>
      <c r="L912" t="s">
        <v>316</v>
      </c>
      <c r="M912" s="6">
        <f>SalesTbl[[#This Row],[Unit Price]]*SalesTbl[[#This Row],[Quantity]]</f>
        <v>1200</v>
      </c>
      <c r="N912" s="6">
        <f>YEAR(SalesTbl[[#This Row],[Order Date]])</f>
        <v>2023</v>
      </c>
      <c r="O912" s="6" t="str">
        <f>TEXT(SalesTbl[[#This Row],[Order Date]],"yyyy-mm")</f>
        <v>2023-03</v>
      </c>
      <c r="P912" s="13">
        <f>WEEKNUM(SalesTbl[[#This Row],[Order Date]],2)</f>
        <v>14</v>
      </c>
      <c r="Q912" s="14">
        <f>MEDIAN(SalesTbl[Quantity])</f>
        <v>3</v>
      </c>
      <c r="R912" s="14">
        <f>IF(ISBLANK(SalesTbl[[#This Row],[Quantity]]),$H$2,SalesTbl[[#This Row],[Quantity]])</f>
        <v>4</v>
      </c>
      <c r="S912">
        <f>ROW()-ROW(SalesTbl[[#Headers],[Customer ID]])</f>
        <v>911</v>
      </c>
      <c r="T912" s="9" t="str">
        <f>IF(SalesTbl[[#This Row],[RowIdx]]&lt;=ROUNDUP(COUNTA(SalesTbl[Customer ID])*0.8,0),"Train","Test")</f>
        <v>Test</v>
      </c>
    </row>
    <row r="913" spans="1:20" x14ac:dyDescent="0.25">
      <c r="A913" t="s">
        <v>227</v>
      </c>
      <c r="B913" t="s">
        <v>13</v>
      </c>
      <c r="C913" t="s">
        <v>323</v>
      </c>
      <c r="D913" t="s">
        <v>17</v>
      </c>
      <c r="E913" t="s">
        <v>18</v>
      </c>
      <c r="F913">
        <v>66</v>
      </c>
      <c r="G913">
        <v>100</v>
      </c>
      <c r="H913">
        <v>5</v>
      </c>
      <c r="I913">
        <v>500</v>
      </c>
      <c r="J913">
        <v>5.4</v>
      </c>
      <c r="K913" s="2">
        <v>45284</v>
      </c>
      <c r="L913" t="s">
        <v>316</v>
      </c>
      <c r="M913" s="6">
        <f>SalesTbl[[#This Row],[Unit Price]]*SalesTbl[[#This Row],[Quantity]]</f>
        <v>500</v>
      </c>
      <c r="N913" s="6">
        <f>YEAR(SalesTbl[[#This Row],[Order Date]])</f>
        <v>2023</v>
      </c>
      <c r="O913" s="6" t="str">
        <f>TEXT(SalesTbl[[#This Row],[Order Date]],"yyyy-mm")</f>
        <v>2023-12</v>
      </c>
      <c r="P913" s="13">
        <f>WEEKNUM(SalesTbl[[#This Row],[Order Date]],2)</f>
        <v>52</v>
      </c>
      <c r="Q913" s="14">
        <f>MEDIAN(SalesTbl[Quantity])</f>
        <v>3</v>
      </c>
      <c r="R913" s="14">
        <f>IF(ISBLANK(SalesTbl[[#This Row],[Quantity]]),$H$2,SalesTbl[[#This Row],[Quantity]])</f>
        <v>5</v>
      </c>
      <c r="S913">
        <f>ROW()-ROW(SalesTbl[[#Headers],[Customer ID]])</f>
        <v>912</v>
      </c>
      <c r="T913" s="9" t="str">
        <f>IF(SalesTbl[[#This Row],[RowIdx]]&lt;=ROUNDUP(COUNTA(SalesTbl[Customer ID])*0.8,0),"Train","Test")</f>
        <v>Test</v>
      </c>
    </row>
    <row r="914" spans="1:20" x14ac:dyDescent="0.25">
      <c r="A914" t="s">
        <v>309</v>
      </c>
      <c r="B914" t="s">
        <v>13</v>
      </c>
      <c r="C914" t="s">
        <v>322</v>
      </c>
      <c r="D914" t="s">
        <v>30</v>
      </c>
      <c r="E914" t="s">
        <v>18</v>
      </c>
      <c r="F914">
        <v>21</v>
      </c>
      <c r="G914">
        <v>30</v>
      </c>
      <c r="H914">
        <v>4</v>
      </c>
      <c r="I914">
        <v>120</v>
      </c>
      <c r="J914">
        <v>13.68</v>
      </c>
      <c r="K914" s="2">
        <v>45070</v>
      </c>
      <c r="L914" t="s">
        <v>318</v>
      </c>
      <c r="M914" s="6">
        <f>SalesTbl[[#This Row],[Unit Price]]*SalesTbl[[#This Row],[Quantity]]</f>
        <v>120</v>
      </c>
      <c r="N914" s="6">
        <f>YEAR(SalesTbl[[#This Row],[Order Date]])</f>
        <v>2023</v>
      </c>
      <c r="O914" s="6" t="str">
        <f>TEXT(SalesTbl[[#This Row],[Order Date]],"yyyy-mm")</f>
        <v>2023-05</v>
      </c>
      <c r="P914" s="13">
        <f>WEEKNUM(SalesTbl[[#This Row],[Order Date]],2)</f>
        <v>22</v>
      </c>
      <c r="Q914" s="14">
        <f>MEDIAN(SalesTbl[Quantity])</f>
        <v>3</v>
      </c>
      <c r="R914" s="14">
        <f>IF(ISBLANK(SalesTbl[[#This Row],[Quantity]]),$H$2,SalesTbl[[#This Row],[Quantity]])</f>
        <v>4</v>
      </c>
      <c r="S914">
        <f>ROW()-ROW(SalesTbl[[#Headers],[Customer ID]])</f>
        <v>913</v>
      </c>
      <c r="T914" s="9" t="str">
        <f>IF(SalesTbl[[#This Row],[RowIdx]]&lt;=ROUNDUP(COUNTA(SalesTbl[Customer ID])*0.8,0),"Train","Test")</f>
        <v>Test</v>
      </c>
    </row>
    <row r="915" spans="1:20" x14ac:dyDescent="0.25">
      <c r="A915" t="s">
        <v>213</v>
      </c>
      <c r="B915" t="s">
        <v>20</v>
      </c>
      <c r="C915" t="s">
        <v>322</v>
      </c>
      <c r="D915" t="s">
        <v>14</v>
      </c>
      <c r="E915" t="s">
        <v>15</v>
      </c>
      <c r="F915">
        <v>49</v>
      </c>
      <c r="G915">
        <v>300</v>
      </c>
      <c r="H915">
        <v>3</v>
      </c>
      <c r="I915">
        <v>900</v>
      </c>
      <c r="J915">
        <v>15.81</v>
      </c>
      <c r="K915" s="2">
        <v>45067</v>
      </c>
      <c r="L915" t="s">
        <v>317</v>
      </c>
      <c r="M915" s="6">
        <f>SalesTbl[[#This Row],[Unit Price]]*SalesTbl[[#This Row],[Quantity]]</f>
        <v>900</v>
      </c>
      <c r="N915" s="6">
        <f>YEAR(SalesTbl[[#This Row],[Order Date]])</f>
        <v>2023</v>
      </c>
      <c r="O915" s="6" t="str">
        <f>TEXT(SalesTbl[[#This Row],[Order Date]],"yyyy-mm")</f>
        <v>2023-05</v>
      </c>
      <c r="P915" s="13">
        <f>WEEKNUM(SalesTbl[[#This Row],[Order Date]],2)</f>
        <v>21</v>
      </c>
      <c r="Q915" s="14">
        <f>MEDIAN(SalesTbl[Quantity])</f>
        <v>3</v>
      </c>
      <c r="R915" s="14">
        <f>IF(ISBLANK(SalesTbl[[#This Row],[Quantity]]),$H$2,SalesTbl[[#This Row],[Quantity]])</f>
        <v>3</v>
      </c>
      <c r="S915">
        <f>ROW()-ROW(SalesTbl[[#Headers],[Customer ID]])</f>
        <v>914</v>
      </c>
      <c r="T915" s="9" t="str">
        <f>IF(SalesTbl[[#This Row],[RowIdx]]&lt;=ROUNDUP(COUNTA(SalesTbl[Customer ID])*0.8,0),"Train","Test")</f>
        <v>Test</v>
      </c>
    </row>
    <row r="916" spans="1:20" x14ac:dyDescent="0.25">
      <c r="A916" t="s">
        <v>220</v>
      </c>
      <c r="B916" t="s">
        <v>20</v>
      </c>
      <c r="C916" t="s">
        <v>320</v>
      </c>
      <c r="D916" t="s">
        <v>29</v>
      </c>
      <c r="E916" t="s">
        <v>18</v>
      </c>
      <c r="F916">
        <v>18</v>
      </c>
      <c r="G916">
        <v>50</v>
      </c>
      <c r="H916">
        <v>5</v>
      </c>
      <c r="I916">
        <v>250</v>
      </c>
      <c r="J916">
        <v>16</v>
      </c>
      <c r="K916" s="2">
        <v>44931</v>
      </c>
      <c r="L916" t="s">
        <v>318</v>
      </c>
      <c r="M916" s="6">
        <f>SalesTbl[[#This Row],[Unit Price]]*SalesTbl[[#This Row],[Quantity]]</f>
        <v>250</v>
      </c>
      <c r="N916" s="6">
        <f>YEAR(SalesTbl[[#This Row],[Order Date]])</f>
        <v>2023</v>
      </c>
      <c r="O916" s="6" t="str">
        <f>TEXT(SalesTbl[[#This Row],[Order Date]],"yyyy-mm")</f>
        <v>2023-01</v>
      </c>
      <c r="P916" s="13">
        <f>WEEKNUM(SalesTbl[[#This Row],[Order Date]],2)</f>
        <v>2</v>
      </c>
      <c r="Q916" s="14">
        <f>MEDIAN(SalesTbl[Quantity])</f>
        <v>3</v>
      </c>
      <c r="R916" s="14">
        <f>IF(ISBLANK(SalesTbl[[#This Row],[Quantity]]),$H$2,SalesTbl[[#This Row],[Quantity]])</f>
        <v>5</v>
      </c>
      <c r="S916">
        <f>ROW()-ROW(SalesTbl[[#Headers],[Customer ID]])</f>
        <v>915</v>
      </c>
      <c r="T916" s="9" t="str">
        <f>IF(SalesTbl[[#This Row],[RowIdx]]&lt;=ROUNDUP(COUNTA(SalesTbl[Customer ID])*0.8,0),"Train","Test")</f>
        <v>Test</v>
      </c>
    </row>
    <row r="917" spans="1:20" x14ac:dyDescent="0.25">
      <c r="A917" t="s">
        <v>310</v>
      </c>
      <c r="B917" t="s">
        <v>20</v>
      </c>
      <c r="C917" t="s">
        <v>321</v>
      </c>
      <c r="D917" t="s">
        <v>30</v>
      </c>
      <c r="E917" t="s">
        <v>18</v>
      </c>
      <c r="F917">
        <v>29</v>
      </c>
      <c r="G917">
        <v>30</v>
      </c>
      <c r="H917">
        <v>4</v>
      </c>
      <c r="I917">
        <v>120</v>
      </c>
      <c r="J917">
        <v>11.36</v>
      </c>
      <c r="K917" s="2">
        <v>45249</v>
      </c>
      <c r="L917" t="s">
        <v>316</v>
      </c>
      <c r="M917" s="6">
        <f>SalesTbl[[#This Row],[Unit Price]]*SalesTbl[[#This Row],[Quantity]]</f>
        <v>120</v>
      </c>
      <c r="N917" s="6">
        <f>YEAR(SalesTbl[[#This Row],[Order Date]])</f>
        <v>2023</v>
      </c>
      <c r="O917" s="6" t="str">
        <f>TEXT(SalesTbl[[#This Row],[Order Date]],"yyyy-mm")</f>
        <v>2023-11</v>
      </c>
      <c r="P917" s="13">
        <f>WEEKNUM(SalesTbl[[#This Row],[Order Date]],2)</f>
        <v>47</v>
      </c>
      <c r="Q917" s="14">
        <f>MEDIAN(SalesTbl[Quantity])</f>
        <v>3</v>
      </c>
      <c r="R917" s="14">
        <f>IF(ISBLANK(SalesTbl[[#This Row],[Quantity]]),$H$2,SalesTbl[[#This Row],[Quantity]])</f>
        <v>4</v>
      </c>
      <c r="S917">
        <f>ROW()-ROW(SalesTbl[[#Headers],[Customer ID]])</f>
        <v>916</v>
      </c>
      <c r="T917" s="9" t="str">
        <f>IF(SalesTbl[[#This Row],[RowIdx]]&lt;=ROUNDUP(COUNTA(SalesTbl[Customer ID])*0.8,0),"Train","Test")</f>
        <v>Test</v>
      </c>
    </row>
    <row r="918" spans="1:20" x14ac:dyDescent="0.25">
      <c r="A918" t="s">
        <v>311</v>
      </c>
      <c r="B918" t="s">
        <v>20</v>
      </c>
      <c r="C918" t="s">
        <v>323</v>
      </c>
      <c r="D918" t="s">
        <v>29</v>
      </c>
      <c r="E918" t="s">
        <v>18</v>
      </c>
      <c r="F918">
        <v>49</v>
      </c>
      <c r="G918">
        <v>50</v>
      </c>
      <c r="H918">
        <v>5</v>
      </c>
      <c r="I918">
        <v>250</v>
      </c>
      <c r="J918">
        <v>10.46</v>
      </c>
      <c r="K918" s="2">
        <v>45140</v>
      </c>
      <c r="L918" t="s">
        <v>316</v>
      </c>
      <c r="M918" s="6">
        <f>SalesTbl[[#This Row],[Unit Price]]*SalesTbl[[#This Row],[Quantity]]</f>
        <v>250</v>
      </c>
      <c r="N918" s="6">
        <f>YEAR(SalesTbl[[#This Row],[Order Date]])</f>
        <v>2023</v>
      </c>
      <c r="O918" s="6" t="str">
        <f>TEXT(SalesTbl[[#This Row],[Order Date]],"yyyy-mm")</f>
        <v>2023-08</v>
      </c>
      <c r="P918" s="13">
        <f>WEEKNUM(SalesTbl[[#This Row],[Order Date]],2)</f>
        <v>32</v>
      </c>
      <c r="Q918" s="14">
        <f>MEDIAN(SalesTbl[Quantity])</f>
        <v>3</v>
      </c>
      <c r="R918" s="14">
        <f>IF(ISBLANK(SalesTbl[[#This Row],[Quantity]]),$H$2,SalesTbl[[#This Row],[Quantity]])</f>
        <v>5</v>
      </c>
      <c r="S918">
        <f>ROW()-ROW(SalesTbl[[#Headers],[Customer ID]])</f>
        <v>917</v>
      </c>
      <c r="T918" s="9" t="str">
        <f>IF(SalesTbl[[#This Row],[RowIdx]]&lt;=ROUNDUP(COUNTA(SalesTbl[Customer ID])*0.8,0),"Train","Test")</f>
        <v>Test</v>
      </c>
    </row>
    <row r="919" spans="1:20" x14ac:dyDescent="0.25">
      <c r="A919" t="s">
        <v>261</v>
      </c>
      <c r="B919" t="s">
        <v>13</v>
      </c>
      <c r="C919" t="s">
        <v>320</v>
      </c>
      <c r="D919" t="s">
        <v>14</v>
      </c>
      <c r="E919" t="s">
        <v>15</v>
      </c>
      <c r="F919">
        <v>49</v>
      </c>
      <c r="G919">
        <v>300</v>
      </c>
      <c r="H919">
        <v>1</v>
      </c>
      <c r="I919">
        <v>300</v>
      </c>
      <c r="J919">
        <v>9.06</v>
      </c>
      <c r="K919" s="2">
        <v>45093</v>
      </c>
      <c r="L919" t="s">
        <v>316</v>
      </c>
      <c r="M919" s="6">
        <f>SalesTbl[[#This Row],[Unit Price]]*SalesTbl[[#This Row],[Quantity]]</f>
        <v>300</v>
      </c>
      <c r="N919" s="6">
        <f>YEAR(SalesTbl[[#This Row],[Order Date]])</f>
        <v>2023</v>
      </c>
      <c r="O919" s="6" t="str">
        <f>TEXT(SalesTbl[[#This Row],[Order Date]],"yyyy-mm")</f>
        <v>2023-06</v>
      </c>
      <c r="P919" s="13">
        <f>WEEKNUM(SalesTbl[[#This Row],[Order Date]],2)</f>
        <v>25</v>
      </c>
      <c r="Q919" s="14">
        <f>MEDIAN(SalesTbl[Quantity])</f>
        <v>3</v>
      </c>
      <c r="R919" s="14">
        <f>IF(ISBLANK(SalesTbl[[#This Row],[Quantity]]),$H$2,SalesTbl[[#This Row],[Quantity]])</f>
        <v>1</v>
      </c>
      <c r="S919">
        <f>ROW()-ROW(SalesTbl[[#Headers],[Customer ID]])</f>
        <v>918</v>
      </c>
      <c r="T919" s="9" t="str">
        <f>IF(SalesTbl[[#This Row],[RowIdx]]&lt;=ROUNDUP(COUNTA(SalesTbl[Customer ID])*0.8,0),"Train","Test")</f>
        <v>Test</v>
      </c>
    </row>
    <row r="920" spans="1:20" x14ac:dyDescent="0.25">
      <c r="A920" t="s">
        <v>234</v>
      </c>
      <c r="B920" t="s">
        <v>20</v>
      </c>
      <c r="C920" t="s">
        <v>322</v>
      </c>
      <c r="D920" t="s">
        <v>30</v>
      </c>
      <c r="E920" t="s">
        <v>18</v>
      </c>
      <c r="F920">
        <v>18</v>
      </c>
      <c r="G920">
        <v>30</v>
      </c>
      <c r="H920">
        <v>3</v>
      </c>
      <c r="I920">
        <v>90</v>
      </c>
      <c r="J920">
        <v>8.3000000000000007</v>
      </c>
      <c r="K920" s="2">
        <v>44963</v>
      </c>
      <c r="L920" t="s">
        <v>319</v>
      </c>
      <c r="M920" s="6">
        <f>SalesTbl[[#This Row],[Unit Price]]*SalesTbl[[#This Row],[Quantity]]</f>
        <v>90</v>
      </c>
      <c r="N920" s="6">
        <f>YEAR(SalesTbl[[#This Row],[Order Date]])</f>
        <v>2023</v>
      </c>
      <c r="O920" s="6" t="str">
        <f>TEXT(SalesTbl[[#This Row],[Order Date]],"yyyy-mm")</f>
        <v>2023-02</v>
      </c>
      <c r="P920" s="13">
        <f>WEEKNUM(SalesTbl[[#This Row],[Order Date]],2)</f>
        <v>7</v>
      </c>
      <c r="Q920" s="14">
        <f>MEDIAN(SalesTbl[Quantity])</f>
        <v>3</v>
      </c>
      <c r="R920" s="14">
        <f>IF(ISBLANK(SalesTbl[[#This Row],[Quantity]]),$H$2,SalesTbl[[#This Row],[Quantity]])</f>
        <v>3</v>
      </c>
      <c r="S920">
        <f>ROW()-ROW(SalesTbl[[#Headers],[Customer ID]])</f>
        <v>919</v>
      </c>
      <c r="T920" s="9" t="str">
        <f>IF(SalesTbl[[#This Row],[RowIdx]]&lt;=ROUNDUP(COUNTA(SalesTbl[Customer ID])*0.8,0),"Train","Test")</f>
        <v>Test</v>
      </c>
    </row>
    <row r="921" spans="1:20" x14ac:dyDescent="0.25">
      <c r="A921" t="s">
        <v>138</v>
      </c>
      <c r="B921" t="s">
        <v>20</v>
      </c>
      <c r="C921" t="s">
        <v>323</v>
      </c>
      <c r="D921" t="s">
        <v>17</v>
      </c>
      <c r="E921" t="s">
        <v>18</v>
      </c>
      <c r="F921">
        <v>44</v>
      </c>
      <c r="G921">
        <v>100</v>
      </c>
      <c r="H921">
        <v>3</v>
      </c>
      <c r="I921">
        <v>300</v>
      </c>
      <c r="J921">
        <v>13.94</v>
      </c>
      <c r="K921" s="2">
        <v>45197</v>
      </c>
      <c r="L921" t="s">
        <v>317</v>
      </c>
      <c r="M921" s="6">
        <f>SalesTbl[[#This Row],[Unit Price]]*SalesTbl[[#This Row],[Quantity]]</f>
        <v>300</v>
      </c>
      <c r="N921" s="6">
        <f>YEAR(SalesTbl[[#This Row],[Order Date]])</f>
        <v>2023</v>
      </c>
      <c r="O921" s="6" t="str">
        <f>TEXT(SalesTbl[[#This Row],[Order Date]],"yyyy-mm")</f>
        <v>2023-09</v>
      </c>
      <c r="P921" s="13">
        <f>WEEKNUM(SalesTbl[[#This Row],[Order Date]],2)</f>
        <v>40</v>
      </c>
      <c r="Q921" s="14">
        <f>MEDIAN(SalesTbl[Quantity])</f>
        <v>3</v>
      </c>
      <c r="R921" s="14">
        <f>IF(ISBLANK(SalesTbl[[#This Row],[Quantity]]),$H$2,SalesTbl[[#This Row],[Quantity]])</f>
        <v>3</v>
      </c>
      <c r="S921">
        <f>ROW()-ROW(SalesTbl[[#Headers],[Customer ID]])</f>
        <v>920</v>
      </c>
      <c r="T921" s="9" t="str">
        <f>IF(SalesTbl[[#This Row],[RowIdx]]&lt;=ROUNDUP(COUNTA(SalesTbl[Customer ID])*0.8,0),"Train","Test")</f>
        <v>Test</v>
      </c>
    </row>
    <row r="922" spans="1:20" x14ac:dyDescent="0.25">
      <c r="A922" t="s">
        <v>104</v>
      </c>
      <c r="B922" t="s">
        <v>13</v>
      </c>
      <c r="C922" t="s">
        <v>322</v>
      </c>
      <c r="D922" t="s">
        <v>40</v>
      </c>
      <c r="E922" t="s">
        <v>15</v>
      </c>
      <c r="F922">
        <v>69</v>
      </c>
      <c r="G922">
        <v>800</v>
      </c>
      <c r="H922">
        <v>4</v>
      </c>
      <c r="I922">
        <v>3200</v>
      </c>
      <c r="J922">
        <v>19.420000000000002</v>
      </c>
      <c r="K922" s="2">
        <v>45237</v>
      </c>
      <c r="L922" t="s">
        <v>318</v>
      </c>
      <c r="M922" s="6">
        <f>SalesTbl[[#This Row],[Unit Price]]*SalesTbl[[#This Row],[Quantity]]</f>
        <v>3200</v>
      </c>
      <c r="N922" s="6">
        <f>YEAR(SalesTbl[[#This Row],[Order Date]])</f>
        <v>2023</v>
      </c>
      <c r="O922" s="6" t="str">
        <f>TEXT(SalesTbl[[#This Row],[Order Date]],"yyyy-mm")</f>
        <v>2023-11</v>
      </c>
      <c r="P922" s="13">
        <f>WEEKNUM(SalesTbl[[#This Row],[Order Date]],2)</f>
        <v>46</v>
      </c>
      <c r="Q922" s="14">
        <f>MEDIAN(SalesTbl[Quantity])</f>
        <v>3</v>
      </c>
      <c r="R922" s="14">
        <f>IF(ISBLANK(SalesTbl[[#This Row],[Quantity]]),$H$2,SalesTbl[[#This Row],[Quantity]])</f>
        <v>4</v>
      </c>
      <c r="S922">
        <f>ROW()-ROW(SalesTbl[[#Headers],[Customer ID]])</f>
        <v>921</v>
      </c>
      <c r="T922" s="9" t="str">
        <f>IF(SalesTbl[[#This Row],[RowIdx]]&lt;=ROUNDUP(COUNTA(SalesTbl[Customer ID])*0.8,0),"Train","Test")</f>
        <v>Test</v>
      </c>
    </row>
    <row r="923" spans="1:20" x14ac:dyDescent="0.25">
      <c r="A923" t="s">
        <v>161</v>
      </c>
      <c r="B923" t="s">
        <v>13</v>
      </c>
      <c r="C923" t="s">
        <v>320</v>
      </c>
      <c r="D923" t="s">
        <v>29</v>
      </c>
      <c r="E923" t="s">
        <v>18</v>
      </c>
      <c r="F923">
        <v>65</v>
      </c>
      <c r="G923">
        <v>50</v>
      </c>
      <c r="H923">
        <v>5</v>
      </c>
      <c r="I923">
        <v>250</v>
      </c>
      <c r="J923">
        <v>5.92</v>
      </c>
      <c r="K923" s="2">
        <v>45020</v>
      </c>
      <c r="L923" t="s">
        <v>316</v>
      </c>
      <c r="M923" s="6">
        <f>SalesTbl[[#This Row],[Unit Price]]*SalesTbl[[#This Row],[Quantity]]</f>
        <v>250</v>
      </c>
      <c r="N923" s="6">
        <f>YEAR(SalesTbl[[#This Row],[Order Date]])</f>
        <v>2023</v>
      </c>
      <c r="O923" s="6" t="str">
        <f>TEXT(SalesTbl[[#This Row],[Order Date]],"yyyy-mm")</f>
        <v>2023-04</v>
      </c>
      <c r="P923" s="13">
        <f>WEEKNUM(SalesTbl[[#This Row],[Order Date]],2)</f>
        <v>15</v>
      </c>
      <c r="Q923" s="14">
        <f>MEDIAN(SalesTbl[Quantity])</f>
        <v>3</v>
      </c>
      <c r="R923" s="14">
        <f>IF(ISBLANK(SalesTbl[[#This Row],[Quantity]]),$H$2,SalesTbl[[#This Row],[Quantity]])</f>
        <v>5</v>
      </c>
      <c r="S923">
        <f>ROW()-ROW(SalesTbl[[#Headers],[Customer ID]])</f>
        <v>922</v>
      </c>
      <c r="T923" s="9" t="str">
        <f>IF(SalesTbl[[#This Row],[RowIdx]]&lt;=ROUNDUP(COUNTA(SalesTbl[Customer ID])*0.8,0),"Train","Test")</f>
        <v>Test</v>
      </c>
    </row>
    <row r="924" spans="1:20" x14ac:dyDescent="0.25">
      <c r="A924" t="s">
        <v>190</v>
      </c>
      <c r="B924" t="s">
        <v>20</v>
      </c>
      <c r="C924" t="s">
        <v>321</v>
      </c>
      <c r="D924" t="s">
        <v>40</v>
      </c>
      <c r="E924" t="s">
        <v>15</v>
      </c>
      <c r="F924">
        <v>59</v>
      </c>
      <c r="G924">
        <v>800</v>
      </c>
      <c r="H924">
        <v>5</v>
      </c>
      <c r="I924">
        <v>4000</v>
      </c>
      <c r="J924">
        <v>15.22</v>
      </c>
      <c r="K924" s="2">
        <v>45254</v>
      </c>
      <c r="L924" t="s">
        <v>318</v>
      </c>
      <c r="M924" s="6">
        <f>SalesTbl[[#This Row],[Unit Price]]*SalesTbl[[#This Row],[Quantity]]</f>
        <v>4000</v>
      </c>
      <c r="N924" s="6">
        <f>YEAR(SalesTbl[[#This Row],[Order Date]])</f>
        <v>2023</v>
      </c>
      <c r="O924" s="6" t="str">
        <f>TEXT(SalesTbl[[#This Row],[Order Date]],"yyyy-mm")</f>
        <v>2023-11</v>
      </c>
      <c r="P924" s="13">
        <f>WEEKNUM(SalesTbl[[#This Row],[Order Date]],2)</f>
        <v>48</v>
      </c>
      <c r="Q924" s="14">
        <f>MEDIAN(SalesTbl[Quantity])</f>
        <v>3</v>
      </c>
      <c r="R924" s="14">
        <f>IF(ISBLANK(SalesTbl[[#This Row],[Quantity]]),$H$2,SalesTbl[[#This Row],[Quantity]])</f>
        <v>5</v>
      </c>
      <c r="S924">
        <f>ROW()-ROW(SalesTbl[[#Headers],[Customer ID]])</f>
        <v>923</v>
      </c>
      <c r="T924" s="9" t="str">
        <f>IF(SalesTbl[[#This Row],[RowIdx]]&lt;=ROUNDUP(COUNTA(SalesTbl[Customer ID])*0.8,0),"Train","Test")</f>
        <v>Test</v>
      </c>
    </row>
    <row r="925" spans="1:20" x14ac:dyDescent="0.25">
      <c r="A925" t="s">
        <v>140</v>
      </c>
      <c r="B925" t="s">
        <v>20</v>
      </c>
      <c r="C925" t="s">
        <v>323</v>
      </c>
      <c r="D925" t="s">
        <v>17</v>
      </c>
      <c r="E925" t="s">
        <v>18</v>
      </c>
      <c r="F925">
        <v>66</v>
      </c>
      <c r="G925">
        <v>100</v>
      </c>
      <c r="H925">
        <v>2</v>
      </c>
      <c r="I925">
        <v>200</v>
      </c>
      <c r="J925">
        <v>8.65</v>
      </c>
      <c r="K925" s="2">
        <v>45188</v>
      </c>
      <c r="L925" t="s">
        <v>317</v>
      </c>
      <c r="M925" s="6">
        <f>SalesTbl[[#This Row],[Unit Price]]*SalesTbl[[#This Row],[Quantity]]</f>
        <v>200</v>
      </c>
      <c r="N925" s="6">
        <f>YEAR(SalesTbl[[#This Row],[Order Date]])</f>
        <v>2023</v>
      </c>
      <c r="O925" s="6" t="str">
        <f>TEXT(SalesTbl[[#This Row],[Order Date]],"yyyy-mm")</f>
        <v>2023-09</v>
      </c>
      <c r="P925" s="13">
        <f>WEEKNUM(SalesTbl[[#This Row],[Order Date]],2)</f>
        <v>39</v>
      </c>
      <c r="Q925" s="14">
        <f>MEDIAN(SalesTbl[Quantity])</f>
        <v>3</v>
      </c>
      <c r="R925" s="14">
        <f>IF(ISBLANK(SalesTbl[[#This Row],[Quantity]]),$H$2,SalesTbl[[#This Row],[Quantity]])</f>
        <v>2</v>
      </c>
      <c r="S925">
        <f>ROW()-ROW(SalesTbl[[#Headers],[Customer ID]])</f>
        <v>924</v>
      </c>
      <c r="T925" s="9" t="str">
        <f>IF(SalesTbl[[#This Row],[RowIdx]]&lt;=ROUNDUP(COUNTA(SalesTbl[Customer ID])*0.8,0),"Train","Test")</f>
        <v>Test</v>
      </c>
    </row>
    <row r="926" spans="1:20" x14ac:dyDescent="0.25">
      <c r="A926" t="s">
        <v>161</v>
      </c>
      <c r="B926" t="s">
        <v>13</v>
      </c>
      <c r="C926" t="s">
        <v>320</v>
      </c>
      <c r="D926" t="s">
        <v>14</v>
      </c>
      <c r="E926" t="s">
        <v>15</v>
      </c>
      <c r="F926">
        <v>65</v>
      </c>
      <c r="G926">
        <v>300</v>
      </c>
      <c r="H926">
        <v>3</v>
      </c>
      <c r="I926">
        <v>900</v>
      </c>
      <c r="J926">
        <v>9.31</v>
      </c>
      <c r="K926" s="2">
        <v>44971</v>
      </c>
      <c r="L926" t="s">
        <v>317</v>
      </c>
      <c r="M926" s="6">
        <f>SalesTbl[[#This Row],[Unit Price]]*SalesTbl[[#This Row],[Quantity]]</f>
        <v>900</v>
      </c>
      <c r="N926" s="6">
        <f>YEAR(SalesTbl[[#This Row],[Order Date]])</f>
        <v>2023</v>
      </c>
      <c r="O926" s="6" t="str">
        <f>TEXT(SalesTbl[[#This Row],[Order Date]],"yyyy-mm")</f>
        <v>2023-02</v>
      </c>
      <c r="P926" s="13">
        <f>WEEKNUM(SalesTbl[[#This Row],[Order Date]],2)</f>
        <v>8</v>
      </c>
      <c r="Q926" s="14">
        <f>MEDIAN(SalesTbl[Quantity])</f>
        <v>3</v>
      </c>
      <c r="R926" s="14">
        <f>IF(ISBLANK(SalesTbl[[#This Row],[Quantity]]),$H$2,SalesTbl[[#This Row],[Quantity]])</f>
        <v>3</v>
      </c>
      <c r="S926">
        <f>ROW()-ROW(SalesTbl[[#Headers],[Customer ID]])</f>
        <v>925</v>
      </c>
      <c r="T926" s="9" t="str">
        <f>IF(SalesTbl[[#This Row],[RowIdx]]&lt;=ROUNDUP(COUNTA(SalesTbl[Customer ID])*0.8,0),"Train","Test")</f>
        <v>Test</v>
      </c>
    </row>
    <row r="927" spans="1:20" x14ac:dyDescent="0.25">
      <c r="A927" t="s">
        <v>57</v>
      </c>
      <c r="B927" t="s">
        <v>13</v>
      </c>
      <c r="C927" t="s">
        <v>322</v>
      </c>
      <c r="D927" t="s">
        <v>29</v>
      </c>
      <c r="E927" t="s">
        <v>18</v>
      </c>
      <c r="F927">
        <v>41</v>
      </c>
      <c r="G927">
        <v>50</v>
      </c>
      <c r="H927">
        <v>3</v>
      </c>
      <c r="I927">
        <v>150</v>
      </c>
      <c r="J927">
        <v>5.55</v>
      </c>
      <c r="K927" s="2">
        <v>44998</v>
      </c>
      <c r="L927" t="s">
        <v>318</v>
      </c>
      <c r="M927" s="6">
        <f>SalesTbl[[#This Row],[Unit Price]]*SalesTbl[[#This Row],[Quantity]]</f>
        <v>150</v>
      </c>
      <c r="N927" s="6">
        <f>YEAR(SalesTbl[[#This Row],[Order Date]])</f>
        <v>2023</v>
      </c>
      <c r="O927" s="6" t="str">
        <f>TEXT(SalesTbl[[#This Row],[Order Date]],"yyyy-mm")</f>
        <v>2023-03</v>
      </c>
      <c r="P927" s="13">
        <f>WEEKNUM(SalesTbl[[#This Row],[Order Date]],2)</f>
        <v>12</v>
      </c>
      <c r="Q927" s="14">
        <f>MEDIAN(SalesTbl[Quantity])</f>
        <v>3</v>
      </c>
      <c r="R927" s="14">
        <f>IF(ISBLANK(SalesTbl[[#This Row],[Quantity]]),$H$2,SalesTbl[[#This Row],[Quantity]])</f>
        <v>3</v>
      </c>
      <c r="S927">
        <f>ROW()-ROW(SalesTbl[[#Headers],[Customer ID]])</f>
        <v>926</v>
      </c>
      <c r="T927" s="9" t="str">
        <f>IF(SalesTbl[[#This Row],[RowIdx]]&lt;=ROUNDUP(COUNTA(SalesTbl[Customer ID])*0.8,0),"Train","Test")</f>
        <v>Test</v>
      </c>
    </row>
    <row r="928" spans="1:20" x14ac:dyDescent="0.25">
      <c r="A928" t="s">
        <v>50</v>
      </c>
      <c r="B928" t="s">
        <v>13</v>
      </c>
      <c r="C928" t="s">
        <v>320</v>
      </c>
      <c r="D928" t="s">
        <v>30</v>
      </c>
      <c r="E928" t="s">
        <v>18</v>
      </c>
      <c r="F928">
        <v>31</v>
      </c>
      <c r="G928">
        <v>30</v>
      </c>
      <c r="H928">
        <v>1</v>
      </c>
      <c r="I928">
        <v>30</v>
      </c>
      <c r="J928">
        <v>9.26</v>
      </c>
      <c r="K928" s="2">
        <v>45162</v>
      </c>
      <c r="L928" t="s">
        <v>316</v>
      </c>
      <c r="M928" s="6">
        <f>SalesTbl[[#This Row],[Unit Price]]*SalesTbl[[#This Row],[Quantity]]</f>
        <v>30</v>
      </c>
      <c r="N928" s="6">
        <f>YEAR(SalesTbl[[#This Row],[Order Date]])</f>
        <v>2023</v>
      </c>
      <c r="O928" s="6" t="str">
        <f>TEXT(SalesTbl[[#This Row],[Order Date]],"yyyy-mm")</f>
        <v>2023-08</v>
      </c>
      <c r="P928" s="13">
        <f>WEEKNUM(SalesTbl[[#This Row],[Order Date]],2)</f>
        <v>35</v>
      </c>
      <c r="Q928" s="14">
        <f>MEDIAN(SalesTbl[Quantity])</f>
        <v>3</v>
      </c>
      <c r="R928" s="14">
        <f>IF(ISBLANK(SalesTbl[[#This Row],[Quantity]]),$H$2,SalesTbl[[#This Row],[Quantity]])</f>
        <v>1</v>
      </c>
      <c r="S928">
        <f>ROW()-ROW(SalesTbl[[#Headers],[Customer ID]])</f>
        <v>927</v>
      </c>
      <c r="T928" s="9" t="str">
        <f>IF(SalesTbl[[#This Row],[RowIdx]]&lt;=ROUNDUP(COUNTA(SalesTbl[Customer ID])*0.8,0),"Train","Test")</f>
        <v>Test</v>
      </c>
    </row>
    <row r="929" spans="1:20" x14ac:dyDescent="0.25">
      <c r="A929" t="s">
        <v>149</v>
      </c>
      <c r="B929" t="s">
        <v>13</v>
      </c>
      <c r="C929" t="s">
        <v>323</v>
      </c>
      <c r="D929" t="s">
        <v>14</v>
      </c>
      <c r="E929" t="s">
        <v>15</v>
      </c>
      <c r="F929">
        <v>59</v>
      </c>
      <c r="G929">
        <v>300</v>
      </c>
      <c r="H929">
        <v>3</v>
      </c>
      <c r="I929">
        <v>900</v>
      </c>
      <c r="J929">
        <v>19.36</v>
      </c>
      <c r="K929" s="2">
        <v>45047</v>
      </c>
      <c r="L929" t="s">
        <v>318</v>
      </c>
      <c r="M929" s="6">
        <f>SalesTbl[[#This Row],[Unit Price]]*SalesTbl[[#This Row],[Quantity]]</f>
        <v>900</v>
      </c>
      <c r="N929" s="6">
        <f>YEAR(SalesTbl[[#This Row],[Order Date]])</f>
        <v>2023</v>
      </c>
      <c r="O929" s="6" t="str">
        <f>TEXT(SalesTbl[[#This Row],[Order Date]],"yyyy-mm")</f>
        <v>2023-05</v>
      </c>
      <c r="P929" s="13">
        <f>WEEKNUM(SalesTbl[[#This Row],[Order Date]],2)</f>
        <v>19</v>
      </c>
      <c r="Q929" s="14">
        <f>MEDIAN(SalesTbl[Quantity])</f>
        <v>3</v>
      </c>
      <c r="R929" s="14">
        <f>IF(ISBLANK(SalesTbl[[#This Row],[Quantity]]),$H$2,SalesTbl[[#This Row],[Quantity]])</f>
        <v>3</v>
      </c>
      <c r="S929">
        <f>ROW()-ROW(SalesTbl[[#Headers],[Customer ID]])</f>
        <v>928</v>
      </c>
      <c r="T929" s="9" t="str">
        <f>IF(SalesTbl[[#This Row],[RowIdx]]&lt;=ROUNDUP(COUNTA(SalesTbl[Customer ID])*0.8,0),"Train","Test")</f>
        <v>Test</v>
      </c>
    </row>
    <row r="930" spans="1:20" x14ac:dyDescent="0.25">
      <c r="A930" t="s">
        <v>114</v>
      </c>
      <c r="B930" t="s">
        <v>20</v>
      </c>
      <c r="C930" t="s">
        <v>323</v>
      </c>
      <c r="D930" t="s">
        <v>23</v>
      </c>
      <c r="E930" t="s">
        <v>15</v>
      </c>
      <c r="F930">
        <v>49</v>
      </c>
      <c r="G930">
        <v>1500</v>
      </c>
      <c r="H930">
        <v>5</v>
      </c>
      <c r="I930">
        <v>7500</v>
      </c>
      <c r="J930">
        <v>16.440000000000001</v>
      </c>
      <c r="K930" s="2">
        <v>45192</v>
      </c>
      <c r="L930" t="s">
        <v>317</v>
      </c>
      <c r="M930" s="6">
        <f>SalesTbl[[#This Row],[Unit Price]]*SalesTbl[[#This Row],[Quantity]]</f>
        <v>7500</v>
      </c>
      <c r="N930" s="6">
        <f>YEAR(SalesTbl[[#This Row],[Order Date]])</f>
        <v>2023</v>
      </c>
      <c r="O930" s="6" t="str">
        <f>TEXT(SalesTbl[[#This Row],[Order Date]],"yyyy-mm")</f>
        <v>2023-09</v>
      </c>
      <c r="P930" s="13">
        <f>WEEKNUM(SalesTbl[[#This Row],[Order Date]],2)</f>
        <v>39</v>
      </c>
      <c r="Q930" s="14">
        <f>MEDIAN(SalesTbl[Quantity])</f>
        <v>3</v>
      </c>
      <c r="R930" s="14">
        <f>IF(ISBLANK(SalesTbl[[#This Row],[Quantity]]),$H$2,SalesTbl[[#This Row],[Quantity]])</f>
        <v>5</v>
      </c>
      <c r="S930">
        <f>ROW()-ROW(SalesTbl[[#Headers],[Customer ID]])</f>
        <v>929</v>
      </c>
      <c r="T930" s="9" t="str">
        <f>IF(SalesTbl[[#This Row],[RowIdx]]&lt;=ROUNDUP(COUNTA(SalesTbl[Customer ID])*0.8,0),"Train","Test")</f>
        <v>Test</v>
      </c>
    </row>
    <row r="931" spans="1:20" x14ac:dyDescent="0.25">
      <c r="A931" t="s">
        <v>240</v>
      </c>
      <c r="B931" t="s">
        <v>20</v>
      </c>
      <c r="C931" t="s">
        <v>321</v>
      </c>
      <c r="D931" t="s">
        <v>40</v>
      </c>
      <c r="E931" t="s">
        <v>15</v>
      </c>
      <c r="F931">
        <v>27</v>
      </c>
      <c r="G931">
        <v>800</v>
      </c>
      <c r="H931">
        <v>4</v>
      </c>
      <c r="I931">
        <v>3200</v>
      </c>
      <c r="J931">
        <v>13.94</v>
      </c>
      <c r="K931" s="2">
        <v>44960</v>
      </c>
      <c r="L931" t="s">
        <v>317</v>
      </c>
      <c r="M931" s="6">
        <f>SalesTbl[[#This Row],[Unit Price]]*SalesTbl[[#This Row],[Quantity]]</f>
        <v>3200</v>
      </c>
      <c r="N931" s="6">
        <f>YEAR(SalesTbl[[#This Row],[Order Date]])</f>
        <v>2023</v>
      </c>
      <c r="O931" s="6" t="str">
        <f>TEXT(SalesTbl[[#This Row],[Order Date]],"yyyy-mm")</f>
        <v>2023-02</v>
      </c>
      <c r="P931" s="13">
        <f>WEEKNUM(SalesTbl[[#This Row],[Order Date]],2)</f>
        <v>6</v>
      </c>
      <c r="Q931" s="14">
        <f>MEDIAN(SalesTbl[Quantity])</f>
        <v>3</v>
      </c>
      <c r="R931" s="14">
        <f>IF(ISBLANK(SalesTbl[[#This Row],[Quantity]]),$H$2,SalesTbl[[#This Row],[Quantity]])</f>
        <v>4</v>
      </c>
      <c r="S931">
        <f>ROW()-ROW(SalesTbl[[#Headers],[Customer ID]])</f>
        <v>930</v>
      </c>
      <c r="T931" s="9" t="str">
        <f>IF(SalesTbl[[#This Row],[RowIdx]]&lt;=ROUNDUP(COUNTA(SalesTbl[Customer ID])*0.8,0),"Train","Test")</f>
        <v>Test</v>
      </c>
    </row>
    <row r="932" spans="1:20" x14ac:dyDescent="0.25">
      <c r="A932" t="s">
        <v>161</v>
      </c>
      <c r="B932" t="s">
        <v>20</v>
      </c>
      <c r="C932" t="s">
        <v>321</v>
      </c>
      <c r="D932" t="s">
        <v>40</v>
      </c>
      <c r="E932" t="s">
        <v>15</v>
      </c>
      <c r="F932">
        <v>65</v>
      </c>
      <c r="G932">
        <v>800</v>
      </c>
      <c r="H932">
        <v>5</v>
      </c>
      <c r="I932">
        <v>4000</v>
      </c>
      <c r="J932">
        <v>15.8</v>
      </c>
      <c r="K932" s="2">
        <v>45289</v>
      </c>
      <c r="L932" t="s">
        <v>316</v>
      </c>
      <c r="M932" s="6">
        <f>SalesTbl[[#This Row],[Unit Price]]*SalesTbl[[#This Row],[Quantity]]</f>
        <v>4000</v>
      </c>
      <c r="N932" s="6">
        <f>YEAR(SalesTbl[[#This Row],[Order Date]])</f>
        <v>2023</v>
      </c>
      <c r="O932" s="6" t="str">
        <f>TEXT(SalesTbl[[#This Row],[Order Date]],"yyyy-mm")</f>
        <v>2023-12</v>
      </c>
      <c r="P932" s="13">
        <f>WEEKNUM(SalesTbl[[#This Row],[Order Date]],2)</f>
        <v>53</v>
      </c>
      <c r="Q932" s="14">
        <f>MEDIAN(SalesTbl[Quantity])</f>
        <v>3</v>
      </c>
      <c r="R932" s="14">
        <f>IF(ISBLANK(SalesTbl[[#This Row],[Quantity]]),$H$2,SalesTbl[[#This Row],[Quantity]])</f>
        <v>5</v>
      </c>
      <c r="S932">
        <f>ROW()-ROW(SalesTbl[[#Headers],[Customer ID]])</f>
        <v>931</v>
      </c>
      <c r="T932" s="9" t="str">
        <f>IF(SalesTbl[[#This Row],[RowIdx]]&lt;=ROUNDUP(COUNTA(SalesTbl[Customer ID])*0.8,0),"Train","Test")</f>
        <v>Test</v>
      </c>
    </row>
    <row r="933" spans="1:20" x14ac:dyDescent="0.25">
      <c r="A933" t="s">
        <v>222</v>
      </c>
      <c r="B933" t="s">
        <v>13</v>
      </c>
      <c r="C933" t="s">
        <v>321</v>
      </c>
      <c r="D933" t="s">
        <v>40</v>
      </c>
      <c r="E933" t="s">
        <v>15</v>
      </c>
      <c r="F933">
        <v>67</v>
      </c>
      <c r="G933">
        <v>800</v>
      </c>
      <c r="H933">
        <v>3</v>
      </c>
      <c r="I933">
        <v>2400</v>
      </c>
      <c r="J933">
        <v>7.05</v>
      </c>
      <c r="K933" s="2">
        <v>45274</v>
      </c>
      <c r="L933" t="s">
        <v>317</v>
      </c>
      <c r="M933" s="6">
        <f>SalesTbl[[#This Row],[Unit Price]]*SalesTbl[[#This Row],[Quantity]]</f>
        <v>2400</v>
      </c>
      <c r="N933" s="6">
        <f>YEAR(SalesTbl[[#This Row],[Order Date]])</f>
        <v>2023</v>
      </c>
      <c r="O933" s="6" t="str">
        <f>TEXT(SalesTbl[[#This Row],[Order Date]],"yyyy-mm")</f>
        <v>2023-12</v>
      </c>
      <c r="P933" s="13">
        <f>WEEKNUM(SalesTbl[[#This Row],[Order Date]],2)</f>
        <v>51</v>
      </c>
      <c r="Q933" s="14">
        <f>MEDIAN(SalesTbl[Quantity])</f>
        <v>3</v>
      </c>
      <c r="R933" s="14">
        <f>IF(ISBLANK(SalesTbl[[#This Row],[Quantity]]),$H$2,SalesTbl[[#This Row],[Quantity]])</f>
        <v>3</v>
      </c>
      <c r="S933">
        <f>ROW()-ROW(SalesTbl[[#Headers],[Customer ID]])</f>
        <v>932</v>
      </c>
      <c r="T933" s="9" t="str">
        <f>IF(SalesTbl[[#This Row],[RowIdx]]&lt;=ROUNDUP(COUNTA(SalesTbl[Customer ID])*0.8,0),"Train","Test")</f>
        <v>Test</v>
      </c>
    </row>
    <row r="934" spans="1:20" x14ac:dyDescent="0.25">
      <c r="A934" t="s">
        <v>210</v>
      </c>
      <c r="B934" t="s">
        <v>13</v>
      </c>
      <c r="C934" t="s">
        <v>321</v>
      </c>
      <c r="D934" t="s">
        <v>30</v>
      </c>
      <c r="E934" t="s">
        <v>18</v>
      </c>
      <c r="F934">
        <v>54</v>
      </c>
      <c r="G934">
        <v>30</v>
      </c>
      <c r="H934">
        <v>4</v>
      </c>
      <c r="I934">
        <v>120</v>
      </c>
      <c r="J934">
        <v>14.5</v>
      </c>
      <c r="K934" s="2">
        <v>44970</v>
      </c>
      <c r="L934" t="s">
        <v>318</v>
      </c>
      <c r="M934" s="6">
        <f>SalesTbl[[#This Row],[Unit Price]]*SalesTbl[[#This Row],[Quantity]]</f>
        <v>120</v>
      </c>
      <c r="N934" s="6">
        <f>YEAR(SalesTbl[[#This Row],[Order Date]])</f>
        <v>2023</v>
      </c>
      <c r="O934" s="6" t="str">
        <f>TEXT(SalesTbl[[#This Row],[Order Date]],"yyyy-mm")</f>
        <v>2023-02</v>
      </c>
      <c r="P934" s="13">
        <f>WEEKNUM(SalesTbl[[#This Row],[Order Date]],2)</f>
        <v>8</v>
      </c>
      <c r="Q934" s="14">
        <f>MEDIAN(SalesTbl[Quantity])</f>
        <v>3</v>
      </c>
      <c r="R934" s="14">
        <f>IF(ISBLANK(SalesTbl[[#This Row],[Quantity]]),$H$2,SalesTbl[[#This Row],[Quantity]])</f>
        <v>4</v>
      </c>
      <c r="S934">
        <f>ROW()-ROW(SalesTbl[[#Headers],[Customer ID]])</f>
        <v>933</v>
      </c>
      <c r="T934" s="9" t="str">
        <f>IF(SalesTbl[[#This Row],[RowIdx]]&lt;=ROUNDUP(COUNTA(SalesTbl[Customer ID])*0.8,0),"Train","Test")</f>
        <v>Test</v>
      </c>
    </row>
    <row r="935" spans="1:20" x14ac:dyDescent="0.25">
      <c r="A935" t="s">
        <v>222</v>
      </c>
      <c r="B935" t="s">
        <v>20</v>
      </c>
      <c r="C935" t="s">
        <v>323</v>
      </c>
      <c r="D935" t="s">
        <v>30</v>
      </c>
      <c r="E935" t="s">
        <v>18</v>
      </c>
      <c r="F935">
        <v>67</v>
      </c>
      <c r="G935">
        <v>30</v>
      </c>
      <c r="H935">
        <v>2</v>
      </c>
      <c r="I935">
        <v>60</v>
      </c>
      <c r="J935">
        <v>12.54</v>
      </c>
      <c r="K935" s="2">
        <v>45011</v>
      </c>
      <c r="L935" t="s">
        <v>319</v>
      </c>
      <c r="M935" s="6">
        <f>SalesTbl[[#This Row],[Unit Price]]*SalesTbl[[#This Row],[Quantity]]</f>
        <v>60</v>
      </c>
      <c r="N935" s="6">
        <f>YEAR(SalesTbl[[#This Row],[Order Date]])</f>
        <v>2023</v>
      </c>
      <c r="O935" s="6" t="str">
        <f>TEXT(SalesTbl[[#This Row],[Order Date]],"yyyy-mm")</f>
        <v>2023-03</v>
      </c>
      <c r="P935" s="13">
        <f>WEEKNUM(SalesTbl[[#This Row],[Order Date]],2)</f>
        <v>13</v>
      </c>
      <c r="Q935" s="14">
        <f>MEDIAN(SalesTbl[Quantity])</f>
        <v>3</v>
      </c>
      <c r="R935" s="14">
        <f>IF(ISBLANK(SalesTbl[[#This Row],[Quantity]]),$H$2,SalesTbl[[#This Row],[Quantity]])</f>
        <v>2</v>
      </c>
      <c r="S935">
        <f>ROW()-ROW(SalesTbl[[#Headers],[Customer ID]])</f>
        <v>934</v>
      </c>
      <c r="T935" s="9" t="str">
        <f>IF(SalesTbl[[#This Row],[RowIdx]]&lt;=ROUNDUP(COUNTA(SalesTbl[Customer ID])*0.8,0),"Train","Test")</f>
        <v>Test</v>
      </c>
    </row>
    <row r="936" spans="1:20" x14ac:dyDescent="0.25">
      <c r="A936" t="s">
        <v>83</v>
      </c>
      <c r="B936" t="s">
        <v>13</v>
      </c>
      <c r="C936" t="s">
        <v>323</v>
      </c>
      <c r="D936" t="s">
        <v>40</v>
      </c>
      <c r="E936" t="s">
        <v>15</v>
      </c>
      <c r="F936">
        <v>36</v>
      </c>
      <c r="G936">
        <v>800</v>
      </c>
      <c r="H936">
        <v>2</v>
      </c>
      <c r="I936">
        <v>1600</v>
      </c>
      <c r="J936">
        <v>16.62</v>
      </c>
      <c r="K936" s="2">
        <v>45141</v>
      </c>
      <c r="L936" t="s">
        <v>317</v>
      </c>
      <c r="M936" s="6">
        <f>SalesTbl[[#This Row],[Unit Price]]*SalesTbl[[#This Row],[Quantity]]</f>
        <v>1600</v>
      </c>
      <c r="N936" s="6">
        <f>YEAR(SalesTbl[[#This Row],[Order Date]])</f>
        <v>2023</v>
      </c>
      <c r="O936" s="6" t="str">
        <f>TEXT(SalesTbl[[#This Row],[Order Date]],"yyyy-mm")</f>
        <v>2023-08</v>
      </c>
      <c r="P936" s="13">
        <f>WEEKNUM(SalesTbl[[#This Row],[Order Date]],2)</f>
        <v>32</v>
      </c>
      <c r="Q936" s="14">
        <f>MEDIAN(SalesTbl[Quantity])</f>
        <v>3</v>
      </c>
      <c r="R936" s="14">
        <f>IF(ISBLANK(SalesTbl[[#This Row],[Quantity]]),$H$2,SalesTbl[[#This Row],[Quantity]])</f>
        <v>2</v>
      </c>
      <c r="S936">
        <f>ROW()-ROW(SalesTbl[[#Headers],[Customer ID]])</f>
        <v>935</v>
      </c>
      <c r="T936" s="9" t="str">
        <f>IF(SalesTbl[[#This Row],[RowIdx]]&lt;=ROUNDUP(COUNTA(SalesTbl[Customer ID])*0.8,0),"Train","Test")</f>
        <v>Test</v>
      </c>
    </row>
    <row r="937" spans="1:20" x14ac:dyDescent="0.25">
      <c r="A937" t="s">
        <v>306</v>
      </c>
      <c r="B937" t="s">
        <v>13</v>
      </c>
      <c r="C937" t="s">
        <v>322</v>
      </c>
      <c r="D937" t="s">
        <v>23</v>
      </c>
      <c r="E937" t="s">
        <v>15</v>
      </c>
      <c r="F937">
        <v>44</v>
      </c>
      <c r="G937">
        <v>1500</v>
      </c>
      <c r="H937">
        <v>5</v>
      </c>
      <c r="I937">
        <v>7500</v>
      </c>
      <c r="J937">
        <v>18.670000000000002</v>
      </c>
      <c r="K937" s="2">
        <v>45181</v>
      </c>
      <c r="L937" t="s">
        <v>316</v>
      </c>
      <c r="M937" s="6">
        <f>SalesTbl[[#This Row],[Unit Price]]*SalesTbl[[#This Row],[Quantity]]</f>
        <v>7500</v>
      </c>
      <c r="N937" s="6">
        <f>YEAR(SalesTbl[[#This Row],[Order Date]])</f>
        <v>2023</v>
      </c>
      <c r="O937" s="6" t="str">
        <f>TEXT(SalesTbl[[#This Row],[Order Date]],"yyyy-mm")</f>
        <v>2023-09</v>
      </c>
      <c r="P937" s="13">
        <f>WEEKNUM(SalesTbl[[#This Row],[Order Date]],2)</f>
        <v>38</v>
      </c>
      <c r="Q937" s="14">
        <f>MEDIAN(SalesTbl[Quantity])</f>
        <v>3</v>
      </c>
      <c r="R937" s="14">
        <f>IF(ISBLANK(SalesTbl[[#This Row],[Quantity]]),$H$2,SalesTbl[[#This Row],[Quantity]])</f>
        <v>5</v>
      </c>
      <c r="S937">
        <f>ROW()-ROW(SalesTbl[[#Headers],[Customer ID]])</f>
        <v>936</v>
      </c>
      <c r="T937" s="9" t="str">
        <f>IF(SalesTbl[[#This Row],[RowIdx]]&lt;=ROUNDUP(COUNTA(SalesTbl[Customer ID])*0.8,0),"Train","Test")</f>
        <v>Test</v>
      </c>
    </row>
    <row r="938" spans="1:20" x14ac:dyDescent="0.25">
      <c r="A938" t="s">
        <v>44</v>
      </c>
      <c r="B938" t="s">
        <v>20</v>
      </c>
      <c r="C938" t="s">
        <v>321</v>
      </c>
      <c r="D938" t="s">
        <v>23</v>
      </c>
      <c r="E938" t="s">
        <v>15</v>
      </c>
      <c r="F938">
        <v>40</v>
      </c>
      <c r="G938">
        <v>1500</v>
      </c>
      <c r="H938">
        <v>1</v>
      </c>
      <c r="I938">
        <v>1500</v>
      </c>
      <c r="J938">
        <v>13.51</v>
      </c>
      <c r="K938" s="2">
        <v>45128</v>
      </c>
      <c r="L938" t="s">
        <v>318</v>
      </c>
      <c r="M938" s="6">
        <f>SalesTbl[[#This Row],[Unit Price]]*SalesTbl[[#This Row],[Quantity]]</f>
        <v>1500</v>
      </c>
      <c r="N938" s="6">
        <f>YEAR(SalesTbl[[#This Row],[Order Date]])</f>
        <v>2023</v>
      </c>
      <c r="O938" s="6" t="str">
        <f>TEXT(SalesTbl[[#This Row],[Order Date]],"yyyy-mm")</f>
        <v>2023-07</v>
      </c>
      <c r="P938" s="13">
        <f>WEEKNUM(SalesTbl[[#This Row],[Order Date]],2)</f>
        <v>30</v>
      </c>
      <c r="Q938" s="14">
        <f>MEDIAN(SalesTbl[Quantity])</f>
        <v>3</v>
      </c>
      <c r="R938" s="14">
        <f>IF(ISBLANK(SalesTbl[[#This Row],[Quantity]]),$H$2,SalesTbl[[#This Row],[Quantity]])</f>
        <v>1</v>
      </c>
      <c r="S938">
        <f>ROW()-ROW(SalesTbl[[#Headers],[Customer ID]])</f>
        <v>937</v>
      </c>
      <c r="T938" s="9" t="str">
        <f>IF(SalesTbl[[#This Row],[RowIdx]]&lt;=ROUNDUP(COUNTA(SalesTbl[Customer ID])*0.8,0),"Train","Test")</f>
        <v>Test</v>
      </c>
    </row>
    <row r="939" spans="1:20" x14ac:dyDescent="0.25">
      <c r="A939" t="s">
        <v>143</v>
      </c>
      <c r="B939" t="s">
        <v>13</v>
      </c>
      <c r="C939" t="s">
        <v>322</v>
      </c>
      <c r="D939" t="s">
        <v>30</v>
      </c>
      <c r="E939" t="s">
        <v>18</v>
      </c>
      <c r="F939">
        <v>50</v>
      </c>
      <c r="G939">
        <v>30</v>
      </c>
      <c r="H939">
        <v>3</v>
      </c>
      <c r="I939">
        <v>90</v>
      </c>
      <c r="J939">
        <v>12.43</v>
      </c>
      <c r="K939" s="2">
        <v>44931</v>
      </c>
      <c r="L939" t="s">
        <v>318</v>
      </c>
      <c r="M939" s="6">
        <f>SalesTbl[[#This Row],[Unit Price]]*SalesTbl[[#This Row],[Quantity]]</f>
        <v>90</v>
      </c>
      <c r="N939" s="6">
        <f>YEAR(SalesTbl[[#This Row],[Order Date]])</f>
        <v>2023</v>
      </c>
      <c r="O939" s="6" t="str">
        <f>TEXT(SalesTbl[[#This Row],[Order Date]],"yyyy-mm")</f>
        <v>2023-01</v>
      </c>
      <c r="P939" s="13">
        <f>WEEKNUM(SalesTbl[[#This Row],[Order Date]],2)</f>
        <v>2</v>
      </c>
      <c r="Q939" s="14">
        <f>MEDIAN(SalesTbl[Quantity])</f>
        <v>3</v>
      </c>
      <c r="R939" s="14">
        <f>IF(ISBLANK(SalesTbl[[#This Row],[Quantity]]),$H$2,SalesTbl[[#This Row],[Quantity]])</f>
        <v>3</v>
      </c>
      <c r="S939">
        <f>ROW()-ROW(SalesTbl[[#Headers],[Customer ID]])</f>
        <v>938</v>
      </c>
      <c r="T939" s="9" t="str">
        <f>IF(SalesTbl[[#This Row],[RowIdx]]&lt;=ROUNDUP(COUNTA(SalesTbl[Customer ID])*0.8,0),"Train","Test")</f>
        <v>Test</v>
      </c>
    </row>
    <row r="940" spans="1:20" x14ac:dyDescent="0.25">
      <c r="A940" t="s">
        <v>145</v>
      </c>
      <c r="B940" t="s">
        <v>13</v>
      </c>
      <c r="C940" t="s">
        <v>322</v>
      </c>
      <c r="D940" t="s">
        <v>25</v>
      </c>
      <c r="E940" t="s">
        <v>26</v>
      </c>
      <c r="F940">
        <v>30</v>
      </c>
      <c r="G940">
        <v>200</v>
      </c>
      <c r="H940">
        <v>4</v>
      </c>
      <c r="I940">
        <v>800</v>
      </c>
      <c r="J940">
        <v>13.9</v>
      </c>
      <c r="K940" s="2">
        <v>45105</v>
      </c>
      <c r="L940" t="s">
        <v>316</v>
      </c>
      <c r="M940" s="6">
        <f>SalesTbl[[#This Row],[Unit Price]]*SalesTbl[[#This Row],[Quantity]]</f>
        <v>800</v>
      </c>
      <c r="N940" s="6">
        <f>YEAR(SalesTbl[[#This Row],[Order Date]])</f>
        <v>2023</v>
      </c>
      <c r="O940" s="6" t="str">
        <f>TEXT(SalesTbl[[#This Row],[Order Date]],"yyyy-mm")</f>
        <v>2023-06</v>
      </c>
      <c r="P940" s="13">
        <f>WEEKNUM(SalesTbl[[#This Row],[Order Date]],2)</f>
        <v>27</v>
      </c>
      <c r="Q940" s="14">
        <f>MEDIAN(SalesTbl[Quantity])</f>
        <v>3</v>
      </c>
      <c r="R940" s="14">
        <f>IF(ISBLANK(SalesTbl[[#This Row],[Quantity]]),$H$2,SalesTbl[[#This Row],[Quantity]])</f>
        <v>4</v>
      </c>
      <c r="S940">
        <f>ROW()-ROW(SalesTbl[[#Headers],[Customer ID]])</f>
        <v>939</v>
      </c>
      <c r="T940" s="9" t="str">
        <f>IF(SalesTbl[[#This Row],[RowIdx]]&lt;=ROUNDUP(COUNTA(SalesTbl[Customer ID])*0.8,0),"Train","Test")</f>
        <v>Test</v>
      </c>
    </row>
    <row r="941" spans="1:20" x14ac:dyDescent="0.25">
      <c r="A941" t="s">
        <v>148</v>
      </c>
      <c r="B941" t="s">
        <v>13</v>
      </c>
      <c r="C941" t="s">
        <v>322</v>
      </c>
      <c r="D941" t="s">
        <v>25</v>
      </c>
      <c r="E941" t="s">
        <v>26</v>
      </c>
      <c r="F941">
        <v>56</v>
      </c>
      <c r="G941">
        <v>200</v>
      </c>
      <c r="H941">
        <v>3</v>
      </c>
      <c r="I941">
        <v>600</v>
      </c>
      <c r="J941">
        <v>19.03</v>
      </c>
      <c r="K941" s="2">
        <v>45294</v>
      </c>
      <c r="L941" t="s">
        <v>317</v>
      </c>
      <c r="M941" s="6">
        <f>SalesTbl[[#This Row],[Unit Price]]*SalesTbl[[#This Row],[Quantity]]</f>
        <v>600</v>
      </c>
      <c r="N941" s="6">
        <f>YEAR(SalesTbl[[#This Row],[Order Date]])</f>
        <v>2024</v>
      </c>
      <c r="O941" s="6" t="str">
        <f>TEXT(SalesTbl[[#This Row],[Order Date]],"yyyy-mm")</f>
        <v>2024-01</v>
      </c>
      <c r="P941" s="13">
        <f>WEEKNUM(SalesTbl[[#This Row],[Order Date]],2)</f>
        <v>1</v>
      </c>
      <c r="Q941" s="14">
        <f>MEDIAN(SalesTbl[Quantity])</f>
        <v>3</v>
      </c>
      <c r="R941" s="14">
        <f>IF(ISBLANK(SalesTbl[[#This Row],[Quantity]]),$H$2,SalesTbl[[#This Row],[Quantity]])</f>
        <v>3</v>
      </c>
      <c r="S941">
        <f>ROW()-ROW(SalesTbl[[#Headers],[Customer ID]])</f>
        <v>940</v>
      </c>
      <c r="T941" s="9" t="str">
        <f>IF(SalesTbl[[#This Row],[RowIdx]]&lt;=ROUNDUP(COUNTA(SalesTbl[Customer ID])*0.8,0),"Train","Test")</f>
        <v>Test</v>
      </c>
    </row>
    <row r="942" spans="1:20" x14ac:dyDescent="0.25">
      <c r="A942" t="s">
        <v>151</v>
      </c>
      <c r="B942" t="s">
        <v>20</v>
      </c>
      <c r="C942" t="s">
        <v>320</v>
      </c>
      <c r="D942" t="s">
        <v>14</v>
      </c>
      <c r="E942" t="s">
        <v>15</v>
      </c>
      <c r="F942">
        <v>66</v>
      </c>
      <c r="G942">
        <v>300</v>
      </c>
      <c r="H942">
        <v>5</v>
      </c>
      <c r="I942">
        <v>1500</v>
      </c>
      <c r="J942">
        <v>18.920000000000002</v>
      </c>
      <c r="K942" s="2">
        <v>45049</v>
      </c>
      <c r="L942" t="s">
        <v>318</v>
      </c>
      <c r="M942" s="6">
        <f>SalesTbl[[#This Row],[Unit Price]]*SalesTbl[[#This Row],[Quantity]]</f>
        <v>1500</v>
      </c>
      <c r="N942" s="6">
        <f>YEAR(SalesTbl[[#This Row],[Order Date]])</f>
        <v>2023</v>
      </c>
      <c r="O942" s="6" t="str">
        <f>TEXT(SalesTbl[[#This Row],[Order Date]],"yyyy-mm")</f>
        <v>2023-05</v>
      </c>
      <c r="P942" s="13">
        <f>WEEKNUM(SalesTbl[[#This Row],[Order Date]],2)</f>
        <v>19</v>
      </c>
      <c r="Q942" s="14">
        <f>MEDIAN(SalesTbl[Quantity])</f>
        <v>3</v>
      </c>
      <c r="R942" s="14">
        <f>IF(ISBLANK(SalesTbl[[#This Row],[Quantity]]),$H$2,SalesTbl[[#This Row],[Quantity]])</f>
        <v>5</v>
      </c>
      <c r="S942">
        <f>ROW()-ROW(SalesTbl[[#Headers],[Customer ID]])</f>
        <v>941</v>
      </c>
      <c r="T942" s="9" t="str">
        <f>IF(SalesTbl[[#This Row],[RowIdx]]&lt;=ROUNDUP(COUNTA(SalesTbl[Customer ID])*0.8,0),"Train","Test")</f>
        <v>Test</v>
      </c>
    </row>
    <row r="943" spans="1:20" x14ac:dyDescent="0.25">
      <c r="A943" t="s">
        <v>141</v>
      </c>
      <c r="B943" t="s">
        <v>20</v>
      </c>
      <c r="C943" t="s">
        <v>321</v>
      </c>
      <c r="D943" t="s">
        <v>14</v>
      </c>
      <c r="E943" t="s">
        <v>15</v>
      </c>
      <c r="F943">
        <v>39</v>
      </c>
      <c r="G943">
        <v>300</v>
      </c>
      <c r="H943">
        <v>1</v>
      </c>
      <c r="I943">
        <v>300</v>
      </c>
      <c r="J943">
        <v>9.0399999999999991</v>
      </c>
      <c r="K943" s="2">
        <v>45130</v>
      </c>
      <c r="L943" t="s">
        <v>318</v>
      </c>
      <c r="M943" s="6">
        <f>SalesTbl[[#This Row],[Unit Price]]*SalesTbl[[#This Row],[Quantity]]</f>
        <v>300</v>
      </c>
      <c r="N943" s="6">
        <f>YEAR(SalesTbl[[#This Row],[Order Date]])</f>
        <v>2023</v>
      </c>
      <c r="O943" s="6" t="str">
        <f>TEXT(SalesTbl[[#This Row],[Order Date]],"yyyy-mm")</f>
        <v>2023-07</v>
      </c>
      <c r="P943" s="13">
        <f>WEEKNUM(SalesTbl[[#This Row],[Order Date]],2)</f>
        <v>30</v>
      </c>
      <c r="Q943" s="14">
        <f>MEDIAN(SalesTbl[Quantity])</f>
        <v>3</v>
      </c>
      <c r="R943" s="14">
        <f>IF(ISBLANK(SalesTbl[[#This Row],[Quantity]]),$H$2,SalesTbl[[#This Row],[Quantity]])</f>
        <v>1</v>
      </c>
      <c r="S943">
        <f>ROW()-ROW(SalesTbl[[#Headers],[Customer ID]])</f>
        <v>942</v>
      </c>
      <c r="T943" s="9" t="str">
        <f>IF(SalesTbl[[#This Row],[RowIdx]]&lt;=ROUNDUP(COUNTA(SalesTbl[Customer ID])*0.8,0),"Train","Test")</f>
        <v>Test</v>
      </c>
    </row>
    <row r="944" spans="1:20" x14ac:dyDescent="0.25">
      <c r="A944" t="s">
        <v>93</v>
      </c>
      <c r="B944" t="s">
        <v>20</v>
      </c>
      <c r="C944" t="s">
        <v>323</v>
      </c>
      <c r="D944" t="s">
        <v>25</v>
      </c>
      <c r="E944" t="s">
        <v>26</v>
      </c>
      <c r="F944">
        <v>47</v>
      </c>
      <c r="G944">
        <v>200</v>
      </c>
      <c r="H944">
        <v>1</v>
      </c>
      <c r="I944">
        <v>200</v>
      </c>
      <c r="J944">
        <v>12.27</v>
      </c>
      <c r="K944" s="2">
        <v>45273</v>
      </c>
      <c r="L944" t="s">
        <v>317</v>
      </c>
      <c r="M944" s="6">
        <f>SalesTbl[[#This Row],[Unit Price]]*SalesTbl[[#This Row],[Quantity]]</f>
        <v>200</v>
      </c>
      <c r="N944" s="6">
        <f>YEAR(SalesTbl[[#This Row],[Order Date]])</f>
        <v>2023</v>
      </c>
      <c r="O944" s="6" t="str">
        <f>TEXT(SalesTbl[[#This Row],[Order Date]],"yyyy-mm")</f>
        <v>2023-12</v>
      </c>
      <c r="P944" s="13">
        <f>WEEKNUM(SalesTbl[[#This Row],[Order Date]],2)</f>
        <v>51</v>
      </c>
      <c r="Q944" s="14">
        <f>MEDIAN(SalesTbl[Quantity])</f>
        <v>3</v>
      </c>
      <c r="R944" s="14">
        <f>IF(ISBLANK(SalesTbl[[#This Row],[Quantity]]),$H$2,SalesTbl[[#This Row],[Quantity]])</f>
        <v>1</v>
      </c>
      <c r="S944">
        <f>ROW()-ROW(SalesTbl[[#Headers],[Customer ID]])</f>
        <v>943</v>
      </c>
      <c r="T944" s="9" t="str">
        <f>IF(SalesTbl[[#This Row],[RowIdx]]&lt;=ROUNDUP(COUNTA(SalesTbl[Customer ID])*0.8,0),"Train","Test")</f>
        <v>Test</v>
      </c>
    </row>
    <row r="945" spans="1:20" x14ac:dyDescent="0.25">
      <c r="A945" t="s">
        <v>282</v>
      </c>
      <c r="B945" t="s">
        <v>13</v>
      </c>
      <c r="C945" t="s">
        <v>322</v>
      </c>
      <c r="D945" t="s">
        <v>29</v>
      </c>
      <c r="E945" t="s">
        <v>18</v>
      </c>
      <c r="F945">
        <v>46</v>
      </c>
      <c r="G945">
        <v>50</v>
      </c>
      <c r="H945">
        <v>5</v>
      </c>
      <c r="I945">
        <v>250</v>
      </c>
      <c r="J945">
        <v>19.63</v>
      </c>
      <c r="K945" s="2">
        <v>45068</v>
      </c>
      <c r="L945" t="s">
        <v>317</v>
      </c>
      <c r="M945" s="6">
        <f>SalesTbl[[#This Row],[Unit Price]]*SalesTbl[[#This Row],[Quantity]]</f>
        <v>250</v>
      </c>
      <c r="N945" s="6">
        <f>YEAR(SalesTbl[[#This Row],[Order Date]])</f>
        <v>2023</v>
      </c>
      <c r="O945" s="6" t="str">
        <f>TEXT(SalesTbl[[#This Row],[Order Date]],"yyyy-mm")</f>
        <v>2023-05</v>
      </c>
      <c r="P945" s="13">
        <f>WEEKNUM(SalesTbl[[#This Row],[Order Date]],2)</f>
        <v>22</v>
      </c>
      <c r="Q945" s="14">
        <f>MEDIAN(SalesTbl[Quantity])</f>
        <v>3</v>
      </c>
      <c r="R945" s="14">
        <f>IF(ISBLANK(SalesTbl[[#This Row],[Quantity]]),$H$2,SalesTbl[[#This Row],[Quantity]])</f>
        <v>5</v>
      </c>
      <c r="S945">
        <f>ROW()-ROW(SalesTbl[[#Headers],[Customer ID]])</f>
        <v>944</v>
      </c>
      <c r="T945" s="9" t="str">
        <f>IF(SalesTbl[[#This Row],[RowIdx]]&lt;=ROUNDUP(COUNTA(SalesTbl[Customer ID])*0.8,0),"Train","Test")</f>
        <v>Test</v>
      </c>
    </row>
    <row r="946" spans="1:20" x14ac:dyDescent="0.25">
      <c r="A946" t="s">
        <v>218</v>
      </c>
      <c r="B946" t="s">
        <v>20</v>
      </c>
      <c r="C946" t="s">
        <v>320</v>
      </c>
      <c r="D946" t="s">
        <v>29</v>
      </c>
      <c r="E946" t="s">
        <v>18</v>
      </c>
      <c r="F946">
        <v>66</v>
      </c>
      <c r="G946">
        <v>50</v>
      </c>
      <c r="H946">
        <v>3</v>
      </c>
      <c r="I946">
        <v>150</v>
      </c>
      <c r="J946">
        <v>10.210000000000001</v>
      </c>
      <c r="K946" s="2">
        <v>45272</v>
      </c>
      <c r="L946" t="s">
        <v>316</v>
      </c>
      <c r="M946" s="6">
        <f>SalesTbl[[#This Row],[Unit Price]]*SalesTbl[[#This Row],[Quantity]]</f>
        <v>150</v>
      </c>
      <c r="N946" s="6">
        <f>YEAR(SalesTbl[[#This Row],[Order Date]])</f>
        <v>2023</v>
      </c>
      <c r="O946" s="6" t="str">
        <f>TEXT(SalesTbl[[#This Row],[Order Date]],"yyyy-mm")</f>
        <v>2023-12</v>
      </c>
      <c r="P946" s="13">
        <f>WEEKNUM(SalesTbl[[#This Row],[Order Date]],2)</f>
        <v>51</v>
      </c>
      <c r="Q946" s="14">
        <f>MEDIAN(SalesTbl[Quantity])</f>
        <v>3</v>
      </c>
      <c r="R946" s="14">
        <f>IF(ISBLANK(SalesTbl[[#This Row],[Quantity]]),$H$2,SalesTbl[[#This Row],[Quantity]])</f>
        <v>3</v>
      </c>
      <c r="S946">
        <f>ROW()-ROW(SalesTbl[[#Headers],[Customer ID]])</f>
        <v>945</v>
      </c>
      <c r="T946" s="9" t="str">
        <f>IF(SalesTbl[[#This Row],[RowIdx]]&lt;=ROUNDUP(COUNTA(SalesTbl[Customer ID])*0.8,0),"Train","Test")</f>
        <v>Test</v>
      </c>
    </row>
    <row r="947" spans="1:20" x14ac:dyDescent="0.25">
      <c r="A947" t="s">
        <v>126</v>
      </c>
      <c r="B947" t="s">
        <v>13</v>
      </c>
      <c r="C947" t="s">
        <v>323</v>
      </c>
      <c r="D947" t="s">
        <v>14</v>
      </c>
      <c r="E947" t="s">
        <v>15</v>
      </c>
      <c r="F947">
        <v>50</v>
      </c>
      <c r="G947">
        <v>300</v>
      </c>
      <c r="H947">
        <v>4</v>
      </c>
      <c r="I947">
        <v>1200</v>
      </c>
      <c r="J947">
        <v>14.64</v>
      </c>
      <c r="K947" s="2">
        <v>44954</v>
      </c>
      <c r="L947" t="s">
        <v>317</v>
      </c>
      <c r="M947" s="6">
        <f>SalesTbl[[#This Row],[Unit Price]]*SalesTbl[[#This Row],[Quantity]]</f>
        <v>1200</v>
      </c>
      <c r="N947" s="6">
        <f>YEAR(SalesTbl[[#This Row],[Order Date]])</f>
        <v>2023</v>
      </c>
      <c r="O947" s="6" t="str">
        <f>TEXT(SalesTbl[[#This Row],[Order Date]],"yyyy-mm")</f>
        <v>2023-01</v>
      </c>
      <c r="P947" s="13">
        <f>WEEKNUM(SalesTbl[[#This Row],[Order Date]],2)</f>
        <v>5</v>
      </c>
      <c r="Q947" s="14">
        <f>MEDIAN(SalesTbl[Quantity])</f>
        <v>3</v>
      </c>
      <c r="R947" s="14">
        <f>IF(ISBLANK(SalesTbl[[#This Row],[Quantity]]),$H$2,SalesTbl[[#This Row],[Quantity]])</f>
        <v>4</v>
      </c>
      <c r="S947">
        <f>ROW()-ROW(SalesTbl[[#Headers],[Customer ID]])</f>
        <v>946</v>
      </c>
      <c r="T947" s="9" t="str">
        <f>IF(SalesTbl[[#This Row],[RowIdx]]&lt;=ROUNDUP(COUNTA(SalesTbl[Customer ID])*0.8,0),"Train","Test")</f>
        <v>Test</v>
      </c>
    </row>
    <row r="948" spans="1:20" x14ac:dyDescent="0.25">
      <c r="A948" t="s">
        <v>74</v>
      </c>
      <c r="B948" t="s">
        <v>13</v>
      </c>
      <c r="C948" t="s">
        <v>323</v>
      </c>
      <c r="D948" t="s">
        <v>25</v>
      </c>
      <c r="E948" t="s">
        <v>26</v>
      </c>
      <c r="F948">
        <v>49</v>
      </c>
      <c r="G948">
        <v>200</v>
      </c>
      <c r="H948">
        <v>3</v>
      </c>
      <c r="I948">
        <v>600</v>
      </c>
      <c r="J948">
        <v>6.36</v>
      </c>
      <c r="K948" s="2">
        <v>45258</v>
      </c>
      <c r="L948" t="s">
        <v>316</v>
      </c>
      <c r="M948" s="6">
        <f>SalesTbl[[#This Row],[Unit Price]]*SalesTbl[[#This Row],[Quantity]]</f>
        <v>600</v>
      </c>
      <c r="N948" s="6">
        <f>YEAR(SalesTbl[[#This Row],[Order Date]])</f>
        <v>2023</v>
      </c>
      <c r="O948" s="6" t="str">
        <f>TEXT(SalesTbl[[#This Row],[Order Date]],"yyyy-mm")</f>
        <v>2023-11</v>
      </c>
      <c r="P948" s="13">
        <f>WEEKNUM(SalesTbl[[#This Row],[Order Date]],2)</f>
        <v>49</v>
      </c>
      <c r="Q948" s="14">
        <f>MEDIAN(SalesTbl[Quantity])</f>
        <v>3</v>
      </c>
      <c r="R948" s="14">
        <f>IF(ISBLANK(SalesTbl[[#This Row],[Quantity]]),$H$2,SalesTbl[[#This Row],[Quantity]])</f>
        <v>3</v>
      </c>
      <c r="S948">
        <f>ROW()-ROW(SalesTbl[[#Headers],[Customer ID]])</f>
        <v>947</v>
      </c>
      <c r="T948" s="9" t="str">
        <f>IF(SalesTbl[[#This Row],[RowIdx]]&lt;=ROUNDUP(COUNTA(SalesTbl[Customer ID])*0.8,0),"Train","Test")</f>
        <v>Test</v>
      </c>
    </row>
    <row r="949" spans="1:20" x14ac:dyDescent="0.25">
      <c r="A949" t="s">
        <v>122</v>
      </c>
      <c r="B949" t="s">
        <v>20</v>
      </c>
      <c r="C949" t="s">
        <v>323</v>
      </c>
      <c r="D949" t="s">
        <v>14</v>
      </c>
      <c r="E949" t="s">
        <v>15</v>
      </c>
      <c r="F949">
        <v>19</v>
      </c>
      <c r="G949">
        <v>300</v>
      </c>
      <c r="H949">
        <v>3</v>
      </c>
      <c r="I949">
        <v>900</v>
      </c>
      <c r="J949">
        <v>9.7899999999999991</v>
      </c>
      <c r="K949" s="2">
        <v>45262</v>
      </c>
      <c r="L949" t="s">
        <v>318</v>
      </c>
      <c r="M949" s="6">
        <f>SalesTbl[[#This Row],[Unit Price]]*SalesTbl[[#This Row],[Quantity]]</f>
        <v>900</v>
      </c>
      <c r="N949" s="6">
        <f>YEAR(SalesTbl[[#This Row],[Order Date]])</f>
        <v>2023</v>
      </c>
      <c r="O949" s="6" t="str">
        <f>TEXT(SalesTbl[[#This Row],[Order Date]],"yyyy-mm")</f>
        <v>2023-12</v>
      </c>
      <c r="P949" s="13">
        <f>WEEKNUM(SalesTbl[[#This Row],[Order Date]],2)</f>
        <v>49</v>
      </c>
      <c r="Q949" s="14">
        <f>MEDIAN(SalesTbl[Quantity])</f>
        <v>3</v>
      </c>
      <c r="R949" s="14">
        <f>IF(ISBLANK(SalesTbl[[#This Row],[Quantity]]),$H$2,SalesTbl[[#This Row],[Quantity]])</f>
        <v>3</v>
      </c>
      <c r="S949">
        <f>ROW()-ROW(SalesTbl[[#Headers],[Customer ID]])</f>
        <v>948</v>
      </c>
      <c r="T949" s="9" t="str">
        <f>IF(SalesTbl[[#This Row],[RowIdx]]&lt;=ROUNDUP(COUNTA(SalesTbl[Customer ID])*0.8,0),"Train","Test")</f>
        <v>Test</v>
      </c>
    </row>
    <row r="950" spans="1:20" x14ac:dyDescent="0.25">
      <c r="A950" t="s">
        <v>255</v>
      </c>
      <c r="B950" t="s">
        <v>13</v>
      </c>
      <c r="C950" t="s">
        <v>321</v>
      </c>
      <c r="D950" t="s">
        <v>29</v>
      </c>
      <c r="E950" t="s">
        <v>18</v>
      </c>
      <c r="F950">
        <v>39</v>
      </c>
      <c r="G950">
        <v>50</v>
      </c>
      <c r="H950">
        <v>1</v>
      </c>
      <c r="I950">
        <v>50</v>
      </c>
      <c r="J950">
        <v>6.14</v>
      </c>
      <c r="K950" s="2">
        <v>45075</v>
      </c>
      <c r="L950" t="s">
        <v>318</v>
      </c>
      <c r="M950" s="6">
        <f>SalesTbl[[#This Row],[Unit Price]]*SalesTbl[[#This Row],[Quantity]]</f>
        <v>50</v>
      </c>
      <c r="N950" s="6">
        <f>YEAR(SalesTbl[[#This Row],[Order Date]])</f>
        <v>2023</v>
      </c>
      <c r="O950" s="6" t="str">
        <f>TEXT(SalesTbl[[#This Row],[Order Date]],"yyyy-mm")</f>
        <v>2023-05</v>
      </c>
      <c r="P950" s="13">
        <f>WEEKNUM(SalesTbl[[#This Row],[Order Date]],2)</f>
        <v>23</v>
      </c>
      <c r="Q950" s="14">
        <f>MEDIAN(SalesTbl[Quantity])</f>
        <v>3</v>
      </c>
      <c r="R950" s="14">
        <f>IF(ISBLANK(SalesTbl[[#This Row],[Quantity]]),$H$2,SalesTbl[[#This Row],[Quantity]])</f>
        <v>1</v>
      </c>
      <c r="S950">
        <f>ROW()-ROW(SalesTbl[[#Headers],[Customer ID]])</f>
        <v>949</v>
      </c>
      <c r="T950" s="9" t="str">
        <f>IF(SalesTbl[[#This Row],[RowIdx]]&lt;=ROUNDUP(COUNTA(SalesTbl[Customer ID])*0.8,0),"Train","Test")</f>
        <v>Test</v>
      </c>
    </row>
    <row r="951" spans="1:20" x14ac:dyDescent="0.25">
      <c r="A951" t="s">
        <v>12</v>
      </c>
      <c r="B951" t="s">
        <v>13</v>
      </c>
      <c r="C951" t="s">
        <v>323</v>
      </c>
      <c r="D951" t="s">
        <v>14</v>
      </c>
      <c r="E951" t="s">
        <v>15</v>
      </c>
      <c r="F951">
        <v>21</v>
      </c>
      <c r="G951">
        <v>300</v>
      </c>
      <c r="H951">
        <v>4</v>
      </c>
      <c r="I951">
        <v>1200</v>
      </c>
      <c r="J951">
        <v>10.029999999999999</v>
      </c>
      <c r="K951" s="2">
        <v>45062</v>
      </c>
      <c r="L951" t="s">
        <v>317</v>
      </c>
      <c r="M951" s="6">
        <f>SalesTbl[[#This Row],[Unit Price]]*SalesTbl[[#This Row],[Quantity]]</f>
        <v>1200</v>
      </c>
      <c r="N951" s="6">
        <f>YEAR(SalesTbl[[#This Row],[Order Date]])</f>
        <v>2023</v>
      </c>
      <c r="O951" s="6" t="str">
        <f>TEXT(SalesTbl[[#This Row],[Order Date]],"yyyy-mm")</f>
        <v>2023-05</v>
      </c>
      <c r="P951" s="13">
        <f>WEEKNUM(SalesTbl[[#This Row],[Order Date]],2)</f>
        <v>21</v>
      </c>
      <c r="Q951" s="14">
        <f>MEDIAN(SalesTbl[Quantity])</f>
        <v>3</v>
      </c>
      <c r="R951" s="14">
        <f>IF(ISBLANK(SalesTbl[[#This Row],[Quantity]]),$H$2,SalesTbl[[#This Row],[Quantity]])</f>
        <v>4</v>
      </c>
      <c r="S951">
        <f>ROW()-ROW(SalesTbl[[#Headers],[Customer ID]])</f>
        <v>950</v>
      </c>
      <c r="T951" s="9" t="str">
        <f>IF(SalesTbl[[#This Row],[RowIdx]]&lt;=ROUNDUP(COUNTA(SalesTbl[Customer ID])*0.8,0),"Train","Test")</f>
        <v>Test</v>
      </c>
    </row>
    <row r="952" spans="1:20" x14ac:dyDescent="0.25">
      <c r="A952" t="s">
        <v>136</v>
      </c>
      <c r="B952" t="s">
        <v>20</v>
      </c>
      <c r="C952" t="s">
        <v>322</v>
      </c>
      <c r="D952" t="s">
        <v>17</v>
      </c>
      <c r="E952" t="s">
        <v>18</v>
      </c>
      <c r="F952">
        <v>37</v>
      </c>
      <c r="G952">
        <v>100</v>
      </c>
      <c r="H952">
        <v>3</v>
      </c>
      <c r="I952">
        <v>300</v>
      </c>
      <c r="J952">
        <v>9.91</v>
      </c>
      <c r="K952" s="2">
        <v>45139</v>
      </c>
      <c r="L952" t="s">
        <v>317</v>
      </c>
      <c r="M952" s="6">
        <f>SalesTbl[[#This Row],[Unit Price]]*SalesTbl[[#This Row],[Quantity]]</f>
        <v>300</v>
      </c>
      <c r="N952" s="6">
        <f>YEAR(SalesTbl[[#This Row],[Order Date]])</f>
        <v>2023</v>
      </c>
      <c r="O952" s="6" t="str">
        <f>TEXT(SalesTbl[[#This Row],[Order Date]],"yyyy-mm")</f>
        <v>2023-08</v>
      </c>
      <c r="P952" s="13">
        <f>WEEKNUM(SalesTbl[[#This Row],[Order Date]],2)</f>
        <v>32</v>
      </c>
      <c r="Q952" s="14">
        <f>MEDIAN(SalesTbl[Quantity])</f>
        <v>3</v>
      </c>
      <c r="R952" s="14">
        <f>IF(ISBLANK(SalesTbl[[#This Row],[Quantity]]),$H$2,SalesTbl[[#This Row],[Quantity]])</f>
        <v>3</v>
      </c>
      <c r="S952">
        <f>ROW()-ROW(SalesTbl[[#Headers],[Customer ID]])</f>
        <v>951</v>
      </c>
      <c r="T952" s="9" t="str">
        <f>IF(SalesTbl[[#This Row],[RowIdx]]&lt;=ROUNDUP(COUNTA(SalesTbl[Customer ID])*0.8,0),"Train","Test")</f>
        <v>Test</v>
      </c>
    </row>
    <row r="953" spans="1:20" x14ac:dyDescent="0.25">
      <c r="A953" t="s">
        <v>263</v>
      </c>
      <c r="B953" t="s">
        <v>13</v>
      </c>
      <c r="C953" t="s">
        <v>322</v>
      </c>
      <c r="D953" t="s">
        <v>30</v>
      </c>
      <c r="E953" t="s">
        <v>18</v>
      </c>
      <c r="F953">
        <v>64</v>
      </c>
      <c r="G953">
        <v>30</v>
      </c>
      <c r="H953">
        <v>1</v>
      </c>
      <c r="I953">
        <v>30</v>
      </c>
      <c r="J953">
        <v>19.22</v>
      </c>
      <c r="K953" s="2">
        <v>45138</v>
      </c>
      <c r="L953" t="s">
        <v>317</v>
      </c>
      <c r="M953" s="6">
        <f>SalesTbl[[#This Row],[Unit Price]]*SalesTbl[[#This Row],[Quantity]]</f>
        <v>30</v>
      </c>
      <c r="N953" s="6">
        <f>YEAR(SalesTbl[[#This Row],[Order Date]])</f>
        <v>2023</v>
      </c>
      <c r="O953" s="6" t="str">
        <f>TEXT(SalesTbl[[#This Row],[Order Date]],"yyyy-mm")</f>
        <v>2023-07</v>
      </c>
      <c r="P953" s="13">
        <f>WEEKNUM(SalesTbl[[#This Row],[Order Date]],2)</f>
        <v>32</v>
      </c>
      <c r="Q953" s="14">
        <f>MEDIAN(SalesTbl[Quantity])</f>
        <v>3</v>
      </c>
      <c r="R953" s="14">
        <f>IF(ISBLANK(SalesTbl[[#This Row],[Quantity]]),$H$2,SalesTbl[[#This Row],[Quantity]])</f>
        <v>1</v>
      </c>
      <c r="S953">
        <f>ROW()-ROW(SalesTbl[[#Headers],[Customer ID]])</f>
        <v>952</v>
      </c>
      <c r="T953" s="9" t="str">
        <f>IF(SalesTbl[[#This Row],[RowIdx]]&lt;=ROUNDUP(COUNTA(SalesTbl[Customer ID])*0.8,0),"Train","Test")</f>
        <v>Test</v>
      </c>
    </row>
    <row r="954" spans="1:20" x14ac:dyDescent="0.25">
      <c r="A954" t="s">
        <v>226</v>
      </c>
      <c r="B954" t="s">
        <v>13</v>
      </c>
      <c r="C954" t="s">
        <v>320</v>
      </c>
      <c r="D954" t="s">
        <v>29</v>
      </c>
      <c r="E954" t="s">
        <v>18</v>
      </c>
      <c r="F954">
        <v>49</v>
      </c>
      <c r="G954">
        <v>50</v>
      </c>
      <c r="H954">
        <v>3</v>
      </c>
      <c r="I954">
        <v>150</v>
      </c>
      <c r="J954">
        <v>10.81</v>
      </c>
      <c r="K954" s="2">
        <v>45118</v>
      </c>
      <c r="L954" t="s">
        <v>317</v>
      </c>
      <c r="M954" s="6">
        <f>SalesTbl[[#This Row],[Unit Price]]*SalesTbl[[#This Row],[Quantity]]</f>
        <v>150</v>
      </c>
      <c r="N954" s="6">
        <f>YEAR(SalesTbl[[#This Row],[Order Date]])</f>
        <v>2023</v>
      </c>
      <c r="O954" s="6" t="str">
        <f>TEXT(SalesTbl[[#This Row],[Order Date]],"yyyy-mm")</f>
        <v>2023-07</v>
      </c>
      <c r="P954" s="13">
        <f>WEEKNUM(SalesTbl[[#This Row],[Order Date]],2)</f>
        <v>29</v>
      </c>
      <c r="Q954" s="14">
        <f>MEDIAN(SalesTbl[Quantity])</f>
        <v>3</v>
      </c>
      <c r="R954" s="14">
        <f>IF(ISBLANK(SalesTbl[[#This Row],[Quantity]]),$H$2,SalesTbl[[#This Row],[Quantity]])</f>
        <v>3</v>
      </c>
      <c r="S954">
        <f>ROW()-ROW(SalesTbl[[#Headers],[Customer ID]])</f>
        <v>953</v>
      </c>
      <c r="T954" s="9" t="str">
        <f>IF(SalesTbl[[#This Row],[RowIdx]]&lt;=ROUNDUP(COUNTA(SalesTbl[Customer ID])*0.8,0),"Train","Test")</f>
        <v>Test</v>
      </c>
    </row>
    <row r="955" spans="1:20" x14ac:dyDescent="0.25">
      <c r="A955" t="s">
        <v>117</v>
      </c>
      <c r="B955" t="s">
        <v>13</v>
      </c>
      <c r="C955" t="s">
        <v>320</v>
      </c>
      <c r="D955" t="s">
        <v>23</v>
      </c>
      <c r="E955" t="s">
        <v>15</v>
      </c>
      <c r="F955">
        <v>29</v>
      </c>
      <c r="G955">
        <v>1500</v>
      </c>
      <c r="H955">
        <v>2</v>
      </c>
      <c r="I955">
        <v>3000</v>
      </c>
      <c r="J955">
        <v>16.23</v>
      </c>
      <c r="K955" s="2">
        <v>44952</v>
      </c>
      <c r="L955" t="s">
        <v>318</v>
      </c>
      <c r="M955" s="6">
        <f>SalesTbl[[#This Row],[Unit Price]]*SalesTbl[[#This Row],[Quantity]]</f>
        <v>3000</v>
      </c>
      <c r="N955" s="6">
        <f>YEAR(SalesTbl[[#This Row],[Order Date]])</f>
        <v>2023</v>
      </c>
      <c r="O955" s="6" t="str">
        <f>TEXT(SalesTbl[[#This Row],[Order Date]],"yyyy-mm")</f>
        <v>2023-01</v>
      </c>
      <c r="P955" s="13">
        <f>WEEKNUM(SalesTbl[[#This Row],[Order Date]],2)</f>
        <v>5</v>
      </c>
      <c r="Q955" s="14">
        <f>MEDIAN(SalesTbl[Quantity])</f>
        <v>3</v>
      </c>
      <c r="R955" s="14">
        <f>IF(ISBLANK(SalesTbl[[#This Row],[Quantity]]),$H$2,SalesTbl[[#This Row],[Quantity]])</f>
        <v>2</v>
      </c>
      <c r="S955">
        <f>ROW()-ROW(SalesTbl[[#Headers],[Customer ID]])</f>
        <v>954</v>
      </c>
      <c r="T955" s="9" t="str">
        <f>IF(SalesTbl[[#This Row],[RowIdx]]&lt;=ROUNDUP(COUNTA(SalesTbl[Customer ID])*0.8,0),"Train","Test")</f>
        <v>Test</v>
      </c>
    </row>
    <row r="956" spans="1:20" x14ac:dyDescent="0.25">
      <c r="A956" t="s">
        <v>211</v>
      </c>
      <c r="B956" t="s">
        <v>13</v>
      </c>
      <c r="C956" t="s">
        <v>322</v>
      </c>
      <c r="D956" t="s">
        <v>40</v>
      </c>
      <c r="E956" t="s">
        <v>15</v>
      </c>
      <c r="F956">
        <v>49</v>
      </c>
      <c r="G956">
        <v>800</v>
      </c>
      <c r="H956">
        <v>5</v>
      </c>
      <c r="I956">
        <v>4000</v>
      </c>
      <c r="J956">
        <v>15.97</v>
      </c>
      <c r="K956" s="2">
        <v>45244</v>
      </c>
      <c r="L956" t="s">
        <v>318</v>
      </c>
      <c r="M956" s="6">
        <f>SalesTbl[[#This Row],[Unit Price]]*SalesTbl[[#This Row],[Quantity]]</f>
        <v>4000</v>
      </c>
      <c r="N956" s="6">
        <f>YEAR(SalesTbl[[#This Row],[Order Date]])</f>
        <v>2023</v>
      </c>
      <c r="O956" s="6" t="str">
        <f>TEXT(SalesTbl[[#This Row],[Order Date]],"yyyy-mm")</f>
        <v>2023-11</v>
      </c>
      <c r="P956" s="13">
        <f>WEEKNUM(SalesTbl[[#This Row],[Order Date]],2)</f>
        <v>47</v>
      </c>
      <c r="Q956" s="14">
        <f>MEDIAN(SalesTbl[Quantity])</f>
        <v>3</v>
      </c>
      <c r="R956" s="14">
        <f>IF(ISBLANK(SalesTbl[[#This Row],[Quantity]]),$H$2,SalesTbl[[#This Row],[Quantity]])</f>
        <v>5</v>
      </c>
      <c r="S956">
        <f>ROW()-ROW(SalesTbl[[#Headers],[Customer ID]])</f>
        <v>955</v>
      </c>
      <c r="T956" s="9" t="str">
        <f>IF(SalesTbl[[#This Row],[RowIdx]]&lt;=ROUNDUP(COUNTA(SalesTbl[Customer ID])*0.8,0),"Train","Test")</f>
        <v>Test</v>
      </c>
    </row>
    <row r="957" spans="1:20" x14ac:dyDescent="0.25">
      <c r="A957" t="s">
        <v>110</v>
      </c>
      <c r="B957" t="s">
        <v>13</v>
      </c>
      <c r="C957" t="s">
        <v>322</v>
      </c>
      <c r="D957" t="s">
        <v>14</v>
      </c>
      <c r="E957" t="s">
        <v>15</v>
      </c>
      <c r="F957">
        <v>38</v>
      </c>
      <c r="G957">
        <v>300</v>
      </c>
      <c r="H957">
        <v>5</v>
      </c>
      <c r="I957">
        <v>1500</v>
      </c>
      <c r="J957">
        <v>19.39</v>
      </c>
      <c r="K957" s="2">
        <v>44983</v>
      </c>
      <c r="L957" t="s">
        <v>316</v>
      </c>
      <c r="M957" s="6">
        <f>SalesTbl[[#This Row],[Unit Price]]*SalesTbl[[#This Row],[Quantity]]</f>
        <v>1500</v>
      </c>
      <c r="N957" s="6">
        <f>YEAR(SalesTbl[[#This Row],[Order Date]])</f>
        <v>2023</v>
      </c>
      <c r="O957" s="6" t="str">
        <f>TEXT(SalesTbl[[#This Row],[Order Date]],"yyyy-mm")</f>
        <v>2023-02</v>
      </c>
      <c r="P957" s="13">
        <f>WEEKNUM(SalesTbl[[#This Row],[Order Date]],2)</f>
        <v>9</v>
      </c>
      <c r="Q957" s="14">
        <f>MEDIAN(SalesTbl[Quantity])</f>
        <v>3</v>
      </c>
      <c r="R957" s="14">
        <f>IF(ISBLANK(SalesTbl[[#This Row],[Quantity]]),$H$2,SalesTbl[[#This Row],[Quantity]])</f>
        <v>5</v>
      </c>
      <c r="S957">
        <f>ROW()-ROW(SalesTbl[[#Headers],[Customer ID]])</f>
        <v>956</v>
      </c>
      <c r="T957" s="9" t="str">
        <f>IF(SalesTbl[[#This Row],[RowIdx]]&lt;=ROUNDUP(COUNTA(SalesTbl[Customer ID])*0.8,0),"Train","Test")</f>
        <v>Test</v>
      </c>
    </row>
    <row r="958" spans="1:20" x14ac:dyDescent="0.25">
      <c r="A958" t="s">
        <v>255</v>
      </c>
      <c r="B958" t="s">
        <v>13</v>
      </c>
      <c r="C958" t="s">
        <v>321</v>
      </c>
      <c r="D958" t="s">
        <v>40</v>
      </c>
      <c r="E958" t="s">
        <v>15</v>
      </c>
      <c r="F958">
        <v>39</v>
      </c>
      <c r="G958">
        <v>800</v>
      </c>
      <c r="H958">
        <v>3</v>
      </c>
      <c r="I958">
        <v>2400</v>
      </c>
      <c r="J958">
        <v>9.92</v>
      </c>
      <c r="K958" s="2">
        <v>45133</v>
      </c>
      <c r="L958" t="s">
        <v>317</v>
      </c>
      <c r="M958" s="6">
        <f>SalesTbl[[#This Row],[Unit Price]]*SalesTbl[[#This Row],[Quantity]]</f>
        <v>2400</v>
      </c>
      <c r="N958" s="6">
        <f>YEAR(SalesTbl[[#This Row],[Order Date]])</f>
        <v>2023</v>
      </c>
      <c r="O958" s="6" t="str">
        <f>TEXT(SalesTbl[[#This Row],[Order Date]],"yyyy-mm")</f>
        <v>2023-07</v>
      </c>
      <c r="P958" s="13">
        <f>WEEKNUM(SalesTbl[[#This Row],[Order Date]],2)</f>
        <v>31</v>
      </c>
      <c r="Q958" s="14">
        <f>MEDIAN(SalesTbl[Quantity])</f>
        <v>3</v>
      </c>
      <c r="R958" s="14">
        <f>IF(ISBLANK(SalesTbl[[#This Row],[Quantity]]),$H$2,SalesTbl[[#This Row],[Quantity]])</f>
        <v>3</v>
      </c>
      <c r="S958">
        <f>ROW()-ROW(SalesTbl[[#Headers],[Customer ID]])</f>
        <v>957</v>
      </c>
      <c r="T958" s="9" t="str">
        <f>IF(SalesTbl[[#This Row],[RowIdx]]&lt;=ROUNDUP(COUNTA(SalesTbl[Customer ID])*0.8,0),"Train","Test")</f>
        <v>Test</v>
      </c>
    </row>
    <row r="959" spans="1:20" x14ac:dyDescent="0.25">
      <c r="A959" t="s">
        <v>128</v>
      </c>
      <c r="B959" t="s">
        <v>13</v>
      </c>
      <c r="C959" t="s">
        <v>322</v>
      </c>
      <c r="D959" t="s">
        <v>25</v>
      </c>
      <c r="E959" t="s">
        <v>26</v>
      </c>
      <c r="F959">
        <v>63</v>
      </c>
      <c r="G959">
        <v>200</v>
      </c>
      <c r="H959">
        <v>4</v>
      </c>
      <c r="I959">
        <v>800</v>
      </c>
      <c r="J959">
        <v>10.23</v>
      </c>
      <c r="K959" s="2">
        <v>45084</v>
      </c>
      <c r="L959" t="s">
        <v>317</v>
      </c>
      <c r="M959" s="6">
        <f>SalesTbl[[#This Row],[Unit Price]]*SalesTbl[[#This Row],[Quantity]]</f>
        <v>800</v>
      </c>
      <c r="N959" s="6">
        <f>YEAR(SalesTbl[[#This Row],[Order Date]])</f>
        <v>2023</v>
      </c>
      <c r="O959" s="6" t="str">
        <f>TEXT(SalesTbl[[#This Row],[Order Date]],"yyyy-mm")</f>
        <v>2023-06</v>
      </c>
      <c r="P959" s="13">
        <f>WEEKNUM(SalesTbl[[#This Row],[Order Date]],2)</f>
        <v>24</v>
      </c>
      <c r="Q959" s="14">
        <f>MEDIAN(SalesTbl[Quantity])</f>
        <v>3</v>
      </c>
      <c r="R959" s="14">
        <f>IF(ISBLANK(SalesTbl[[#This Row],[Quantity]]),$H$2,SalesTbl[[#This Row],[Quantity]])</f>
        <v>4</v>
      </c>
      <c r="S959">
        <f>ROW()-ROW(SalesTbl[[#Headers],[Customer ID]])</f>
        <v>958</v>
      </c>
      <c r="T959" s="9" t="str">
        <f>IF(SalesTbl[[#This Row],[RowIdx]]&lt;=ROUNDUP(COUNTA(SalesTbl[Customer ID])*0.8,0),"Train","Test")</f>
        <v>Test</v>
      </c>
    </row>
    <row r="960" spans="1:20" x14ac:dyDescent="0.25">
      <c r="A960" t="s">
        <v>188</v>
      </c>
      <c r="B960" t="s">
        <v>20</v>
      </c>
      <c r="C960" t="s">
        <v>322</v>
      </c>
      <c r="D960" t="s">
        <v>40</v>
      </c>
      <c r="E960" t="s">
        <v>15</v>
      </c>
      <c r="F960">
        <v>52</v>
      </c>
      <c r="G960">
        <v>800</v>
      </c>
      <c r="H960">
        <v>1</v>
      </c>
      <c r="I960">
        <v>800</v>
      </c>
      <c r="J960">
        <v>10.65</v>
      </c>
      <c r="K960" s="2">
        <v>45075</v>
      </c>
      <c r="L960" t="s">
        <v>318</v>
      </c>
      <c r="M960" s="6">
        <f>SalesTbl[[#This Row],[Unit Price]]*SalesTbl[[#This Row],[Quantity]]</f>
        <v>800</v>
      </c>
      <c r="N960" s="6">
        <f>YEAR(SalesTbl[[#This Row],[Order Date]])</f>
        <v>2023</v>
      </c>
      <c r="O960" s="6" t="str">
        <f>TEXT(SalesTbl[[#This Row],[Order Date]],"yyyy-mm")</f>
        <v>2023-05</v>
      </c>
      <c r="P960" s="13">
        <f>WEEKNUM(SalesTbl[[#This Row],[Order Date]],2)</f>
        <v>23</v>
      </c>
      <c r="Q960" s="14">
        <f>MEDIAN(SalesTbl[Quantity])</f>
        <v>3</v>
      </c>
      <c r="R960" s="14">
        <f>IF(ISBLANK(SalesTbl[[#This Row],[Quantity]]),$H$2,SalesTbl[[#This Row],[Quantity]])</f>
        <v>1</v>
      </c>
      <c r="S960">
        <f>ROW()-ROW(SalesTbl[[#Headers],[Customer ID]])</f>
        <v>959</v>
      </c>
      <c r="T960" s="9" t="str">
        <f>IF(SalesTbl[[#This Row],[RowIdx]]&lt;=ROUNDUP(COUNTA(SalesTbl[Customer ID])*0.8,0),"Train","Test")</f>
        <v>Test</v>
      </c>
    </row>
    <row r="961" spans="1:20" x14ac:dyDescent="0.25">
      <c r="A961" t="s">
        <v>36</v>
      </c>
      <c r="B961" t="s">
        <v>13</v>
      </c>
      <c r="C961" t="s">
        <v>322</v>
      </c>
      <c r="D961" t="s">
        <v>14</v>
      </c>
      <c r="E961" t="s">
        <v>15</v>
      </c>
      <c r="F961">
        <v>66</v>
      </c>
      <c r="G961">
        <v>300</v>
      </c>
      <c r="H961">
        <v>5</v>
      </c>
      <c r="I961">
        <v>1500</v>
      </c>
      <c r="J961">
        <v>8.06</v>
      </c>
      <c r="K961" s="2">
        <v>45088</v>
      </c>
      <c r="L961" t="s">
        <v>318</v>
      </c>
      <c r="M961" s="6">
        <f>SalesTbl[[#This Row],[Unit Price]]*SalesTbl[[#This Row],[Quantity]]</f>
        <v>1500</v>
      </c>
      <c r="N961" s="6">
        <f>YEAR(SalesTbl[[#This Row],[Order Date]])</f>
        <v>2023</v>
      </c>
      <c r="O961" s="6" t="str">
        <f>TEXT(SalesTbl[[#This Row],[Order Date]],"yyyy-mm")</f>
        <v>2023-06</v>
      </c>
      <c r="P961" s="13">
        <f>WEEKNUM(SalesTbl[[#This Row],[Order Date]],2)</f>
        <v>24</v>
      </c>
      <c r="Q961" s="14">
        <f>MEDIAN(SalesTbl[Quantity])</f>
        <v>3</v>
      </c>
      <c r="R961" s="14">
        <f>IF(ISBLANK(SalesTbl[[#This Row],[Quantity]]),$H$2,SalesTbl[[#This Row],[Quantity]])</f>
        <v>5</v>
      </c>
      <c r="S961">
        <f>ROW()-ROW(SalesTbl[[#Headers],[Customer ID]])</f>
        <v>960</v>
      </c>
      <c r="T961" s="9" t="str">
        <f>IF(SalesTbl[[#This Row],[RowIdx]]&lt;=ROUNDUP(COUNTA(SalesTbl[Customer ID])*0.8,0),"Train","Test")</f>
        <v>Test</v>
      </c>
    </row>
    <row r="962" spans="1:20" x14ac:dyDescent="0.25">
      <c r="A962" t="s">
        <v>312</v>
      </c>
      <c r="B962" t="s">
        <v>13</v>
      </c>
      <c r="C962" t="s">
        <v>320</v>
      </c>
      <c r="D962" t="s">
        <v>29</v>
      </c>
      <c r="E962" t="s">
        <v>18</v>
      </c>
      <c r="F962">
        <v>63</v>
      </c>
      <c r="G962">
        <v>50</v>
      </c>
      <c r="H962">
        <v>5</v>
      </c>
      <c r="I962">
        <v>250</v>
      </c>
      <c r="J962">
        <v>5.88</v>
      </c>
      <c r="K962" s="2">
        <v>44969</v>
      </c>
      <c r="L962" t="s">
        <v>318</v>
      </c>
      <c r="M962" s="6">
        <f>SalesTbl[[#This Row],[Unit Price]]*SalesTbl[[#This Row],[Quantity]]</f>
        <v>250</v>
      </c>
      <c r="N962" s="6">
        <f>YEAR(SalesTbl[[#This Row],[Order Date]])</f>
        <v>2023</v>
      </c>
      <c r="O962" s="6" t="str">
        <f>TEXT(SalesTbl[[#This Row],[Order Date]],"yyyy-mm")</f>
        <v>2023-02</v>
      </c>
      <c r="P962" s="13">
        <f>WEEKNUM(SalesTbl[[#This Row],[Order Date]],2)</f>
        <v>7</v>
      </c>
      <c r="Q962" s="14">
        <f>MEDIAN(SalesTbl[Quantity])</f>
        <v>3</v>
      </c>
      <c r="R962" s="14">
        <f>IF(ISBLANK(SalesTbl[[#This Row],[Quantity]]),$H$2,SalesTbl[[#This Row],[Quantity]])</f>
        <v>5</v>
      </c>
      <c r="S962">
        <f>ROW()-ROW(SalesTbl[[#Headers],[Customer ID]])</f>
        <v>961</v>
      </c>
      <c r="T962" s="9" t="str">
        <f>IF(SalesTbl[[#This Row],[RowIdx]]&lt;=ROUNDUP(COUNTA(SalesTbl[Customer ID])*0.8,0),"Train","Test")</f>
        <v>Test</v>
      </c>
    </row>
    <row r="963" spans="1:20" x14ac:dyDescent="0.25">
      <c r="A963" t="s">
        <v>313</v>
      </c>
      <c r="B963" t="s">
        <v>13</v>
      </c>
      <c r="C963" t="s">
        <v>322</v>
      </c>
      <c r="D963" t="s">
        <v>14</v>
      </c>
      <c r="E963" t="s">
        <v>15</v>
      </c>
      <c r="F963">
        <v>20</v>
      </c>
      <c r="G963">
        <v>300</v>
      </c>
      <c r="H963">
        <v>1</v>
      </c>
      <c r="I963">
        <v>300</v>
      </c>
      <c r="J963">
        <v>7.32</v>
      </c>
      <c r="K963" s="2">
        <v>45278</v>
      </c>
      <c r="L963" t="s">
        <v>316</v>
      </c>
      <c r="M963" s="6">
        <f>SalesTbl[[#This Row],[Unit Price]]*SalesTbl[[#This Row],[Quantity]]</f>
        <v>300</v>
      </c>
      <c r="N963" s="6">
        <f>YEAR(SalesTbl[[#This Row],[Order Date]])</f>
        <v>2023</v>
      </c>
      <c r="O963" s="6" t="str">
        <f>TEXT(SalesTbl[[#This Row],[Order Date]],"yyyy-mm")</f>
        <v>2023-12</v>
      </c>
      <c r="P963" s="13">
        <f>WEEKNUM(SalesTbl[[#This Row],[Order Date]],2)</f>
        <v>52</v>
      </c>
      <c r="Q963" s="14">
        <f>MEDIAN(SalesTbl[Quantity])</f>
        <v>3</v>
      </c>
      <c r="R963" s="14">
        <f>IF(ISBLANK(SalesTbl[[#This Row],[Quantity]]),$H$2,SalesTbl[[#This Row],[Quantity]])</f>
        <v>1</v>
      </c>
      <c r="S963">
        <f>ROW()-ROW(SalesTbl[[#Headers],[Customer ID]])</f>
        <v>962</v>
      </c>
      <c r="T963" s="9" t="str">
        <f>IF(SalesTbl[[#This Row],[RowIdx]]&lt;=ROUNDUP(COUNTA(SalesTbl[Customer ID])*0.8,0),"Train","Test")</f>
        <v>Test</v>
      </c>
    </row>
    <row r="964" spans="1:20" x14ac:dyDescent="0.25">
      <c r="A964" t="s">
        <v>171</v>
      </c>
      <c r="B964" t="s">
        <v>13</v>
      </c>
      <c r="C964" t="s">
        <v>322</v>
      </c>
      <c r="D964" t="s">
        <v>40</v>
      </c>
      <c r="E964" t="s">
        <v>15</v>
      </c>
      <c r="F964">
        <v>55</v>
      </c>
      <c r="G964">
        <v>800</v>
      </c>
      <c r="H964">
        <v>1</v>
      </c>
      <c r="I964">
        <v>800</v>
      </c>
      <c r="J964">
        <v>18.739999999999998</v>
      </c>
      <c r="K964" s="2">
        <v>45124</v>
      </c>
      <c r="L964" t="s">
        <v>316</v>
      </c>
      <c r="M964" s="6">
        <f>SalesTbl[[#This Row],[Unit Price]]*SalesTbl[[#This Row],[Quantity]]</f>
        <v>800</v>
      </c>
      <c r="N964" s="6">
        <f>YEAR(SalesTbl[[#This Row],[Order Date]])</f>
        <v>2023</v>
      </c>
      <c r="O964" s="6" t="str">
        <f>TEXT(SalesTbl[[#This Row],[Order Date]],"yyyy-mm")</f>
        <v>2023-07</v>
      </c>
      <c r="P964" s="13">
        <f>WEEKNUM(SalesTbl[[#This Row],[Order Date]],2)</f>
        <v>30</v>
      </c>
      <c r="Q964" s="14">
        <f>MEDIAN(SalesTbl[Quantity])</f>
        <v>3</v>
      </c>
      <c r="R964" s="14">
        <f>IF(ISBLANK(SalesTbl[[#This Row],[Quantity]]),$H$2,SalesTbl[[#This Row],[Quantity]])</f>
        <v>1</v>
      </c>
      <c r="S964">
        <f>ROW()-ROW(SalesTbl[[#Headers],[Customer ID]])</f>
        <v>963</v>
      </c>
      <c r="T964" s="9" t="str">
        <f>IF(SalesTbl[[#This Row],[RowIdx]]&lt;=ROUNDUP(COUNTA(SalesTbl[Customer ID])*0.8,0),"Train","Test")</f>
        <v>Test</v>
      </c>
    </row>
    <row r="965" spans="1:20" x14ac:dyDescent="0.25">
      <c r="A965" t="s">
        <v>239</v>
      </c>
      <c r="B965" t="s">
        <v>13</v>
      </c>
      <c r="C965" t="s">
        <v>323</v>
      </c>
      <c r="D965" t="s">
        <v>23</v>
      </c>
      <c r="E965" t="s">
        <v>15</v>
      </c>
      <c r="F965">
        <v>56</v>
      </c>
      <c r="G965">
        <v>1500</v>
      </c>
      <c r="H965">
        <v>2</v>
      </c>
      <c r="I965">
        <v>3000</v>
      </c>
      <c r="J965">
        <v>19.05</v>
      </c>
      <c r="K965" s="2">
        <v>45066</v>
      </c>
      <c r="L965" t="s">
        <v>316</v>
      </c>
      <c r="M965" s="6">
        <f>SalesTbl[[#This Row],[Unit Price]]*SalesTbl[[#This Row],[Quantity]]</f>
        <v>3000</v>
      </c>
      <c r="N965" s="6">
        <f>YEAR(SalesTbl[[#This Row],[Order Date]])</f>
        <v>2023</v>
      </c>
      <c r="O965" s="6" t="str">
        <f>TEXT(SalesTbl[[#This Row],[Order Date]],"yyyy-mm")</f>
        <v>2023-05</v>
      </c>
      <c r="P965" s="13">
        <f>WEEKNUM(SalesTbl[[#This Row],[Order Date]],2)</f>
        <v>21</v>
      </c>
      <c r="Q965" s="14">
        <f>MEDIAN(SalesTbl[Quantity])</f>
        <v>3</v>
      </c>
      <c r="R965" s="14">
        <f>IF(ISBLANK(SalesTbl[[#This Row],[Quantity]]),$H$2,SalesTbl[[#This Row],[Quantity]])</f>
        <v>2</v>
      </c>
      <c r="S965">
        <f>ROW()-ROW(SalesTbl[[#Headers],[Customer ID]])</f>
        <v>964</v>
      </c>
      <c r="T965" s="9" t="str">
        <f>IF(SalesTbl[[#This Row],[RowIdx]]&lt;=ROUNDUP(COUNTA(SalesTbl[Customer ID])*0.8,0),"Train","Test")</f>
        <v>Test</v>
      </c>
    </row>
    <row r="966" spans="1:20" x14ac:dyDescent="0.25">
      <c r="A966" t="s">
        <v>228</v>
      </c>
      <c r="B966" t="s">
        <v>13</v>
      </c>
      <c r="C966" t="s">
        <v>320</v>
      </c>
      <c r="D966" t="s">
        <v>29</v>
      </c>
      <c r="E966" t="s">
        <v>18</v>
      </c>
      <c r="F966">
        <v>22</v>
      </c>
      <c r="G966">
        <v>50</v>
      </c>
      <c r="H966">
        <v>4</v>
      </c>
      <c r="I966">
        <v>200</v>
      </c>
      <c r="J966">
        <v>11.99</v>
      </c>
      <c r="K966" s="2">
        <v>44930</v>
      </c>
      <c r="L966" t="s">
        <v>318</v>
      </c>
      <c r="M966" s="6">
        <f>SalesTbl[[#This Row],[Unit Price]]*SalesTbl[[#This Row],[Quantity]]</f>
        <v>200</v>
      </c>
      <c r="N966" s="6">
        <f>YEAR(SalesTbl[[#This Row],[Order Date]])</f>
        <v>2023</v>
      </c>
      <c r="O966" s="6" t="str">
        <f>TEXT(SalesTbl[[#This Row],[Order Date]],"yyyy-mm")</f>
        <v>2023-01</v>
      </c>
      <c r="P966" s="13">
        <f>WEEKNUM(SalesTbl[[#This Row],[Order Date]],2)</f>
        <v>2</v>
      </c>
      <c r="Q966" s="14">
        <f>MEDIAN(SalesTbl[Quantity])</f>
        <v>3</v>
      </c>
      <c r="R966" s="14">
        <f>IF(ISBLANK(SalesTbl[[#This Row],[Quantity]]),$H$2,SalesTbl[[#This Row],[Quantity]])</f>
        <v>4</v>
      </c>
      <c r="S966">
        <f>ROW()-ROW(SalesTbl[[#Headers],[Customer ID]])</f>
        <v>965</v>
      </c>
      <c r="T966" s="9" t="str">
        <f>IF(SalesTbl[[#This Row],[RowIdx]]&lt;=ROUNDUP(COUNTA(SalesTbl[Customer ID])*0.8,0),"Train","Test")</f>
        <v>Test</v>
      </c>
    </row>
    <row r="967" spans="1:20" x14ac:dyDescent="0.25">
      <c r="A967" t="s">
        <v>198</v>
      </c>
      <c r="B967" t="s">
        <v>13</v>
      </c>
      <c r="C967" t="s">
        <v>323</v>
      </c>
      <c r="D967" t="s">
        <v>14</v>
      </c>
      <c r="E967" t="s">
        <v>15</v>
      </c>
      <c r="F967">
        <v>46</v>
      </c>
      <c r="G967">
        <v>300</v>
      </c>
      <c r="H967">
        <v>1</v>
      </c>
      <c r="I967">
        <v>300</v>
      </c>
      <c r="J967">
        <v>6.17</v>
      </c>
      <c r="K967" s="2">
        <v>45270</v>
      </c>
      <c r="L967" t="s">
        <v>317</v>
      </c>
      <c r="M967" s="6">
        <f>SalesTbl[[#This Row],[Unit Price]]*SalesTbl[[#This Row],[Quantity]]</f>
        <v>300</v>
      </c>
      <c r="N967" s="6">
        <f>YEAR(SalesTbl[[#This Row],[Order Date]])</f>
        <v>2023</v>
      </c>
      <c r="O967" s="6" t="str">
        <f>TEXT(SalesTbl[[#This Row],[Order Date]],"yyyy-mm")</f>
        <v>2023-12</v>
      </c>
      <c r="P967" s="13">
        <f>WEEKNUM(SalesTbl[[#This Row],[Order Date]],2)</f>
        <v>50</v>
      </c>
      <c r="Q967" s="14">
        <f>MEDIAN(SalesTbl[Quantity])</f>
        <v>3</v>
      </c>
      <c r="R967" s="14">
        <f>IF(ISBLANK(SalesTbl[[#This Row],[Quantity]]),$H$2,SalesTbl[[#This Row],[Quantity]])</f>
        <v>1</v>
      </c>
      <c r="S967">
        <f>ROW()-ROW(SalesTbl[[#Headers],[Customer ID]])</f>
        <v>966</v>
      </c>
      <c r="T967" s="9" t="str">
        <f>IF(SalesTbl[[#This Row],[RowIdx]]&lt;=ROUNDUP(COUNTA(SalesTbl[Customer ID])*0.8,0),"Train","Test")</f>
        <v>Test</v>
      </c>
    </row>
    <row r="968" spans="1:20" x14ac:dyDescent="0.25">
      <c r="A968" t="s">
        <v>69</v>
      </c>
      <c r="B968" t="s">
        <v>20</v>
      </c>
      <c r="C968" t="s">
        <v>323</v>
      </c>
      <c r="D968" t="s">
        <v>40</v>
      </c>
      <c r="E968" t="s">
        <v>15</v>
      </c>
      <c r="F968">
        <v>67</v>
      </c>
      <c r="G968">
        <v>800</v>
      </c>
      <c r="H968">
        <v>3</v>
      </c>
      <c r="I968">
        <v>2400</v>
      </c>
      <c r="J968">
        <v>7.3</v>
      </c>
      <c r="K968" s="2">
        <v>45247</v>
      </c>
      <c r="L968" t="s">
        <v>317</v>
      </c>
      <c r="M968" s="6">
        <f>SalesTbl[[#This Row],[Unit Price]]*SalesTbl[[#This Row],[Quantity]]</f>
        <v>2400</v>
      </c>
      <c r="N968" s="6">
        <f>YEAR(SalesTbl[[#This Row],[Order Date]])</f>
        <v>2023</v>
      </c>
      <c r="O968" s="6" t="str">
        <f>TEXT(SalesTbl[[#This Row],[Order Date]],"yyyy-mm")</f>
        <v>2023-11</v>
      </c>
      <c r="P968" s="13">
        <f>WEEKNUM(SalesTbl[[#This Row],[Order Date]],2)</f>
        <v>47</v>
      </c>
      <c r="Q968" s="14">
        <f>MEDIAN(SalesTbl[Quantity])</f>
        <v>3</v>
      </c>
      <c r="R968" s="14">
        <f>IF(ISBLANK(SalesTbl[[#This Row],[Quantity]]),$H$2,SalesTbl[[#This Row],[Quantity]])</f>
        <v>3</v>
      </c>
      <c r="S968">
        <f>ROW()-ROW(SalesTbl[[#Headers],[Customer ID]])</f>
        <v>967</v>
      </c>
      <c r="T968" s="9" t="str">
        <f>IF(SalesTbl[[#This Row],[RowIdx]]&lt;=ROUNDUP(COUNTA(SalesTbl[Customer ID])*0.8,0),"Train","Test")</f>
        <v>Test</v>
      </c>
    </row>
    <row r="969" spans="1:20" x14ac:dyDescent="0.25">
      <c r="A969" t="s">
        <v>69</v>
      </c>
      <c r="B969" t="s">
        <v>20</v>
      </c>
      <c r="C969" t="s">
        <v>320</v>
      </c>
      <c r="D969" t="s">
        <v>23</v>
      </c>
      <c r="E969" t="s">
        <v>15</v>
      </c>
      <c r="F969">
        <v>67</v>
      </c>
      <c r="G969">
        <v>3109.5606124866499</v>
      </c>
      <c r="H969">
        <v>4</v>
      </c>
      <c r="I969">
        <v>6000</v>
      </c>
      <c r="J969">
        <v>18.27</v>
      </c>
      <c r="K969" s="2">
        <v>45164</v>
      </c>
      <c r="L969" t="s">
        <v>319</v>
      </c>
      <c r="M969" s="6">
        <f>SalesTbl[[#This Row],[Unit Price]]*SalesTbl[[#This Row],[Quantity]]</f>
        <v>12438.2424499466</v>
      </c>
      <c r="N969" s="6">
        <f>YEAR(SalesTbl[[#This Row],[Order Date]])</f>
        <v>2023</v>
      </c>
      <c r="O969" s="6" t="str">
        <f>TEXT(SalesTbl[[#This Row],[Order Date]],"yyyy-mm")</f>
        <v>2023-08</v>
      </c>
      <c r="P969" s="13">
        <f>WEEKNUM(SalesTbl[[#This Row],[Order Date]],2)</f>
        <v>35</v>
      </c>
      <c r="Q969" s="14">
        <f>MEDIAN(SalesTbl[Quantity])</f>
        <v>3</v>
      </c>
      <c r="R969" s="14">
        <f>IF(ISBLANK(SalesTbl[[#This Row],[Quantity]]),$H$2,SalesTbl[[#This Row],[Quantity]])</f>
        <v>4</v>
      </c>
      <c r="S969">
        <f>ROW()-ROW(SalesTbl[[#Headers],[Customer ID]])</f>
        <v>968</v>
      </c>
      <c r="T969" s="9" t="str">
        <f>IF(SalesTbl[[#This Row],[RowIdx]]&lt;=ROUNDUP(COUNTA(SalesTbl[Customer ID])*0.8,0),"Train","Test")</f>
        <v>Test</v>
      </c>
    </row>
    <row r="970" spans="1:20" x14ac:dyDescent="0.25">
      <c r="A970" t="s">
        <v>297</v>
      </c>
      <c r="B970" t="s">
        <v>20</v>
      </c>
      <c r="C970" t="s">
        <v>319</v>
      </c>
      <c r="D970" t="s">
        <v>23</v>
      </c>
      <c r="E970" t="s">
        <v>15</v>
      </c>
      <c r="F970">
        <v>44</v>
      </c>
      <c r="G970">
        <v>1500</v>
      </c>
      <c r="H970">
        <v>1</v>
      </c>
      <c r="I970">
        <v>1500</v>
      </c>
      <c r="J970">
        <v>12.37</v>
      </c>
      <c r="K970" s="2">
        <v>44967</v>
      </c>
      <c r="L970" t="s">
        <v>317</v>
      </c>
      <c r="M970" s="6">
        <f>SalesTbl[[#This Row],[Unit Price]]*SalesTbl[[#This Row],[Quantity]]</f>
        <v>1500</v>
      </c>
      <c r="N970" s="6">
        <f>YEAR(SalesTbl[[#This Row],[Order Date]])</f>
        <v>2023</v>
      </c>
      <c r="O970" s="6" t="str">
        <f>TEXT(SalesTbl[[#This Row],[Order Date]],"yyyy-mm")</f>
        <v>2023-02</v>
      </c>
      <c r="P970" s="13">
        <f>WEEKNUM(SalesTbl[[#This Row],[Order Date]],2)</f>
        <v>7</v>
      </c>
      <c r="Q970" s="14">
        <f>MEDIAN(SalesTbl[Quantity])</f>
        <v>3</v>
      </c>
      <c r="R970" s="14">
        <f>IF(ISBLANK(SalesTbl[[#This Row],[Quantity]]),$H$2,SalesTbl[[#This Row],[Quantity]])</f>
        <v>1</v>
      </c>
      <c r="S970">
        <f>ROW()-ROW(SalesTbl[[#Headers],[Customer ID]])</f>
        <v>969</v>
      </c>
      <c r="T970" s="9" t="str">
        <f>IF(SalesTbl[[#This Row],[RowIdx]]&lt;=ROUNDUP(COUNTA(SalesTbl[Customer ID])*0.8,0),"Train","Test")</f>
        <v>Test</v>
      </c>
    </row>
    <row r="971" spans="1:20" x14ac:dyDescent="0.25">
      <c r="A971" t="s">
        <v>172</v>
      </c>
      <c r="B971" t="s">
        <v>13</v>
      </c>
      <c r="C971" t="s">
        <v>322</v>
      </c>
      <c r="D971" t="s">
        <v>25</v>
      </c>
      <c r="E971" t="s">
        <v>26</v>
      </c>
      <c r="F971">
        <v>57</v>
      </c>
      <c r="G971">
        <v>200</v>
      </c>
      <c r="H971">
        <v>3</v>
      </c>
      <c r="I971">
        <v>600</v>
      </c>
      <c r="J971">
        <v>5.88</v>
      </c>
      <c r="K971" s="2">
        <v>44936</v>
      </c>
      <c r="L971" t="s">
        <v>318</v>
      </c>
      <c r="M971" s="6">
        <f>SalesTbl[[#This Row],[Unit Price]]*SalesTbl[[#This Row],[Quantity]]</f>
        <v>600</v>
      </c>
      <c r="N971" s="6">
        <f>YEAR(SalesTbl[[#This Row],[Order Date]])</f>
        <v>2023</v>
      </c>
      <c r="O971" s="6" t="str">
        <f>TEXT(SalesTbl[[#This Row],[Order Date]],"yyyy-mm")</f>
        <v>2023-01</v>
      </c>
      <c r="P971" s="13">
        <f>WEEKNUM(SalesTbl[[#This Row],[Order Date]],2)</f>
        <v>3</v>
      </c>
      <c r="Q971" s="14">
        <f>MEDIAN(SalesTbl[Quantity])</f>
        <v>3</v>
      </c>
      <c r="R971" s="14">
        <f>IF(ISBLANK(SalesTbl[[#This Row],[Quantity]]),$H$2,SalesTbl[[#This Row],[Quantity]])</f>
        <v>3</v>
      </c>
      <c r="S971">
        <f>ROW()-ROW(SalesTbl[[#Headers],[Customer ID]])</f>
        <v>970</v>
      </c>
      <c r="T971" s="9" t="str">
        <f>IF(SalesTbl[[#This Row],[RowIdx]]&lt;=ROUNDUP(COUNTA(SalesTbl[Customer ID])*0.8,0),"Train","Test")</f>
        <v>Test</v>
      </c>
    </row>
    <row r="972" spans="1:20" x14ac:dyDescent="0.25">
      <c r="A972" t="s">
        <v>121</v>
      </c>
      <c r="B972" t="s">
        <v>13</v>
      </c>
      <c r="C972" t="s">
        <v>320</v>
      </c>
      <c r="D972" t="s">
        <v>29</v>
      </c>
      <c r="E972" t="s">
        <v>18</v>
      </c>
      <c r="F972">
        <v>38</v>
      </c>
      <c r="G972">
        <v>50</v>
      </c>
      <c r="H972">
        <v>5</v>
      </c>
      <c r="I972">
        <v>250</v>
      </c>
      <c r="J972">
        <v>12.92</v>
      </c>
      <c r="K972" s="2">
        <v>45126</v>
      </c>
      <c r="L972" t="s">
        <v>316</v>
      </c>
      <c r="M972" s="6">
        <f>SalesTbl[[#This Row],[Unit Price]]*SalesTbl[[#This Row],[Quantity]]</f>
        <v>250</v>
      </c>
      <c r="N972" s="6">
        <f>YEAR(SalesTbl[[#This Row],[Order Date]])</f>
        <v>2023</v>
      </c>
      <c r="O972" s="6" t="str">
        <f>TEXT(SalesTbl[[#This Row],[Order Date]],"yyyy-mm")</f>
        <v>2023-07</v>
      </c>
      <c r="P972" s="13">
        <f>WEEKNUM(SalesTbl[[#This Row],[Order Date]],2)</f>
        <v>30</v>
      </c>
      <c r="Q972" s="14">
        <f>MEDIAN(SalesTbl[Quantity])</f>
        <v>3</v>
      </c>
      <c r="R972" s="14">
        <f>IF(ISBLANK(SalesTbl[[#This Row],[Quantity]]),$H$2,SalesTbl[[#This Row],[Quantity]])</f>
        <v>5</v>
      </c>
      <c r="S972">
        <f>ROW()-ROW(SalesTbl[[#Headers],[Customer ID]])</f>
        <v>971</v>
      </c>
      <c r="T972" s="9" t="str">
        <f>IF(SalesTbl[[#This Row],[RowIdx]]&lt;=ROUNDUP(COUNTA(SalesTbl[Customer ID])*0.8,0),"Train","Test")</f>
        <v>Test</v>
      </c>
    </row>
    <row r="973" spans="1:20" x14ac:dyDescent="0.25">
      <c r="A973" t="s">
        <v>62</v>
      </c>
      <c r="B973" t="s">
        <v>20</v>
      </c>
      <c r="C973" t="s">
        <v>322</v>
      </c>
      <c r="D973" t="s">
        <v>30</v>
      </c>
      <c r="E973" t="s">
        <v>18</v>
      </c>
      <c r="F973">
        <v>58</v>
      </c>
      <c r="G973">
        <v>30</v>
      </c>
      <c r="H973">
        <v>2</v>
      </c>
      <c r="I973">
        <v>60</v>
      </c>
      <c r="J973">
        <v>9.7100000000000009</v>
      </c>
      <c r="K973" s="2">
        <v>45012</v>
      </c>
      <c r="L973" t="s">
        <v>316</v>
      </c>
      <c r="M973" s="6">
        <f>SalesTbl[[#This Row],[Unit Price]]*SalesTbl[[#This Row],[Quantity]]</f>
        <v>60</v>
      </c>
      <c r="N973" s="6">
        <f>YEAR(SalesTbl[[#This Row],[Order Date]])</f>
        <v>2023</v>
      </c>
      <c r="O973" s="6" t="str">
        <f>TEXT(SalesTbl[[#This Row],[Order Date]],"yyyy-mm")</f>
        <v>2023-03</v>
      </c>
      <c r="P973" s="13">
        <f>WEEKNUM(SalesTbl[[#This Row],[Order Date]],2)</f>
        <v>14</v>
      </c>
      <c r="Q973" s="14">
        <f>MEDIAN(SalesTbl[Quantity])</f>
        <v>3</v>
      </c>
      <c r="R973" s="14">
        <f>IF(ISBLANK(SalesTbl[[#This Row],[Quantity]]),$H$2,SalesTbl[[#This Row],[Quantity]])</f>
        <v>2</v>
      </c>
      <c r="S973">
        <f>ROW()-ROW(SalesTbl[[#Headers],[Customer ID]])</f>
        <v>972</v>
      </c>
      <c r="T973" s="9" t="str">
        <f>IF(SalesTbl[[#This Row],[RowIdx]]&lt;=ROUNDUP(COUNTA(SalesTbl[Customer ID])*0.8,0),"Train","Test")</f>
        <v>Test</v>
      </c>
    </row>
    <row r="974" spans="1:20" x14ac:dyDescent="0.25">
      <c r="A974" t="s">
        <v>167</v>
      </c>
      <c r="B974" t="s">
        <v>13</v>
      </c>
      <c r="C974" t="s">
        <v>319</v>
      </c>
      <c r="D974" t="s">
        <v>25</v>
      </c>
      <c r="E974" t="s">
        <v>26</v>
      </c>
      <c r="F974">
        <v>64</v>
      </c>
      <c r="G974">
        <v>200</v>
      </c>
      <c r="H974">
        <v>5</v>
      </c>
      <c r="I974">
        <v>1000</v>
      </c>
      <c r="J974">
        <v>19</v>
      </c>
      <c r="K974" s="2">
        <v>45158</v>
      </c>
      <c r="L974" t="s">
        <v>316</v>
      </c>
      <c r="M974" s="6">
        <f>SalesTbl[[#This Row],[Unit Price]]*SalesTbl[[#This Row],[Quantity]]</f>
        <v>1000</v>
      </c>
      <c r="N974" s="6">
        <f>YEAR(SalesTbl[[#This Row],[Order Date]])</f>
        <v>2023</v>
      </c>
      <c r="O974" s="6" t="str">
        <f>TEXT(SalesTbl[[#This Row],[Order Date]],"yyyy-mm")</f>
        <v>2023-08</v>
      </c>
      <c r="P974" s="13">
        <f>WEEKNUM(SalesTbl[[#This Row],[Order Date]],2)</f>
        <v>34</v>
      </c>
      <c r="Q974" s="14">
        <f>MEDIAN(SalesTbl[Quantity])</f>
        <v>3</v>
      </c>
      <c r="R974" s="14">
        <f>IF(ISBLANK(SalesTbl[[#This Row],[Quantity]]),$H$2,SalesTbl[[#This Row],[Quantity]])</f>
        <v>5</v>
      </c>
      <c r="S974">
        <f>ROW()-ROW(SalesTbl[[#Headers],[Customer ID]])</f>
        <v>973</v>
      </c>
      <c r="T974" s="9" t="str">
        <f>IF(SalesTbl[[#This Row],[RowIdx]]&lt;=ROUNDUP(COUNTA(SalesTbl[Customer ID])*0.8,0),"Train","Test")</f>
        <v>Test</v>
      </c>
    </row>
    <row r="975" spans="1:20" x14ac:dyDescent="0.25">
      <c r="A975" t="s">
        <v>222</v>
      </c>
      <c r="B975" t="s">
        <v>13</v>
      </c>
      <c r="C975" t="s">
        <v>321</v>
      </c>
      <c r="D975" t="s">
        <v>30</v>
      </c>
      <c r="E975" t="s">
        <v>18</v>
      </c>
      <c r="F975">
        <v>67</v>
      </c>
      <c r="G975">
        <v>30</v>
      </c>
      <c r="H975">
        <v>3</v>
      </c>
      <c r="I975">
        <v>90</v>
      </c>
      <c r="J975">
        <v>7.63</v>
      </c>
      <c r="K975" s="2">
        <v>45129</v>
      </c>
      <c r="L975" t="s">
        <v>318</v>
      </c>
      <c r="M975" s="6">
        <f>SalesTbl[[#This Row],[Unit Price]]*SalesTbl[[#This Row],[Quantity]]</f>
        <v>90</v>
      </c>
      <c r="N975" s="6">
        <f>YEAR(SalesTbl[[#This Row],[Order Date]])</f>
        <v>2023</v>
      </c>
      <c r="O975" s="6" t="str">
        <f>TEXT(SalesTbl[[#This Row],[Order Date]],"yyyy-mm")</f>
        <v>2023-07</v>
      </c>
      <c r="P975" s="13">
        <f>WEEKNUM(SalesTbl[[#This Row],[Order Date]],2)</f>
        <v>30</v>
      </c>
      <c r="Q975" s="14">
        <f>MEDIAN(SalesTbl[Quantity])</f>
        <v>3</v>
      </c>
      <c r="R975" s="14">
        <f>IF(ISBLANK(SalesTbl[[#This Row],[Quantity]]),$H$2,SalesTbl[[#This Row],[Quantity]])</f>
        <v>3</v>
      </c>
      <c r="S975">
        <f>ROW()-ROW(SalesTbl[[#Headers],[Customer ID]])</f>
        <v>974</v>
      </c>
      <c r="T975" s="9" t="str">
        <f>IF(SalesTbl[[#This Row],[RowIdx]]&lt;=ROUNDUP(COUNTA(SalesTbl[Customer ID])*0.8,0),"Train","Test")</f>
        <v>Test</v>
      </c>
    </row>
    <row r="976" spans="1:20" x14ac:dyDescent="0.25">
      <c r="A976" t="s">
        <v>255</v>
      </c>
      <c r="B976" t="s">
        <v>13</v>
      </c>
      <c r="C976" t="s">
        <v>321</v>
      </c>
      <c r="D976" t="s">
        <v>30</v>
      </c>
      <c r="E976" t="s">
        <v>18</v>
      </c>
      <c r="F976">
        <v>39</v>
      </c>
      <c r="G976">
        <v>30</v>
      </c>
      <c r="H976">
        <v>5</v>
      </c>
      <c r="I976">
        <v>150</v>
      </c>
      <c r="J976">
        <v>5.6</v>
      </c>
      <c r="K976" s="2">
        <v>45209</v>
      </c>
      <c r="L976" t="s">
        <v>316</v>
      </c>
      <c r="M976" s="6">
        <f>SalesTbl[[#This Row],[Unit Price]]*SalesTbl[[#This Row],[Quantity]]</f>
        <v>150</v>
      </c>
      <c r="N976" s="6">
        <f>YEAR(SalesTbl[[#This Row],[Order Date]])</f>
        <v>2023</v>
      </c>
      <c r="O976" s="6" t="str">
        <f>TEXT(SalesTbl[[#This Row],[Order Date]],"yyyy-mm")</f>
        <v>2023-10</v>
      </c>
      <c r="P976" s="13">
        <f>WEEKNUM(SalesTbl[[#This Row],[Order Date]],2)</f>
        <v>42</v>
      </c>
      <c r="Q976" s="14">
        <f>MEDIAN(SalesTbl[Quantity])</f>
        <v>3</v>
      </c>
      <c r="R976" s="14">
        <f>IF(ISBLANK(SalesTbl[[#This Row],[Quantity]]),$H$2,SalesTbl[[#This Row],[Quantity]])</f>
        <v>5</v>
      </c>
      <c r="S976">
        <f>ROW()-ROW(SalesTbl[[#Headers],[Customer ID]])</f>
        <v>975</v>
      </c>
      <c r="T976" s="9" t="str">
        <f>IF(SalesTbl[[#This Row],[RowIdx]]&lt;=ROUNDUP(COUNTA(SalesTbl[Customer ID])*0.8,0),"Train","Test")</f>
        <v>Test</v>
      </c>
    </row>
    <row r="977" spans="1:20" x14ac:dyDescent="0.25">
      <c r="A977" t="s">
        <v>73</v>
      </c>
      <c r="B977" t="s">
        <v>13</v>
      </c>
      <c r="C977" t="s">
        <v>321</v>
      </c>
      <c r="D977" t="s">
        <v>29</v>
      </c>
      <c r="E977" t="s">
        <v>18</v>
      </c>
      <c r="F977">
        <v>51</v>
      </c>
      <c r="G977">
        <v>50</v>
      </c>
      <c r="H977">
        <v>4</v>
      </c>
      <c r="I977">
        <v>200</v>
      </c>
      <c r="J977">
        <v>19.420000000000002</v>
      </c>
      <c r="K977" s="2">
        <v>45076</v>
      </c>
      <c r="L977" t="s">
        <v>317</v>
      </c>
      <c r="M977" s="6">
        <f>SalesTbl[[#This Row],[Unit Price]]*SalesTbl[[#This Row],[Quantity]]</f>
        <v>200</v>
      </c>
      <c r="N977" s="6">
        <f>YEAR(SalesTbl[[#This Row],[Order Date]])</f>
        <v>2023</v>
      </c>
      <c r="O977" s="6" t="str">
        <f>TEXT(SalesTbl[[#This Row],[Order Date]],"yyyy-mm")</f>
        <v>2023-05</v>
      </c>
      <c r="P977" s="13">
        <f>WEEKNUM(SalesTbl[[#This Row],[Order Date]],2)</f>
        <v>23</v>
      </c>
      <c r="Q977" s="14">
        <f>MEDIAN(SalesTbl[Quantity])</f>
        <v>3</v>
      </c>
      <c r="R977" s="14">
        <f>IF(ISBLANK(SalesTbl[[#This Row],[Quantity]]),$H$2,SalesTbl[[#This Row],[Quantity]])</f>
        <v>4</v>
      </c>
      <c r="S977">
        <f>ROW()-ROW(SalesTbl[[#Headers],[Customer ID]])</f>
        <v>976</v>
      </c>
      <c r="T977" s="9" t="str">
        <f>IF(SalesTbl[[#This Row],[RowIdx]]&lt;=ROUNDUP(COUNTA(SalesTbl[Customer ID])*0.8,0),"Train","Test")</f>
        <v>Test</v>
      </c>
    </row>
    <row r="978" spans="1:20" x14ac:dyDescent="0.25">
      <c r="A978" t="s">
        <v>258</v>
      </c>
      <c r="B978" t="s">
        <v>20</v>
      </c>
      <c r="C978" t="s">
        <v>323</v>
      </c>
      <c r="D978" t="s">
        <v>25</v>
      </c>
      <c r="E978" t="s">
        <v>26</v>
      </c>
      <c r="F978">
        <v>55</v>
      </c>
      <c r="G978">
        <v>200</v>
      </c>
      <c r="H978">
        <v>5</v>
      </c>
      <c r="I978">
        <v>1000</v>
      </c>
      <c r="J978">
        <v>13.29</v>
      </c>
      <c r="K978" s="2">
        <v>45215</v>
      </c>
      <c r="L978" t="s">
        <v>318</v>
      </c>
      <c r="M978" s="6">
        <f>SalesTbl[[#This Row],[Unit Price]]*SalesTbl[[#This Row],[Quantity]]</f>
        <v>1000</v>
      </c>
      <c r="N978" s="6">
        <f>YEAR(SalesTbl[[#This Row],[Order Date]])</f>
        <v>2023</v>
      </c>
      <c r="O978" s="6" t="str">
        <f>TEXT(SalesTbl[[#This Row],[Order Date]],"yyyy-mm")</f>
        <v>2023-10</v>
      </c>
      <c r="P978" s="13">
        <f>WEEKNUM(SalesTbl[[#This Row],[Order Date]],2)</f>
        <v>43</v>
      </c>
      <c r="Q978" s="14">
        <f>MEDIAN(SalesTbl[Quantity])</f>
        <v>3</v>
      </c>
      <c r="R978" s="14">
        <f>IF(ISBLANK(SalesTbl[[#This Row],[Quantity]]),$H$2,SalesTbl[[#This Row],[Quantity]])</f>
        <v>5</v>
      </c>
      <c r="S978">
        <f>ROW()-ROW(SalesTbl[[#Headers],[Customer ID]])</f>
        <v>977</v>
      </c>
      <c r="T978" s="9" t="str">
        <f>IF(SalesTbl[[#This Row],[RowIdx]]&lt;=ROUNDUP(COUNTA(SalesTbl[Customer ID])*0.8,0),"Train","Test")</f>
        <v>Test</v>
      </c>
    </row>
    <row r="979" spans="1:20" x14ac:dyDescent="0.25">
      <c r="A979" t="s">
        <v>271</v>
      </c>
      <c r="B979" t="s">
        <v>20</v>
      </c>
      <c r="C979" t="s">
        <v>323</v>
      </c>
      <c r="D979" t="s">
        <v>30</v>
      </c>
      <c r="E979" t="s">
        <v>18</v>
      </c>
      <c r="F979">
        <v>49</v>
      </c>
      <c r="G979">
        <v>30</v>
      </c>
      <c r="H979">
        <v>3</v>
      </c>
      <c r="I979">
        <v>90</v>
      </c>
      <c r="J979">
        <v>15.46</v>
      </c>
      <c r="K979" s="2">
        <v>45050</v>
      </c>
      <c r="L979" t="s">
        <v>317</v>
      </c>
      <c r="M979" s="6">
        <f>SalesTbl[[#This Row],[Unit Price]]*SalesTbl[[#This Row],[Quantity]]</f>
        <v>90</v>
      </c>
      <c r="N979" s="6">
        <f>YEAR(SalesTbl[[#This Row],[Order Date]])</f>
        <v>2023</v>
      </c>
      <c r="O979" s="6" t="str">
        <f>TEXT(SalesTbl[[#This Row],[Order Date]],"yyyy-mm")</f>
        <v>2023-05</v>
      </c>
      <c r="P979" s="13">
        <f>WEEKNUM(SalesTbl[[#This Row],[Order Date]],2)</f>
        <v>19</v>
      </c>
      <c r="Q979" s="14">
        <f>MEDIAN(SalesTbl[Quantity])</f>
        <v>3</v>
      </c>
      <c r="R979" s="14">
        <f>IF(ISBLANK(SalesTbl[[#This Row],[Quantity]]),$H$2,SalesTbl[[#This Row],[Quantity]])</f>
        <v>3</v>
      </c>
      <c r="S979">
        <f>ROW()-ROW(SalesTbl[[#Headers],[Customer ID]])</f>
        <v>978</v>
      </c>
      <c r="T979" s="9" t="str">
        <f>IF(SalesTbl[[#This Row],[RowIdx]]&lt;=ROUNDUP(COUNTA(SalesTbl[Customer ID])*0.8,0),"Train","Test")</f>
        <v>Test</v>
      </c>
    </row>
    <row r="980" spans="1:20" x14ac:dyDescent="0.25">
      <c r="A980" t="s">
        <v>208</v>
      </c>
      <c r="B980" t="s">
        <v>13</v>
      </c>
      <c r="C980" t="s">
        <v>321</v>
      </c>
      <c r="D980" t="s">
        <v>30</v>
      </c>
      <c r="E980" t="s">
        <v>18</v>
      </c>
      <c r="F980">
        <v>26</v>
      </c>
      <c r="G980">
        <v>30</v>
      </c>
      <c r="H980">
        <v>2</v>
      </c>
      <c r="I980">
        <v>60</v>
      </c>
      <c r="J980">
        <v>16.34</v>
      </c>
      <c r="K980" s="2">
        <v>45232</v>
      </c>
      <c r="L980" t="s">
        <v>316</v>
      </c>
      <c r="M980" s="6">
        <f>SalesTbl[[#This Row],[Unit Price]]*SalesTbl[[#This Row],[Quantity]]</f>
        <v>60</v>
      </c>
      <c r="N980" s="6">
        <f>YEAR(SalesTbl[[#This Row],[Order Date]])</f>
        <v>2023</v>
      </c>
      <c r="O980" s="6" t="str">
        <f>TEXT(SalesTbl[[#This Row],[Order Date]],"yyyy-mm")</f>
        <v>2023-11</v>
      </c>
      <c r="P980" s="13">
        <f>WEEKNUM(SalesTbl[[#This Row],[Order Date]],2)</f>
        <v>45</v>
      </c>
      <c r="Q980" s="14">
        <f>MEDIAN(SalesTbl[Quantity])</f>
        <v>3</v>
      </c>
      <c r="R980" s="14">
        <f>IF(ISBLANK(SalesTbl[[#This Row],[Quantity]]),$H$2,SalesTbl[[#This Row],[Quantity]])</f>
        <v>2</v>
      </c>
      <c r="S980">
        <f>ROW()-ROW(SalesTbl[[#Headers],[Customer ID]])</f>
        <v>979</v>
      </c>
      <c r="T980" s="9" t="str">
        <f>IF(SalesTbl[[#This Row],[RowIdx]]&lt;=ROUNDUP(COUNTA(SalesTbl[Customer ID])*0.8,0),"Train","Test")</f>
        <v>Test</v>
      </c>
    </row>
    <row r="981" spans="1:20" x14ac:dyDescent="0.25">
      <c r="A981" t="s">
        <v>36</v>
      </c>
      <c r="B981" t="s">
        <v>20</v>
      </c>
      <c r="C981" t="s">
        <v>320</v>
      </c>
      <c r="D981" t="s">
        <v>17</v>
      </c>
      <c r="E981" t="s">
        <v>18</v>
      </c>
      <c r="F981">
        <v>66</v>
      </c>
      <c r="G981">
        <v>100</v>
      </c>
      <c r="H981">
        <v>4</v>
      </c>
      <c r="I981">
        <v>400</v>
      </c>
      <c r="J981">
        <v>7.41</v>
      </c>
      <c r="K981" s="2">
        <v>44935</v>
      </c>
      <c r="L981" t="s">
        <v>318</v>
      </c>
      <c r="M981" s="6">
        <f>SalesTbl[[#This Row],[Unit Price]]*SalesTbl[[#This Row],[Quantity]]</f>
        <v>400</v>
      </c>
      <c r="N981" s="6">
        <f>YEAR(SalesTbl[[#This Row],[Order Date]])</f>
        <v>2023</v>
      </c>
      <c r="O981" s="6" t="str">
        <f>TEXT(SalesTbl[[#This Row],[Order Date]],"yyyy-mm")</f>
        <v>2023-01</v>
      </c>
      <c r="P981" s="13">
        <f>WEEKNUM(SalesTbl[[#This Row],[Order Date]],2)</f>
        <v>3</v>
      </c>
      <c r="Q981" s="14">
        <f>MEDIAN(SalesTbl[Quantity])</f>
        <v>3</v>
      </c>
      <c r="R981" s="14">
        <f>IF(ISBLANK(SalesTbl[[#This Row],[Quantity]]),$H$2,SalesTbl[[#This Row],[Quantity]])</f>
        <v>4</v>
      </c>
      <c r="S981">
        <f>ROW()-ROW(SalesTbl[[#Headers],[Customer ID]])</f>
        <v>980</v>
      </c>
      <c r="T981" s="9" t="str">
        <f>IF(SalesTbl[[#This Row],[RowIdx]]&lt;=ROUNDUP(COUNTA(SalesTbl[Customer ID])*0.8,0),"Train","Test")</f>
        <v>Test</v>
      </c>
    </row>
    <row r="982" spans="1:20" x14ac:dyDescent="0.25">
      <c r="A982" t="s">
        <v>295</v>
      </c>
      <c r="B982" t="s">
        <v>20</v>
      </c>
      <c r="C982" t="s">
        <v>321</v>
      </c>
      <c r="D982" t="s">
        <v>14</v>
      </c>
      <c r="E982" t="s">
        <v>15</v>
      </c>
      <c r="F982">
        <v>39</v>
      </c>
      <c r="G982">
        <v>300</v>
      </c>
      <c r="H982">
        <v>1</v>
      </c>
      <c r="I982">
        <v>300</v>
      </c>
      <c r="J982">
        <v>13.28</v>
      </c>
      <c r="K982" s="2">
        <v>44977</v>
      </c>
      <c r="L982" t="s">
        <v>318</v>
      </c>
      <c r="M982" s="6">
        <f>SalesTbl[[#This Row],[Unit Price]]*SalesTbl[[#This Row],[Quantity]]</f>
        <v>300</v>
      </c>
      <c r="N982" s="6">
        <f>YEAR(SalesTbl[[#This Row],[Order Date]])</f>
        <v>2023</v>
      </c>
      <c r="O982" s="6" t="str">
        <f>TEXT(SalesTbl[[#This Row],[Order Date]],"yyyy-mm")</f>
        <v>2023-02</v>
      </c>
      <c r="P982" s="13">
        <f>WEEKNUM(SalesTbl[[#This Row],[Order Date]],2)</f>
        <v>9</v>
      </c>
      <c r="Q982" s="14">
        <f>MEDIAN(SalesTbl[Quantity])</f>
        <v>3</v>
      </c>
      <c r="R982" s="14">
        <f>IF(ISBLANK(SalesTbl[[#This Row],[Quantity]]),$H$2,SalesTbl[[#This Row],[Quantity]])</f>
        <v>1</v>
      </c>
      <c r="S982">
        <f>ROW()-ROW(SalesTbl[[#Headers],[Customer ID]])</f>
        <v>981</v>
      </c>
      <c r="T982" s="9" t="str">
        <f>IF(SalesTbl[[#This Row],[RowIdx]]&lt;=ROUNDUP(COUNTA(SalesTbl[Customer ID])*0.8,0),"Train","Test")</f>
        <v>Test</v>
      </c>
    </row>
    <row r="983" spans="1:20" x14ac:dyDescent="0.25">
      <c r="A983" t="s">
        <v>93</v>
      </c>
      <c r="B983" t="s">
        <v>13</v>
      </c>
      <c r="C983" t="s">
        <v>323</v>
      </c>
      <c r="D983" t="s">
        <v>40</v>
      </c>
      <c r="E983" t="s">
        <v>15</v>
      </c>
      <c r="F983">
        <v>47</v>
      </c>
      <c r="G983">
        <v>800</v>
      </c>
      <c r="H983">
        <v>4</v>
      </c>
      <c r="I983">
        <v>3200</v>
      </c>
      <c r="J983">
        <v>8.8800000000000008</v>
      </c>
      <c r="K983" s="2">
        <v>45138</v>
      </c>
      <c r="L983" t="s">
        <v>317</v>
      </c>
      <c r="M983" s="6">
        <f>SalesTbl[[#This Row],[Unit Price]]*SalesTbl[[#This Row],[Quantity]]</f>
        <v>3200</v>
      </c>
      <c r="N983" s="6">
        <f>YEAR(SalesTbl[[#This Row],[Order Date]])</f>
        <v>2023</v>
      </c>
      <c r="O983" s="6" t="str">
        <f>TEXT(SalesTbl[[#This Row],[Order Date]],"yyyy-mm")</f>
        <v>2023-07</v>
      </c>
      <c r="P983" s="13">
        <f>WEEKNUM(SalesTbl[[#This Row],[Order Date]],2)</f>
        <v>32</v>
      </c>
      <c r="Q983" s="14">
        <f>MEDIAN(SalesTbl[Quantity])</f>
        <v>3</v>
      </c>
      <c r="R983" s="14">
        <f>IF(ISBLANK(SalesTbl[[#This Row],[Quantity]]),$H$2,SalesTbl[[#This Row],[Quantity]])</f>
        <v>4</v>
      </c>
      <c r="S983">
        <f>ROW()-ROW(SalesTbl[[#Headers],[Customer ID]])</f>
        <v>982</v>
      </c>
      <c r="T983" s="9" t="str">
        <f>IF(SalesTbl[[#This Row],[RowIdx]]&lt;=ROUNDUP(COUNTA(SalesTbl[Customer ID])*0.8,0),"Train","Test")</f>
        <v>Test</v>
      </c>
    </row>
    <row r="984" spans="1:20" x14ac:dyDescent="0.25">
      <c r="A984" t="s">
        <v>224</v>
      </c>
      <c r="B984" t="s">
        <v>13</v>
      </c>
      <c r="C984" t="s">
        <v>323</v>
      </c>
      <c r="D984" t="s">
        <v>25</v>
      </c>
      <c r="E984" t="s">
        <v>26</v>
      </c>
      <c r="F984">
        <v>34</v>
      </c>
      <c r="G984">
        <v>200</v>
      </c>
      <c r="H984">
        <v>3</v>
      </c>
      <c r="I984">
        <v>600</v>
      </c>
      <c r="J984">
        <v>5.87</v>
      </c>
      <c r="K984" s="2">
        <v>45102</v>
      </c>
      <c r="L984" t="s">
        <v>316</v>
      </c>
      <c r="M984" s="6">
        <f>SalesTbl[[#This Row],[Unit Price]]*SalesTbl[[#This Row],[Quantity]]</f>
        <v>600</v>
      </c>
      <c r="N984" s="6">
        <f>YEAR(SalesTbl[[#This Row],[Order Date]])</f>
        <v>2023</v>
      </c>
      <c r="O984" s="6" t="str">
        <f>TEXT(SalesTbl[[#This Row],[Order Date]],"yyyy-mm")</f>
        <v>2023-06</v>
      </c>
      <c r="P984" s="13">
        <f>WEEKNUM(SalesTbl[[#This Row],[Order Date]],2)</f>
        <v>26</v>
      </c>
      <c r="Q984" s="14">
        <f>MEDIAN(SalesTbl[Quantity])</f>
        <v>3</v>
      </c>
      <c r="R984" s="14">
        <f>IF(ISBLANK(SalesTbl[[#This Row],[Quantity]]),$H$2,SalesTbl[[#This Row],[Quantity]])</f>
        <v>3</v>
      </c>
      <c r="S984">
        <f>ROW()-ROW(SalesTbl[[#Headers],[Customer ID]])</f>
        <v>983</v>
      </c>
      <c r="T984" s="9" t="str">
        <f>IF(SalesTbl[[#This Row],[RowIdx]]&lt;=ROUNDUP(COUNTA(SalesTbl[Customer ID])*0.8,0),"Train","Test")</f>
        <v>Test</v>
      </c>
    </row>
    <row r="985" spans="1:20" x14ac:dyDescent="0.25">
      <c r="A985" t="s">
        <v>139</v>
      </c>
      <c r="B985" t="s">
        <v>13</v>
      </c>
      <c r="C985" t="s">
        <v>319</v>
      </c>
      <c r="D985" t="s">
        <v>17</v>
      </c>
      <c r="E985" t="s">
        <v>18</v>
      </c>
      <c r="F985">
        <v>35</v>
      </c>
      <c r="G985">
        <v>100</v>
      </c>
      <c r="H985">
        <v>4</v>
      </c>
      <c r="I985">
        <v>400</v>
      </c>
      <c r="J985">
        <v>11.97</v>
      </c>
      <c r="K985" s="2">
        <v>45000</v>
      </c>
      <c r="L985" t="s">
        <v>317</v>
      </c>
      <c r="M985" s="6">
        <f>SalesTbl[[#This Row],[Unit Price]]*SalesTbl[[#This Row],[Quantity]]</f>
        <v>400</v>
      </c>
      <c r="N985" s="6">
        <f>YEAR(SalesTbl[[#This Row],[Order Date]])</f>
        <v>2023</v>
      </c>
      <c r="O985" s="6" t="str">
        <f>TEXT(SalesTbl[[#This Row],[Order Date]],"yyyy-mm")</f>
        <v>2023-03</v>
      </c>
      <c r="P985" s="13">
        <f>WEEKNUM(SalesTbl[[#This Row],[Order Date]],2)</f>
        <v>12</v>
      </c>
      <c r="Q985" s="14">
        <f>MEDIAN(SalesTbl[Quantity])</f>
        <v>3</v>
      </c>
      <c r="R985" s="14">
        <f>IF(ISBLANK(SalesTbl[[#This Row],[Quantity]]),$H$2,SalesTbl[[#This Row],[Quantity]])</f>
        <v>4</v>
      </c>
      <c r="S985">
        <f>ROW()-ROW(SalesTbl[[#Headers],[Customer ID]])</f>
        <v>984</v>
      </c>
      <c r="T985" s="9" t="str">
        <f>IF(SalesTbl[[#This Row],[RowIdx]]&lt;=ROUNDUP(COUNTA(SalesTbl[Customer ID])*0.8,0),"Train","Test")</f>
        <v>Test</v>
      </c>
    </row>
    <row r="986" spans="1:20" x14ac:dyDescent="0.25">
      <c r="A986" t="s">
        <v>166</v>
      </c>
      <c r="B986" t="s">
        <v>13</v>
      </c>
      <c r="C986" t="s">
        <v>321</v>
      </c>
      <c r="D986" t="s">
        <v>17</v>
      </c>
      <c r="E986" t="s">
        <v>18</v>
      </c>
      <c r="F986">
        <v>43</v>
      </c>
      <c r="G986">
        <v>100</v>
      </c>
      <c r="H986">
        <v>2</v>
      </c>
      <c r="I986">
        <v>200</v>
      </c>
      <c r="J986">
        <v>15.85</v>
      </c>
      <c r="K986" s="2">
        <v>45207</v>
      </c>
      <c r="L986" t="s">
        <v>316</v>
      </c>
      <c r="M986" s="6">
        <f>SalesTbl[[#This Row],[Unit Price]]*SalesTbl[[#This Row],[Quantity]]</f>
        <v>200</v>
      </c>
      <c r="N986" s="6">
        <f>YEAR(SalesTbl[[#This Row],[Order Date]])</f>
        <v>2023</v>
      </c>
      <c r="O986" s="6" t="str">
        <f>TEXT(SalesTbl[[#This Row],[Order Date]],"yyyy-mm")</f>
        <v>2023-10</v>
      </c>
      <c r="P986" s="13">
        <f>WEEKNUM(SalesTbl[[#This Row],[Order Date]],2)</f>
        <v>41</v>
      </c>
      <c r="Q986" s="14">
        <f>MEDIAN(SalesTbl[Quantity])</f>
        <v>3</v>
      </c>
      <c r="R986" s="14">
        <f>IF(ISBLANK(SalesTbl[[#This Row],[Quantity]]),$H$2,SalesTbl[[#This Row],[Quantity]])</f>
        <v>2</v>
      </c>
      <c r="S986">
        <f>ROW()-ROW(SalesTbl[[#Headers],[Customer ID]])</f>
        <v>985</v>
      </c>
      <c r="T986" s="9" t="str">
        <f>IF(SalesTbl[[#This Row],[RowIdx]]&lt;=ROUNDUP(COUNTA(SalesTbl[Customer ID])*0.8,0),"Train","Test")</f>
        <v>Test</v>
      </c>
    </row>
    <row r="987" spans="1:20" x14ac:dyDescent="0.25">
      <c r="A987" t="s">
        <v>263</v>
      </c>
      <c r="B987" t="s">
        <v>20</v>
      </c>
      <c r="C987" t="s">
        <v>320</v>
      </c>
      <c r="D987" t="s">
        <v>29</v>
      </c>
      <c r="E987" t="s">
        <v>18</v>
      </c>
      <c r="F987">
        <v>64</v>
      </c>
      <c r="G987">
        <v>50</v>
      </c>
      <c r="H987">
        <v>5</v>
      </c>
      <c r="I987">
        <v>250</v>
      </c>
      <c r="J987">
        <v>13.3</v>
      </c>
      <c r="K987" s="2">
        <v>45109</v>
      </c>
      <c r="L987" t="s">
        <v>316</v>
      </c>
      <c r="M987" s="6">
        <f>SalesTbl[[#This Row],[Unit Price]]*SalesTbl[[#This Row],[Quantity]]</f>
        <v>250</v>
      </c>
      <c r="N987" s="6">
        <f>YEAR(SalesTbl[[#This Row],[Order Date]])</f>
        <v>2023</v>
      </c>
      <c r="O987" s="6" t="str">
        <f>TEXT(SalesTbl[[#This Row],[Order Date]],"yyyy-mm")</f>
        <v>2023-07</v>
      </c>
      <c r="P987" s="13">
        <f>WEEKNUM(SalesTbl[[#This Row],[Order Date]],2)</f>
        <v>27</v>
      </c>
      <c r="Q987" s="14">
        <f>MEDIAN(SalesTbl[Quantity])</f>
        <v>3</v>
      </c>
      <c r="R987" s="14">
        <f>IF(ISBLANK(SalesTbl[[#This Row],[Quantity]]),$H$2,SalesTbl[[#This Row],[Quantity]])</f>
        <v>5</v>
      </c>
      <c r="S987">
        <f>ROW()-ROW(SalesTbl[[#Headers],[Customer ID]])</f>
        <v>986</v>
      </c>
      <c r="T987" s="9" t="str">
        <f>IF(SalesTbl[[#This Row],[RowIdx]]&lt;=ROUNDUP(COUNTA(SalesTbl[Customer ID])*0.8,0),"Train","Test")</f>
        <v>Test</v>
      </c>
    </row>
    <row r="988" spans="1:20" x14ac:dyDescent="0.25">
      <c r="A988" t="s">
        <v>262</v>
      </c>
      <c r="B988" t="s">
        <v>20</v>
      </c>
      <c r="C988" t="s">
        <v>323</v>
      </c>
      <c r="D988" t="s">
        <v>14</v>
      </c>
      <c r="E988" t="s">
        <v>15</v>
      </c>
      <c r="F988">
        <v>40</v>
      </c>
      <c r="G988">
        <v>300</v>
      </c>
      <c r="H988">
        <v>4</v>
      </c>
      <c r="I988">
        <v>1200</v>
      </c>
      <c r="J988">
        <v>17.21</v>
      </c>
      <c r="K988" s="2">
        <v>45137</v>
      </c>
      <c r="L988" t="s">
        <v>317</v>
      </c>
      <c r="M988" s="6">
        <f>SalesTbl[[#This Row],[Unit Price]]*SalesTbl[[#This Row],[Quantity]]</f>
        <v>1200</v>
      </c>
      <c r="N988" s="6">
        <f>YEAR(SalesTbl[[#This Row],[Order Date]])</f>
        <v>2023</v>
      </c>
      <c r="O988" s="6" t="str">
        <f>TEXT(SalesTbl[[#This Row],[Order Date]],"yyyy-mm")</f>
        <v>2023-07</v>
      </c>
      <c r="P988" s="13">
        <f>WEEKNUM(SalesTbl[[#This Row],[Order Date]],2)</f>
        <v>31</v>
      </c>
      <c r="Q988" s="14">
        <f>MEDIAN(SalesTbl[Quantity])</f>
        <v>3</v>
      </c>
      <c r="R988" s="14">
        <f>IF(ISBLANK(SalesTbl[[#This Row],[Quantity]]),$H$2,SalesTbl[[#This Row],[Quantity]])</f>
        <v>4</v>
      </c>
      <c r="S988">
        <f>ROW()-ROW(SalesTbl[[#Headers],[Customer ID]])</f>
        <v>987</v>
      </c>
      <c r="T988" s="9" t="str">
        <f>IF(SalesTbl[[#This Row],[RowIdx]]&lt;=ROUNDUP(COUNTA(SalesTbl[Customer ID])*0.8,0),"Train","Test")</f>
        <v>Test</v>
      </c>
    </row>
    <row r="989" spans="1:20" x14ac:dyDescent="0.25">
      <c r="A989" t="s">
        <v>314</v>
      </c>
      <c r="B989" t="s">
        <v>20</v>
      </c>
      <c r="C989" t="s">
        <v>319</v>
      </c>
      <c r="D989" t="s">
        <v>30</v>
      </c>
      <c r="E989" t="s">
        <v>18</v>
      </c>
      <c r="F989">
        <v>54</v>
      </c>
      <c r="G989">
        <v>30</v>
      </c>
      <c r="H989">
        <v>2</v>
      </c>
      <c r="I989">
        <v>60</v>
      </c>
      <c r="J989">
        <v>19.03</v>
      </c>
      <c r="K989" s="2">
        <v>44937</v>
      </c>
      <c r="L989" t="s">
        <v>317</v>
      </c>
      <c r="M989" s="6">
        <f>SalesTbl[[#This Row],[Unit Price]]*SalesTbl[[#This Row],[Quantity]]</f>
        <v>60</v>
      </c>
      <c r="N989" s="6">
        <f>YEAR(SalesTbl[[#This Row],[Order Date]])</f>
        <v>2023</v>
      </c>
      <c r="O989" s="6" t="str">
        <f>TEXT(SalesTbl[[#This Row],[Order Date]],"yyyy-mm")</f>
        <v>2023-01</v>
      </c>
      <c r="P989" s="13">
        <f>WEEKNUM(SalesTbl[[#This Row],[Order Date]],2)</f>
        <v>3</v>
      </c>
      <c r="Q989" s="14">
        <f>MEDIAN(SalesTbl[Quantity])</f>
        <v>3</v>
      </c>
      <c r="R989" s="14">
        <f>IF(ISBLANK(SalesTbl[[#This Row],[Quantity]]),$H$2,SalesTbl[[#This Row],[Quantity]])</f>
        <v>2</v>
      </c>
      <c r="S989">
        <f>ROW()-ROW(SalesTbl[[#Headers],[Customer ID]])</f>
        <v>988</v>
      </c>
      <c r="T989" s="9" t="str">
        <f>IF(SalesTbl[[#This Row],[RowIdx]]&lt;=ROUNDUP(COUNTA(SalesTbl[Customer ID])*0.8,0),"Train","Test")</f>
        <v>Test</v>
      </c>
    </row>
    <row r="990" spans="1:20" x14ac:dyDescent="0.25">
      <c r="A990" t="s">
        <v>62</v>
      </c>
      <c r="B990" t="s">
        <v>20</v>
      </c>
      <c r="C990" t="s">
        <v>320</v>
      </c>
      <c r="D990" t="s">
        <v>25</v>
      </c>
      <c r="E990" t="s">
        <v>26</v>
      </c>
      <c r="F990">
        <v>58</v>
      </c>
      <c r="G990">
        <v>200</v>
      </c>
      <c r="H990">
        <v>4</v>
      </c>
      <c r="I990">
        <v>800</v>
      </c>
      <c r="J990">
        <v>9.43</v>
      </c>
      <c r="K990" s="2">
        <v>45141</v>
      </c>
      <c r="L990" t="s">
        <v>316</v>
      </c>
      <c r="M990" s="6">
        <f>SalesTbl[[#This Row],[Unit Price]]*SalesTbl[[#This Row],[Quantity]]</f>
        <v>800</v>
      </c>
      <c r="N990" s="6">
        <f>YEAR(SalesTbl[[#This Row],[Order Date]])</f>
        <v>2023</v>
      </c>
      <c r="O990" s="6" t="str">
        <f>TEXT(SalesTbl[[#This Row],[Order Date]],"yyyy-mm")</f>
        <v>2023-08</v>
      </c>
      <c r="P990" s="13">
        <f>WEEKNUM(SalesTbl[[#This Row],[Order Date]],2)</f>
        <v>32</v>
      </c>
      <c r="Q990" s="14">
        <f>MEDIAN(SalesTbl[Quantity])</f>
        <v>3</v>
      </c>
      <c r="R990" s="14">
        <f>IF(ISBLANK(SalesTbl[[#This Row],[Quantity]]),$H$2,SalesTbl[[#This Row],[Quantity]])</f>
        <v>4</v>
      </c>
      <c r="S990">
        <f>ROW()-ROW(SalesTbl[[#Headers],[Customer ID]])</f>
        <v>989</v>
      </c>
      <c r="T990" s="9" t="str">
        <f>IF(SalesTbl[[#This Row],[RowIdx]]&lt;=ROUNDUP(COUNTA(SalesTbl[Customer ID])*0.8,0),"Train","Test")</f>
        <v>Test</v>
      </c>
    </row>
    <row r="991" spans="1:20" x14ac:dyDescent="0.25">
      <c r="A991" t="s">
        <v>241</v>
      </c>
      <c r="B991" t="s">
        <v>13</v>
      </c>
      <c r="C991" t="s">
        <v>320</v>
      </c>
      <c r="D991" t="s">
        <v>25</v>
      </c>
      <c r="E991" t="s">
        <v>26</v>
      </c>
      <c r="F991">
        <v>52</v>
      </c>
      <c r="G991">
        <v>200</v>
      </c>
      <c r="H991">
        <v>2</v>
      </c>
      <c r="I991">
        <v>400</v>
      </c>
      <c r="J991">
        <v>5.97</v>
      </c>
      <c r="K991" s="2">
        <v>45194</v>
      </c>
      <c r="L991" t="s">
        <v>317</v>
      </c>
      <c r="M991" s="6">
        <f>SalesTbl[[#This Row],[Unit Price]]*SalesTbl[[#This Row],[Quantity]]</f>
        <v>400</v>
      </c>
      <c r="N991" s="6">
        <f>YEAR(SalesTbl[[#This Row],[Order Date]])</f>
        <v>2023</v>
      </c>
      <c r="O991" s="6" t="str">
        <f>TEXT(SalesTbl[[#This Row],[Order Date]],"yyyy-mm")</f>
        <v>2023-09</v>
      </c>
      <c r="P991" s="13">
        <f>WEEKNUM(SalesTbl[[#This Row],[Order Date]],2)</f>
        <v>40</v>
      </c>
      <c r="Q991" s="14">
        <f>MEDIAN(SalesTbl[Quantity])</f>
        <v>3</v>
      </c>
      <c r="R991" s="14">
        <f>IF(ISBLANK(SalesTbl[[#This Row],[Quantity]]),$H$2,SalesTbl[[#This Row],[Quantity]])</f>
        <v>2</v>
      </c>
      <c r="S991">
        <f>ROW()-ROW(SalesTbl[[#Headers],[Customer ID]])</f>
        <v>990</v>
      </c>
      <c r="T991" s="9" t="str">
        <f>IF(SalesTbl[[#This Row],[RowIdx]]&lt;=ROUNDUP(COUNTA(SalesTbl[Customer ID])*0.8,0),"Train","Test")</f>
        <v>Test</v>
      </c>
    </row>
    <row r="992" spans="1:20" x14ac:dyDescent="0.25">
      <c r="A992" t="s">
        <v>293</v>
      </c>
      <c r="B992" t="s">
        <v>20</v>
      </c>
      <c r="C992" t="s">
        <v>320</v>
      </c>
      <c r="D992" t="s">
        <v>23</v>
      </c>
      <c r="E992" t="s">
        <v>15</v>
      </c>
      <c r="F992">
        <v>49</v>
      </c>
      <c r="G992">
        <v>1500</v>
      </c>
      <c r="H992">
        <v>5</v>
      </c>
      <c r="I992">
        <v>7500</v>
      </c>
      <c r="J992">
        <v>5.1100000000000003</v>
      </c>
      <c r="K992" s="2">
        <v>45260</v>
      </c>
      <c r="L992" t="s">
        <v>316</v>
      </c>
      <c r="M992" s="6">
        <f>SalesTbl[[#This Row],[Unit Price]]*SalesTbl[[#This Row],[Quantity]]</f>
        <v>7500</v>
      </c>
      <c r="N992" s="6">
        <f>YEAR(SalesTbl[[#This Row],[Order Date]])</f>
        <v>2023</v>
      </c>
      <c r="O992" s="6" t="str">
        <f>TEXT(SalesTbl[[#This Row],[Order Date]],"yyyy-mm")</f>
        <v>2023-11</v>
      </c>
      <c r="P992" s="13">
        <f>WEEKNUM(SalesTbl[[#This Row],[Order Date]],2)</f>
        <v>49</v>
      </c>
      <c r="Q992" s="14">
        <f>MEDIAN(SalesTbl[Quantity])</f>
        <v>3</v>
      </c>
      <c r="R992" s="14">
        <f>IF(ISBLANK(SalesTbl[[#This Row],[Quantity]]),$H$2,SalesTbl[[#This Row],[Quantity]])</f>
        <v>5</v>
      </c>
      <c r="S992">
        <f>ROW()-ROW(SalesTbl[[#Headers],[Customer ID]])</f>
        <v>991</v>
      </c>
      <c r="T992" s="9" t="str">
        <f>IF(SalesTbl[[#This Row],[RowIdx]]&lt;=ROUNDUP(COUNTA(SalesTbl[Customer ID])*0.8,0),"Train","Test")</f>
        <v>Test</v>
      </c>
    </row>
    <row r="993" spans="1:20" x14ac:dyDescent="0.25">
      <c r="A993" t="s">
        <v>315</v>
      </c>
      <c r="B993" t="s">
        <v>13</v>
      </c>
      <c r="C993" t="s">
        <v>322</v>
      </c>
      <c r="D993" t="s">
        <v>30</v>
      </c>
      <c r="E993" t="s">
        <v>18</v>
      </c>
      <c r="F993">
        <v>18</v>
      </c>
      <c r="G993">
        <v>30</v>
      </c>
      <c r="H993">
        <v>3</v>
      </c>
      <c r="I993">
        <v>90</v>
      </c>
      <c r="J993">
        <v>11.7</v>
      </c>
      <c r="K993" s="2">
        <v>45219</v>
      </c>
      <c r="L993" t="s">
        <v>319</v>
      </c>
      <c r="M993" s="6">
        <f>SalesTbl[[#This Row],[Unit Price]]*SalesTbl[[#This Row],[Quantity]]</f>
        <v>90</v>
      </c>
      <c r="N993" s="6">
        <f>YEAR(SalesTbl[[#This Row],[Order Date]])</f>
        <v>2023</v>
      </c>
      <c r="O993" s="6" t="str">
        <f>TEXT(SalesTbl[[#This Row],[Order Date]],"yyyy-mm")</f>
        <v>2023-10</v>
      </c>
      <c r="P993" s="13">
        <f>WEEKNUM(SalesTbl[[#This Row],[Order Date]],2)</f>
        <v>43</v>
      </c>
      <c r="Q993" s="14">
        <f>MEDIAN(SalesTbl[Quantity])</f>
        <v>3</v>
      </c>
      <c r="R993" s="14">
        <f>IF(ISBLANK(SalesTbl[[#This Row],[Quantity]]),$H$2,SalesTbl[[#This Row],[Quantity]])</f>
        <v>3</v>
      </c>
      <c r="S993">
        <f>ROW()-ROW(SalesTbl[[#Headers],[Customer ID]])</f>
        <v>992</v>
      </c>
      <c r="T993" s="9" t="str">
        <f>IF(SalesTbl[[#This Row],[RowIdx]]&lt;=ROUNDUP(COUNTA(SalesTbl[Customer ID])*0.8,0),"Train","Test")</f>
        <v>Test</v>
      </c>
    </row>
    <row r="994" spans="1:20" x14ac:dyDescent="0.25">
      <c r="A994" t="s">
        <v>158</v>
      </c>
      <c r="B994" t="s">
        <v>13</v>
      </c>
      <c r="C994" t="s">
        <v>323</v>
      </c>
      <c r="D994" t="s">
        <v>17</v>
      </c>
      <c r="E994" t="s">
        <v>18</v>
      </c>
      <c r="F994">
        <v>32</v>
      </c>
      <c r="G994">
        <v>100</v>
      </c>
      <c r="H994">
        <v>5</v>
      </c>
      <c r="I994">
        <v>500</v>
      </c>
      <c r="J994">
        <v>12.38</v>
      </c>
      <c r="K994" s="2">
        <v>44927</v>
      </c>
      <c r="L994" t="s">
        <v>316</v>
      </c>
      <c r="M994" s="6">
        <f>SalesTbl[[#This Row],[Unit Price]]*SalesTbl[[#This Row],[Quantity]]</f>
        <v>500</v>
      </c>
      <c r="N994" s="6">
        <f>YEAR(SalesTbl[[#This Row],[Order Date]])</f>
        <v>2023</v>
      </c>
      <c r="O994" s="6" t="str">
        <f>TEXT(SalesTbl[[#This Row],[Order Date]],"yyyy-mm")</f>
        <v>2023-01</v>
      </c>
      <c r="P994" s="13">
        <f>WEEKNUM(SalesTbl[[#This Row],[Order Date]],2)</f>
        <v>1</v>
      </c>
      <c r="Q994" s="14">
        <f>MEDIAN(SalesTbl[Quantity])</f>
        <v>3</v>
      </c>
      <c r="R994" s="14">
        <f>IF(ISBLANK(SalesTbl[[#This Row],[Quantity]]),$H$2,SalesTbl[[#This Row],[Quantity]])</f>
        <v>5</v>
      </c>
      <c r="S994">
        <f>ROW()-ROW(SalesTbl[[#Headers],[Customer ID]])</f>
        <v>993</v>
      </c>
      <c r="T994" s="9" t="str">
        <f>IF(SalesTbl[[#This Row],[RowIdx]]&lt;=ROUNDUP(COUNTA(SalesTbl[Customer ID])*0.8,0),"Train","Test")</f>
        <v>Test</v>
      </c>
    </row>
    <row r="995" spans="1:20" x14ac:dyDescent="0.25">
      <c r="A995" t="s">
        <v>242</v>
      </c>
      <c r="B995" t="s">
        <v>20</v>
      </c>
      <c r="C995" t="s">
        <v>320</v>
      </c>
      <c r="D995" t="s">
        <v>40</v>
      </c>
      <c r="E995" t="s">
        <v>15</v>
      </c>
      <c r="F995">
        <v>68</v>
      </c>
      <c r="G995">
        <v>800</v>
      </c>
      <c r="H995">
        <v>4</v>
      </c>
      <c r="I995">
        <v>3200</v>
      </c>
      <c r="J995">
        <v>17.32</v>
      </c>
      <c r="K995" s="2">
        <v>45143</v>
      </c>
      <c r="L995" t="s">
        <v>316</v>
      </c>
      <c r="M995" s="6">
        <f>SalesTbl[[#This Row],[Unit Price]]*SalesTbl[[#This Row],[Quantity]]</f>
        <v>3200</v>
      </c>
      <c r="N995" s="6">
        <f>YEAR(SalesTbl[[#This Row],[Order Date]])</f>
        <v>2023</v>
      </c>
      <c r="O995" s="6" t="str">
        <f>TEXT(SalesTbl[[#This Row],[Order Date]],"yyyy-mm")</f>
        <v>2023-08</v>
      </c>
      <c r="P995" s="13">
        <f>WEEKNUM(SalesTbl[[#This Row],[Order Date]],2)</f>
        <v>32</v>
      </c>
      <c r="Q995" s="14">
        <f>MEDIAN(SalesTbl[Quantity])</f>
        <v>3</v>
      </c>
      <c r="R995" s="14">
        <f>IF(ISBLANK(SalesTbl[[#This Row],[Quantity]]),$H$2,SalesTbl[[#This Row],[Quantity]])</f>
        <v>4</v>
      </c>
      <c r="S995">
        <f>ROW()-ROW(SalesTbl[[#Headers],[Customer ID]])</f>
        <v>994</v>
      </c>
      <c r="T995" s="9" t="str">
        <f>IF(SalesTbl[[#This Row],[RowIdx]]&lt;=ROUNDUP(COUNTA(SalesTbl[Customer ID])*0.8,0),"Train","Test")</f>
        <v>Test</v>
      </c>
    </row>
    <row r="996" spans="1:20" x14ac:dyDescent="0.25">
      <c r="A996" t="s">
        <v>302</v>
      </c>
      <c r="B996" t="s">
        <v>13</v>
      </c>
      <c r="C996" t="s">
        <v>321</v>
      </c>
      <c r="D996" t="s">
        <v>25</v>
      </c>
      <c r="E996" t="s">
        <v>26</v>
      </c>
      <c r="F996">
        <v>26</v>
      </c>
      <c r="G996">
        <v>200</v>
      </c>
      <c r="H996">
        <v>2</v>
      </c>
      <c r="I996">
        <v>400</v>
      </c>
      <c r="J996">
        <v>7.14</v>
      </c>
      <c r="K996" s="2">
        <v>44930</v>
      </c>
      <c r="L996" t="s">
        <v>316</v>
      </c>
      <c r="M996" s="6">
        <f>SalesTbl[[#This Row],[Unit Price]]*SalesTbl[[#This Row],[Quantity]]</f>
        <v>400</v>
      </c>
      <c r="N996" s="6">
        <f>YEAR(SalesTbl[[#This Row],[Order Date]])</f>
        <v>2023</v>
      </c>
      <c r="O996" s="6" t="str">
        <f>TEXT(SalesTbl[[#This Row],[Order Date]],"yyyy-mm")</f>
        <v>2023-01</v>
      </c>
      <c r="P996" s="13">
        <f>WEEKNUM(SalesTbl[[#This Row],[Order Date]],2)</f>
        <v>2</v>
      </c>
      <c r="Q996" s="14">
        <f>MEDIAN(SalesTbl[Quantity])</f>
        <v>3</v>
      </c>
      <c r="R996" s="14">
        <f>IF(ISBLANK(SalesTbl[[#This Row],[Quantity]]),$H$2,SalesTbl[[#This Row],[Quantity]])</f>
        <v>2</v>
      </c>
      <c r="S996">
        <f>ROW()-ROW(SalesTbl[[#Headers],[Customer ID]])</f>
        <v>995</v>
      </c>
      <c r="T996" s="9" t="str">
        <f>IF(SalesTbl[[#This Row],[RowIdx]]&lt;=ROUNDUP(COUNTA(SalesTbl[Customer ID])*0.8,0),"Train","Test")</f>
        <v>Test</v>
      </c>
    </row>
    <row r="997" spans="1:20" x14ac:dyDescent="0.25">
      <c r="A997" t="s">
        <v>32</v>
      </c>
      <c r="B997" t="s">
        <v>20</v>
      </c>
      <c r="C997" t="s">
        <v>322</v>
      </c>
      <c r="D997" t="s">
        <v>17</v>
      </c>
      <c r="E997" t="s">
        <v>18</v>
      </c>
      <c r="F997">
        <v>49</v>
      </c>
      <c r="G997">
        <v>100</v>
      </c>
      <c r="H997">
        <v>1</v>
      </c>
      <c r="I997">
        <v>100</v>
      </c>
      <c r="J997">
        <v>17.21</v>
      </c>
      <c r="K997" s="2">
        <v>44931</v>
      </c>
      <c r="L997" t="s">
        <v>317</v>
      </c>
      <c r="M997" s="6">
        <f>SalesTbl[[#This Row],[Unit Price]]*SalesTbl[[#This Row],[Quantity]]</f>
        <v>100</v>
      </c>
      <c r="N997" s="6">
        <f>YEAR(SalesTbl[[#This Row],[Order Date]])</f>
        <v>2023</v>
      </c>
      <c r="O997" s="6" t="str">
        <f>TEXT(SalesTbl[[#This Row],[Order Date]],"yyyy-mm")</f>
        <v>2023-01</v>
      </c>
      <c r="P997" s="13">
        <f>WEEKNUM(SalesTbl[[#This Row],[Order Date]],2)</f>
        <v>2</v>
      </c>
      <c r="Q997" s="14">
        <f>MEDIAN(SalesTbl[Quantity])</f>
        <v>3</v>
      </c>
      <c r="R997" s="14">
        <f>IF(ISBLANK(SalesTbl[[#This Row],[Quantity]]),$H$2,SalesTbl[[#This Row],[Quantity]])</f>
        <v>1</v>
      </c>
      <c r="S997">
        <f>ROW()-ROW(SalesTbl[[#Headers],[Customer ID]])</f>
        <v>996</v>
      </c>
      <c r="T997" s="9" t="str">
        <f>IF(SalesTbl[[#This Row],[RowIdx]]&lt;=ROUNDUP(COUNTA(SalesTbl[Customer ID])*0.8,0),"Train","Test")</f>
        <v>Test</v>
      </c>
    </row>
    <row r="998" spans="1:20" x14ac:dyDescent="0.25">
      <c r="A998" t="s">
        <v>93</v>
      </c>
      <c r="B998" t="s">
        <v>13</v>
      </c>
      <c r="C998" t="s">
        <v>323</v>
      </c>
      <c r="D998" t="s">
        <v>23</v>
      </c>
      <c r="E998" t="s">
        <v>15</v>
      </c>
      <c r="F998">
        <v>47</v>
      </c>
      <c r="G998">
        <v>1500</v>
      </c>
      <c r="H998">
        <v>1</v>
      </c>
      <c r="I998">
        <v>1500</v>
      </c>
      <c r="J998">
        <v>19.190000000000001</v>
      </c>
      <c r="K998" s="2">
        <v>45017</v>
      </c>
      <c r="L998" t="s">
        <v>318</v>
      </c>
      <c r="M998" s="6">
        <f>SalesTbl[[#This Row],[Unit Price]]*SalesTbl[[#This Row],[Quantity]]</f>
        <v>1500</v>
      </c>
      <c r="N998" s="6">
        <f>YEAR(SalesTbl[[#This Row],[Order Date]])</f>
        <v>2023</v>
      </c>
      <c r="O998" s="6" t="str">
        <f>TEXT(SalesTbl[[#This Row],[Order Date]],"yyyy-mm")</f>
        <v>2023-04</v>
      </c>
      <c r="P998" s="13">
        <f>WEEKNUM(SalesTbl[[#This Row],[Order Date]],2)</f>
        <v>14</v>
      </c>
      <c r="Q998" s="14">
        <f>MEDIAN(SalesTbl[Quantity])</f>
        <v>3</v>
      </c>
      <c r="R998" s="14">
        <f>IF(ISBLANK(SalesTbl[[#This Row],[Quantity]]),$H$2,SalesTbl[[#This Row],[Quantity]])</f>
        <v>1</v>
      </c>
      <c r="S998">
        <f>ROW()-ROW(SalesTbl[[#Headers],[Customer ID]])</f>
        <v>997</v>
      </c>
      <c r="T998" s="9" t="str">
        <f>IF(SalesTbl[[#This Row],[RowIdx]]&lt;=ROUNDUP(COUNTA(SalesTbl[Customer ID])*0.8,0),"Train","Test")</f>
        <v>Test</v>
      </c>
    </row>
    <row r="999" spans="1:20" x14ac:dyDescent="0.25">
      <c r="A999" t="s">
        <v>197</v>
      </c>
      <c r="B999" t="s">
        <v>20</v>
      </c>
      <c r="C999" t="s">
        <v>320</v>
      </c>
      <c r="D999" t="s">
        <v>30</v>
      </c>
      <c r="E999" t="s">
        <v>18</v>
      </c>
      <c r="F999">
        <v>49</v>
      </c>
      <c r="G999">
        <v>30</v>
      </c>
      <c r="H999">
        <v>5</v>
      </c>
      <c r="I999">
        <v>150</v>
      </c>
      <c r="J999">
        <v>19.350000000000001</v>
      </c>
      <c r="K999" s="2">
        <v>45219</v>
      </c>
      <c r="L999" t="s">
        <v>318</v>
      </c>
      <c r="M999" s="6">
        <f>SalesTbl[[#This Row],[Unit Price]]*SalesTbl[[#This Row],[Quantity]]</f>
        <v>150</v>
      </c>
      <c r="N999" s="6">
        <f>YEAR(SalesTbl[[#This Row],[Order Date]])</f>
        <v>2023</v>
      </c>
      <c r="O999" s="6" t="str">
        <f>TEXT(SalesTbl[[#This Row],[Order Date]],"yyyy-mm")</f>
        <v>2023-10</v>
      </c>
      <c r="P999" s="13">
        <f>WEEKNUM(SalesTbl[[#This Row],[Order Date]],2)</f>
        <v>43</v>
      </c>
      <c r="Q999" s="14">
        <f>MEDIAN(SalesTbl[Quantity])</f>
        <v>3</v>
      </c>
      <c r="R999" s="14">
        <f>IF(ISBLANK(SalesTbl[[#This Row],[Quantity]]),$H$2,SalesTbl[[#This Row],[Quantity]])</f>
        <v>5</v>
      </c>
      <c r="S999">
        <f>ROW()-ROW(SalesTbl[[#Headers],[Customer ID]])</f>
        <v>998</v>
      </c>
      <c r="T999" s="9" t="str">
        <f>IF(SalesTbl[[#This Row],[RowIdx]]&lt;=ROUNDUP(COUNTA(SalesTbl[Customer ID])*0.8,0),"Train","Test")</f>
        <v>Test</v>
      </c>
    </row>
    <row r="1000" spans="1:20" x14ac:dyDescent="0.25">
      <c r="A1000" t="s">
        <v>31</v>
      </c>
      <c r="B1000" t="s">
        <v>20</v>
      </c>
      <c r="C1000" t="s">
        <v>322</v>
      </c>
      <c r="D1000" t="s">
        <v>23</v>
      </c>
      <c r="E1000" t="s">
        <v>15</v>
      </c>
      <c r="F1000">
        <v>29</v>
      </c>
      <c r="G1000">
        <v>1500</v>
      </c>
      <c r="H1000">
        <v>5</v>
      </c>
      <c r="I1000">
        <v>7500</v>
      </c>
      <c r="J1000">
        <v>10.36</v>
      </c>
      <c r="K1000" s="2">
        <v>44933</v>
      </c>
      <c r="L1000" t="s">
        <v>316</v>
      </c>
      <c r="M1000" s="6">
        <f>SalesTbl[[#This Row],[Unit Price]]*SalesTbl[[#This Row],[Quantity]]</f>
        <v>7500</v>
      </c>
      <c r="N1000" s="6">
        <f>YEAR(SalesTbl[[#This Row],[Order Date]])</f>
        <v>2023</v>
      </c>
      <c r="O1000" s="6" t="str">
        <f>TEXT(SalesTbl[[#This Row],[Order Date]],"yyyy-mm")</f>
        <v>2023-01</v>
      </c>
      <c r="P1000" s="13">
        <f>WEEKNUM(SalesTbl[[#This Row],[Order Date]],2)</f>
        <v>2</v>
      </c>
      <c r="Q1000" s="14">
        <f>MEDIAN(SalesTbl[Quantity])</f>
        <v>3</v>
      </c>
      <c r="R1000" s="14">
        <f>IF(ISBLANK(SalesTbl[[#This Row],[Quantity]]),$H$2,SalesTbl[[#This Row],[Quantity]])</f>
        <v>5</v>
      </c>
      <c r="S1000">
        <f>ROW()-ROW(SalesTbl[[#Headers],[Customer ID]])</f>
        <v>999</v>
      </c>
      <c r="T1000" s="9" t="str">
        <f>IF(SalesTbl[[#This Row],[RowIdx]]&lt;=ROUNDUP(COUNTA(SalesTbl[Customer ID])*0.8,0),"Train","Test")</f>
        <v>Test</v>
      </c>
    </row>
    <row r="1001" spans="1:20" x14ac:dyDescent="0.25">
      <c r="A1001" t="s">
        <v>311</v>
      </c>
      <c r="B1001" t="s">
        <v>13</v>
      </c>
      <c r="C1001" t="s">
        <v>319</v>
      </c>
      <c r="D1001" t="s">
        <v>25</v>
      </c>
      <c r="E1001" t="s">
        <v>26</v>
      </c>
      <c r="F1001">
        <v>29</v>
      </c>
      <c r="G1001">
        <v>200</v>
      </c>
      <c r="H1001">
        <v>1</v>
      </c>
      <c r="I1001">
        <v>200</v>
      </c>
      <c r="J1001">
        <v>7.53</v>
      </c>
      <c r="K1001" s="2">
        <v>44956</v>
      </c>
      <c r="L1001" t="s">
        <v>318</v>
      </c>
      <c r="M1001" s="6">
        <f>SalesTbl[[#This Row],[Unit Price]]*SalesTbl[[#This Row],[Quantity]]</f>
        <v>200</v>
      </c>
      <c r="N1001" s="6">
        <f>YEAR(SalesTbl[[#This Row],[Order Date]])</f>
        <v>2023</v>
      </c>
      <c r="O1001" s="6" t="str">
        <f>TEXT(SalesTbl[[#This Row],[Order Date]],"yyyy-mm")</f>
        <v>2023-01</v>
      </c>
      <c r="P1001" s="13">
        <f>WEEKNUM(SalesTbl[[#This Row],[Order Date]],2)</f>
        <v>6</v>
      </c>
      <c r="Q1001" s="14">
        <f>MEDIAN(SalesTbl[Quantity])</f>
        <v>3</v>
      </c>
      <c r="R1001" s="14">
        <f>IF(ISBLANK(SalesTbl[[#This Row],[Quantity]]),$H$2,SalesTbl[[#This Row],[Quantity]])</f>
        <v>1</v>
      </c>
      <c r="S1001">
        <f>ROW()-ROW(SalesTbl[[#Headers],[Customer ID]])</f>
        <v>1000</v>
      </c>
      <c r="T1001" s="9" t="str">
        <f>IF(SalesTbl[[#This Row],[RowIdx]]&lt;=ROUNDUP(COUNTA(SalesTbl[Customer ID])*0.8,0),"Train","Test")</f>
        <v>Test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50E-8332-4239-8415-0062B3E6295C}">
  <dimension ref="A1:I1023"/>
  <sheetViews>
    <sheetView topLeftCell="A15" workbookViewId="0">
      <selection activeCell="K26" sqref="K26"/>
    </sheetView>
  </sheetViews>
  <sheetFormatPr defaultRowHeight="15" x14ac:dyDescent="0.25"/>
  <sheetData>
    <row r="1" spans="1:9" x14ac:dyDescent="0.25">
      <c r="A1" t="s">
        <v>394</v>
      </c>
    </row>
    <row r="2" spans="1:9" ht="15.75" thickBot="1" x14ac:dyDescent="0.3"/>
    <row r="3" spans="1:9" x14ac:dyDescent="0.25">
      <c r="A3" s="24" t="s">
        <v>393</v>
      </c>
      <c r="B3" s="24"/>
    </row>
    <row r="4" spans="1:9" x14ac:dyDescent="0.25">
      <c r="A4" t="s">
        <v>392</v>
      </c>
      <c r="B4">
        <v>0.90618728033459972</v>
      </c>
    </row>
    <row r="5" spans="1:9" x14ac:dyDescent="0.25">
      <c r="A5" t="s">
        <v>391</v>
      </c>
      <c r="B5">
        <v>0.82117538704021842</v>
      </c>
    </row>
    <row r="6" spans="1:9" x14ac:dyDescent="0.25">
      <c r="A6" t="s">
        <v>390</v>
      </c>
      <c r="B6">
        <v>0.82017338303220233</v>
      </c>
    </row>
    <row r="7" spans="1:9" x14ac:dyDescent="0.25">
      <c r="A7" t="s">
        <v>378</v>
      </c>
      <c r="B7">
        <v>1.4034808467668385</v>
      </c>
    </row>
    <row r="8" spans="1:9" ht="15.75" thickBot="1" x14ac:dyDescent="0.3">
      <c r="A8" s="22" t="s">
        <v>389</v>
      </c>
      <c r="B8" s="22">
        <v>999</v>
      </c>
    </row>
    <row r="10" spans="1:9" ht="15.75" thickBot="1" x14ac:dyDescent="0.3">
      <c r="A10" t="s">
        <v>388</v>
      </c>
    </row>
    <row r="11" spans="1:9" x14ac:dyDescent="0.25">
      <c r="A11" s="23"/>
      <c r="B11" s="23" t="s">
        <v>387</v>
      </c>
      <c r="C11" s="23" t="s">
        <v>386</v>
      </c>
      <c r="D11" s="23" t="s">
        <v>385</v>
      </c>
      <c r="E11" s="23" t="s">
        <v>384</v>
      </c>
      <c r="F11" s="23" t="s">
        <v>383</v>
      </c>
    </row>
    <row r="12" spans="1:9" x14ac:dyDescent="0.25">
      <c r="A12" t="s">
        <v>382</v>
      </c>
      <c r="B12">
        <v>1</v>
      </c>
      <c r="C12">
        <v>9027.1810297331212</v>
      </c>
      <c r="D12">
        <v>9027.1810297331212</v>
      </c>
      <c r="E12">
        <v>4582.8872362802449</v>
      </c>
      <c r="F12">
        <v>0</v>
      </c>
    </row>
    <row r="13" spans="1:9" x14ac:dyDescent="0.25">
      <c r="A13" t="s">
        <v>381</v>
      </c>
      <c r="B13">
        <v>998</v>
      </c>
      <c r="C13">
        <v>1965.8189702668792</v>
      </c>
      <c r="D13">
        <v>1.9697584872413618</v>
      </c>
    </row>
    <row r="14" spans="1:9" ht="15.75" thickBot="1" x14ac:dyDescent="0.3">
      <c r="A14" s="22" t="s">
        <v>380</v>
      </c>
      <c r="B14" s="22">
        <v>999</v>
      </c>
      <c r="C14" s="22">
        <v>10993</v>
      </c>
      <c r="D14" s="22"/>
      <c r="E14" s="22"/>
      <c r="F14" s="22"/>
    </row>
    <row r="15" spans="1:9" ht="15.75" thickBot="1" x14ac:dyDescent="0.3"/>
    <row r="16" spans="1:9" x14ac:dyDescent="0.25">
      <c r="A16" s="23"/>
      <c r="B16" s="23" t="s">
        <v>379</v>
      </c>
      <c r="C16" s="23" t="s">
        <v>378</v>
      </c>
      <c r="D16" s="23" t="s">
        <v>377</v>
      </c>
      <c r="E16" s="23" t="s">
        <v>376</v>
      </c>
      <c r="F16" s="23" t="s">
        <v>375</v>
      </c>
      <c r="G16" s="23" t="s">
        <v>374</v>
      </c>
      <c r="H16" s="23" t="s">
        <v>373</v>
      </c>
      <c r="I16" s="23" t="s">
        <v>372</v>
      </c>
    </row>
    <row r="17" spans="1:9" x14ac:dyDescent="0.25">
      <c r="A17" t="s">
        <v>371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.75" thickBot="1" x14ac:dyDescent="0.3">
      <c r="A18" s="22">
        <v>45268</v>
      </c>
      <c r="B18" s="22">
        <v>6.6630702627026986E-5</v>
      </c>
      <c r="C18" s="22">
        <v>9.842486035181659E-7</v>
      </c>
      <c r="D18" s="22">
        <v>67.697025313378774</v>
      </c>
      <c r="E18" s="22">
        <v>0</v>
      </c>
      <c r="F18" s="22">
        <v>6.4699268436766086E-5</v>
      </c>
      <c r="G18" s="22">
        <v>6.8562136817287885E-5</v>
      </c>
      <c r="H18" s="22">
        <v>6.4699268436766086E-5</v>
      </c>
      <c r="I18" s="22">
        <v>6.8562136817287885E-5</v>
      </c>
    </row>
    <row r="22" spans="1:9" x14ac:dyDescent="0.25">
      <c r="A22" t="s">
        <v>370</v>
      </c>
      <c r="F22" t="s">
        <v>369</v>
      </c>
    </row>
    <row r="23" spans="1:9" ht="15.75" thickBot="1" x14ac:dyDescent="0.3"/>
    <row r="24" spans="1:9" x14ac:dyDescent="0.25">
      <c r="A24" s="23" t="s">
        <v>368</v>
      </c>
      <c r="B24" s="23" t="s">
        <v>395</v>
      </c>
      <c r="C24" s="23" t="s">
        <v>367</v>
      </c>
      <c r="D24" s="23" t="s">
        <v>366</v>
      </c>
      <c r="F24" s="23" t="s">
        <v>365</v>
      </c>
      <c r="G24" s="23">
        <v>5</v>
      </c>
    </row>
    <row r="25" spans="1:9" x14ac:dyDescent="0.25">
      <c r="A25">
        <v>1</v>
      </c>
      <c r="B25">
        <v>3.0000473857818899</v>
      </c>
      <c r="C25">
        <v>-1.0000473857818899</v>
      </c>
      <c r="D25">
        <v>-0.71290483827164131</v>
      </c>
      <c r="F25">
        <v>5.0050050050050053E-2</v>
      </c>
      <c r="G25">
        <v>1</v>
      </c>
    </row>
    <row r="26" spans="1:9" x14ac:dyDescent="0.25">
      <c r="A26">
        <v>2</v>
      </c>
      <c r="B26">
        <v>3.0094423148523006</v>
      </c>
      <c r="C26">
        <v>-2.0094423148523006</v>
      </c>
      <c r="D26">
        <v>-1.4324732696200546</v>
      </c>
      <c r="F26">
        <v>0.15015015015015015</v>
      </c>
      <c r="G26">
        <v>1</v>
      </c>
    </row>
    <row r="27" spans="1:9" x14ac:dyDescent="0.25">
      <c r="A27">
        <v>3</v>
      </c>
      <c r="B27">
        <v>2.9946502988691011</v>
      </c>
      <c r="C27">
        <v>2.0053497011308989</v>
      </c>
      <c r="D27">
        <v>1.4295557637451874</v>
      </c>
      <c r="F27">
        <v>0.25025025025025027</v>
      </c>
      <c r="G27">
        <v>1</v>
      </c>
    </row>
    <row r="28" spans="1:9" x14ac:dyDescent="0.25">
      <c r="A28">
        <v>4</v>
      </c>
      <c r="B28">
        <v>2.994716929571728</v>
      </c>
      <c r="C28">
        <v>5.2830704282720298E-3</v>
      </c>
      <c r="D28">
        <v>3.7661480073769194E-3</v>
      </c>
      <c r="F28">
        <v>0.35035035035035034</v>
      </c>
      <c r="G28">
        <v>1</v>
      </c>
    </row>
    <row r="29" spans="1:9" x14ac:dyDescent="0.25">
      <c r="A29">
        <v>5</v>
      </c>
      <c r="B29">
        <v>2.9941838839507118</v>
      </c>
      <c r="C29">
        <v>-0.99418388395071178</v>
      </c>
      <c r="D29">
        <v>-0.70872491751579303</v>
      </c>
      <c r="F29">
        <v>0.45045045045045046</v>
      </c>
      <c r="G29">
        <v>1</v>
      </c>
    </row>
    <row r="30" spans="1:9" x14ac:dyDescent="0.25">
      <c r="A30">
        <v>6</v>
      </c>
      <c r="B30">
        <v>3.0131736341994144</v>
      </c>
      <c r="C30">
        <v>-2.0131736341994144</v>
      </c>
      <c r="D30">
        <v>-1.4351332191919584</v>
      </c>
      <c r="F30">
        <v>0.55055055055055058</v>
      </c>
      <c r="G30">
        <v>1</v>
      </c>
    </row>
    <row r="31" spans="1:9" x14ac:dyDescent="0.25">
      <c r="A31">
        <v>7</v>
      </c>
      <c r="B31">
        <v>3.0045116428579006</v>
      </c>
      <c r="C31">
        <v>-1.0045116428579006</v>
      </c>
      <c r="D31">
        <v>-0.71608727793802585</v>
      </c>
      <c r="F31">
        <v>0.65065065065065064</v>
      </c>
      <c r="G31">
        <v>1</v>
      </c>
    </row>
    <row r="32" spans="1:9" x14ac:dyDescent="0.25">
      <c r="A32">
        <v>8</v>
      </c>
      <c r="B32">
        <v>2.9971822655689278</v>
      </c>
      <c r="C32">
        <v>-1.9971822655689278</v>
      </c>
      <c r="D32">
        <v>-1.4237334353123716</v>
      </c>
      <c r="F32">
        <v>0.75075075075075082</v>
      </c>
      <c r="G32">
        <v>1</v>
      </c>
    </row>
    <row r="33" spans="1:7" x14ac:dyDescent="0.25">
      <c r="A33">
        <v>9</v>
      </c>
      <c r="B33">
        <v>3.0009802156186685</v>
      </c>
      <c r="C33">
        <v>-9.802156186684563E-4</v>
      </c>
      <c r="D33">
        <v>-6.9876734546114882E-4</v>
      </c>
      <c r="F33">
        <v>0.85085085085085088</v>
      </c>
      <c r="G33">
        <v>1</v>
      </c>
    </row>
    <row r="34" spans="1:7" x14ac:dyDescent="0.25">
      <c r="A34">
        <v>10</v>
      </c>
      <c r="B34">
        <v>3.0035788130211225</v>
      </c>
      <c r="C34">
        <v>-1.0035788130211225</v>
      </c>
      <c r="D34">
        <v>-0.71542229054505013</v>
      </c>
      <c r="F34">
        <v>0.95095095095095095</v>
      </c>
      <c r="G34">
        <v>1</v>
      </c>
    </row>
    <row r="35" spans="1:7" x14ac:dyDescent="0.25">
      <c r="A35">
        <v>11</v>
      </c>
      <c r="B35">
        <v>3.0105084060943335</v>
      </c>
      <c r="C35">
        <v>-1.0508406094333456E-2</v>
      </c>
      <c r="D35">
        <v>-7.4911385737149614E-3</v>
      </c>
      <c r="F35">
        <v>1.0510510510510511</v>
      </c>
      <c r="G35">
        <v>1</v>
      </c>
    </row>
    <row r="36" spans="1:7" x14ac:dyDescent="0.25">
      <c r="A36">
        <v>12</v>
      </c>
      <c r="B36">
        <v>2.9966492199479116</v>
      </c>
      <c r="C36">
        <v>2.0033507800520884</v>
      </c>
      <c r="D36">
        <v>1.4281307907602394</v>
      </c>
      <c r="F36">
        <v>1.1511511511511512</v>
      </c>
      <c r="G36">
        <v>1</v>
      </c>
    </row>
    <row r="37" spans="1:7" x14ac:dyDescent="0.25">
      <c r="A37">
        <v>13</v>
      </c>
      <c r="B37">
        <v>3.0163719079255116</v>
      </c>
      <c r="C37">
        <v>0.98362809207448842</v>
      </c>
      <c r="D37">
        <v>0.70119999898959295</v>
      </c>
      <c r="F37">
        <v>1.2512512512512513</v>
      </c>
      <c r="G37">
        <v>1</v>
      </c>
    </row>
    <row r="38" spans="1:7" x14ac:dyDescent="0.25">
      <c r="A38">
        <v>14</v>
      </c>
      <c r="B38">
        <v>3.0054444726946792</v>
      </c>
      <c r="C38">
        <v>-2.0054444726946792</v>
      </c>
      <c r="D38">
        <v>-1.4296233236501581</v>
      </c>
      <c r="F38">
        <v>1.3513513513513513</v>
      </c>
      <c r="G38">
        <v>1</v>
      </c>
    </row>
    <row r="39" spans="1:7" x14ac:dyDescent="0.25">
      <c r="A39">
        <v>15</v>
      </c>
      <c r="B39">
        <v>3.0064439332340847</v>
      </c>
      <c r="C39">
        <v>-6.4439332340846533E-3</v>
      </c>
      <c r="D39">
        <v>-4.5936935043199099E-3</v>
      </c>
      <c r="F39">
        <v>1.4514514514514516</v>
      </c>
      <c r="G39">
        <v>1</v>
      </c>
    </row>
    <row r="40" spans="1:7" x14ac:dyDescent="0.25">
      <c r="A40">
        <v>16</v>
      </c>
      <c r="B40">
        <v>3.0023128296712089</v>
      </c>
      <c r="C40">
        <v>0.99768717032879106</v>
      </c>
      <c r="D40">
        <v>0.71122230898372951</v>
      </c>
      <c r="F40">
        <v>1.5515515515515517</v>
      </c>
      <c r="G40">
        <v>1</v>
      </c>
    </row>
    <row r="41" spans="1:7" x14ac:dyDescent="0.25">
      <c r="A41">
        <v>17</v>
      </c>
      <c r="B41">
        <v>3.0041118586421387</v>
      </c>
      <c r="C41">
        <v>-1.0041118586421387</v>
      </c>
      <c r="D41">
        <v>-0.71580228334103635</v>
      </c>
      <c r="F41">
        <v>1.6516516516516517</v>
      </c>
      <c r="G41">
        <v>1</v>
      </c>
    </row>
    <row r="42" spans="1:7" x14ac:dyDescent="0.25">
      <c r="A42">
        <v>18</v>
      </c>
      <c r="B42">
        <v>3.004911427073663</v>
      </c>
      <c r="C42">
        <v>1.995088572926337</v>
      </c>
      <c r="D42">
        <v>1.4222409024224529</v>
      </c>
      <c r="F42">
        <v>1.7517517517517518</v>
      </c>
      <c r="G42">
        <v>1</v>
      </c>
    </row>
    <row r="43" spans="1:7" x14ac:dyDescent="0.25">
      <c r="A43">
        <v>19</v>
      </c>
      <c r="B43">
        <v>3.0154390780887335</v>
      </c>
      <c r="C43">
        <v>0.98456092191126654</v>
      </c>
      <c r="D43">
        <v>0.70186498638256867</v>
      </c>
      <c r="F43">
        <v>1.8518518518518519</v>
      </c>
      <c r="G43">
        <v>1</v>
      </c>
    </row>
    <row r="44" spans="1:7" x14ac:dyDescent="0.25">
      <c r="A44">
        <v>20</v>
      </c>
      <c r="B44">
        <v>3.0142397254414468</v>
      </c>
      <c r="C44">
        <v>1.9857602745585532</v>
      </c>
      <c r="D44">
        <v>1.415591028492694</v>
      </c>
      <c r="F44">
        <v>1.9519519519519521</v>
      </c>
      <c r="G44">
        <v>1</v>
      </c>
    </row>
    <row r="45" spans="1:7" x14ac:dyDescent="0.25">
      <c r="A45">
        <v>21</v>
      </c>
      <c r="B45">
        <v>3.0175046298701713</v>
      </c>
      <c r="C45">
        <v>-1.7504629870171318E-2</v>
      </c>
      <c r="D45">
        <v>-1.2478544021034141E-2</v>
      </c>
      <c r="F45">
        <v>2.0520520520520522</v>
      </c>
      <c r="G45">
        <v>1</v>
      </c>
    </row>
    <row r="46" spans="1:7" x14ac:dyDescent="0.25">
      <c r="A46">
        <v>22</v>
      </c>
      <c r="B46">
        <v>3.0039119665342575</v>
      </c>
      <c r="C46">
        <v>-3.9119665342575161E-3</v>
      </c>
      <c r="D46">
        <v>-2.788727723385277E-3</v>
      </c>
      <c r="F46">
        <v>2.1521521521521523</v>
      </c>
      <c r="G46">
        <v>1</v>
      </c>
    </row>
    <row r="47" spans="1:7" x14ac:dyDescent="0.25">
      <c r="A47">
        <v>23</v>
      </c>
      <c r="B47">
        <v>3.0135067877125494</v>
      </c>
      <c r="C47">
        <v>-1.0135067877125494</v>
      </c>
      <c r="D47">
        <v>-0.72249965637029345</v>
      </c>
      <c r="F47">
        <v>2.2522522522522523</v>
      </c>
      <c r="G47">
        <v>1</v>
      </c>
    </row>
    <row r="48" spans="1:7" x14ac:dyDescent="0.25">
      <c r="A48">
        <v>24</v>
      </c>
      <c r="B48">
        <v>3.0177045219780521</v>
      </c>
      <c r="C48">
        <v>0.98229547802194794</v>
      </c>
      <c r="D48">
        <v>0.70025001699962741</v>
      </c>
      <c r="F48">
        <v>2.3523523523523524</v>
      </c>
      <c r="G48">
        <v>1</v>
      </c>
    </row>
    <row r="49" spans="1:7" x14ac:dyDescent="0.25">
      <c r="A49">
        <v>25</v>
      </c>
      <c r="B49">
        <v>3.0159721237097497</v>
      </c>
      <c r="C49">
        <v>-2.0159721237097497</v>
      </c>
      <c r="D49">
        <v>-1.437128181370886</v>
      </c>
      <c r="F49">
        <v>2.4524524524524525</v>
      </c>
      <c r="G49">
        <v>1</v>
      </c>
    </row>
    <row r="50" spans="1:7" x14ac:dyDescent="0.25">
      <c r="A50">
        <v>26</v>
      </c>
      <c r="B50">
        <v>2.9955831287058792</v>
      </c>
      <c r="C50">
        <v>-0.99558312870587917</v>
      </c>
      <c r="D50">
        <v>-0.70972239860525677</v>
      </c>
      <c r="F50">
        <v>2.5525525525525525</v>
      </c>
      <c r="G50">
        <v>1</v>
      </c>
    </row>
    <row r="51" spans="1:7" x14ac:dyDescent="0.25">
      <c r="A51">
        <v>27</v>
      </c>
      <c r="B51">
        <v>3.0085094850155225</v>
      </c>
      <c r="C51">
        <v>-2.0085094850155225</v>
      </c>
      <c r="D51">
        <v>-1.431808282227079</v>
      </c>
      <c r="F51">
        <v>2.6526526526526526</v>
      </c>
      <c r="G51">
        <v>1</v>
      </c>
    </row>
    <row r="52" spans="1:7" x14ac:dyDescent="0.25">
      <c r="A52">
        <v>28</v>
      </c>
      <c r="B52">
        <v>3.0161720158176304</v>
      </c>
      <c r="C52">
        <v>-2.0161720158176304</v>
      </c>
      <c r="D52">
        <v>-1.4372706786693807</v>
      </c>
      <c r="F52">
        <v>2.7527527527527531</v>
      </c>
      <c r="G52">
        <v>1</v>
      </c>
    </row>
    <row r="53" spans="1:7" x14ac:dyDescent="0.25">
      <c r="A53">
        <v>29</v>
      </c>
      <c r="B53">
        <v>3.0053778419920523</v>
      </c>
      <c r="C53">
        <v>0.99462215800794773</v>
      </c>
      <c r="D53">
        <v>0.70903735040680871</v>
      </c>
      <c r="F53">
        <v>2.8528528528528532</v>
      </c>
      <c r="G53">
        <v>1</v>
      </c>
    </row>
    <row r="54" spans="1:7" x14ac:dyDescent="0.25">
      <c r="A54">
        <v>30</v>
      </c>
      <c r="B54">
        <v>3.0148394017650899</v>
      </c>
      <c r="C54">
        <v>-1.0148394017650899</v>
      </c>
      <c r="D54">
        <v>-0.723449638360259</v>
      </c>
      <c r="F54">
        <v>2.9529529529529532</v>
      </c>
      <c r="G54">
        <v>1</v>
      </c>
    </row>
    <row r="55" spans="1:7" x14ac:dyDescent="0.25">
      <c r="A55">
        <v>31</v>
      </c>
      <c r="B55">
        <v>2.9951167137874899</v>
      </c>
      <c r="C55">
        <v>1.0048832862125101</v>
      </c>
      <c r="D55">
        <v>0.71635221172954366</v>
      </c>
      <c r="F55">
        <v>3.0530530530530533</v>
      </c>
      <c r="G55">
        <v>1</v>
      </c>
    </row>
    <row r="56" spans="1:7" x14ac:dyDescent="0.25">
      <c r="A56">
        <v>32</v>
      </c>
      <c r="B56">
        <v>3.0099753604733173</v>
      </c>
      <c r="C56">
        <v>-1.0099753604733173</v>
      </c>
      <c r="D56">
        <v>-0.71998220409688496</v>
      </c>
      <c r="F56">
        <v>3.1531531531531534</v>
      </c>
      <c r="G56">
        <v>1</v>
      </c>
    </row>
    <row r="57" spans="1:7" x14ac:dyDescent="0.25">
      <c r="A57">
        <v>33</v>
      </c>
      <c r="B57">
        <v>3.0107749289048416</v>
      </c>
      <c r="C57">
        <v>1.9892250710951584</v>
      </c>
      <c r="D57">
        <v>1.4180609816666043</v>
      </c>
      <c r="F57">
        <v>3.2532532532532534</v>
      </c>
      <c r="G57">
        <v>1</v>
      </c>
    </row>
    <row r="58" spans="1:7" x14ac:dyDescent="0.25">
      <c r="A58">
        <v>34</v>
      </c>
      <c r="B58">
        <v>3.017371368464917</v>
      </c>
      <c r="C58">
        <v>-1.7371368464917047E-2</v>
      </c>
      <c r="D58">
        <v>-1.238354582203743E-2</v>
      </c>
      <c r="F58">
        <v>3.3533533533533535</v>
      </c>
      <c r="G58">
        <v>1</v>
      </c>
    </row>
    <row r="59" spans="1:7" x14ac:dyDescent="0.25">
      <c r="A59">
        <v>35</v>
      </c>
      <c r="B59">
        <v>2.9943837760585925</v>
      </c>
      <c r="C59">
        <v>1.0056162239414075</v>
      </c>
      <c r="D59">
        <v>0.71687470182402468</v>
      </c>
      <c r="F59">
        <v>3.4534534534534536</v>
      </c>
      <c r="G59">
        <v>1</v>
      </c>
    </row>
    <row r="60" spans="1:7" x14ac:dyDescent="0.25">
      <c r="A60">
        <v>36</v>
      </c>
      <c r="B60">
        <v>3.0076432858813713</v>
      </c>
      <c r="C60">
        <v>-2.0076432858813713</v>
      </c>
      <c r="D60">
        <v>-1.4311907939336015</v>
      </c>
      <c r="F60">
        <v>3.5535535535535536</v>
      </c>
      <c r="G60">
        <v>1</v>
      </c>
    </row>
    <row r="61" spans="1:7" x14ac:dyDescent="0.25">
      <c r="A61">
        <v>37</v>
      </c>
      <c r="B61">
        <v>2.9963160664347765</v>
      </c>
      <c r="C61">
        <v>-0.99631606643477655</v>
      </c>
      <c r="D61">
        <v>-0.7102448886997379</v>
      </c>
      <c r="F61">
        <v>3.6536536536536537</v>
      </c>
      <c r="G61">
        <v>1</v>
      </c>
    </row>
    <row r="62" spans="1:7" x14ac:dyDescent="0.25">
      <c r="A62">
        <v>38</v>
      </c>
      <c r="B62">
        <v>3.0026459831843439</v>
      </c>
      <c r="C62">
        <v>-1.0026459831843439</v>
      </c>
      <c r="D62">
        <v>-0.7147573031520742</v>
      </c>
      <c r="F62">
        <v>3.7537537537537538</v>
      </c>
      <c r="G62">
        <v>1</v>
      </c>
    </row>
    <row r="63" spans="1:7" x14ac:dyDescent="0.25">
      <c r="A63">
        <v>39</v>
      </c>
      <c r="B63">
        <v>3.0118410201468739</v>
      </c>
      <c r="C63">
        <v>-1.0118410201468739</v>
      </c>
      <c r="D63">
        <v>-0.72131217888283661</v>
      </c>
      <c r="F63">
        <v>3.8538538538538543</v>
      </c>
      <c r="G63">
        <v>1</v>
      </c>
    </row>
    <row r="64" spans="1:7" x14ac:dyDescent="0.25">
      <c r="A64">
        <v>40</v>
      </c>
      <c r="B64">
        <v>3.0095755762575549</v>
      </c>
      <c r="C64">
        <v>-1.0095755762575549</v>
      </c>
      <c r="D64">
        <v>-0.71969720949989513</v>
      </c>
      <c r="F64">
        <v>3.9539539539539543</v>
      </c>
      <c r="G64">
        <v>1</v>
      </c>
    </row>
    <row r="65" spans="1:7" x14ac:dyDescent="0.25">
      <c r="A65">
        <v>41</v>
      </c>
      <c r="B65">
        <v>3.0106416674995873</v>
      </c>
      <c r="C65">
        <v>-2.0106416674995873</v>
      </c>
      <c r="D65">
        <v>-1.4333282534110237</v>
      </c>
      <c r="F65">
        <v>4.0540540540540544</v>
      </c>
      <c r="G65">
        <v>1</v>
      </c>
    </row>
    <row r="66" spans="1:7" x14ac:dyDescent="0.25">
      <c r="A66">
        <v>42</v>
      </c>
      <c r="B66">
        <v>2.9964493278400304</v>
      </c>
      <c r="C66">
        <v>1.0035506721599696</v>
      </c>
      <c r="D66">
        <v>0.71540222973957812</v>
      </c>
      <c r="F66">
        <v>4.1541541541541545</v>
      </c>
      <c r="G66">
        <v>1</v>
      </c>
    </row>
    <row r="67" spans="1:7" x14ac:dyDescent="0.25">
      <c r="A67">
        <v>43</v>
      </c>
      <c r="B67">
        <v>2.997315526974182</v>
      </c>
      <c r="C67">
        <v>2.6844730258179794E-3</v>
      </c>
      <c r="D67">
        <v>1.9136831269440904E-3</v>
      </c>
      <c r="F67">
        <v>4.2542542542542545</v>
      </c>
      <c r="G67">
        <v>1</v>
      </c>
    </row>
    <row r="68" spans="1:7" x14ac:dyDescent="0.25">
      <c r="A68">
        <v>44</v>
      </c>
      <c r="B68">
        <v>3.0084428543128956</v>
      </c>
      <c r="C68">
        <v>-2.0084428543128956</v>
      </c>
      <c r="D68">
        <v>-1.4317607831275807</v>
      </c>
      <c r="F68">
        <v>4.3543543543543546</v>
      </c>
      <c r="G68">
        <v>1</v>
      </c>
    </row>
    <row r="69" spans="1:7" x14ac:dyDescent="0.25">
      <c r="A69">
        <v>45</v>
      </c>
      <c r="B69">
        <v>3.0020463068607008</v>
      </c>
      <c r="C69">
        <v>-1.0020463068607008</v>
      </c>
      <c r="D69">
        <v>-0.71432981125658979</v>
      </c>
      <c r="F69">
        <v>4.4544544544544546</v>
      </c>
      <c r="G69">
        <v>1</v>
      </c>
    </row>
    <row r="70" spans="1:7" x14ac:dyDescent="0.25">
      <c r="A70">
        <v>46</v>
      </c>
      <c r="B70">
        <v>3.0172381070596628</v>
      </c>
      <c r="C70">
        <v>-1.0172381070596628</v>
      </c>
      <c r="D70">
        <v>-0.72515960594219686</v>
      </c>
      <c r="F70">
        <v>4.5545545545545547</v>
      </c>
      <c r="G70">
        <v>1</v>
      </c>
    </row>
    <row r="71" spans="1:7" x14ac:dyDescent="0.25">
      <c r="A71">
        <v>47</v>
      </c>
      <c r="B71">
        <v>3.0135067877125494</v>
      </c>
      <c r="C71">
        <v>-1.3506787712549428E-2</v>
      </c>
      <c r="D71">
        <v>-9.6285980511372857E-3</v>
      </c>
      <c r="F71">
        <v>4.6546546546546548</v>
      </c>
      <c r="G71">
        <v>1</v>
      </c>
    </row>
    <row r="72" spans="1:7" x14ac:dyDescent="0.25">
      <c r="A72">
        <v>48</v>
      </c>
      <c r="B72">
        <v>3.0097088376628087</v>
      </c>
      <c r="C72">
        <v>0.99029116233719128</v>
      </c>
      <c r="D72">
        <v>0.70594990893942089</v>
      </c>
      <c r="F72">
        <v>4.7547547547547548</v>
      </c>
      <c r="G72">
        <v>1</v>
      </c>
    </row>
    <row r="73" spans="1:7" x14ac:dyDescent="0.25">
      <c r="A73">
        <v>49</v>
      </c>
      <c r="B73">
        <v>3.0005138007002792</v>
      </c>
      <c r="C73">
        <v>-5.1380070027917668E-4</v>
      </c>
      <c r="D73">
        <v>-3.6627364897314022E-4</v>
      </c>
      <c r="F73">
        <v>4.8548548548548549</v>
      </c>
      <c r="G73">
        <v>1</v>
      </c>
    </row>
    <row r="74" spans="1:7" x14ac:dyDescent="0.25">
      <c r="A74">
        <v>50</v>
      </c>
      <c r="B74">
        <v>3.0165718000333928</v>
      </c>
      <c r="C74">
        <v>-1.0165718000333928</v>
      </c>
      <c r="D74">
        <v>-0.72468461494721426</v>
      </c>
      <c r="F74">
        <v>4.954954954954955</v>
      </c>
      <c r="G74">
        <v>1</v>
      </c>
    </row>
    <row r="75" spans="1:7" x14ac:dyDescent="0.25">
      <c r="A75">
        <v>51</v>
      </c>
      <c r="B75">
        <v>2.9991811866477387</v>
      </c>
      <c r="C75">
        <v>1.0008188133522613</v>
      </c>
      <c r="D75">
        <v>0.71345476666014851</v>
      </c>
      <c r="F75">
        <v>5.055055055055055</v>
      </c>
      <c r="G75">
        <v>1</v>
      </c>
    </row>
    <row r="76" spans="1:7" x14ac:dyDescent="0.25">
      <c r="A76">
        <v>52</v>
      </c>
      <c r="B76">
        <v>3.014772771062463</v>
      </c>
      <c r="C76">
        <v>-1.014772771062463</v>
      </c>
      <c r="D76">
        <v>-0.7234021392607608</v>
      </c>
      <c r="F76">
        <v>5.1551551551551551</v>
      </c>
      <c r="G76">
        <v>1</v>
      </c>
    </row>
    <row r="77" spans="1:7" x14ac:dyDescent="0.25">
      <c r="A77">
        <v>53</v>
      </c>
      <c r="B77">
        <v>3.0044450121552737</v>
      </c>
      <c r="C77">
        <v>-1.0044450121552737</v>
      </c>
      <c r="D77">
        <v>-0.71603977883852765</v>
      </c>
      <c r="F77">
        <v>5.2552552552552552</v>
      </c>
      <c r="G77">
        <v>1</v>
      </c>
    </row>
    <row r="78" spans="1:7" x14ac:dyDescent="0.25">
      <c r="A78">
        <v>54</v>
      </c>
      <c r="B78">
        <v>2.9951833444901172</v>
      </c>
      <c r="C78">
        <v>2.0048166555098828</v>
      </c>
      <c r="D78">
        <v>1.4291757709492012</v>
      </c>
      <c r="F78">
        <v>5.3553553553553552</v>
      </c>
      <c r="G78">
        <v>1</v>
      </c>
    </row>
    <row r="79" spans="1:7" x14ac:dyDescent="0.25">
      <c r="A79">
        <v>55</v>
      </c>
      <c r="B79">
        <v>3.017371368464917</v>
      </c>
      <c r="C79">
        <v>0.98262863153508295</v>
      </c>
      <c r="D79">
        <v>0.70048751249711871</v>
      </c>
      <c r="F79">
        <v>5.4554554554554562</v>
      </c>
      <c r="G79">
        <v>1</v>
      </c>
    </row>
    <row r="80" spans="1:7" x14ac:dyDescent="0.25">
      <c r="A80">
        <v>56</v>
      </c>
      <c r="B80">
        <v>3.0115744973363658</v>
      </c>
      <c r="C80">
        <v>0.98842550266363416</v>
      </c>
      <c r="D80">
        <v>0.7046199341534688</v>
      </c>
      <c r="F80">
        <v>5.5555555555555562</v>
      </c>
      <c r="G80">
        <v>1</v>
      </c>
    </row>
    <row r="81" spans="1:7" x14ac:dyDescent="0.25">
      <c r="A81">
        <v>57</v>
      </c>
      <c r="B81">
        <v>2.9983149875135875</v>
      </c>
      <c r="C81">
        <v>-1.9983149875135875</v>
      </c>
      <c r="D81">
        <v>-1.4245409200038426</v>
      </c>
      <c r="F81">
        <v>5.6556556556556563</v>
      </c>
      <c r="G81">
        <v>1</v>
      </c>
    </row>
    <row r="82" spans="1:7" x14ac:dyDescent="0.25">
      <c r="A82">
        <v>58</v>
      </c>
      <c r="B82">
        <v>3.0166384307360197</v>
      </c>
      <c r="C82">
        <v>-1.0166384307360197</v>
      </c>
      <c r="D82">
        <v>-0.72473211404671245</v>
      </c>
      <c r="F82">
        <v>5.7557557557557564</v>
      </c>
      <c r="G82">
        <v>1</v>
      </c>
    </row>
    <row r="83" spans="1:7" x14ac:dyDescent="0.25">
      <c r="A83">
        <v>59</v>
      </c>
      <c r="B83">
        <v>3.0107749289048416</v>
      </c>
      <c r="C83">
        <v>1.9892250710951584</v>
      </c>
      <c r="D83">
        <v>1.4180609816666043</v>
      </c>
      <c r="F83">
        <v>5.8558558558558564</v>
      </c>
      <c r="G83">
        <v>1</v>
      </c>
    </row>
    <row r="84" spans="1:7" x14ac:dyDescent="0.25">
      <c r="A84">
        <v>60</v>
      </c>
      <c r="B84">
        <v>3.0081097007997601</v>
      </c>
      <c r="C84">
        <v>0.99189029920023986</v>
      </c>
      <c r="D84">
        <v>0.70708988732737943</v>
      </c>
      <c r="F84">
        <v>5.9559559559559565</v>
      </c>
      <c r="G84">
        <v>1</v>
      </c>
    </row>
    <row r="85" spans="1:7" x14ac:dyDescent="0.25">
      <c r="A85">
        <v>61</v>
      </c>
      <c r="B85">
        <v>3.0002472778897711</v>
      </c>
      <c r="C85">
        <v>0.99975272211022892</v>
      </c>
      <c r="D85">
        <v>0.71269478106817619</v>
      </c>
      <c r="F85">
        <v>6.0560560560560566</v>
      </c>
      <c r="G85">
        <v>1</v>
      </c>
    </row>
    <row r="86" spans="1:7" x14ac:dyDescent="0.25">
      <c r="A86">
        <v>62</v>
      </c>
      <c r="B86">
        <v>2.9969157427584197</v>
      </c>
      <c r="C86">
        <v>3.084257241580346E-3</v>
      </c>
      <c r="D86">
        <v>2.1986777239339024E-3</v>
      </c>
      <c r="F86">
        <v>6.1561561561561566</v>
      </c>
      <c r="G86">
        <v>1</v>
      </c>
    </row>
    <row r="87" spans="1:7" x14ac:dyDescent="0.25">
      <c r="A87">
        <v>63</v>
      </c>
      <c r="B87">
        <v>3.0139065719283118</v>
      </c>
      <c r="C87">
        <v>-1.0139065719283118</v>
      </c>
      <c r="D87">
        <v>-0.72278465096728328</v>
      </c>
      <c r="F87">
        <v>6.2562562562562567</v>
      </c>
      <c r="G87">
        <v>1</v>
      </c>
    </row>
    <row r="88" spans="1:7" x14ac:dyDescent="0.25">
      <c r="A88">
        <v>64</v>
      </c>
      <c r="B88">
        <v>2.9945170374638468</v>
      </c>
      <c r="C88">
        <v>2.0054829625361532</v>
      </c>
      <c r="D88">
        <v>1.4296507619441843</v>
      </c>
      <c r="F88">
        <v>6.3563563563563568</v>
      </c>
      <c r="G88">
        <v>1</v>
      </c>
    </row>
    <row r="89" spans="1:7" x14ac:dyDescent="0.25">
      <c r="A89">
        <v>65</v>
      </c>
      <c r="B89">
        <v>3.0179710447885602</v>
      </c>
      <c r="C89">
        <v>-2.0179710447885602</v>
      </c>
      <c r="D89">
        <v>-1.4385531543558343</v>
      </c>
      <c r="F89">
        <v>6.4564564564564568</v>
      </c>
      <c r="G89">
        <v>1</v>
      </c>
    </row>
    <row r="90" spans="1:7" x14ac:dyDescent="0.25">
      <c r="A90">
        <v>66</v>
      </c>
      <c r="B90">
        <v>2.9958496515163873</v>
      </c>
      <c r="C90">
        <v>-0.99584965151638727</v>
      </c>
      <c r="D90">
        <v>-0.70991239500324987</v>
      </c>
      <c r="F90">
        <v>6.5565565565565569</v>
      </c>
      <c r="G90">
        <v>1</v>
      </c>
    </row>
    <row r="91" spans="1:7" x14ac:dyDescent="0.25">
      <c r="A91">
        <v>67</v>
      </c>
      <c r="B91">
        <v>2.9959829129216415</v>
      </c>
      <c r="C91">
        <v>1.0040170870783585</v>
      </c>
      <c r="D91">
        <v>0.71573472343606581</v>
      </c>
      <c r="F91">
        <v>6.656656656656657</v>
      </c>
      <c r="G91">
        <v>1</v>
      </c>
    </row>
    <row r="92" spans="1:7" x14ac:dyDescent="0.25">
      <c r="A92">
        <v>68</v>
      </c>
      <c r="B92">
        <v>2.999647601566128</v>
      </c>
      <c r="C92">
        <v>1.000352398433872</v>
      </c>
      <c r="D92">
        <v>0.7131222729636606</v>
      </c>
      <c r="F92">
        <v>6.756756756756757</v>
      </c>
      <c r="G92">
        <v>1</v>
      </c>
    </row>
    <row r="93" spans="1:7" x14ac:dyDescent="0.25">
      <c r="A93">
        <v>69</v>
      </c>
      <c r="B93">
        <v>3.0131736341994144</v>
      </c>
      <c r="C93">
        <v>-2.0131736341994144</v>
      </c>
      <c r="D93">
        <v>-1.4351332191919584</v>
      </c>
      <c r="F93">
        <v>6.8568568568568571</v>
      </c>
      <c r="G93">
        <v>1</v>
      </c>
    </row>
    <row r="94" spans="1:7" x14ac:dyDescent="0.25">
      <c r="A94">
        <v>70</v>
      </c>
      <c r="B94">
        <v>3.007176870962982</v>
      </c>
      <c r="C94">
        <v>-1.007176870962982</v>
      </c>
      <c r="D94">
        <v>-0.71798724191795715</v>
      </c>
      <c r="F94">
        <v>6.9569569569569571</v>
      </c>
      <c r="G94">
        <v>1</v>
      </c>
    </row>
    <row r="95" spans="1:7" x14ac:dyDescent="0.25">
      <c r="A95">
        <v>71</v>
      </c>
      <c r="B95">
        <v>3.0117077587416197</v>
      </c>
      <c r="C95">
        <v>1.9882922412583803</v>
      </c>
      <c r="D95">
        <v>1.4173959942736285</v>
      </c>
      <c r="F95">
        <v>7.0570570570570572</v>
      </c>
      <c r="G95">
        <v>1</v>
      </c>
    </row>
    <row r="96" spans="1:7" x14ac:dyDescent="0.25">
      <c r="A96">
        <v>72</v>
      </c>
      <c r="B96">
        <v>2.9986481410267225</v>
      </c>
      <c r="C96">
        <v>2.0013518589732775</v>
      </c>
      <c r="D96">
        <v>1.4267058177752909</v>
      </c>
      <c r="F96">
        <v>7.1571571571571573</v>
      </c>
      <c r="G96">
        <v>1</v>
      </c>
    </row>
    <row r="97" spans="1:7" x14ac:dyDescent="0.25">
      <c r="A97">
        <v>73</v>
      </c>
      <c r="B97">
        <v>3.0119742815521278</v>
      </c>
      <c r="C97">
        <v>0.98802571844787224</v>
      </c>
      <c r="D97">
        <v>0.7043349395564793</v>
      </c>
      <c r="F97">
        <v>7.2572572572572573</v>
      </c>
      <c r="G97">
        <v>1</v>
      </c>
    </row>
    <row r="98" spans="1:7" x14ac:dyDescent="0.25">
      <c r="A98">
        <v>74</v>
      </c>
      <c r="B98">
        <v>3.0001806471871442</v>
      </c>
      <c r="C98">
        <v>-1.8064718714416728E-4</v>
      </c>
      <c r="D98">
        <v>-1.287781514818412E-4</v>
      </c>
      <c r="F98">
        <v>7.3573573573573574</v>
      </c>
      <c r="G98">
        <v>1</v>
      </c>
    </row>
    <row r="99" spans="1:7" x14ac:dyDescent="0.25">
      <c r="A99">
        <v>75</v>
      </c>
      <c r="B99">
        <v>3.0103751446890792</v>
      </c>
      <c r="C99">
        <v>-2.0103751446890792</v>
      </c>
      <c r="D99">
        <v>-1.4331382570130307</v>
      </c>
      <c r="F99">
        <v>7.4574574574574575</v>
      </c>
      <c r="G99">
        <v>1</v>
      </c>
    </row>
    <row r="100" spans="1:7" x14ac:dyDescent="0.25">
      <c r="A100">
        <v>76</v>
      </c>
      <c r="B100">
        <v>3.0135067877125494</v>
      </c>
      <c r="C100">
        <v>-2.0135067877125494</v>
      </c>
      <c r="D100">
        <v>-1.4353707146894497</v>
      </c>
      <c r="F100">
        <v>7.5575575575575584</v>
      </c>
      <c r="G100">
        <v>1</v>
      </c>
    </row>
    <row r="101" spans="1:7" x14ac:dyDescent="0.25">
      <c r="A101">
        <v>77</v>
      </c>
      <c r="B101">
        <v>2.9984482489188413</v>
      </c>
      <c r="C101">
        <v>-0.99844824891884132</v>
      </c>
      <c r="D101">
        <v>-0.71176485988368265</v>
      </c>
      <c r="F101">
        <v>7.6576576576576585</v>
      </c>
      <c r="G101">
        <v>1</v>
      </c>
    </row>
    <row r="102" spans="1:7" x14ac:dyDescent="0.25">
      <c r="A102">
        <v>78</v>
      </c>
      <c r="B102">
        <v>3.015105924575598</v>
      </c>
      <c r="C102">
        <v>-1.015105924575598</v>
      </c>
      <c r="D102">
        <v>-0.7236396347582521</v>
      </c>
      <c r="F102">
        <v>7.7577577577577586</v>
      </c>
      <c r="G102">
        <v>1</v>
      </c>
    </row>
    <row r="103" spans="1:7" x14ac:dyDescent="0.25">
      <c r="A103">
        <v>79</v>
      </c>
      <c r="B103">
        <v>3.0159054930071223</v>
      </c>
      <c r="C103">
        <v>1.9840945069928777</v>
      </c>
      <c r="D103">
        <v>1.4144035510052371</v>
      </c>
      <c r="F103">
        <v>7.8578578578578586</v>
      </c>
      <c r="G103">
        <v>1</v>
      </c>
    </row>
    <row r="104" spans="1:7" x14ac:dyDescent="0.25">
      <c r="A104">
        <v>80</v>
      </c>
      <c r="B104">
        <v>2.9960495436242685</v>
      </c>
      <c r="C104">
        <v>3.9504563757315481E-3</v>
      </c>
      <c r="D104">
        <v>2.8161660174114067E-3</v>
      </c>
      <c r="F104">
        <v>7.9579579579579587</v>
      </c>
      <c r="G104">
        <v>1</v>
      </c>
    </row>
    <row r="105" spans="1:7" x14ac:dyDescent="0.25">
      <c r="A105">
        <v>81</v>
      </c>
      <c r="B105">
        <v>3.0171714763570359</v>
      </c>
      <c r="C105">
        <v>1.9828285236429641</v>
      </c>
      <c r="D105">
        <v>1.4135010681147699</v>
      </c>
      <c r="F105">
        <v>8.0580580580580587</v>
      </c>
      <c r="G105">
        <v>1</v>
      </c>
    </row>
    <row r="106" spans="1:7" x14ac:dyDescent="0.25">
      <c r="A106">
        <v>82</v>
      </c>
      <c r="B106">
        <v>3.0132402649020413</v>
      </c>
      <c r="C106">
        <v>1.9867597350979587</v>
      </c>
      <c r="D106">
        <v>1.4163035149851682</v>
      </c>
      <c r="F106">
        <v>8.1581581581581588</v>
      </c>
      <c r="G106">
        <v>1</v>
      </c>
    </row>
    <row r="107" spans="1:7" x14ac:dyDescent="0.25">
      <c r="A107">
        <v>83</v>
      </c>
      <c r="B107">
        <v>3.0089092692312844</v>
      </c>
      <c r="C107">
        <v>-1.0089092692312844</v>
      </c>
      <c r="D107">
        <v>-0.71922221850491219</v>
      </c>
      <c r="F107">
        <v>8.2582582582582589</v>
      </c>
      <c r="G107">
        <v>1</v>
      </c>
    </row>
    <row r="108" spans="1:7" x14ac:dyDescent="0.25">
      <c r="A108">
        <v>84</v>
      </c>
      <c r="B108">
        <v>3.0027792445895982</v>
      </c>
      <c r="C108">
        <v>0.99722075541040178</v>
      </c>
      <c r="D108">
        <v>0.71088981528724149</v>
      </c>
      <c r="F108">
        <v>8.3583583583583589</v>
      </c>
      <c r="G108">
        <v>1</v>
      </c>
    </row>
    <row r="109" spans="1:7" x14ac:dyDescent="0.25">
      <c r="A109">
        <v>85</v>
      </c>
      <c r="B109">
        <v>2.9967158506505385</v>
      </c>
      <c r="C109">
        <v>3.2841493494615293E-3</v>
      </c>
      <c r="D109">
        <v>2.3411750224288088E-3</v>
      </c>
      <c r="F109">
        <v>8.458458458458459</v>
      </c>
      <c r="G109">
        <v>1</v>
      </c>
    </row>
    <row r="110" spans="1:7" x14ac:dyDescent="0.25">
      <c r="A110">
        <v>86</v>
      </c>
      <c r="B110">
        <v>3.0179710447885602</v>
      </c>
      <c r="C110">
        <v>0.98202895521143985</v>
      </c>
      <c r="D110">
        <v>0.7000600206016343</v>
      </c>
      <c r="F110">
        <v>8.5585585585585591</v>
      </c>
      <c r="G110">
        <v>1</v>
      </c>
    </row>
    <row r="111" spans="1:7" x14ac:dyDescent="0.25">
      <c r="A111">
        <v>87</v>
      </c>
      <c r="B111">
        <v>3.0077099165839982</v>
      </c>
      <c r="C111">
        <v>-2.0077099165839982</v>
      </c>
      <c r="D111">
        <v>-1.4312382930330996</v>
      </c>
      <c r="F111">
        <v>8.6586586586586591</v>
      </c>
      <c r="G111">
        <v>1</v>
      </c>
    </row>
    <row r="112" spans="1:7" x14ac:dyDescent="0.25">
      <c r="A112">
        <v>88</v>
      </c>
      <c r="B112">
        <v>3.0007136928081604</v>
      </c>
      <c r="C112">
        <v>-2.0007136928081604</v>
      </c>
      <c r="D112">
        <v>-1.4262508875857804</v>
      </c>
      <c r="F112">
        <v>8.7587587587587592</v>
      </c>
      <c r="G112">
        <v>1</v>
      </c>
    </row>
    <row r="113" spans="1:7" x14ac:dyDescent="0.25">
      <c r="A113">
        <v>89</v>
      </c>
      <c r="B113">
        <v>3.0054444726946792</v>
      </c>
      <c r="C113">
        <v>1.9945555273053208</v>
      </c>
      <c r="D113">
        <v>1.4218609096264667</v>
      </c>
      <c r="F113">
        <v>8.8588588588588593</v>
      </c>
      <c r="G113">
        <v>1</v>
      </c>
    </row>
    <row r="114" spans="1:7" x14ac:dyDescent="0.25">
      <c r="A114">
        <v>90</v>
      </c>
      <c r="B114">
        <v>2.9979152032978251</v>
      </c>
      <c r="C114">
        <v>-1.9979152032978251</v>
      </c>
      <c r="D114">
        <v>-1.4242559254068528</v>
      </c>
      <c r="F114">
        <v>8.9589589589589593</v>
      </c>
      <c r="G114">
        <v>1</v>
      </c>
    </row>
    <row r="115" spans="1:7" x14ac:dyDescent="0.25">
      <c r="A115">
        <v>91</v>
      </c>
      <c r="B115">
        <v>3.0057776262078142</v>
      </c>
      <c r="C115">
        <v>-1.0057776262078142</v>
      </c>
      <c r="D115">
        <v>-0.71698976082849319</v>
      </c>
      <c r="F115">
        <v>9.0590590590590594</v>
      </c>
      <c r="G115">
        <v>1</v>
      </c>
    </row>
    <row r="116" spans="1:7" x14ac:dyDescent="0.25">
      <c r="A116">
        <v>92</v>
      </c>
      <c r="B116">
        <v>3.0009802156186685</v>
      </c>
      <c r="C116">
        <v>-2.0009802156186685</v>
      </c>
      <c r="D116">
        <v>-1.4264408839837734</v>
      </c>
      <c r="F116">
        <v>9.1591591591591595</v>
      </c>
      <c r="G116">
        <v>1</v>
      </c>
    </row>
    <row r="117" spans="1:7" x14ac:dyDescent="0.25">
      <c r="A117">
        <v>93</v>
      </c>
      <c r="B117">
        <v>2.9989812945398575</v>
      </c>
      <c r="C117">
        <v>-0.99898129453985751</v>
      </c>
      <c r="D117">
        <v>-0.71214485267966887</v>
      </c>
      <c r="F117">
        <v>9.2592592592592595</v>
      </c>
      <c r="G117">
        <v>1</v>
      </c>
    </row>
    <row r="118" spans="1:7" x14ac:dyDescent="0.25">
      <c r="A118">
        <v>94</v>
      </c>
      <c r="B118">
        <v>3.0103751446890792</v>
      </c>
      <c r="C118">
        <v>1.9896248553109208</v>
      </c>
      <c r="D118">
        <v>1.4183459762635942</v>
      </c>
      <c r="F118">
        <v>9.3593593593593596</v>
      </c>
      <c r="G118">
        <v>1</v>
      </c>
    </row>
    <row r="119" spans="1:7" x14ac:dyDescent="0.25">
      <c r="A119">
        <v>95</v>
      </c>
      <c r="B119">
        <v>2.9956497594085061</v>
      </c>
      <c r="C119">
        <v>-0.99564975940850609</v>
      </c>
      <c r="D119">
        <v>-0.70976989770475496</v>
      </c>
      <c r="F119">
        <v>9.4594594594594597</v>
      </c>
      <c r="G119">
        <v>1</v>
      </c>
    </row>
    <row r="120" spans="1:7" x14ac:dyDescent="0.25">
      <c r="A120">
        <v>96</v>
      </c>
      <c r="B120">
        <v>3.0084428543128956</v>
      </c>
      <c r="C120">
        <v>-2.0084428543128956</v>
      </c>
      <c r="D120">
        <v>-1.4317607831275807</v>
      </c>
      <c r="F120">
        <v>9.5595595595595597</v>
      </c>
      <c r="G120">
        <v>1</v>
      </c>
    </row>
    <row r="121" spans="1:7" x14ac:dyDescent="0.25">
      <c r="A121">
        <v>97</v>
      </c>
      <c r="B121">
        <v>3.0029791366974794</v>
      </c>
      <c r="C121">
        <v>0.9970208633025206</v>
      </c>
      <c r="D121">
        <v>0.71074731798874657</v>
      </c>
      <c r="F121">
        <v>9.6596596596596598</v>
      </c>
      <c r="G121">
        <v>1</v>
      </c>
    </row>
    <row r="122" spans="1:7" x14ac:dyDescent="0.25">
      <c r="A122">
        <v>98</v>
      </c>
      <c r="B122">
        <v>3.0083762236102682</v>
      </c>
      <c r="C122">
        <v>0.99162377638973176</v>
      </c>
      <c r="D122">
        <v>0.70689989092938632</v>
      </c>
      <c r="F122">
        <v>9.7597597597597598</v>
      </c>
      <c r="G122">
        <v>1</v>
      </c>
    </row>
    <row r="123" spans="1:7" x14ac:dyDescent="0.25">
      <c r="A123">
        <v>99</v>
      </c>
      <c r="B123">
        <v>2.995050083084863</v>
      </c>
      <c r="C123">
        <v>1.004949916915137</v>
      </c>
      <c r="D123">
        <v>0.71639971082904186</v>
      </c>
      <c r="F123">
        <v>9.8598598598598599</v>
      </c>
      <c r="G123">
        <v>1</v>
      </c>
    </row>
    <row r="124" spans="1:7" x14ac:dyDescent="0.25">
      <c r="A124">
        <v>100</v>
      </c>
      <c r="B124">
        <v>3.0162386465202577</v>
      </c>
      <c r="C124">
        <v>-1.0162386465202577</v>
      </c>
      <c r="D124">
        <v>-0.72444711944972295</v>
      </c>
      <c r="F124">
        <v>9.95995995995996</v>
      </c>
      <c r="G124">
        <v>1</v>
      </c>
    </row>
    <row r="125" spans="1:7" x14ac:dyDescent="0.25">
      <c r="A125">
        <v>101</v>
      </c>
      <c r="B125">
        <v>3.0105750367969604</v>
      </c>
      <c r="C125">
        <v>-1.0105750367969604</v>
      </c>
      <c r="D125">
        <v>-0.72040969599236937</v>
      </c>
      <c r="F125">
        <v>10.06006006006006</v>
      </c>
      <c r="G125">
        <v>1</v>
      </c>
    </row>
    <row r="126" spans="1:7" x14ac:dyDescent="0.25">
      <c r="A126">
        <v>102</v>
      </c>
      <c r="B126">
        <v>3.0145062482519549</v>
      </c>
      <c r="C126">
        <v>0.9854937517480451</v>
      </c>
      <c r="D126">
        <v>0.70252997377554471</v>
      </c>
      <c r="F126">
        <v>10.16016016016016</v>
      </c>
      <c r="G126">
        <v>1</v>
      </c>
    </row>
    <row r="127" spans="1:7" x14ac:dyDescent="0.25">
      <c r="A127">
        <v>103</v>
      </c>
      <c r="B127">
        <v>3.004911427073663</v>
      </c>
      <c r="C127">
        <v>-2.004911427073663</v>
      </c>
      <c r="D127">
        <v>-1.4292433308541719</v>
      </c>
      <c r="F127">
        <v>10.26026026026026</v>
      </c>
      <c r="G127">
        <v>1</v>
      </c>
    </row>
    <row r="128" spans="1:7" x14ac:dyDescent="0.25">
      <c r="A128">
        <v>104</v>
      </c>
      <c r="B128">
        <v>3.0179710447885602</v>
      </c>
      <c r="C128">
        <v>1.9820289552114398</v>
      </c>
      <c r="D128">
        <v>1.4129310789207905</v>
      </c>
      <c r="F128">
        <v>10.36036036036036</v>
      </c>
      <c r="G128">
        <v>1</v>
      </c>
    </row>
    <row r="129" spans="1:7" x14ac:dyDescent="0.25">
      <c r="A129">
        <v>105</v>
      </c>
      <c r="B129">
        <v>3.0179710447885602</v>
      </c>
      <c r="C129">
        <v>-1.7971044788560153E-2</v>
      </c>
      <c r="D129">
        <v>-1.2811037717521833E-2</v>
      </c>
      <c r="F129">
        <v>10.46046046046046</v>
      </c>
      <c r="G129">
        <v>1</v>
      </c>
    </row>
    <row r="130" spans="1:7" x14ac:dyDescent="0.25">
      <c r="A130">
        <v>106</v>
      </c>
      <c r="B130">
        <v>3.0018464147528197</v>
      </c>
      <c r="C130">
        <v>-1.8464147528196584E-3</v>
      </c>
      <c r="D130">
        <v>-1.316255638938653E-3</v>
      </c>
      <c r="F130">
        <v>10.56056056056056</v>
      </c>
      <c r="G130">
        <v>1</v>
      </c>
    </row>
    <row r="131" spans="1:7" x14ac:dyDescent="0.25">
      <c r="A131">
        <v>107</v>
      </c>
      <c r="B131">
        <v>2.9936508383296956</v>
      </c>
      <c r="C131">
        <v>-1.9936508383296956</v>
      </c>
      <c r="D131">
        <v>-1.421215983038963</v>
      </c>
      <c r="F131">
        <v>10.66066066066066</v>
      </c>
      <c r="G131">
        <v>1</v>
      </c>
    </row>
    <row r="132" spans="1:7" x14ac:dyDescent="0.25">
      <c r="A132">
        <v>108</v>
      </c>
      <c r="B132">
        <v>3.012440696470517</v>
      </c>
      <c r="C132">
        <v>-1.2440696470517043E-2</v>
      </c>
      <c r="D132">
        <v>-8.8686124591648759E-3</v>
      </c>
      <c r="F132">
        <v>10.760760760760762</v>
      </c>
      <c r="G132">
        <v>1</v>
      </c>
    </row>
    <row r="133" spans="1:7" x14ac:dyDescent="0.25">
      <c r="A133">
        <v>109</v>
      </c>
      <c r="B133">
        <v>3.005244580586798</v>
      </c>
      <c r="C133">
        <v>-5.2445805867979978E-3</v>
      </c>
      <c r="D133">
        <v>-3.7387097133507897E-3</v>
      </c>
      <c r="F133">
        <v>10.860860860860862</v>
      </c>
      <c r="G133">
        <v>1</v>
      </c>
    </row>
    <row r="134" spans="1:7" x14ac:dyDescent="0.25">
      <c r="A134">
        <v>110</v>
      </c>
      <c r="B134">
        <v>3.0031790288053601</v>
      </c>
      <c r="C134">
        <v>-1.0031790288053601</v>
      </c>
      <c r="D134">
        <v>-0.7151372959480603</v>
      </c>
      <c r="F134">
        <v>10.960960960960962</v>
      </c>
      <c r="G134">
        <v>1</v>
      </c>
    </row>
    <row r="135" spans="1:7" x14ac:dyDescent="0.25">
      <c r="A135">
        <v>111</v>
      </c>
      <c r="B135">
        <v>3.0142397254414468</v>
      </c>
      <c r="C135">
        <v>1.9857602745585532</v>
      </c>
      <c r="D135">
        <v>1.415591028492694</v>
      </c>
      <c r="F135">
        <v>11.061061061061062</v>
      </c>
      <c r="G135">
        <v>1</v>
      </c>
    </row>
    <row r="136" spans="1:7" x14ac:dyDescent="0.25">
      <c r="A136">
        <v>112</v>
      </c>
      <c r="B136">
        <v>3.0161720158176304</v>
      </c>
      <c r="C136">
        <v>-1.6172015817630392E-2</v>
      </c>
      <c r="D136">
        <v>-1.1528562031068312E-2</v>
      </c>
      <c r="F136">
        <v>11.161161161161163</v>
      </c>
      <c r="G136">
        <v>1</v>
      </c>
    </row>
    <row r="137" spans="1:7" x14ac:dyDescent="0.25">
      <c r="A137">
        <v>113</v>
      </c>
      <c r="B137">
        <v>3.0059108876130685</v>
      </c>
      <c r="C137">
        <v>1.9940891123869315</v>
      </c>
      <c r="D137">
        <v>1.4215284159299786</v>
      </c>
      <c r="F137">
        <v>11.261261261261263</v>
      </c>
      <c r="G137">
        <v>1</v>
      </c>
    </row>
    <row r="138" spans="1:7" x14ac:dyDescent="0.25">
      <c r="A138">
        <v>114</v>
      </c>
      <c r="B138">
        <v>3.0048447963710361</v>
      </c>
      <c r="C138">
        <v>-4.8447963710360753E-3</v>
      </c>
      <c r="D138">
        <v>-3.4537151163612943E-3</v>
      </c>
      <c r="F138">
        <v>11.361361361361363</v>
      </c>
      <c r="G138">
        <v>1</v>
      </c>
    </row>
    <row r="139" spans="1:7" x14ac:dyDescent="0.25">
      <c r="A139">
        <v>115</v>
      </c>
      <c r="B139">
        <v>2.9962494357321496</v>
      </c>
      <c r="C139">
        <v>-1.9962494357321496</v>
      </c>
      <c r="D139">
        <v>-1.4230684479193958</v>
      </c>
      <c r="F139">
        <v>11.461461461461463</v>
      </c>
      <c r="G139">
        <v>1</v>
      </c>
    </row>
    <row r="140" spans="1:7" x14ac:dyDescent="0.25">
      <c r="A140">
        <v>116</v>
      </c>
      <c r="B140">
        <v>2.9956497594085061</v>
      </c>
      <c r="C140">
        <v>2.0043502405914939</v>
      </c>
      <c r="D140">
        <v>1.4288432772527135</v>
      </c>
      <c r="F140">
        <v>11.561561561561563</v>
      </c>
      <c r="G140">
        <v>1</v>
      </c>
    </row>
    <row r="141" spans="1:7" x14ac:dyDescent="0.25">
      <c r="A141">
        <v>117</v>
      </c>
      <c r="B141">
        <v>2.9988480331346037</v>
      </c>
      <c r="C141">
        <v>1.1519668653963144E-3</v>
      </c>
      <c r="D141">
        <v>8.2120383848367166E-4</v>
      </c>
      <c r="F141">
        <v>11.661661661661663</v>
      </c>
      <c r="G141">
        <v>1</v>
      </c>
    </row>
    <row r="142" spans="1:7" x14ac:dyDescent="0.25">
      <c r="A142">
        <v>118</v>
      </c>
      <c r="B142">
        <v>3.0103085139864523</v>
      </c>
      <c r="C142">
        <v>-2.0103085139864523</v>
      </c>
      <c r="D142">
        <v>-1.4330907579135324</v>
      </c>
      <c r="F142">
        <v>11.761761761761763</v>
      </c>
      <c r="G142">
        <v>1</v>
      </c>
    </row>
    <row r="143" spans="1:7" x14ac:dyDescent="0.25">
      <c r="A143">
        <v>119</v>
      </c>
      <c r="B143">
        <v>2.9969823734610466</v>
      </c>
      <c r="C143">
        <v>-1.9969823734610466</v>
      </c>
      <c r="D143">
        <v>-1.4235909380138767</v>
      </c>
      <c r="F143">
        <v>11.861861861861863</v>
      </c>
      <c r="G143">
        <v>1</v>
      </c>
    </row>
    <row r="144" spans="1:7" x14ac:dyDescent="0.25">
      <c r="A144">
        <v>120</v>
      </c>
      <c r="B144">
        <v>3.0027792445895982</v>
      </c>
      <c r="C144">
        <v>-2.7792445895982176E-3</v>
      </c>
      <c r="D144">
        <v>-1.9812430319146703E-3</v>
      </c>
      <c r="F144">
        <v>11.961961961961963</v>
      </c>
      <c r="G144">
        <v>1</v>
      </c>
    </row>
    <row r="145" spans="1:7" x14ac:dyDescent="0.25">
      <c r="A145">
        <v>121</v>
      </c>
      <c r="B145">
        <v>3.005244580586798</v>
      </c>
      <c r="C145">
        <v>-1.005244580586798</v>
      </c>
      <c r="D145">
        <v>-0.71660976803250698</v>
      </c>
      <c r="F145">
        <v>12.062062062062063</v>
      </c>
      <c r="G145">
        <v>1</v>
      </c>
    </row>
    <row r="146" spans="1:7" x14ac:dyDescent="0.25">
      <c r="A146">
        <v>122</v>
      </c>
      <c r="B146">
        <v>3.0002472778897711</v>
      </c>
      <c r="C146">
        <v>-1.0002472778897711</v>
      </c>
      <c r="D146">
        <v>-0.71304733557013622</v>
      </c>
      <c r="F146">
        <v>12.162162162162163</v>
      </c>
      <c r="G146">
        <v>1</v>
      </c>
    </row>
    <row r="147" spans="1:7" x14ac:dyDescent="0.25">
      <c r="A147">
        <v>123</v>
      </c>
      <c r="B147">
        <v>3.0123074350652628</v>
      </c>
      <c r="C147">
        <v>-1.0123074350652628</v>
      </c>
      <c r="D147">
        <v>-0.7216446725793243</v>
      </c>
      <c r="F147">
        <v>12.262262262262263</v>
      </c>
      <c r="G147">
        <v>1</v>
      </c>
    </row>
    <row r="148" spans="1:7" x14ac:dyDescent="0.25">
      <c r="A148">
        <v>124</v>
      </c>
      <c r="B148">
        <v>3.0033789209132413</v>
      </c>
      <c r="C148">
        <v>-3.3789209132413234E-3</v>
      </c>
      <c r="D148">
        <v>-2.4087349273990721E-3</v>
      </c>
      <c r="F148">
        <v>12.362362362362363</v>
      </c>
      <c r="G148">
        <v>1</v>
      </c>
    </row>
    <row r="149" spans="1:7" x14ac:dyDescent="0.25">
      <c r="A149">
        <v>125</v>
      </c>
      <c r="B149">
        <v>3.0035788130211225</v>
      </c>
      <c r="C149">
        <v>-3.5788130211225067E-3</v>
      </c>
      <c r="D149">
        <v>-2.5512322258939781E-3</v>
      </c>
      <c r="F149">
        <v>12.462462462462463</v>
      </c>
      <c r="G149">
        <v>1</v>
      </c>
    </row>
    <row r="150" spans="1:7" x14ac:dyDescent="0.25">
      <c r="A150">
        <v>126</v>
      </c>
      <c r="B150">
        <v>3.0090425306365387</v>
      </c>
      <c r="C150">
        <v>1.9909574693634613</v>
      </c>
      <c r="D150">
        <v>1.4192959582535596</v>
      </c>
      <c r="F150">
        <v>12.562562562562563</v>
      </c>
      <c r="G150">
        <v>1</v>
      </c>
    </row>
    <row r="151" spans="1:7" x14ac:dyDescent="0.25">
      <c r="A151">
        <v>127</v>
      </c>
      <c r="B151">
        <v>3.0021129375633278</v>
      </c>
      <c r="C151">
        <v>-2.1129375633277547E-3</v>
      </c>
      <c r="D151">
        <v>-1.5062520369317556E-3</v>
      </c>
      <c r="F151">
        <v>12.662662662662663</v>
      </c>
      <c r="G151">
        <v>1</v>
      </c>
    </row>
    <row r="152" spans="1:7" x14ac:dyDescent="0.25">
      <c r="A152">
        <v>128</v>
      </c>
      <c r="B152">
        <v>3.0141064640361925</v>
      </c>
      <c r="C152">
        <v>1.9858935359638075</v>
      </c>
      <c r="D152">
        <v>1.4156860266916906</v>
      </c>
      <c r="F152">
        <v>12.762762762762764</v>
      </c>
      <c r="G152">
        <v>1</v>
      </c>
    </row>
    <row r="153" spans="1:7" x14ac:dyDescent="0.25">
      <c r="A153">
        <v>129</v>
      </c>
      <c r="B153">
        <v>2.9959162822190142</v>
      </c>
      <c r="C153">
        <v>-1.9959162822190142</v>
      </c>
      <c r="D153">
        <v>-1.4228309524219043</v>
      </c>
      <c r="F153">
        <v>12.862862862862864</v>
      </c>
      <c r="G153">
        <v>1</v>
      </c>
    </row>
    <row r="154" spans="1:7" x14ac:dyDescent="0.25">
      <c r="A154">
        <v>130</v>
      </c>
      <c r="B154">
        <v>3.0149060324677173</v>
      </c>
      <c r="C154">
        <v>1.9850939675322827</v>
      </c>
      <c r="D154">
        <v>1.415116037497711</v>
      </c>
      <c r="F154">
        <v>12.962962962962964</v>
      </c>
      <c r="G154">
        <v>1</v>
      </c>
    </row>
    <row r="155" spans="1:7" x14ac:dyDescent="0.25">
      <c r="A155">
        <v>131</v>
      </c>
      <c r="B155">
        <v>2.9943171453559656</v>
      </c>
      <c r="C155">
        <v>-1.9943171453559656</v>
      </c>
      <c r="D155">
        <v>-1.4216909740339456</v>
      </c>
      <c r="F155">
        <v>13.063063063063064</v>
      </c>
      <c r="G155">
        <v>1</v>
      </c>
    </row>
    <row r="156" spans="1:7" x14ac:dyDescent="0.25">
      <c r="A156">
        <v>132</v>
      </c>
      <c r="B156">
        <v>3.0008469542134142</v>
      </c>
      <c r="C156">
        <v>-2.0008469542134142</v>
      </c>
      <c r="D156">
        <v>-1.4263458857847768</v>
      </c>
      <c r="F156">
        <v>13.163163163163164</v>
      </c>
      <c r="G156">
        <v>1</v>
      </c>
    </row>
    <row r="157" spans="1:7" x14ac:dyDescent="0.25">
      <c r="A157">
        <v>133</v>
      </c>
      <c r="B157">
        <v>3.0077099165839982</v>
      </c>
      <c r="C157">
        <v>-2.0077099165839982</v>
      </c>
      <c r="D157">
        <v>-1.4312382930330996</v>
      </c>
      <c r="F157">
        <v>13.263263263263264</v>
      </c>
      <c r="G157">
        <v>1</v>
      </c>
    </row>
    <row r="158" spans="1:7" x14ac:dyDescent="0.25">
      <c r="A158">
        <v>134</v>
      </c>
      <c r="B158">
        <v>2.9956497594085061</v>
      </c>
      <c r="C158">
        <v>-0.99564975940850609</v>
      </c>
      <c r="D158">
        <v>-0.70976989770475496</v>
      </c>
      <c r="F158">
        <v>13.363363363363364</v>
      </c>
      <c r="G158">
        <v>1</v>
      </c>
    </row>
    <row r="159" spans="1:7" x14ac:dyDescent="0.25">
      <c r="A159">
        <v>135</v>
      </c>
      <c r="B159">
        <v>2.9984482489188413</v>
      </c>
      <c r="C159">
        <v>1.551751081158681E-3</v>
      </c>
      <c r="D159">
        <v>1.1061984354734837E-3</v>
      </c>
      <c r="F159">
        <v>13.463463463463464</v>
      </c>
      <c r="G159">
        <v>1</v>
      </c>
    </row>
    <row r="160" spans="1:7" x14ac:dyDescent="0.25">
      <c r="A160">
        <v>136</v>
      </c>
      <c r="B160">
        <v>3.0139065719283118</v>
      </c>
      <c r="C160">
        <v>-1.0139065719283118</v>
      </c>
      <c r="D160">
        <v>-0.72278465096728328</v>
      </c>
      <c r="F160">
        <v>13.563563563563564</v>
      </c>
      <c r="G160">
        <v>1</v>
      </c>
    </row>
    <row r="161" spans="1:7" x14ac:dyDescent="0.25">
      <c r="A161">
        <v>137</v>
      </c>
      <c r="B161">
        <v>3.0037787051290037</v>
      </c>
      <c r="C161">
        <v>-1.0037787051290037</v>
      </c>
      <c r="D161">
        <v>-0.71556478784354505</v>
      </c>
      <c r="F161">
        <v>13.663663663663664</v>
      </c>
      <c r="G161">
        <v>1</v>
      </c>
    </row>
    <row r="162" spans="1:7" x14ac:dyDescent="0.25">
      <c r="A162">
        <v>138</v>
      </c>
      <c r="B162">
        <v>3.0159721237097497</v>
      </c>
      <c r="C162">
        <v>-2.0159721237097497</v>
      </c>
      <c r="D162">
        <v>-1.437128181370886</v>
      </c>
      <c r="F162">
        <v>13.763763763763764</v>
      </c>
      <c r="G162">
        <v>1</v>
      </c>
    </row>
    <row r="163" spans="1:7" x14ac:dyDescent="0.25">
      <c r="A163">
        <v>139</v>
      </c>
      <c r="B163">
        <v>3.0113746052284847</v>
      </c>
      <c r="C163">
        <v>1.9886253947715153</v>
      </c>
      <c r="D163">
        <v>1.4176334897711198</v>
      </c>
      <c r="F163">
        <v>13.863863863863864</v>
      </c>
      <c r="G163">
        <v>1</v>
      </c>
    </row>
    <row r="164" spans="1:7" x14ac:dyDescent="0.25">
      <c r="A164">
        <v>140</v>
      </c>
      <c r="B164">
        <v>2.9946502988691011</v>
      </c>
      <c r="C164">
        <v>-0.99465029886910106</v>
      </c>
      <c r="D164">
        <v>-0.70905741121228105</v>
      </c>
      <c r="F164">
        <v>13.963963963963964</v>
      </c>
      <c r="G164">
        <v>1</v>
      </c>
    </row>
    <row r="165" spans="1:7" x14ac:dyDescent="0.25">
      <c r="A165">
        <v>141</v>
      </c>
      <c r="B165">
        <v>3.0152391859808523</v>
      </c>
      <c r="C165">
        <v>-2.0152391859808523</v>
      </c>
      <c r="D165">
        <v>-1.4366056912764049</v>
      </c>
      <c r="F165">
        <v>14.064064064064064</v>
      </c>
      <c r="G165">
        <v>1</v>
      </c>
    </row>
    <row r="166" spans="1:7" x14ac:dyDescent="0.25">
      <c r="A166">
        <v>142</v>
      </c>
      <c r="B166">
        <v>3.0016465226449385</v>
      </c>
      <c r="C166">
        <v>0.99835347735506152</v>
      </c>
      <c r="D166">
        <v>0.71169729997871245</v>
      </c>
      <c r="F166">
        <v>14.164164164164164</v>
      </c>
      <c r="G166">
        <v>1</v>
      </c>
    </row>
    <row r="167" spans="1:7" x14ac:dyDescent="0.25">
      <c r="A167">
        <v>143</v>
      </c>
      <c r="B167">
        <v>3.0093756841496737</v>
      </c>
      <c r="C167">
        <v>0.99062431585032629</v>
      </c>
      <c r="D167">
        <v>0.70618740443691219</v>
      </c>
      <c r="F167">
        <v>14.264264264264265</v>
      </c>
      <c r="G167">
        <v>1</v>
      </c>
    </row>
    <row r="168" spans="1:7" x14ac:dyDescent="0.25">
      <c r="A168">
        <v>144</v>
      </c>
      <c r="B168">
        <v>2.9945170374638468</v>
      </c>
      <c r="C168">
        <v>2.0054829625361532</v>
      </c>
      <c r="D168">
        <v>1.4296507619441843</v>
      </c>
      <c r="F168">
        <v>14.364364364364365</v>
      </c>
      <c r="G168">
        <v>1</v>
      </c>
    </row>
    <row r="169" spans="1:7" x14ac:dyDescent="0.25">
      <c r="A169">
        <v>145</v>
      </c>
      <c r="B169">
        <v>3.007176870962982</v>
      </c>
      <c r="C169">
        <v>1.992823129037018</v>
      </c>
      <c r="D169">
        <v>1.4206259330395115</v>
      </c>
      <c r="F169">
        <v>14.464464464464465</v>
      </c>
      <c r="G169">
        <v>1</v>
      </c>
    </row>
    <row r="170" spans="1:7" x14ac:dyDescent="0.25">
      <c r="A170">
        <v>146</v>
      </c>
      <c r="B170">
        <v>3.0149060324677173</v>
      </c>
      <c r="C170">
        <v>-2.0149060324677173</v>
      </c>
      <c r="D170">
        <v>-1.4363681957789136</v>
      </c>
      <c r="F170">
        <v>14.564564564564565</v>
      </c>
      <c r="G170">
        <v>1</v>
      </c>
    </row>
    <row r="171" spans="1:7" x14ac:dyDescent="0.25">
      <c r="A171">
        <v>147</v>
      </c>
      <c r="B171">
        <v>3.0161720158176304</v>
      </c>
      <c r="C171">
        <v>-1.6172015817630392E-2</v>
      </c>
      <c r="D171">
        <v>-1.1528562031068312E-2</v>
      </c>
      <c r="F171">
        <v>14.664664664664665</v>
      </c>
      <c r="G171">
        <v>1</v>
      </c>
    </row>
    <row r="172" spans="1:7" x14ac:dyDescent="0.25">
      <c r="A172">
        <v>148</v>
      </c>
      <c r="B172">
        <v>3.0024460910764632</v>
      </c>
      <c r="C172">
        <v>-2.4460910764632082E-3</v>
      </c>
      <c r="D172">
        <v>-1.7437475344233711E-3</v>
      </c>
      <c r="F172">
        <v>14.764764764764765</v>
      </c>
      <c r="G172">
        <v>1</v>
      </c>
    </row>
    <row r="173" spans="1:7" x14ac:dyDescent="0.25">
      <c r="A173">
        <v>149</v>
      </c>
      <c r="B173">
        <v>3.0025127217790901</v>
      </c>
      <c r="C173">
        <v>0.99748727822090988</v>
      </c>
      <c r="D173">
        <v>0.7110798116852346</v>
      </c>
      <c r="F173">
        <v>14.864864864864865</v>
      </c>
      <c r="G173">
        <v>1</v>
      </c>
    </row>
    <row r="174" spans="1:7" x14ac:dyDescent="0.25">
      <c r="A174">
        <v>150</v>
      </c>
      <c r="B174">
        <v>2.9985815103240956</v>
      </c>
      <c r="C174">
        <v>1.4184896759044108E-3</v>
      </c>
      <c r="D174">
        <v>1.0112002364767742E-3</v>
      </c>
      <c r="F174">
        <v>14.964964964964965</v>
      </c>
      <c r="G174">
        <v>1</v>
      </c>
    </row>
    <row r="175" spans="1:7" x14ac:dyDescent="0.25">
      <c r="A175">
        <v>151</v>
      </c>
      <c r="B175">
        <v>2.9979152032978251</v>
      </c>
      <c r="C175">
        <v>-0.99791520329782513</v>
      </c>
      <c r="D175">
        <v>-0.71138486708769655</v>
      </c>
      <c r="F175">
        <v>15.065065065065067</v>
      </c>
      <c r="G175">
        <v>1</v>
      </c>
    </row>
    <row r="176" spans="1:7" x14ac:dyDescent="0.25">
      <c r="A176">
        <v>152</v>
      </c>
      <c r="B176">
        <v>3.0109081903100954</v>
      </c>
      <c r="C176">
        <v>-1.0908190310095378E-2</v>
      </c>
      <c r="D176">
        <v>-7.7761331707044568E-3</v>
      </c>
      <c r="F176">
        <v>15.165165165165167</v>
      </c>
      <c r="G176">
        <v>1</v>
      </c>
    </row>
    <row r="177" spans="1:7" x14ac:dyDescent="0.25">
      <c r="A177">
        <v>153</v>
      </c>
      <c r="B177">
        <v>3.0113079745258577</v>
      </c>
      <c r="C177">
        <v>-1.0113079745258577</v>
      </c>
      <c r="D177">
        <v>-0.7209321860868505</v>
      </c>
      <c r="F177">
        <v>15.265265265265267</v>
      </c>
      <c r="G177">
        <v>1</v>
      </c>
    </row>
    <row r="178" spans="1:7" x14ac:dyDescent="0.25">
      <c r="A178">
        <v>154</v>
      </c>
      <c r="B178">
        <v>3.0135067877125494</v>
      </c>
      <c r="C178">
        <v>-1.3506787712549428E-2</v>
      </c>
      <c r="D178">
        <v>-9.6285980511372857E-3</v>
      </c>
      <c r="F178">
        <v>15.365365365365367</v>
      </c>
      <c r="G178">
        <v>1</v>
      </c>
    </row>
    <row r="179" spans="1:7" x14ac:dyDescent="0.25">
      <c r="A179">
        <v>155</v>
      </c>
      <c r="B179">
        <v>2.9969157427584197</v>
      </c>
      <c r="C179">
        <v>3.084257241580346E-3</v>
      </c>
      <c r="D179">
        <v>2.1986777239339024E-3</v>
      </c>
      <c r="F179">
        <v>15.465465465465467</v>
      </c>
      <c r="G179">
        <v>1</v>
      </c>
    </row>
    <row r="180" spans="1:7" x14ac:dyDescent="0.25">
      <c r="A180">
        <v>156</v>
      </c>
      <c r="B180">
        <v>3.0094423148523006</v>
      </c>
      <c r="C180">
        <v>-1.0094423148523006</v>
      </c>
      <c r="D180">
        <v>-0.71960221130089841</v>
      </c>
      <c r="F180">
        <v>15.565565565565567</v>
      </c>
      <c r="G180">
        <v>1</v>
      </c>
    </row>
    <row r="181" spans="1:7" x14ac:dyDescent="0.25">
      <c r="A181">
        <v>157</v>
      </c>
      <c r="B181">
        <v>3.0135067877125494</v>
      </c>
      <c r="C181">
        <v>1.9864932122874506</v>
      </c>
      <c r="D181">
        <v>1.4161135185871752</v>
      </c>
      <c r="F181">
        <v>15.665665665665667</v>
      </c>
      <c r="G181">
        <v>1</v>
      </c>
    </row>
    <row r="182" spans="1:7" x14ac:dyDescent="0.25">
      <c r="A182">
        <v>158</v>
      </c>
      <c r="B182">
        <v>3.0142397254414468</v>
      </c>
      <c r="C182">
        <v>1.9857602745585532</v>
      </c>
      <c r="D182">
        <v>1.415591028492694</v>
      </c>
      <c r="F182">
        <v>15.765765765765767</v>
      </c>
      <c r="G182">
        <v>1</v>
      </c>
    </row>
    <row r="183" spans="1:7" x14ac:dyDescent="0.25">
      <c r="A183">
        <v>159</v>
      </c>
      <c r="B183">
        <v>3.0019130454554466</v>
      </c>
      <c r="C183">
        <v>-2.0019130454554466</v>
      </c>
      <c r="D183">
        <v>-1.4271058713767493</v>
      </c>
      <c r="F183">
        <v>15.865865865865867</v>
      </c>
      <c r="G183">
        <v>1</v>
      </c>
    </row>
    <row r="184" spans="1:7" x14ac:dyDescent="0.25">
      <c r="A184">
        <v>160</v>
      </c>
      <c r="B184">
        <v>3.0118410201468739</v>
      </c>
      <c r="C184">
        <v>-2.0118410201468739</v>
      </c>
      <c r="D184">
        <v>-1.4341832372019929</v>
      </c>
      <c r="F184">
        <v>15.965965965965967</v>
      </c>
      <c r="G184">
        <v>1</v>
      </c>
    </row>
    <row r="185" spans="1:7" x14ac:dyDescent="0.25">
      <c r="A185">
        <v>161</v>
      </c>
      <c r="B185">
        <v>2.9937840997349494</v>
      </c>
      <c r="C185">
        <v>6.215900265050589E-3</v>
      </c>
      <c r="D185">
        <v>4.4311354003529367E-3</v>
      </c>
      <c r="F185">
        <v>16.066066066066067</v>
      </c>
      <c r="G185">
        <v>1</v>
      </c>
    </row>
    <row r="186" spans="1:7" x14ac:dyDescent="0.25">
      <c r="A186">
        <v>162</v>
      </c>
      <c r="B186">
        <v>3.0090425306365387</v>
      </c>
      <c r="C186">
        <v>-1.0090425306365387</v>
      </c>
      <c r="D186">
        <v>-0.71931721670390891</v>
      </c>
      <c r="F186">
        <v>16.166166166166168</v>
      </c>
      <c r="G186">
        <v>1</v>
      </c>
    </row>
    <row r="187" spans="1:7" x14ac:dyDescent="0.25">
      <c r="A187">
        <v>163</v>
      </c>
      <c r="B187">
        <v>3.0141730947388199</v>
      </c>
      <c r="C187">
        <v>-1.4173094738819891E-2</v>
      </c>
      <c r="D187">
        <v>-1.0103589046120201E-2</v>
      </c>
      <c r="F187">
        <v>16.266266266266268</v>
      </c>
      <c r="G187">
        <v>1</v>
      </c>
    </row>
    <row r="188" spans="1:7" x14ac:dyDescent="0.25">
      <c r="A188">
        <v>164</v>
      </c>
      <c r="B188">
        <v>3.0051113191815442</v>
      </c>
      <c r="C188">
        <v>-2.0051113191815442</v>
      </c>
      <c r="D188">
        <v>-1.4293858281526668</v>
      </c>
      <c r="F188">
        <v>16.366366366366368</v>
      </c>
      <c r="G188">
        <v>1</v>
      </c>
    </row>
    <row r="189" spans="1:7" x14ac:dyDescent="0.25">
      <c r="A189">
        <v>165</v>
      </c>
      <c r="B189">
        <v>3.0039119665342575</v>
      </c>
      <c r="C189">
        <v>1.9960880334657425</v>
      </c>
      <c r="D189">
        <v>1.4229533889149271</v>
      </c>
      <c r="F189">
        <v>16.466466466466468</v>
      </c>
      <c r="G189">
        <v>1</v>
      </c>
    </row>
    <row r="190" spans="1:7" x14ac:dyDescent="0.25">
      <c r="A190">
        <v>166</v>
      </c>
      <c r="B190">
        <v>3.0054444726946792</v>
      </c>
      <c r="C190">
        <v>0.99455552730532082</v>
      </c>
      <c r="D190">
        <v>0.70898985130731051</v>
      </c>
      <c r="F190">
        <v>16.566566566566568</v>
      </c>
      <c r="G190">
        <v>1</v>
      </c>
    </row>
    <row r="191" spans="1:7" x14ac:dyDescent="0.25">
      <c r="A191">
        <v>167</v>
      </c>
      <c r="B191">
        <v>2.9946502988691011</v>
      </c>
      <c r="C191">
        <v>1.0053497011308989</v>
      </c>
      <c r="D191">
        <v>0.71668470542603135</v>
      </c>
      <c r="F191">
        <v>16.666666666666668</v>
      </c>
      <c r="G191">
        <v>1</v>
      </c>
    </row>
    <row r="192" spans="1:7" x14ac:dyDescent="0.25">
      <c r="A192">
        <v>168</v>
      </c>
      <c r="B192">
        <v>2.997648680487317</v>
      </c>
      <c r="C192">
        <v>2.002351319512683</v>
      </c>
      <c r="D192">
        <v>1.4274183042677651</v>
      </c>
      <c r="F192">
        <v>16.766766766766768</v>
      </c>
      <c r="G192">
        <v>1</v>
      </c>
    </row>
    <row r="193" spans="1:7" x14ac:dyDescent="0.25">
      <c r="A193">
        <v>169</v>
      </c>
      <c r="B193">
        <v>3.0103751446890792</v>
      </c>
      <c r="C193">
        <v>-1.0375144689079185E-2</v>
      </c>
      <c r="D193">
        <v>-7.3961403747182519E-3</v>
      </c>
      <c r="F193">
        <v>16.866866866866868</v>
      </c>
      <c r="G193">
        <v>1</v>
      </c>
    </row>
    <row r="194" spans="1:7" x14ac:dyDescent="0.25">
      <c r="A194">
        <v>170</v>
      </c>
      <c r="B194">
        <v>2.997315526974182</v>
      </c>
      <c r="C194">
        <v>-1.997315526974182</v>
      </c>
      <c r="D194">
        <v>-1.4238284335113682</v>
      </c>
      <c r="F194">
        <v>16.966966966966968</v>
      </c>
      <c r="G194">
        <v>1</v>
      </c>
    </row>
    <row r="195" spans="1:7" x14ac:dyDescent="0.25">
      <c r="A195">
        <v>171</v>
      </c>
      <c r="B195">
        <v>3.014772771062463</v>
      </c>
      <c r="C195">
        <v>-2.014772771062463</v>
      </c>
      <c r="D195">
        <v>-1.436273197579917</v>
      </c>
      <c r="F195">
        <v>17.067067067067068</v>
      </c>
      <c r="G195">
        <v>1</v>
      </c>
    </row>
    <row r="196" spans="1:7" x14ac:dyDescent="0.25">
      <c r="A196">
        <v>172</v>
      </c>
      <c r="B196">
        <v>3.0067770867472197</v>
      </c>
      <c r="C196">
        <v>-1.0067770867472197</v>
      </c>
      <c r="D196">
        <v>-0.71770224732096743</v>
      </c>
      <c r="F196">
        <v>17.167167167167168</v>
      </c>
      <c r="G196">
        <v>1</v>
      </c>
    </row>
    <row r="197" spans="1:7" x14ac:dyDescent="0.25">
      <c r="A197">
        <v>173</v>
      </c>
      <c r="B197">
        <v>3.0010468463212954</v>
      </c>
      <c r="C197">
        <v>0.99895315367870463</v>
      </c>
      <c r="D197">
        <v>0.71212479187419686</v>
      </c>
      <c r="F197">
        <v>17.267267267267268</v>
      </c>
      <c r="G197">
        <v>1</v>
      </c>
    </row>
    <row r="198" spans="1:7" x14ac:dyDescent="0.25">
      <c r="A198">
        <v>174</v>
      </c>
      <c r="B198">
        <v>3.0015132612396846</v>
      </c>
      <c r="C198">
        <v>1.9984867387603154</v>
      </c>
      <c r="D198">
        <v>1.4246633564968649</v>
      </c>
      <c r="F198">
        <v>17.367367367367368</v>
      </c>
      <c r="G198">
        <v>1</v>
      </c>
    </row>
    <row r="199" spans="1:7" x14ac:dyDescent="0.25">
      <c r="A199">
        <v>175</v>
      </c>
      <c r="B199">
        <v>3.005244580586798</v>
      </c>
      <c r="C199">
        <v>-2.005244580586798</v>
      </c>
      <c r="D199">
        <v>-1.4294808263516632</v>
      </c>
      <c r="F199">
        <v>17.467467467467468</v>
      </c>
      <c r="G199">
        <v>1</v>
      </c>
    </row>
    <row r="200" spans="1:7" x14ac:dyDescent="0.25">
      <c r="A200">
        <v>176</v>
      </c>
      <c r="B200">
        <v>3.0179710447885602</v>
      </c>
      <c r="C200">
        <v>-1.0179710447885602</v>
      </c>
      <c r="D200">
        <v>-0.72568209603667799</v>
      </c>
      <c r="F200">
        <v>17.567567567567568</v>
      </c>
      <c r="G200">
        <v>1</v>
      </c>
    </row>
    <row r="201" spans="1:7" x14ac:dyDescent="0.25">
      <c r="A201">
        <v>177</v>
      </c>
      <c r="B201">
        <v>2.994716929571728</v>
      </c>
      <c r="C201">
        <v>-1.994716929571728</v>
      </c>
      <c r="D201">
        <v>-1.4219759686309354</v>
      </c>
      <c r="F201">
        <v>17.667667667667668</v>
      </c>
      <c r="G201">
        <v>1</v>
      </c>
    </row>
    <row r="202" spans="1:7" x14ac:dyDescent="0.25">
      <c r="A202">
        <v>178</v>
      </c>
      <c r="B202">
        <v>3.0016465226449385</v>
      </c>
      <c r="C202">
        <v>-2.0016465226449385</v>
      </c>
      <c r="D202">
        <v>-1.426915874978756</v>
      </c>
      <c r="F202">
        <v>17.767767767767769</v>
      </c>
      <c r="G202">
        <v>1</v>
      </c>
    </row>
    <row r="203" spans="1:7" x14ac:dyDescent="0.25">
      <c r="A203">
        <v>179</v>
      </c>
      <c r="B203">
        <v>3.0069103481524739</v>
      </c>
      <c r="C203">
        <v>-6.910348152473933E-3</v>
      </c>
      <c r="D203">
        <v>-4.9261872008079183E-3</v>
      </c>
      <c r="F203">
        <v>17.867867867867869</v>
      </c>
      <c r="G203">
        <v>1</v>
      </c>
    </row>
    <row r="204" spans="1:7" x14ac:dyDescent="0.25">
      <c r="A204">
        <v>180</v>
      </c>
      <c r="B204">
        <v>3.0123740657678901</v>
      </c>
      <c r="C204">
        <v>0.98762593423210987</v>
      </c>
      <c r="D204">
        <v>0.70404994495948947</v>
      </c>
      <c r="F204">
        <v>17.967967967967969</v>
      </c>
      <c r="G204">
        <v>1</v>
      </c>
    </row>
    <row r="205" spans="1:7" x14ac:dyDescent="0.25">
      <c r="A205">
        <v>181</v>
      </c>
      <c r="B205">
        <v>3.0045116428579006</v>
      </c>
      <c r="C205">
        <v>-4.5116428579006218E-3</v>
      </c>
      <c r="D205">
        <v>-3.2162196188696788E-3</v>
      </c>
      <c r="F205">
        <v>18.068068068068069</v>
      </c>
      <c r="G205">
        <v>1</v>
      </c>
    </row>
    <row r="206" spans="1:7" x14ac:dyDescent="0.25">
      <c r="A206">
        <v>182</v>
      </c>
      <c r="B206">
        <v>3.0086427464207763</v>
      </c>
      <c r="C206">
        <v>-1.0086427464207763</v>
      </c>
      <c r="D206">
        <v>-0.71903222210691908</v>
      </c>
      <c r="F206">
        <v>18.168168168168169</v>
      </c>
      <c r="G206">
        <v>1</v>
      </c>
    </row>
    <row r="207" spans="1:7" x14ac:dyDescent="0.25">
      <c r="A207">
        <v>183</v>
      </c>
      <c r="B207">
        <v>3.0003805392950254</v>
      </c>
      <c r="C207">
        <v>-2.0003805392950254</v>
      </c>
      <c r="D207">
        <v>-1.4260133920882891</v>
      </c>
      <c r="F207">
        <v>18.268268268268269</v>
      </c>
      <c r="G207">
        <v>1</v>
      </c>
    </row>
    <row r="208" spans="1:7" x14ac:dyDescent="0.25">
      <c r="A208">
        <v>184</v>
      </c>
      <c r="B208">
        <v>3.0132402649020413</v>
      </c>
      <c r="C208">
        <v>1.9867597350979587</v>
      </c>
      <c r="D208">
        <v>1.4163035149851682</v>
      </c>
      <c r="F208">
        <v>18.368368368368369</v>
      </c>
      <c r="G208">
        <v>1</v>
      </c>
    </row>
    <row r="209" spans="1:7" x14ac:dyDescent="0.25">
      <c r="A209">
        <v>185</v>
      </c>
      <c r="B209">
        <v>3.0064439332340847</v>
      </c>
      <c r="C209">
        <v>1.9935560667659153</v>
      </c>
      <c r="D209">
        <v>1.4211484231339924</v>
      </c>
      <c r="F209">
        <v>18.468468468468469</v>
      </c>
      <c r="G209">
        <v>1</v>
      </c>
    </row>
    <row r="210" spans="1:7" x14ac:dyDescent="0.25">
      <c r="A210">
        <v>186</v>
      </c>
      <c r="B210">
        <v>3.0161053851150035</v>
      </c>
      <c r="C210">
        <v>-1.6105385115003479E-2</v>
      </c>
      <c r="D210">
        <v>-1.1481062931570115E-2</v>
      </c>
      <c r="F210">
        <v>18.568568568568569</v>
      </c>
      <c r="G210">
        <v>1</v>
      </c>
    </row>
    <row r="211" spans="1:7" x14ac:dyDescent="0.25">
      <c r="A211">
        <v>187</v>
      </c>
      <c r="B211">
        <v>3.0096422069601818</v>
      </c>
      <c r="C211">
        <v>-1.0096422069601818</v>
      </c>
      <c r="D211">
        <v>-0.71974470859939332</v>
      </c>
      <c r="F211">
        <v>18.668668668668669</v>
      </c>
      <c r="G211">
        <v>1</v>
      </c>
    </row>
    <row r="212" spans="1:7" x14ac:dyDescent="0.25">
      <c r="A212">
        <v>188</v>
      </c>
      <c r="B212">
        <v>3.0097754683654361</v>
      </c>
      <c r="C212">
        <v>-2.0097754683654361</v>
      </c>
      <c r="D212">
        <v>-1.4327107651175461</v>
      </c>
      <c r="F212">
        <v>18.768768768768769</v>
      </c>
      <c r="G212">
        <v>1</v>
      </c>
    </row>
    <row r="213" spans="1:7" x14ac:dyDescent="0.25">
      <c r="A213">
        <v>189</v>
      </c>
      <c r="B213">
        <v>2.9998474936740092</v>
      </c>
      <c r="C213">
        <v>1.0001525063259908</v>
      </c>
      <c r="D213">
        <v>0.71297977566516568</v>
      </c>
      <c r="F213">
        <v>18.868868868868869</v>
      </c>
      <c r="G213">
        <v>1</v>
      </c>
    </row>
    <row r="214" spans="1:7" x14ac:dyDescent="0.25">
      <c r="A214">
        <v>190</v>
      </c>
      <c r="B214">
        <v>3.0176378912754251</v>
      </c>
      <c r="C214">
        <v>0.98236210872457486</v>
      </c>
      <c r="D214">
        <v>0.70029751609912561</v>
      </c>
      <c r="F214">
        <v>18.968968968968969</v>
      </c>
      <c r="G214">
        <v>1</v>
      </c>
    </row>
    <row r="215" spans="1:7" x14ac:dyDescent="0.25">
      <c r="A215">
        <v>191</v>
      </c>
      <c r="B215">
        <v>3.0041118586421387</v>
      </c>
      <c r="C215">
        <v>0.9958881413578613</v>
      </c>
      <c r="D215">
        <v>0.70993983329727595</v>
      </c>
      <c r="F215">
        <v>19.069069069069069</v>
      </c>
      <c r="G215">
        <v>1</v>
      </c>
    </row>
    <row r="216" spans="1:7" x14ac:dyDescent="0.25">
      <c r="A216">
        <v>192</v>
      </c>
      <c r="B216">
        <v>3.0044450121552737</v>
      </c>
      <c r="C216">
        <v>0.99555498784472629</v>
      </c>
      <c r="D216">
        <v>0.70970233779978475</v>
      </c>
      <c r="F216">
        <v>19.169169169169169</v>
      </c>
      <c r="G216">
        <v>1</v>
      </c>
    </row>
    <row r="217" spans="1:7" x14ac:dyDescent="0.25">
      <c r="A217">
        <v>193</v>
      </c>
      <c r="B217">
        <v>3.0064439332340847</v>
      </c>
      <c r="C217">
        <v>-2.0064439332340847</v>
      </c>
      <c r="D217">
        <v>-1.4303358101426322</v>
      </c>
      <c r="F217">
        <v>19.26926926926927</v>
      </c>
      <c r="G217">
        <v>1</v>
      </c>
    </row>
    <row r="218" spans="1:7" x14ac:dyDescent="0.25">
      <c r="A218">
        <v>194</v>
      </c>
      <c r="B218">
        <v>3.0009802156186685</v>
      </c>
      <c r="C218">
        <v>1.9990197843813315</v>
      </c>
      <c r="D218">
        <v>1.4250433492928511</v>
      </c>
      <c r="F218">
        <v>19.36936936936937</v>
      </c>
      <c r="G218">
        <v>1</v>
      </c>
    </row>
    <row r="219" spans="1:7" x14ac:dyDescent="0.25">
      <c r="A219">
        <v>195</v>
      </c>
      <c r="B219">
        <v>3.0130403727941601</v>
      </c>
      <c r="C219">
        <v>-1.3040372794160149E-2</v>
      </c>
      <c r="D219">
        <v>-9.2961043546492764E-3</v>
      </c>
      <c r="F219">
        <v>19.46946946946947</v>
      </c>
      <c r="G219">
        <v>1</v>
      </c>
    </row>
    <row r="220" spans="1:7" x14ac:dyDescent="0.25">
      <c r="A220">
        <v>196</v>
      </c>
      <c r="B220">
        <v>3.0122408043626359</v>
      </c>
      <c r="C220">
        <v>-1.0122408043626359</v>
      </c>
      <c r="D220">
        <v>-0.7215971734798261</v>
      </c>
      <c r="F220">
        <v>19.56956956956957</v>
      </c>
      <c r="G220">
        <v>1</v>
      </c>
    </row>
    <row r="221" spans="1:7" x14ac:dyDescent="0.25">
      <c r="A221">
        <v>197</v>
      </c>
      <c r="B221">
        <v>3.0032456595079875</v>
      </c>
      <c r="C221">
        <v>-2.0032456595079875</v>
      </c>
      <c r="D221">
        <v>-1.4280558533667151</v>
      </c>
      <c r="F221">
        <v>19.66966966966967</v>
      </c>
      <c r="G221">
        <v>1</v>
      </c>
    </row>
    <row r="222" spans="1:7" x14ac:dyDescent="0.25">
      <c r="A222">
        <v>198</v>
      </c>
      <c r="B222">
        <v>2.9955831287058792</v>
      </c>
      <c r="C222">
        <v>-1.9955831287058792</v>
      </c>
      <c r="D222">
        <v>-1.422593456924413</v>
      </c>
      <c r="F222">
        <v>19.76976976976977</v>
      </c>
      <c r="G222">
        <v>2</v>
      </c>
    </row>
    <row r="223" spans="1:7" x14ac:dyDescent="0.25">
      <c r="A223">
        <v>199</v>
      </c>
      <c r="B223">
        <v>3.0019130454554466</v>
      </c>
      <c r="C223">
        <v>1.9980869545445534</v>
      </c>
      <c r="D223">
        <v>1.4243783618998755</v>
      </c>
      <c r="F223">
        <v>19.86986986986987</v>
      </c>
      <c r="G223">
        <v>2</v>
      </c>
    </row>
    <row r="224" spans="1:7" x14ac:dyDescent="0.25">
      <c r="A224">
        <v>200</v>
      </c>
      <c r="B224">
        <v>2.9981817261083332</v>
      </c>
      <c r="C224">
        <v>-1.9981817261083332</v>
      </c>
      <c r="D224">
        <v>-1.4244459218048457</v>
      </c>
      <c r="F224">
        <v>19.96996996996997</v>
      </c>
      <c r="G224">
        <v>2</v>
      </c>
    </row>
    <row r="225" spans="1:7" x14ac:dyDescent="0.25">
      <c r="A225">
        <v>201</v>
      </c>
      <c r="B225">
        <v>3.0141730947388199</v>
      </c>
      <c r="C225">
        <v>1.9858269052611801</v>
      </c>
      <c r="D225">
        <v>1.4156385275921921</v>
      </c>
      <c r="F225">
        <v>20.07007007007007</v>
      </c>
      <c r="G225">
        <v>2</v>
      </c>
    </row>
    <row r="226" spans="1:7" x14ac:dyDescent="0.25">
      <c r="A226">
        <v>202</v>
      </c>
      <c r="B226">
        <v>3.0105750367969604</v>
      </c>
      <c r="C226">
        <v>-1.0105750367969604</v>
      </c>
      <c r="D226">
        <v>-0.72040969599236937</v>
      </c>
      <c r="F226">
        <v>20.17017017017017</v>
      </c>
      <c r="G226">
        <v>2</v>
      </c>
    </row>
    <row r="227" spans="1:7" x14ac:dyDescent="0.25">
      <c r="A227">
        <v>203</v>
      </c>
      <c r="B227">
        <v>2.9986481410267225</v>
      </c>
      <c r="C227">
        <v>-0.9986481410267225</v>
      </c>
      <c r="D227">
        <v>-0.71190735718217757</v>
      </c>
      <c r="F227">
        <v>20.27027027027027</v>
      </c>
      <c r="G227">
        <v>2</v>
      </c>
    </row>
    <row r="228" spans="1:7" x14ac:dyDescent="0.25">
      <c r="A228">
        <v>204</v>
      </c>
      <c r="B228">
        <v>3.0119742815521278</v>
      </c>
      <c r="C228">
        <v>1.9880257184478722</v>
      </c>
      <c r="D228">
        <v>1.4172059978756355</v>
      </c>
      <c r="F228">
        <v>20.37037037037037</v>
      </c>
      <c r="G228">
        <v>2</v>
      </c>
    </row>
    <row r="229" spans="1:7" x14ac:dyDescent="0.25">
      <c r="A229">
        <v>205</v>
      </c>
      <c r="B229">
        <v>3.0047115349657818</v>
      </c>
      <c r="C229">
        <v>1.9952884650342182</v>
      </c>
      <c r="D229">
        <v>1.4223833997209478</v>
      </c>
      <c r="F229">
        <v>20.47047047047047</v>
      </c>
      <c r="G229">
        <v>2</v>
      </c>
    </row>
    <row r="230" spans="1:7" x14ac:dyDescent="0.25">
      <c r="A230">
        <v>206</v>
      </c>
      <c r="B230">
        <v>2.9984482489188413</v>
      </c>
      <c r="C230">
        <v>-0.99844824891884132</v>
      </c>
      <c r="D230">
        <v>-0.71176485988368265</v>
      </c>
      <c r="F230">
        <v>20.57057057057057</v>
      </c>
      <c r="G230">
        <v>2</v>
      </c>
    </row>
    <row r="231" spans="1:7" x14ac:dyDescent="0.25">
      <c r="A231">
        <v>207</v>
      </c>
      <c r="B231">
        <v>3.0029791366974794</v>
      </c>
      <c r="C231">
        <v>-2.0029791366974794</v>
      </c>
      <c r="D231">
        <v>-1.4278658569687219</v>
      </c>
      <c r="F231">
        <v>20.67067067067067</v>
      </c>
      <c r="G231">
        <v>2</v>
      </c>
    </row>
    <row r="232" spans="1:7" x14ac:dyDescent="0.25">
      <c r="A232">
        <v>208</v>
      </c>
      <c r="B232">
        <v>3.0153058166834792</v>
      </c>
      <c r="C232">
        <v>-1.530581668347919E-2</v>
      </c>
      <c r="D232">
        <v>-1.0911073737590806E-2</v>
      </c>
      <c r="F232">
        <v>20.77077077077077</v>
      </c>
      <c r="G232">
        <v>2</v>
      </c>
    </row>
    <row r="233" spans="1:7" x14ac:dyDescent="0.25">
      <c r="A233">
        <v>209</v>
      </c>
      <c r="B233">
        <v>3.0079098086918794</v>
      </c>
      <c r="C233">
        <v>1.9920901913081206</v>
      </c>
      <c r="D233">
        <v>1.4201034429450303</v>
      </c>
      <c r="F233">
        <v>20.870870870870871</v>
      </c>
      <c r="G233">
        <v>2</v>
      </c>
    </row>
    <row r="234" spans="1:7" x14ac:dyDescent="0.25">
      <c r="A234">
        <v>210</v>
      </c>
      <c r="B234">
        <v>2.9949834523822361</v>
      </c>
      <c r="C234">
        <v>-0.99498345238223607</v>
      </c>
      <c r="D234">
        <v>-0.70929490670977235</v>
      </c>
      <c r="F234">
        <v>20.970970970970971</v>
      </c>
      <c r="G234">
        <v>2</v>
      </c>
    </row>
    <row r="235" spans="1:7" x14ac:dyDescent="0.25">
      <c r="A235">
        <v>211</v>
      </c>
      <c r="B235">
        <v>3.0076432858813713</v>
      </c>
      <c r="C235">
        <v>-7.6432858813713089E-3</v>
      </c>
      <c r="D235">
        <v>-5.4486772952890292E-3</v>
      </c>
      <c r="F235">
        <v>21.071071071071071</v>
      </c>
      <c r="G235">
        <v>2</v>
      </c>
    </row>
    <row r="236" spans="1:7" x14ac:dyDescent="0.25">
      <c r="A236">
        <v>212</v>
      </c>
      <c r="B236">
        <v>3.0003805392950254</v>
      </c>
      <c r="C236">
        <v>-1.0003805392950254</v>
      </c>
      <c r="D236">
        <v>-0.71314233376913294</v>
      </c>
      <c r="F236">
        <v>21.171171171171171</v>
      </c>
      <c r="G236">
        <v>2</v>
      </c>
    </row>
    <row r="237" spans="1:7" x14ac:dyDescent="0.25">
      <c r="A237">
        <v>213</v>
      </c>
      <c r="B237">
        <v>3.0049780577762899</v>
      </c>
      <c r="C237">
        <v>-4.9780577762899014E-3</v>
      </c>
      <c r="D237">
        <v>-3.5487133153576872E-3</v>
      </c>
      <c r="F237">
        <v>21.271271271271271</v>
      </c>
      <c r="G237">
        <v>2</v>
      </c>
    </row>
    <row r="238" spans="1:7" x14ac:dyDescent="0.25">
      <c r="A238">
        <v>214</v>
      </c>
      <c r="B238">
        <v>3.0006470621055334</v>
      </c>
      <c r="C238">
        <v>-2.0006470621055334</v>
      </c>
      <c r="D238">
        <v>-1.4262033884862821</v>
      </c>
      <c r="F238">
        <v>21.371371371371371</v>
      </c>
      <c r="G238">
        <v>2</v>
      </c>
    </row>
    <row r="239" spans="1:7" x14ac:dyDescent="0.25">
      <c r="A239">
        <v>215</v>
      </c>
      <c r="B239">
        <v>2.9953166058953711</v>
      </c>
      <c r="C239">
        <v>-1.9953166058953711</v>
      </c>
      <c r="D239">
        <v>-1.4224034605264197</v>
      </c>
      <c r="F239">
        <v>21.471471471471475</v>
      </c>
      <c r="G239">
        <v>2</v>
      </c>
    </row>
    <row r="240" spans="1:7" x14ac:dyDescent="0.25">
      <c r="A240">
        <v>216</v>
      </c>
      <c r="B240">
        <v>3.0019796761580739</v>
      </c>
      <c r="C240">
        <v>0.99802032384192607</v>
      </c>
      <c r="D240">
        <v>0.71145980448122081</v>
      </c>
      <c r="F240">
        <v>21.571571571571575</v>
      </c>
      <c r="G240">
        <v>2</v>
      </c>
    </row>
    <row r="241" spans="1:7" x14ac:dyDescent="0.25">
      <c r="A241">
        <v>217</v>
      </c>
      <c r="B241">
        <v>3.0039785972368844</v>
      </c>
      <c r="C241">
        <v>-1.0039785972368844</v>
      </c>
      <c r="D241">
        <v>-0.71570728514203963</v>
      </c>
      <c r="F241">
        <v>21.671671671671675</v>
      </c>
      <c r="G241">
        <v>2</v>
      </c>
    </row>
    <row r="242" spans="1:7" x14ac:dyDescent="0.25">
      <c r="A242">
        <v>218</v>
      </c>
      <c r="B242">
        <v>2.9971156348663008</v>
      </c>
      <c r="C242">
        <v>2.0028843651336992</v>
      </c>
      <c r="D242">
        <v>1.4277982970637513</v>
      </c>
      <c r="F242">
        <v>21.771771771771775</v>
      </c>
      <c r="G242">
        <v>2</v>
      </c>
    </row>
    <row r="243" spans="1:7" x14ac:dyDescent="0.25">
      <c r="A243">
        <v>219</v>
      </c>
      <c r="B243">
        <v>2.9965825892452846</v>
      </c>
      <c r="C243">
        <v>3.4174107547153554E-3</v>
      </c>
      <c r="D243">
        <v>2.4361732214252018E-3</v>
      </c>
      <c r="F243">
        <v>21.871871871871875</v>
      </c>
      <c r="G243">
        <v>2</v>
      </c>
    </row>
    <row r="244" spans="1:7" x14ac:dyDescent="0.25">
      <c r="A244">
        <v>220</v>
      </c>
      <c r="B244">
        <v>3.0080430700971332</v>
      </c>
      <c r="C244">
        <v>-8.0430700971332314E-3</v>
      </c>
      <c r="D244">
        <v>-5.7336718922785246E-3</v>
      </c>
      <c r="F244">
        <v>21.971971971971975</v>
      </c>
      <c r="G244">
        <v>2</v>
      </c>
    </row>
    <row r="245" spans="1:7" x14ac:dyDescent="0.25">
      <c r="A245">
        <v>221</v>
      </c>
      <c r="B245">
        <v>2.9997142322687549</v>
      </c>
      <c r="C245">
        <v>1.0002857677312451</v>
      </c>
      <c r="D245">
        <v>0.7130747738641624</v>
      </c>
      <c r="F245">
        <v>22.072072072072075</v>
      </c>
      <c r="G245">
        <v>2</v>
      </c>
    </row>
    <row r="246" spans="1:7" x14ac:dyDescent="0.25">
      <c r="A246">
        <v>222</v>
      </c>
      <c r="B246">
        <v>3.0015132612396846</v>
      </c>
      <c r="C246">
        <v>-2.0015132612396846</v>
      </c>
      <c r="D246">
        <v>-1.4268208767797597</v>
      </c>
      <c r="F246">
        <v>22.172172172172175</v>
      </c>
      <c r="G246">
        <v>2</v>
      </c>
    </row>
    <row r="247" spans="1:7" x14ac:dyDescent="0.25">
      <c r="A247">
        <v>223</v>
      </c>
      <c r="B247">
        <v>3.0115078666337385</v>
      </c>
      <c r="C247">
        <v>-1.1507866633738484E-2</v>
      </c>
      <c r="D247">
        <v>-8.2036250661888591E-3</v>
      </c>
      <c r="F247">
        <v>22.272272272272275</v>
      </c>
      <c r="G247">
        <v>2</v>
      </c>
    </row>
    <row r="248" spans="1:7" x14ac:dyDescent="0.25">
      <c r="A248">
        <v>224</v>
      </c>
      <c r="B248">
        <v>3.017371368464917</v>
      </c>
      <c r="C248">
        <v>-1.017371368464917</v>
      </c>
      <c r="D248">
        <v>-0.72525460414119358</v>
      </c>
      <c r="F248">
        <v>22.372372372372375</v>
      </c>
      <c r="G248">
        <v>2</v>
      </c>
    </row>
    <row r="249" spans="1:7" x14ac:dyDescent="0.25">
      <c r="A249">
        <v>225</v>
      </c>
      <c r="B249">
        <v>3.0018464147528197</v>
      </c>
      <c r="C249">
        <v>0.99815358524718034</v>
      </c>
      <c r="D249">
        <v>0.71155480268021754</v>
      </c>
      <c r="F249">
        <v>22.472472472472475</v>
      </c>
      <c r="G249">
        <v>2</v>
      </c>
    </row>
    <row r="250" spans="1:7" x14ac:dyDescent="0.25">
      <c r="A250">
        <v>226</v>
      </c>
      <c r="B250">
        <v>3.0089758999339118</v>
      </c>
      <c r="C250">
        <v>0.99102410006608821</v>
      </c>
      <c r="D250">
        <v>0.70647239903390169</v>
      </c>
      <c r="F250">
        <v>22.572572572572575</v>
      </c>
      <c r="G250">
        <v>2</v>
      </c>
    </row>
    <row r="251" spans="1:7" x14ac:dyDescent="0.25">
      <c r="A251">
        <v>227</v>
      </c>
      <c r="B251">
        <v>2.9982483568109601</v>
      </c>
      <c r="C251">
        <v>1.7516431890398643E-3</v>
      </c>
      <c r="D251">
        <v>1.2486957339683897E-3</v>
      </c>
      <c r="F251">
        <v>22.672672672672675</v>
      </c>
      <c r="G251">
        <v>2</v>
      </c>
    </row>
    <row r="252" spans="1:7" x14ac:dyDescent="0.25">
      <c r="A252">
        <v>228</v>
      </c>
      <c r="B252">
        <v>2.9973821576768089</v>
      </c>
      <c r="C252">
        <v>-1.9973821576768089</v>
      </c>
      <c r="D252">
        <v>-1.4238759326108665</v>
      </c>
      <c r="F252">
        <v>22.772772772772775</v>
      </c>
      <c r="G252">
        <v>2</v>
      </c>
    </row>
    <row r="253" spans="1:7" x14ac:dyDescent="0.25">
      <c r="A253">
        <v>229</v>
      </c>
      <c r="B253">
        <v>3.0072435016656089</v>
      </c>
      <c r="C253">
        <v>0.99275649833439106</v>
      </c>
      <c r="D253">
        <v>0.70770737562085695</v>
      </c>
      <c r="F253">
        <v>22.872872872872875</v>
      </c>
      <c r="G253">
        <v>2</v>
      </c>
    </row>
    <row r="254" spans="1:7" x14ac:dyDescent="0.25">
      <c r="A254">
        <v>230</v>
      </c>
      <c r="B254">
        <v>3.0056443648025604</v>
      </c>
      <c r="C254">
        <v>-1.0056443648025604</v>
      </c>
      <c r="D254">
        <v>-0.71689476262949681</v>
      </c>
      <c r="F254">
        <v>22.972972972972975</v>
      </c>
      <c r="G254">
        <v>2</v>
      </c>
    </row>
    <row r="255" spans="1:7" x14ac:dyDescent="0.25">
      <c r="A255">
        <v>231</v>
      </c>
      <c r="B255">
        <v>3.0127738499836521</v>
      </c>
      <c r="C255">
        <v>1.9872261500163479</v>
      </c>
      <c r="D255">
        <v>1.4166360086816563</v>
      </c>
      <c r="F255">
        <v>23.073073073073076</v>
      </c>
      <c r="G255">
        <v>2</v>
      </c>
    </row>
    <row r="256" spans="1:7" x14ac:dyDescent="0.25">
      <c r="A256">
        <v>232</v>
      </c>
      <c r="B256">
        <v>3.0128404806862794</v>
      </c>
      <c r="C256">
        <v>-1.284048068627941E-2</v>
      </c>
      <c r="D256">
        <v>-9.1536070561546879E-3</v>
      </c>
      <c r="F256">
        <v>23.173173173173176</v>
      </c>
      <c r="G256">
        <v>2</v>
      </c>
    </row>
    <row r="257" spans="1:7" x14ac:dyDescent="0.25">
      <c r="A257">
        <v>233</v>
      </c>
      <c r="B257">
        <v>2.9998474936740092</v>
      </c>
      <c r="C257">
        <v>1.5250632599084213E-4</v>
      </c>
      <c r="D257">
        <v>1.0871734600945786E-4</v>
      </c>
      <c r="F257">
        <v>23.273273273273276</v>
      </c>
      <c r="G257">
        <v>2</v>
      </c>
    </row>
    <row r="258" spans="1:7" x14ac:dyDescent="0.25">
      <c r="A258">
        <v>234</v>
      </c>
      <c r="B258">
        <v>3.0068437174498466</v>
      </c>
      <c r="C258">
        <v>-6.8437174498465758E-3</v>
      </c>
      <c r="D258">
        <v>-4.8786881013094053E-3</v>
      </c>
      <c r="F258">
        <v>23.373373373373376</v>
      </c>
      <c r="G258">
        <v>2</v>
      </c>
    </row>
    <row r="259" spans="1:7" x14ac:dyDescent="0.25">
      <c r="A259">
        <v>235</v>
      </c>
      <c r="B259">
        <v>2.999980755079263</v>
      </c>
      <c r="C259">
        <v>-1.999980755079263</v>
      </c>
      <c r="D259">
        <v>-1.4257283974912993</v>
      </c>
      <c r="F259">
        <v>23.473473473473476</v>
      </c>
      <c r="G259">
        <v>2</v>
      </c>
    </row>
    <row r="260" spans="1:7" x14ac:dyDescent="0.25">
      <c r="A260">
        <v>236</v>
      </c>
      <c r="B260">
        <v>2.9939839918428306</v>
      </c>
      <c r="C260">
        <v>6.0160081571694057E-3</v>
      </c>
      <c r="D260">
        <v>4.2886381018580307E-3</v>
      </c>
      <c r="F260">
        <v>23.573573573573576</v>
      </c>
      <c r="G260">
        <v>2</v>
      </c>
    </row>
    <row r="261" spans="1:7" x14ac:dyDescent="0.25">
      <c r="A261">
        <v>237</v>
      </c>
      <c r="B261">
        <v>3.0023128296712089</v>
      </c>
      <c r="C261">
        <v>1.9976871703287911</v>
      </c>
      <c r="D261">
        <v>1.4240933673028857</v>
      </c>
      <c r="F261">
        <v>23.673673673673676</v>
      </c>
      <c r="G261">
        <v>2</v>
      </c>
    </row>
    <row r="262" spans="1:7" x14ac:dyDescent="0.25">
      <c r="A262">
        <v>238</v>
      </c>
      <c r="B262">
        <v>3.0085761157181494</v>
      </c>
      <c r="C262">
        <v>0.99142388428185058</v>
      </c>
      <c r="D262">
        <v>0.70675739363089141</v>
      </c>
      <c r="F262">
        <v>23.773773773773776</v>
      </c>
      <c r="G262">
        <v>2</v>
      </c>
    </row>
    <row r="263" spans="1:7" x14ac:dyDescent="0.25">
      <c r="A263">
        <v>239</v>
      </c>
      <c r="B263">
        <v>3.0108415596074685</v>
      </c>
      <c r="C263">
        <v>0.98915844039253153</v>
      </c>
      <c r="D263">
        <v>0.70514242424794993</v>
      </c>
      <c r="F263">
        <v>23.873873873873876</v>
      </c>
      <c r="G263">
        <v>2</v>
      </c>
    </row>
    <row r="264" spans="1:7" x14ac:dyDescent="0.25">
      <c r="A264">
        <v>240</v>
      </c>
      <c r="B264">
        <v>2.9965159585426577</v>
      </c>
      <c r="C264">
        <v>-1.9965159585426577</v>
      </c>
      <c r="D264">
        <v>-1.423258444317389</v>
      </c>
      <c r="F264">
        <v>23.973973973973976</v>
      </c>
      <c r="G264">
        <v>2</v>
      </c>
    </row>
    <row r="265" spans="1:7" x14ac:dyDescent="0.25">
      <c r="A265">
        <v>241</v>
      </c>
      <c r="B265">
        <v>3.0155723394939873</v>
      </c>
      <c r="C265">
        <v>-1.0155723394939873</v>
      </c>
      <c r="D265">
        <v>-0.72397212845474013</v>
      </c>
      <c r="F265">
        <v>24.074074074074076</v>
      </c>
      <c r="G265">
        <v>2</v>
      </c>
    </row>
    <row r="266" spans="1:7" x14ac:dyDescent="0.25">
      <c r="A266">
        <v>242</v>
      </c>
      <c r="B266">
        <v>3.0074433937734901</v>
      </c>
      <c r="C266">
        <v>-7.4433937734901257E-3</v>
      </c>
      <c r="D266">
        <v>-5.3061799967941232E-3</v>
      </c>
      <c r="F266">
        <v>24.174174174174176</v>
      </c>
      <c r="G266">
        <v>2</v>
      </c>
    </row>
    <row r="267" spans="1:7" x14ac:dyDescent="0.25">
      <c r="A267">
        <v>243</v>
      </c>
      <c r="B267">
        <v>3.0061774104235766</v>
      </c>
      <c r="C267">
        <v>0.99382258957642344</v>
      </c>
      <c r="D267">
        <v>0.70846736121282938</v>
      </c>
      <c r="F267">
        <v>24.274274274274276</v>
      </c>
      <c r="G267">
        <v>2</v>
      </c>
    </row>
    <row r="268" spans="1:7" x14ac:dyDescent="0.25">
      <c r="A268">
        <v>244</v>
      </c>
      <c r="B268">
        <v>3.0133068956046682</v>
      </c>
      <c r="C268">
        <v>-1.3306895604668245E-2</v>
      </c>
      <c r="D268">
        <v>-9.4861007526423798E-3</v>
      </c>
      <c r="F268">
        <v>24.374374374374376</v>
      </c>
      <c r="G268">
        <v>2</v>
      </c>
    </row>
    <row r="269" spans="1:7" x14ac:dyDescent="0.25">
      <c r="A269">
        <v>245</v>
      </c>
      <c r="B269">
        <v>3.0043117507500199</v>
      </c>
      <c r="C269">
        <v>-4.3117507500198826E-3</v>
      </c>
      <c r="D269">
        <v>-3.073722320375089E-3</v>
      </c>
      <c r="F269">
        <v>24.474474474474476</v>
      </c>
      <c r="G269">
        <v>2</v>
      </c>
    </row>
    <row r="270" spans="1:7" x14ac:dyDescent="0.25">
      <c r="A270">
        <v>246</v>
      </c>
      <c r="B270">
        <v>3.0069769788551008</v>
      </c>
      <c r="C270">
        <v>1.9930230211448992</v>
      </c>
      <c r="D270">
        <v>1.4207684303380061</v>
      </c>
      <c r="F270">
        <v>24.574574574574577</v>
      </c>
      <c r="G270">
        <v>2</v>
      </c>
    </row>
    <row r="271" spans="1:7" x14ac:dyDescent="0.25">
      <c r="A271">
        <v>247</v>
      </c>
      <c r="B271">
        <v>3.0051779498841711</v>
      </c>
      <c r="C271">
        <v>1.9948220501158289</v>
      </c>
      <c r="D271">
        <v>1.4220509060244597</v>
      </c>
      <c r="F271">
        <v>24.674674674674677</v>
      </c>
      <c r="G271">
        <v>2</v>
      </c>
    </row>
    <row r="272" spans="1:7" x14ac:dyDescent="0.25">
      <c r="A272">
        <v>248</v>
      </c>
      <c r="B272">
        <v>3.0156389701966142</v>
      </c>
      <c r="C272">
        <v>-1.5638970196614199E-2</v>
      </c>
      <c r="D272">
        <v>-1.1148569235082107E-2</v>
      </c>
      <c r="F272">
        <v>24.774774774774777</v>
      </c>
      <c r="G272">
        <v>2</v>
      </c>
    </row>
    <row r="273" spans="1:7" x14ac:dyDescent="0.25">
      <c r="A273">
        <v>249</v>
      </c>
      <c r="B273">
        <v>3.0118410201468739</v>
      </c>
      <c r="C273">
        <v>-2.0118410201468739</v>
      </c>
      <c r="D273">
        <v>-1.4341832372019929</v>
      </c>
      <c r="F273">
        <v>24.874874874874877</v>
      </c>
      <c r="G273">
        <v>2</v>
      </c>
    </row>
    <row r="274" spans="1:7" x14ac:dyDescent="0.25">
      <c r="A274">
        <v>250</v>
      </c>
      <c r="B274">
        <v>2.9959162822190142</v>
      </c>
      <c r="C274">
        <v>-1.9959162822190142</v>
      </c>
      <c r="D274">
        <v>-1.4228309524219043</v>
      </c>
      <c r="F274">
        <v>24.974974974974977</v>
      </c>
      <c r="G274">
        <v>2</v>
      </c>
    </row>
    <row r="275" spans="1:7" x14ac:dyDescent="0.25">
      <c r="A275">
        <v>251</v>
      </c>
      <c r="B275">
        <v>3.002579352481717</v>
      </c>
      <c r="C275">
        <v>-1.002579352481717</v>
      </c>
      <c r="D275">
        <v>-0.714709804052576</v>
      </c>
      <c r="F275">
        <v>25.075075075075077</v>
      </c>
      <c r="G275">
        <v>2</v>
      </c>
    </row>
    <row r="276" spans="1:7" x14ac:dyDescent="0.25">
      <c r="A276">
        <v>252</v>
      </c>
      <c r="B276">
        <v>3.0111747131206035</v>
      </c>
      <c r="C276">
        <v>-1.0111747131206035</v>
      </c>
      <c r="D276">
        <v>-0.72083718788785378</v>
      </c>
      <c r="F276">
        <v>25.175175175175177</v>
      </c>
      <c r="G276">
        <v>2</v>
      </c>
    </row>
    <row r="277" spans="1:7" x14ac:dyDescent="0.25">
      <c r="A277">
        <v>253</v>
      </c>
      <c r="B277">
        <v>3.017371368464917</v>
      </c>
      <c r="C277">
        <v>-1.7371368464917047E-2</v>
      </c>
      <c r="D277">
        <v>-1.238354582203743E-2</v>
      </c>
      <c r="F277">
        <v>25.275275275275277</v>
      </c>
      <c r="G277">
        <v>2</v>
      </c>
    </row>
    <row r="278" spans="1:7" x14ac:dyDescent="0.25">
      <c r="A278">
        <v>254</v>
      </c>
      <c r="B278">
        <v>2.9967824813531658</v>
      </c>
      <c r="C278">
        <v>2.0032175186468342</v>
      </c>
      <c r="D278">
        <v>1.4280357925612426</v>
      </c>
      <c r="F278">
        <v>25.375375375375377</v>
      </c>
      <c r="G278">
        <v>2</v>
      </c>
    </row>
    <row r="279" spans="1:7" x14ac:dyDescent="0.25">
      <c r="A279">
        <v>255</v>
      </c>
      <c r="B279">
        <v>3.0105084060943335</v>
      </c>
      <c r="C279">
        <v>-2.0105084060943335</v>
      </c>
      <c r="D279">
        <v>-1.4332332552120273</v>
      </c>
      <c r="F279">
        <v>25.475475475475477</v>
      </c>
      <c r="G279">
        <v>2</v>
      </c>
    </row>
    <row r="280" spans="1:7" x14ac:dyDescent="0.25">
      <c r="A280">
        <v>256</v>
      </c>
      <c r="B280">
        <v>3.0140398333335656</v>
      </c>
      <c r="C280">
        <v>0.98596016666643438</v>
      </c>
      <c r="D280">
        <v>0.70286246747203274</v>
      </c>
      <c r="F280">
        <v>25.575575575575577</v>
      </c>
      <c r="G280">
        <v>2</v>
      </c>
    </row>
    <row r="281" spans="1:7" x14ac:dyDescent="0.25">
      <c r="A281">
        <v>257</v>
      </c>
      <c r="B281">
        <v>2.9944504067612199</v>
      </c>
      <c r="C281">
        <v>5.5495932387801261E-3</v>
      </c>
      <c r="D281">
        <v>3.9561444053700223E-3</v>
      </c>
      <c r="F281">
        <v>25.675675675675677</v>
      </c>
      <c r="G281">
        <v>2</v>
      </c>
    </row>
    <row r="282" spans="1:7" x14ac:dyDescent="0.25">
      <c r="A282">
        <v>258</v>
      </c>
      <c r="B282">
        <v>2.997315526974182</v>
      </c>
      <c r="C282">
        <v>-1.997315526974182</v>
      </c>
      <c r="D282">
        <v>-1.4238284335113682</v>
      </c>
      <c r="F282">
        <v>25.775775775775777</v>
      </c>
      <c r="G282">
        <v>2</v>
      </c>
    </row>
    <row r="283" spans="1:7" x14ac:dyDescent="0.25">
      <c r="A283">
        <v>259</v>
      </c>
      <c r="B283">
        <v>3.0021795682659551</v>
      </c>
      <c r="C283">
        <v>-1.0021795682659551</v>
      </c>
      <c r="D283">
        <v>-0.71442480945558651</v>
      </c>
      <c r="F283">
        <v>25.875875875875877</v>
      </c>
      <c r="G283">
        <v>2</v>
      </c>
    </row>
    <row r="284" spans="1:7" x14ac:dyDescent="0.25">
      <c r="A284">
        <v>260</v>
      </c>
      <c r="B284">
        <v>3.0005138007002792</v>
      </c>
      <c r="C284">
        <v>-2.0005138007002792</v>
      </c>
      <c r="D284">
        <v>-1.4261083902872855</v>
      </c>
      <c r="F284">
        <v>25.975975975975977</v>
      </c>
      <c r="G284">
        <v>2</v>
      </c>
    </row>
    <row r="285" spans="1:7" x14ac:dyDescent="0.25">
      <c r="A285">
        <v>261</v>
      </c>
      <c r="B285">
        <v>2.9985148796214682</v>
      </c>
      <c r="C285">
        <v>1.0014851203785318</v>
      </c>
      <c r="D285">
        <v>0.71392975765513145</v>
      </c>
      <c r="F285">
        <v>26.076076076076077</v>
      </c>
      <c r="G285">
        <v>2</v>
      </c>
    </row>
    <row r="286" spans="1:7" x14ac:dyDescent="0.25">
      <c r="A286">
        <v>262</v>
      </c>
      <c r="B286">
        <v>3.0001806471871442</v>
      </c>
      <c r="C286">
        <v>0.99981935281285583</v>
      </c>
      <c r="D286">
        <v>0.71274228016767438</v>
      </c>
      <c r="F286">
        <v>26.176176176176178</v>
      </c>
      <c r="G286">
        <v>2</v>
      </c>
    </row>
    <row r="287" spans="1:7" x14ac:dyDescent="0.25">
      <c r="A287">
        <v>263</v>
      </c>
      <c r="B287">
        <v>3.0127072192810251</v>
      </c>
      <c r="C287">
        <v>0.98729278071897486</v>
      </c>
      <c r="D287">
        <v>0.70381244946199817</v>
      </c>
      <c r="F287">
        <v>26.276276276276278</v>
      </c>
      <c r="G287">
        <v>2</v>
      </c>
    </row>
    <row r="288" spans="1:7" x14ac:dyDescent="0.25">
      <c r="A288">
        <v>264</v>
      </c>
      <c r="B288">
        <v>3.0127072192810251</v>
      </c>
      <c r="C288">
        <v>0.98729278071897486</v>
      </c>
      <c r="D288">
        <v>0.70381244946199817</v>
      </c>
      <c r="F288">
        <v>26.376376376376378</v>
      </c>
      <c r="G288">
        <v>2</v>
      </c>
    </row>
    <row r="289" spans="1:7" x14ac:dyDescent="0.25">
      <c r="A289">
        <v>265</v>
      </c>
      <c r="B289">
        <v>2.9969823734610466</v>
      </c>
      <c r="C289">
        <v>1.0030176265389534</v>
      </c>
      <c r="D289">
        <v>0.7150222369435919</v>
      </c>
      <c r="F289">
        <v>26.476476476476478</v>
      </c>
      <c r="G289">
        <v>2</v>
      </c>
    </row>
    <row r="290" spans="1:7" x14ac:dyDescent="0.25">
      <c r="A290">
        <v>266</v>
      </c>
      <c r="B290">
        <v>3.0066438253419658</v>
      </c>
      <c r="C290">
        <v>-1.0066438253419658</v>
      </c>
      <c r="D290">
        <v>-0.71760724912197105</v>
      </c>
      <c r="F290">
        <v>26.576576576576578</v>
      </c>
      <c r="G290">
        <v>2</v>
      </c>
    </row>
    <row r="291" spans="1:7" x14ac:dyDescent="0.25">
      <c r="A291">
        <v>267</v>
      </c>
      <c r="B291">
        <v>3.0055111033973061</v>
      </c>
      <c r="C291">
        <v>1.9944888966026939</v>
      </c>
      <c r="D291">
        <v>1.4218134105269684</v>
      </c>
      <c r="F291">
        <v>26.676676676676678</v>
      </c>
      <c r="G291">
        <v>2</v>
      </c>
    </row>
    <row r="292" spans="1:7" x14ac:dyDescent="0.25">
      <c r="A292">
        <v>268</v>
      </c>
      <c r="B292">
        <v>3.0061107797209496</v>
      </c>
      <c r="C292">
        <v>-6.1107797209496439E-3</v>
      </c>
      <c r="D292">
        <v>-4.356198006828611E-3</v>
      </c>
      <c r="F292">
        <v>26.776776776776778</v>
      </c>
      <c r="G292">
        <v>2</v>
      </c>
    </row>
    <row r="293" spans="1:7" x14ac:dyDescent="0.25">
      <c r="A293">
        <v>269</v>
      </c>
      <c r="B293">
        <v>3.0019130454554466</v>
      </c>
      <c r="C293">
        <v>0.99808695454455343</v>
      </c>
      <c r="D293">
        <v>0.71150730358071934</v>
      </c>
      <c r="F293">
        <v>26.876876876876878</v>
      </c>
      <c r="G293">
        <v>2</v>
      </c>
    </row>
    <row r="294" spans="1:7" x14ac:dyDescent="0.25">
      <c r="A294">
        <v>270</v>
      </c>
      <c r="B294">
        <v>2.9988480331346037</v>
      </c>
      <c r="C294">
        <v>1.0011519668653963</v>
      </c>
      <c r="D294">
        <v>0.71369226215763981</v>
      </c>
      <c r="F294">
        <v>26.976976976976978</v>
      </c>
      <c r="G294">
        <v>2</v>
      </c>
    </row>
    <row r="295" spans="1:7" x14ac:dyDescent="0.25">
      <c r="A295">
        <v>271</v>
      </c>
      <c r="B295">
        <v>3.0094423148523006</v>
      </c>
      <c r="C295">
        <v>-1.0094423148523006</v>
      </c>
      <c r="D295">
        <v>-0.71960221130089841</v>
      </c>
      <c r="F295">
        <v>27.077077077077078</v>
      </c>
      <c r="G295">
        <v>2</v>
      </c>
    </row>
    <row r="296" spans="1:7" x14ac:dyDescent="0.25">
      <c r="A296">
        <v>272</v>
      </c>
      <c r="B296">
        <v>2.9945836681664737</v>
      </c>
      <c r="C296">
        <v>5.4163318335263E-3</v>
      </c>
      <c r="D296">
        <v>3.8611462063736293E-3</v>
      </c>
      <c r="F296">
        <v>27.177177177177178</v>
      </c>
      <c r="G296">
        <v>2</v>
      </c>
    </row>
    <row r="297" spans="1:7" x14ac:dyDescent="0.25">
      <c r="A297">
        <v>273</v>
      </c>
      <c r="B297">
        <v>3.0127072192810251</v>
      </c>
      <c r="C297">
        <v>0.98729278071897486</v>
      </c>
      <c r="D297">
        <v>0.70381244946199817</v>
      </c>
      <c r="F297">
        <v>27.277277277277278</v>
      </c>
      <c r="G297">
        <v>2</v>
      </c>
    </row>
    <row r="298" spans="1:7" x14ac:dyDescent="0.25">
      <c r="A298">
        <v>274</v>
      </c>
      <c r="B298">
        <v>2.9941172532480844</v>
      </c>
      <c r="C298">
        <v>-1.9941172532480844</v>
      </c>
      <c r="D298">
        <v>-1.4215484767354507</v>
      </c>
      <c r="F298">
        <v>27.377377377377378</v>
      </c>
      <c r="G298">
        <v>2</v>
      </c>
    </row>
    <row r="299" spans="1:7" x14ac:dyDescent="0.25">
      <c r="A299">
        <v>275</v>
      </c>
      <c r="B299">
        <v>2.9990479252424844</v>
      </c>
      <c r="C299">
        <v>9.5207475751557524E-4</v>
      </c>
      <c r="D299">
        <v>6.7870653998908215E-4</v>
      </c>
      <c r="F299">
        <v>27.477477477477478</v>
      </c>
      <c r="G299">
        <v>2</v>
      </c>
    </row>
    <row r="300" spans="1:7" x14ac:dyDescent="0.25">
      <c r="A300">
        <v>276</v>
      </c>
      <c r="B300">
        <v>2.995383236597998</v>
      </c>
      <c r="C300">
        <v>4.616763402002011E-3</v>
      </c>
      <c r="D300">
        <v>3.2911570123943215E-3</v>
      </c>
      <c r="F300">
        <v>27.577577577577578</v>
      </c>
      <c r="G300">
        <v>2</v>
      </c>
    </row>
    <row r="301" spans="1:7" x14ac:dyDescent="0.25">
      <c r="A301">
        <v>277</v>
      </c>
      <c r="B301">
        <v>2.994716929571728</v>
      </c>
      <c r="C301">
        <v>2.005283070428272</v>
      </c>
      <c r="D301">
        <v>1.4295082646456894</v>
      </c>
      <c r="F301">
        <v>27.677677677677679</v>
      </c>
      <c r="G301">
        <v>2</v>
      </c>
    </row>
    <row r="302" spans="1:7" x14ac:dyDescent="0.25">
      <c r="A302">
        <v>278</v>
      </c>
      <c r="B302">
        <v>3.0107082982022142</v>
      </c>
      <c r="C302">
        <v>-2.0107082982022142</v>
      </c>
      <c r="D302">
        <v>-1.433375752510522</v>
      </c>
      <c r="F302">
        <v>27.777777777777779</v>
      </c>
      <c r="G302">
        <v>2</v>
      </c>
    </row>
    <row r="303" spans="1:7" x14ac:dyDescent="0.25">
      <c r="A303">
        <v>279</v>
      </c>
      <c r="B303">
        <v>3.0069103481524739</v>
      </c>
      <c r="C303">
        <v>-2.0069103481524739</v>
      </c>
      <c r="D303">
        <v>-1.4306683038391204</v>
      </c>
      <c r="F303">
        <v>27.877877877877879</v>
      </c>
      <c r="G303">
        <v>2</v>
      </c>
    </row>
    <row r="304" spans="1:7" x14ac:dyDescent="0.25">
      <c r="A304">
        <v>280</v>
      </c>
      <c r="B304">
        <v>2.9987814024319763</v>
      </c>
      <c r="C304">
        <v>2.0012185975680237</v>
      </c>
      <c r="D304">
        <v>1.4266108195762945</v>
      </c>
      <c r="F304">
        <v>27.977977977977979</v>
      </c>
      <c r="G304">
        <v>2</v>
      </c>
    </row>
    <row r="305" spans="1:7" x14ac:dyDescent="0.25">
      <c r="A305">
        <v>281</v>
      </c>
      <c r="B305">
        <v>3.0016465226449385</v>
      </c>
      <c r="C305">
        <v>1.9983534773550615</v>
      </c>
      <c r="D305">
        <v>1.4245683582978685</v>
      </c>
      <c r="F305">
        <v>28.078078078078079</v>
      </c>
      <c r="G305">
        <v>2</v>
      </c>
    </row>
    <row r="306" spans="1:7" x14ac:dyDescent="0.25">
      <c r="A306">
        <v>282</v>
      </c>
      <c r="B306">
        <v>2.995050083084863</v>
      </c>
      <c r="C306">
        <v>1.004949916915137</v>
      </c>
      <c r="D306">
        <v>0.71639971082904186</v>
      </c>
      <c r="F306">
        <v>28.178178178178179</v>
      </c>
      <c r="G306">
        <v>2</v>
      </c>
    </row>
    <row r="307" spans="1:7" x14ac:dyDescent="0.25">
      <c r="A307">
        <v>283</v>
      </c>
      <c r="B307">
        <v>3.0179710447885602</v>
      </c>
      <c r="C307">
        <v>0.98202895521143985</v>
      </c>
      <c r="D307">
        <v>0.7000600206016343</v>
      </c>
      <c r="F307">
        <v>28.278278278278279</v>
      </c>
      <c r="G307">
        <v>2</v>
      </c>
    </row>
    <row r="308" spans="1:7" x14ac:dyDescent="0.25">
      <c r="A308">
        <v>284</v>
      </c>
      <c r="B308">
        <v>3.0157722316018685</v>
      </c>
      <c r="C308">
        <v>1.9842277683981315</v>
      </c>
      <c r="D308">
        <v>1.4144985492042335</v>
      </c>
      <c r="F308">
        <v>28.378378378378379</v>
      </c>
      <c r="G308">
        <v>2</v>
      </c>
    </row>
    <row r="309" spans="1:7" x14ac:dyDescent="0.25">
      <c r="A309">
        <v>285</v>
      </c>
      <c r="B309">
        <v>3.0025127217790901</v>
      </c>
      <c r="C309">
        <v>1.9974872782209099</v>
      </c>
      <c r="D309">
        <v>1.4239508700043908</v>
      </c>
      <c r="F309">
        <v>28.478478478478479</v>
      </c>
      <c r="G309">
        <v>2</v>
      </c>
    </row>
    <row r="310" spans="1:7" x14ac:dyDescent="0.25">
      <c r="A310">
        <v>286</v>
      </c>
      <c r="B310">
        <v>3.0019130454554466</v>
      </c>
      <c r="C310">
        <v>-1.0019130454554466</v>
      </c>
      <c r="D310">
        <v>-0.71423481305759307</v>
      </c>
      <c r="F310">
        <v>28.578578578578579</v>
      </c>
      <c r="G310">
        <v>2</v>
      </c>
    </row>
    <row r="311" spans="1:7" x14ac:dyDescent="0.25">
      <c r="A311">
        <v>287</v>
      </c>
      <c r="B311">
        <v>3.0035788130211225</v>
      </c>
      <c r="C311">
        <v>-1.0035788130211225</v>
      </c>
      <c r="D311">
        <v>-0.71542229054505013</v>
      </c>
      <c r="F311">
        <v>28.678678678678679</v>
      </c>
      <c r="G311">
        <v>2</v>
      </c>
    </row>
    <row r="312" spans="1:7" x14ac:dyDescent="0.25">
      <c r="A312">
        <v>288</v>
      </c>
      <c r="B312">
        <v>2.9952499751927442</v>
      </c>
      <c r="C312">
        <v>2.0047500248072558</v>
      </c>
      <c r="D312">
        <v>1.4291282718497031</v>
      </c>
      <c r="F312">
        <v>28.778778778778779</v>
      </c>
      <c r="G312">
        <v>2</v>
      </c>
    </row>
    <row r="313" spans="1:7" x14ac:dyDescent="0.25">
      <c r="A313">
        <v>289</v>
      </c>
      <c r="B313">
        <v>3.0099087297706899</v>
      </c>
      <c r="C313">
        <v>-1.0099087297706899</v>
      </c>
      <c r="D313">
        <v>-0.71993470499738643</v>
      </c>
      <c r="F313">
        <v>28.878878878878879</v>
      </c>
      <c r="G313">
        <v>2</v>
      </c>
    </row>
    <row r="314" spans="1:7" x14ac:dyDescent="0.25">
      <c r="A314">
        <v>290</v>
      </c>
      <c r="B314">
        <v>3.0141064640361925</v>
      </c>
      <c r="C314">
        <v>1.9858935359638075</v>
      </c>
      <c r="D314">
        <v>1.4156860266916906</v>
      </c>
      <c r="F314">
        <v>28.978978978978979</v>
      </c>
      <c r="G314">
        <v>2</v>
      </c>
    </row>
    <row r="315" spans="1:7" x14ac:dyDescent="0.25">
      <c r="A315">
        <v>291</v>
      </c>
      <c r="B315">
        <v>3.0112413438232304</v>
      </c>
      <c r="C315">
        <v>-2.0112413438232304</v>
      </c>
      <c r="D315">
        <v>-1.4337557453065082</v>
      </c>
      <c r="F315">
        <v>29.079079079079079</v>
      </c>
      <c r="G315">
        <v>2</v>
      </c>
    </row>
    <row r="316" spans="1:7" x14ac:dyDescent="0.25">
      <c r="A316">
        <v>292</v>
      </c>
      <c r="B316">
        <v>3.010175252581198</v>
      </c>
      <c r="C316">
        <v>-2.010175252581198</v>
      </c>
      <c r="D316">
        <v>-1.4329957597145357</v>
      </c>
      <c r="F316">
        <v>29.179179179179179</v>
      </c>
      <c r="G316">
        <v>2</v>
      </c>
    </row>
    <row r="317" spans="1:7" x14ac:dyDescent="0.25">
      <c r="A317">
        <v>293</v>
      </c>
      <c r="B317">
        <v>3.0094423148523006</v>
      </c>
      <c r="C317">
        <v>1.9905576851476994</v>
      </c>
      <c r="D317">
        <v>1.4190109636565702</v>
      </c>
      <c r="F317">
        <v>29.27927927927928</v>
      </c>
      <c r="G317">
        <v>2</v>
      </c>
    </row>
    <row r="318" spans="1:7" x14ac:dyDescent="0.25">
      <c r="A318">
        <v>294</v>
      </c>
      <c r="B318">
        <v>2.9985815103240956</v>
      </c>
      <c r="C318">
        <v>1.0014184896759044</v>
      </c>
      <c r="D318">
        <v>0.71388225855563292</v>
      </c>
      <c r="F318">
        <v>29.37937937937938</v>
      </c>
      <c r="G318">
        <v>2</v>
      </c>
    </row>
    <row r="319" spans="1:7" x14ac:dyDescent="0.25">
      <c r="A319">
        <v>295</v>
      </c>
      <c r="B319">
        <v>2.9956497594085061</v>
      </c>
      <c r="C319">
        <v>2.0043502405914939</v>
      </c>
      <c r="D319">
        <v>1.4288432772527135</v>
      </c>
      <c r="F319">
        <v>29.47947947947948</v>
      </c>
      <c r="G319">
        <v>2</v>
      </c>
    </row>
    <row r="320" spans="1:7" x14ac:dyDescent="0.25">
      <c r="A320">
        <v>296</v>
      </c>
      <c r="B320">
        <v>2.9983816182162144</v>
      </c>
      <c r="C320">
        <v>2.0016183817837856</v>
      </c>
      <c r="D320">
        <v>1.4268958141732841</v>
      </c>
      <c r="F320">
        <v>29.57957957957958</v>
      </c>
      <c r="G320">
        <v>2</v>
      </c>
    </row>
    <row r="321" spans="1:7" x14ac:dyDescent="0.25">
      <c r="A321">
        <v>297</v>
      </c>
      <c r="B321">
        <v>3.0179710447885602</v>
      </c>
      <c r="C321">
        <v>-1.7971044788560153E-2</v>
      </c>
      <c r="D321">
        <v>-1.2811037717521833E-2</v>
      </c>
      <c r="F321">
        <v>29.67967967967968</v>
      </c>
      <c r="G321">
        <v>2</v>
      </c>
    </row>
    <row r="322" spans="1:7" x14ac:dyDescent="0.25">
      <c r="A322">
        <v>298</v>
      </c>
      <c r="B322">
        <v>3.0175046298701713</v>
      </c>
      <c r="C322">
        <v>-1.0175046298701713</v>
      </c>
      <c r="D322">
        <v>-0.7253496023401903</v>
      </c>
      <c r="F322">
        <v>29.77977977977978</v>
      </c>
      <c r="G322">
        <v>2</v>
      </c>
    </row>
    <row r="323" spans="1:7" x14ac:dyDescent="0.25">
      <c r="A323">
        <v>299</v>
      </c>
      <c r="B323">
        <v>3.0111747131206035</v>
      </c>
      <c r="C323">
        <v>-2.0111747131206035</v>
      </c>
      <c r="D323">
        <v>-1.4337082462070099</v>
      </c>
      <c r="F323">
        <v>29.87987987987988</v>
      </c>
      <c r="G323">
        <v>2</v>
      </c>
    </row>
    <row r="324" spans="1:7" x14ac:dyDescent="0.25">
      <c r="A324">
        <v>300</v>
      </c>
      <c r="B324">
        <v>3.0040452279395118</v>
      </c>
      <c r="C324">
        <v>1.9959547720604882</v>
      </c>
      <c r="D324">
        <v>1.4228583907159305</v>
      </c>
      <c r="F324">
        <v>29.979979979979984</v>
      </c>
      <c r="G324">
        <v>2</v>
      </c>
    </row>
    <row r="325" spans="1:7" x14ac:dyDescent="0.25">
      <c r="A325">
        <v>301</v>
      </c>
      <c r="B325">
        <v>3.0105084060943335</v>
      </c>
      <c r="C325">
        <v>0.98949159390566654</v>
      </c>
      <c r="D325">
        <v>0.70537991974544123</v>
      </c>
      <c r="F325">
        <v>30.080080080080084</v>
      </c>
      <c r="G325">
        <v>2</v>
      </c>
    </row>
    <row r="326" spans="1:7" x14ac:dyDescent="0.25">
      <c r="A326">
        <v>302</v>
      </c>
      <c r="B326">
        <v>2.9936508383296956</v>
      </c>
      <c r="C326">
        <v>6.3491616703044151E-3</v>
      </c>
      <c r="D326">
        <v>4.5261335993493296E-3</v>
      </c>
      <c r="F326">
        <v>30.180180180180184</v>
      </c>
      <c r="G326">
        <v>2</v>
      </c>
    </row>
    <row r="327" spans="1:7" x14ac:dyDescent="0.25">
      <c r="A327">
        <v>303</v>
      </c>
      <c r="B327">
        <v>3.0070436095577278</v>
      </c>
      <c r="C327">
        <v>-2.0070436095577278</v>
      </c>
      <c r="D327">
        <v>-1.4307633020381167</v>
      </c>
      <c r="F327">
        <v>30.280280280280284</v>
      </c>
      <c r="G327">
        <v>2</v>
      </c>
    </row>
    <row r="328" spans="1:7" x14ac:dyDescent="0.25">
      <c r="A328">
        <v>304</v>
      </c>
      <c r="B328">
        <v>3.0121741736600089</v>
      </c>
      <c r="C328">
        <v>-1.0121741736600089</v>
      </c>
      <c r="D328">
        <v>-0.72154967438032791</v>
      </c>
      <c r="F328">
        <v>30.380380380380384</v>
      </c>
      <c r="G328">
        <v>2</v>
      </c>
    </row>
    <row r="329" spans="1:7" x14ac:dyDescent="0.25">
      <c r="A329">
        <v>305</v>
      </c>
      <c r="B329">
        <v>2.9959162822190142</v>
      </c>
      <c r="C329">
        <v>-1.9959162822190142</v>
      </c>
      <c r="D329">
        <v>-1.4228309524219043</v>
      </c>
      <c r="F329">
        <v>30.480480480480484</v>
      </c>
      <c r="G329">
        <v>2</v>
      </c>
    </row>
    <row r="330" spans="1:7" x14ac:dyDescent="0.25">
      <c r="A330">
        <v>306</v>
      </c>
      <c r="B330">
        <v>3.0130403727941601</v>
      </c>
      <c r="C330">
        <v>-1.3040372794160149E-2</v>
      </c>
      <c r="D330">
        <v>-9.2961043546492764E-3</v>
      </c>
      <c r="F330">
        <v>30.580580580580584</v>
      </c>
      <c r="G330">
        <v>2</v>
      </c>
    </row>
    <row r="331" spans="1:7" x14ac:dyDescent="0.25">
      <c r="A331">
        <v>307</v>
      </c>
      <c r="B331">
        <v>3.0031123981027332</v>
      </c>
      <c r="C331">
        <v>-2.0031123981027332</v>
      </c>
      <c r="D331">
        <v>-1.4279608551677183</v>
      </c>
      <c r="F331">
        <v>30.680680680680684</v>
      </c>
      <c r="G331">
        <v>2</v>
      </c>
    </row>
    <row r="332" spans="1:7" x14ac:dyDescent="0.25">
      <c r="A332">
        <v>308</v>
      </c>
      <c r="B332">
        <v>3.0013133691318035</v>
      </c>
      <c r="C332">
        <v>-2.0013133691318035</v>
      </c>
      <c r="D332">
        <v>-1.4266783794812647</v>
      </c>
      <c r="F332">
        <v>30.780780780780784</v>
      </c>
      <c r="G332">
        <v>2</v>
      </c>
    </row>
    <row r="333" spans="1:7" x14ac:dyDescent="0.25">
      <c r="A333">
        <v>309</v>
      </c>
      <c r="B333">
        <v>3.0118410201468739</v>
      </c>
      <c r="C333">
        <v>-1.0118410201468739</v>
      </c>
      <c r="D333">
        <v>-0.72131217888283661</v>
      </c>
      <c r="F333">
        <v>30.880880880880884</v>
      </c>
      <c r="G333">
        <v>2</v>
      </c>
    </row>
    <row r="334" spans="1:7" x14ac:dyDescent="0.25">
      <c r="A334">
        <v>310</v>
      </c>
      <c r="B334">
        <v>3.0137733105230575</v>
      </c>
      <c r="C334">
        <v>1.9862266894769425</v>
      </c>
      <c r="D334">
        <v>1.4159235221891819</v>
      </c>
      <c r="F334">
        <v>30.980980980980984</v>
      </c>
      <c r="G334">
        <v>2</v>
      </c>
    </row>
    <row r="335" spans="1:7" x14ac:dyDescent="0.25">
      <c r="A335">
        <v>311</v>
      </c>
      <c r="B335">
        <v>3.0055111033973061</v>
      </c>
      <c r="C335">
        <v>0.99448889660269391</v>
      </c>
      <c r="D335">
        <v>0.70894235220781232</v>
      </c>
      <c r="F335">
        <v>31.081081081081084</v>
      </c>
      <c r="G335">
        <v>2</v>
      </c>
    </row>
    <row r="336" spans="1:7" x14ac:dyDescent="0.25">
      <c r="A336">
        <v>312</v>
      </c>
      <c r="B336">
        <v>3.0077765472866251</v>
      </c>
      <c r="C336">
        <v>-1.0077765472866251</v>
      </c>
      <c r="D336">
        <v>-0.71841473381344156</v>
      </c>
      <c r="F336">
        <v>31.181181181181184</v>
      </c>
      <c r="G336">
        <v>2</v>
      </c>
    </row>
    <row r="337" spans="1:7" x14ac:dyDescent="0.25">
      <c r="A337">
        <v>313</v>
      </c>
      <c r="B337">
        <v>3.0031790288053601</v>
      </c>
      <c r="C337">
        <v>-2.0031790288053601</v>
      </c>
      <c r="D337">
        <v>-1.4280083542672166</v>
      </c>
      <c r="F337">
        <v>31.281281281281284</v>
      </c>
      <c r="G337">
        <v>2</v>
      </c>
    </row>
    <row r="338" spans="1:7" x14ac:dyDescent="0.25">
      <c r="A338">
        <v>314</v>
      </c>
      <c r="B338">
        <v>3.0109081903100954</v>
      </c>
      <c r="C338">
        <v>1.9890918096899046</v>
      </c>
      <c r="D338">
        <v>1.4179659834676079</v>
      </c>
      <c r="F338">
        <v>31.381381381381384</v>
      </c>
      <c r="G338">
        <v>2</v>
      </c>
    </row>
    <row r="339" spans="1:7" x14ac:dyDescent="0.25">
      <c r="A339">
        <v>315</v>
      </c>
      <c r="B339">
        <v>3.0047115349657818</v>
      </c>
      <c r="C339">
        <v>-4.7115349657818051E-3</v>
      </c>
      <c r="D339">
        <v>-3.3587169173645848E-3</v>
      </c>
      <c r="F339">
        <v>31.481481481481485</v>
      </c>
      <c r="G339">
        <v>2</v>
      </c>
    </row>
    <row r="340" spans="1:7" x14ac:dyDescent="0.25">
      <c r="A340">
        <v>316</v>
      </c>
      <c r="B340">
        <v>2.9975820497846901</v>
      </c>
      <c r="C340">
        <v>2.0024179502153099</v>
      </c>
      <c r="D340">
        <v>1.4274658033672634</v>
      </c>
      <c r="F340">
        <v>31.581581581581585</v>
      </c>
      <c r="G340">
        <v>2</v>
      </c>
    </row>
    <row r="341" spans="1:7" x14ac:dyDescent="0.25">
      <c r="A341">
        <v>317</v>
      </c>
      <c r="B341">
        <v>3.0149060324677173</v>
      </c>
      <c r="C341">
        <v>-1.4906032467717267E-2</v>
      </c>
      <c r="D341">
        <v>-1.0626079140601312E-2</v>
      </c>
      <c r="F341">
        <v>31.681681681681685</v>
      </c>
      <c r="G341">
        <v>2</v>
      </c>
    </row>
    <row r="342" spans="1:7" x14ac:dyDescent="0.25">
      <c r="A342">
        <v>318</v>
      </c>
      <c r="B342">
        <v>3.0079098086918794</v>
      </c>
      <c r="C342">
        <v>-2.0079098086918794</v>
      </c>
      <c r="D342">
        <v>-1.4313807903315945</v>
      </c>
      <c r="F342">
        <v>31.781781781781785</v>
      </c>
      <c r="G342">
        <v>2</v>
      </c>
    </row>
    <row r="343" spans="1:7" x14ac:dyDescent="0.25">
      <c r="A343">
        <v>319</v>
      </c>
      <c r="B343">
        <v>3.0137066798204306</v>
      </c>
      <c r="C343">
        <v>0.98629332017956939</v>
      </c>
      <c r="D343">
        <v>0.70309996296952404</v>
      </c>
      <c r="F343">
        <v>31.881881881881885</v>
      </c>
      <c r="G343">
        <v>2</v>
      </c>
    </row>
    <row r="344" spans="1:7" x14ac:dyDescent="0.25">
      <c r="A344">
        <v>320</v>
      </c>
      <c r="B344">
        <v>3.0083095929076413</v>
      </c>
      <c r="C344">
        <v>1.9916904070923587</v>
      </c>
      <c r="D344">
        <v>1.4198184483480407</v>
      </c>
      <c r="F344">
        <v>31.981981981981985</v>
      </c>
      <c r="G344">
        <v>2</v>
      </c>
    </row>
    <row r="345" spans="1:7" x14ac:dyDescent="0.25">
      <c r="A345">
        <v>321</v>
      </c>
      <c r="B345">
        <v>3.0153724473861061</v>
      </c>
      <c r="C345">
        <v>-2.0153724473861061</v>
      </c>
      <c r="D345">
        <v>-1.4367006894754013</v>
      </c>
      <c r="F345">
        <v>32.082082082082088</v>
      </c>
      <c r="G345">
        <v>2</v>
      </c>
    </row>
    <row r="346" spans="1:7" x14ac:dyDescent="0.25">
      <c r="A346">
        <v>322</v>
      </c>
      <c r="B346">
        <v>3.015105924575598</v>
      </c>
      <c r="C346">
        <v>1.984894075424402</v>
      </c>
      <c r="D346">
        <v>1.4149735401992165</v>
      </c>
      <c r="F346">
        <v>32.182182182182189</v>
      </c>
      <c r="G346">
        <v>2</v>
      </c>
    </row>
    <row r="347" spans="1:7" x14ac:dyDescent="0.25">
      <c r="A347">
        <v>323</v>
      </c>
      <c r="B347">
        <v>2.9991811866477387</v>
      </c>
      <c r="C347">
        <v>8.1881335226130503E-4</v>
      </c>
      <c r="D347">
        <v>5.8370834099237252E-4</v>
      </c>
      <c r="F347">
        <v>32.282282282282289</v>
      </c>
      <c r="G347">
        <v>2</v>
      </c>
    </row>
    <row r="348" spans="1:7" x14ac:dyDescent="0.25">
      <c r="A348">
        <v>324</v>
      </c>
      <c r="B348">
        <v>3.0129737420915332</v>
      </c>
      <c r="C348">
        <v>-2.0129737420915332</v>
      </c>
      <c r="D348">
        <v>-1.4349907218934634</v>
      </c>
      <c r="F348">
        <v>32.382382382382389</v>
      </c>
      <c r="G348">
        <v>2</v>
      </c>
    </row>
    <row r="349" spans="1:7" x14ac:dyDescent="0.25">
      <c r="A349">
        <v>325</v>
      </c>
      <c r="B349">
        <v>3.0155057087913604</v>
      </c>
      <c r="C349">
        <v>-1.0155057087913604</v>
      </c>
      <c r="D349">
        <v>-0.72392462935524193</v>
      </c>
      <c r="F349">
        <v>32.482482482482489</v>
      </c>
      <c r="G349">
        <v>2</v>
      </c>
    </row>
    <row r="350" spans="1:7" x14ac:dyDescent="0.25">
      <c r="A350">
        <v>326</v>
      </c>
      <c r="B350">
        <v>3.0131070034967875</v>
      </c>
      <c r="C350">
        <v>1.9868929965032125</v>
      </c>
      <c r="D350">
        <v>1.4163985131841645</v>
      </c>
      <c r="F350">
        <v>32.582582582582589</v>
      </c>
      <c r="G350">
        <v>2</v>
      </c>
    </row>
    <row r="351" spans="1:7" x14ac:dyDescent="0.25">
      <c r="A351">
        <v>327</v>
      </c>
      <c r="B351">
        <v>2.9961828050295223</v>
      </c>
      <c r="C351">
        <v>3.8171949704777219E-3</v>
      </c>
      <c r="D351">
        <v>2.7211678184150137E-3</v>
      </c>
      <c r="F351">
        <v>32.682682682682689</v>
      </c>
      <c r="G351">
        <v>2</v>
      </c>
    </row>
    <row r="352" spans="1:7" x14ac:dyDescent="0.25">
      <c r="A352">
        <v>328</v>
      </c>
      <c r="B352">
        <v>3.0083095929076413</v>
      </c>
      <c r="C352">
        <v>-1.0083095929076413</v>
      </c>
      <c r="D352">
        <v>-0.71879472660942778</v>
      </c>
      <c r="F352">
        <v>32.782782782782789</v>
      </c>
      <c r="G352">
        <v>2</v>
      </c>
    </row>
    <row r="353" spans="1:7" x14ac:dyDescent="0.25">
      <c r="A353">
        <v>329</v>
      </c>
      <c r="B353">
        <v>3.0084428543128956</v>
      </c>
      <c r="C353">
        <v>-2.0084428543128956</v>
      </c>
      <c r="D353">
        <v>-1.4317607831275807</v>
      </c>
      <c r="F353">
        <v>32.882882882882889</v>
      </c>
      <c r="G353">
        <v>2</v>
      </c>
    </row>
    <row r="354" spans="1:7" x14ac:dyDescent="0.25">
      <c r="A354">
        <v>330</v>
      </c>
      <c r="B354">
        <v>3.0028458752922251</v>
      </c>
      <c r="C354">
        <v>-2.0028458752922251</v>
      </c>
      <c r="D354">
        <v>-1.4277708587697253</v>
      </c>
      <c r="F354">
        <v>32.982982982982989</v>
      </c>
      <c r="G354">
        <v>2</v>
      </c>
    </row>
    <row r="355" spans="1:7" x14ac:dyDescent="0.25">
      <c r="A355">
        <v>331</v>
      </c>
      <c r="B355">
        <v>3.0142397254414468</v>
      </c>
      <c r="C355">
        <v>0.9857602745585532</v>
      </c>
      <c r="D355">
        <v>0.70271997017353782</v>
      </c>
      <c r="F355">
        <v>33.083083083083089</v>
      </c>
      <c r="G355">
        <v>2</v>
      </c>
    </row>
    <row r="356" spans="1:7" x14ac:dyDescent="0.25">
      <c r="A356">
        <v>332</v>
      </c>
      <c r="B356">
        <v>3.0046449042631549</v>
      </c>
      <c r="C356">
        <v>0.99535509573684511</v>
      </c>
      <c r="D356">
        <v>0.70955984050128984</v>
      </c>
      <c r="F356">
        <v>33.183183183183189</v>
      </c>
      <c r="G356">
        <v>2</v>
      </c>
    </row>
    <row r="357" spans="1:7" x14ac:dyDescent="0.25">
      <c r="A357">
        <v>333</v>
      </c>
      <c r="B357">
        <v>3.0046449042631549</v>
      </c>
      <c r="C357">
        <v>-4.644904263154892E-3</v>
      </c>
      <c r="D357">
        <v>-3.3112178178663883E-3</v>
      </c>
      <c r="F357">
        <v>33.283283283283289</v>
      </c>
      <c r="G357">
        <v>2</v>
      </c>
    </row>
    <row r="358" spans="1:7" x14ac:dyDescent="0.25">
      <c r="A358">
        <v>334</v>
      </c>
      <c r="B358">
        <v>2.9993810787556199</v>
      </c>
      <c r="C358">
        <v>-1.9993810787556199</v>
      </c>
      <c r="D358">
        <v>-1.4253009055958148</v>
      </c>
      <c r="F358">
        <v>33.383383383383389</v>
      </c>
      <c r="G358">
        <v>2</v>
      </c>
    </row>
    <row r="359" spans="1:7" x14ac:dyDescent="0.25">
      <c r="A359">
        <v>335</v>
      </c>
      <c r="B359">
        <v>3.0137733105230575</v>
      </c>
      <c r="C359">
        <v>-2.0137733105230575</v>
      </c>
      <c r="D359">
        <v>-1.4355607110874427</v>
      </c>
      <c r="F359">
        <v>33.483483483483489</v>
      </c>
      <c r="G359">
        <v>2</v>
      </c>
    </row>
    <row r="360" spans="1:7" x14ac:dyDescent="0.25">
      <c r="A360">
        <v>336</v>
      </c>
      <c r="B360">
        <v>3.012107542957382</v>
      </c>
      <c r="C360">
        <v>-1.2107542957382034E-2</v>
      </c>
      <c r="D360">
        <v>-8.631116961673577E-3</v>
      </c>
      <c r="F360">
        <v>33.583583583583589</v>
      </c>
      <c r="G360">
        <v>2</v>
      </c>
    </row>
    <row r="361" spans="1:7" x14ac:dyDescent="0.25">
      <c r="A361">
        <v>337</v>
      </c>
      <c r="B361">
        <v>3.0130403727941601</v>
      </c>
      <c r="C361">
        <v>-1.0130403727941601</v>
      </c>
      <c r="D361">
        <v>-0.72216716267380543</v>
      </c>
      <c r="F361">
        <v>33.683683683683689</v>
      </c>
      <c r="G361">
        <v>2</v>
      </c>
    </row>
    <row r="362" spans="1:7" x14ac:dyDescent="0.25">
      <c r="A362">
        <v>338</v>
      </c>
      <c r="B362">
        <v>3.0138399412256844</v>
      </c>
      <c r="C362">
        <v>-1.3839941225684438E-2</v>
      </c>
      <c r="D362">
        <v>-9.8660935486285847E-3</v>
      </c>
      <c r="F362">
        <v>33.78378378378379</v>
      </c>
      <c r="G362">
        <v>2</v>
      </c>
    </row>
    <row r="363" spans="1:7" x14ac:dyDescent="0.25">
      <c r="A363">
        <v>339</v>
      </c>
      <c r="B363">
        <v>2.9949834523822361</v>
      </c>
      <c r="C363">
        <v>-1.9949834523822361</v>
      </c>
      <c r="D363">
        <v>-1.4221659650289284</v>
      </c>
      <c r="F363">
        <v>33.88388388388389</v>
      </c>
      <c r="G363">
        <v>2</v>
      </c>
    </row>
    <row r="364" spans="1:7" x14ac:dyDescent="0.25">
      <c r="A364">
        <v>340</v>
      </c>
      <c r="B364">
        <v>3.0128404806862794</v>
      </c>
      <c r="C364">
        <v>-1.284048068627941E-2</v>
      </c>
      <c r="D364">
        <v>-9.1536070561546879E-3</v>
      </c>
      <c r="F364">
        <v>33.98398398398399</v>
      </c>
      <c r="G364">
        <v>2</v>
      </c>
    </row>
    <row r="365" spans="1:7" x14ac:dyDescent="0.25">
      <c r="A365">
        <v>341</v>
      </c>
      <c r="B365">
        <v>3.0080430700971332</v>
      </c>
      <c r="C365">
        <v>0.99195692990286677</v>
      </c>
      <c r="D365">
        <v>0.70713738642687762</v>
      </c>
      <c r="F365">
        <v>34.08408408408409</v>
      </c>
      <c r="G365">
        <v>2</v>
      </c>
    </row>
    <row r="366" spans="1:7" x14ac:dyDescent="0.25">
      <c r="A366">
        <v>342</v>
      </c>
      <c r="B366">
        <v>2.9937840997349494</v>
      </c>
      <c r="C366">
        <v>2.0062159002650506</v>
      </c>
      <c r="D366">
        <v>1.4301732520386654</v>
      </c>
      <c r="F366">
        <v>34.18418418418419</v>
      </c>
      <c r="G366">
        <v>2</v>
      </c>
    </row>
    <row r="367" spans="1:7" x14ac:dyDescent="0.25">
      <c r="A367">
        <v>343</v>
      </c>
      <c r="B367">
        <v>3.007176870962982</v>
      </c>
      <c r="C367">
        <v>-1.007176870962982</v>
      </c>
      <c r="D367">
        <v>-0.71798724191795715</v>
      </c>
      <c r="F367">
        <v>34.28428428428429</v>
      </c>
      <c r="G367">
        <v>2</v>
      </c>
    </row>
    <row r="368" spans="1:7" x14ac:dyDescent="0.25">
      <c r="A368">
        <v>344</v>
      </c>
      <c r="B368">
        <v>3.0153724473861061</v>
      </c>
      <c r="C368">
        <v>-1.5372447386106103E-2</v>
      </c>
      <c r="D368">
        <v>-1.0958572837089004E-2</v>
      </c>
      <c r="F368">
        <v>34.38438438438439</v>
      </c>
      <c r="G368">
        <v>2</v>
      </c>
    </row>
    <row r="369" spans="1:7" x14ac:dyDescent="0.25">
      <c r="A369">
        <v>345</v>
      </c>
      <c r="B369">
        <v>3.0026459831843439</v>
      </c>
      <c r="C369">
        <v>-2.6459831843439474E-3</v>
      </c>
      <c r="D369">
        <v>-1.8862448329179608E-3</v>
      </c>
      <c r="F369">
        <v>34.48448448448449</v>
      </c>
      <c r="G369">
        <v>2</v>
      </c>
    </row>
    <row r="370" spans="1:7" x14ac:dyDescent="0.25">
      <c r="A370">
        <v>346</v>
      </c>
      <c r="B370">
        <v>3.0127072192810251</v>
      </c>
      <c r="C370">
        <v>-1.0127072192810251</v>
      </c>
      <c r="D370">
        <v>-0.72192966717631413</v>
      </c>
      <c r="F370">
        <v>34.58458458458459</v>
      </c>
      <c r="G370">
        <v>2</v>
      </c>
    </row>
    <row r="371" spans="1:7" x14ac:dyDescent="0.25">
      <c r="A371">
        <v>347</v>
      </c>
      <c r="B371">
        <v>2.9991811866477387</v>
      </c>
      <c r="C371">
        <v>8.1881335226130503E-4</v>
      </c>
      <c r="D371">
        <v>5.8370834099237252E-4</v>
      </c>
      <c r="F371">
        <v>34.68468468468469</v>
      </c>
      <c r="G371">
        <v>2</v>
      </c>
    </row>
    <row r="372" spans="1:7" x14ac:dyDescent="0.25">
      <c r="A372">
        <v>348</v>
      </c>
      <c r="B372">
        <v>3.0133068956046682</v>
      </c>
      <c r="C372">
        <v>0.98669310439533175</v>
      </c>
      <c r="D372">
        <v>0.70338495756651376</v>
      </c>
      <c r="F372">
        <v>34.78478478478479</v>
      </c>
      <c r="G372">
        <v>2</v>
      </c>
    </row>
    <row r="373" spans="1:7" x14ac:dyDescent="0.25">
      <c r="A373">
        <v>349</v>
      </c>
      <c r="B373">
        <v>3.0110414517153496</v>
      </c>
      <c r="C373">
        <v>-1.0110414517153496</v>
      </c>
      <c r="D373">
        <v>-0.72074218968885739</v>
      </c>
      <c r="F373">
        <v>34.88488488488489</v>
      </c>
      <c r="G373">
        <v>2</v>
      </c>
    </row>
    <row r="374" spans="1:7" x14ac:dyDescent="0.25">
      <c r="A374">
        <v>350</v>
      </c>
      <c r="B374">
        <v>3.0179710447885602</v>
      </c>
      <c r="C374">
        <v>-1.7971044788560153E-2</v>
      </c>
      <c r="D374">
        <v>-1.2811037717521833E-2</v>
      </c>
      <c r="F374">
        <v>34.98498498498499</v>
      </c>
      <c r="G374">
        <v>2</v>
      </c>
    </row>
    <row r="375" spans="1:7" x14ac:dyDescent="0.25">
      <c r="A375">
        <v>351</v>
      </c>
      <c r="B375">
        <v>2.9969823734610466</v>
      </c>
      <c r="C375">
        <v>-1.9969823734610466</v>
      </c>
      <c r="D375">
        <v>-1.4235909380138767</v>
      </c>
      <c r="F375">
        <v>35.08508508508509</v>
      </c>
      <c r="G375">
        <v>2</v>
      </c>
    </row>
    <row r="376" spans="1:7" x14ac:dyDescent="0.25">
      <c r="A376">
        <v>352</v>
      </c>
      <c r="B376">
        <v>3.0091091613391656</v>
      </c>
      <c r="C376">
        <v>-9.1091613391656168E-3</v>
      </c>
      <c r="D376">
        <v>-6.4936574842509353E-3</v>
      </c>
      <c r="F376">
        <v>35.18518518518519</v>
      </c>
      <c r="G376">
        <v>2</v>
      </c>
    </row>
    <row r="377" spans="1:7" x14ac:dyDescent="0.25">
      <c r="A377">
        <v>353</v>
      </c>
      <c r="B377">
        <v>3.0076432858813713</v>
      </c>
      <c r="C377">
        <v>-1.0076432858813713</v>
      </c>
      <c r="D377">
        <v>-0.71831973561444518</v>
      </c>
      <c r="F377">
        <v>35.285285285285291</v>
      </c>
      <c r="G377">
        <v>2</v>
      </c>
    </row>
    <row r="378" spans="1:7" x14ac:dyDescent="0.25">
      <c r="A378">
        <v>354</v>
      </c>
      <c r="B378">
        <v>3.0079764393945063</v>
      </c>
      <c r="C378">
        <v>-1.0079764393945063</v>
      </c>
      <c r="D378">
        <v>-0.71855723111193648</v>
      </c>
      <c r="F378">
        <v>35.385385385385391</v>
      </c>
      <c r="G378">
        <v>2</v>
      </c>
    </row>
    <row r="379" spans="1:7" x14ac:dyDescent="0.25">
      <c r="A379">
        <v>355</v>
      </c>
      <c r="B379">
        <v>2.9935175769244413</v>
      </c>
      <c r="C379">
        <v>1.0064824230755587</v>
      </c>
      <c r="D379">
        <v>0.7174921901175022</v>
      </c>
      <c r="F379">
        <v>35.485485485485491</v>
      </c>
      <c r="G379">
        <v>2</v>
      </c>
    </row>
    <row r="380" spans="1:7" x14ac:dyDescent="0.25">
      <c r="A380">
        <v>356</v>
      </c>
      <c r="B380">
        <v>3.0117743894442466</v>
      </c>
      <c r="C380">
        <v>0.98822561055575342</v>
      </c>
      <c r="D380">
        <v>0.70447743685497421</v>
      </c>
      <c r="F380">
        <v>35.585585585585591</v>
      </c>
      <c r="G380">
        <v>2</v>
      </c>
    </row>
    <row r="381" spans="1:7" x14ac:dyDescent="0.25">
      <c r="A381">
        <v>357</v>
      </c>
      <c r="B381">
        <v>3.0013799998344304</v>
      </c>
      <c r="C381">
        <v>0.99862000016556962</v>
      </c>
      <c r="D381">
        <v>0.71188729637670556</v>
      </c>
      <c r="F381">
        <v>35.685685685685691</v>
      </c>
      <c r="G381">
        <v>2</v>
      </c>
    </row>
    <row r="382" spans="1:7" x14ac:dyDescent="0.25">
      <c r="A382">
        <v>358</v>
      </c>
      <c r="B382">
        <v>3.0071102402603547</v>
      </c>
      <c r="C382">
        <v>-1.0071102402603547</v>
      </c>
      <c r="D382">
        <v>-0.71793974281845874</v>
      </c>
      <c r="F382">
        <v>35.785785785785791</v>
      </c>
      <c r="G382">
        <v>2</v>
      </c>
    </row>
    <row r="383" spans="1:7" x14ac:dyDescent="0.25">
      <c r="A383">
        <v>359</v>
      </c>
      <c r="B383">
        <v>3.0107749289048416</v>
      </c>
      <c r="C383">
        <v>-1.0774928904841552E-2</v>
      </c>
      <c r="D383">
        <v>-7.6811349717080639E-3</v>
      </c>
      <c r="F383">
        <v>35.885885885885891</v>
      </c>
      <c r="G383">
        <v>2</v>
      </c>
    </row>
    <row r="384" spans="1:7" x14ac:dyDescent="0.25">
      <c r="A384">
        <v>360</v>
      </c>
      <c r="B384">
        <v>3.0113746052284847</v>
      </c>
      <c r="C384">
        <v>0.98862539477151534</v>
      </c>
      <c r="D384">
        <v>0.70476243145196371</v>
      </c>
      <c r="F384">
        <v>35.985985985985991</v>
      </c>
      <c r="G384">
        <v>2</v>
      </c>
    </row>
    <row r="385" spans="1:7" x14ac:dyDescent="0.25">
      <c r="A385">
        <v>361</v>
      </c>
      <c r="B385">
        <v>3.0039785972368844</v>
      </c>
      <c r="C385">
        <v>0.99602140276311557</v>
      </c>
      <c r="D385">
        <v>0.71003483149627267</v>
      </c>
      <c r="F385">
        <v>36.086086086086091</v>
      </c>
      <c r="G385">
        <v>2</v>
      </c>
    </row>
    <row r="386" spans="1:7" x14ac:dyDescent="0.25">
      <c r="A386">
        <v>362</v>
      </c>
      <c r="B386">
        <v>2.9981817261083332</v>
      </c>
      <c r="C386">
        <v>-1.9981817261083332</v>
      </c>
      <c r="D386">
        <v>-1.4244459218048457</v>
      </c>
      <c r="F386">
        <v>36.186186186186191</v>
      </c>
      <c r="G386">
        <v>2</v>
      </c>
    </row>
    <row r="387" spans="1:7" x14ac:dyDescent="0.25">
      <c r="A387">
        <v>363</v>
      </c>
      <c r="B387">
        <v>3.0132402649020413</v>
      </c>
      <c r="C387">
        <v>0.98675973509795867</v>
      </c>
      <c r="D387">
        <v>0.70343245666601195</v>
      </c>
      <c r="F387">
        <v>36.286286286286291</v>
      </c>
      <c r="G387">
        <v>2</v>
      </c>
    </row>
    <row r="388" spans="1:7" x14ac:dyDescent="0.25">
      <c r="A388">
        <v>364</v>
      </c>
      <c r="B388">
        <v>3.0157722316018685</v>
      </c>
      <c r="C388">
        <v>1.9842277683981315</v>
      </c>
      <c r="D388">
        <v>1.4144985492042335</v>
      </c>
      <c r="F388">
        <v>36.386386386386391</v>
      </c>
      <c r="G388">
        <v>2</v>
      </c>
    </row>
    <row r="389" spans="1:7" x14ac:dyDescent="0.25">
      <c r="A389">
        <v>365</v>
      </c>
      <c r="B389">
        <v>3.0086427464207763</v>
      </c>
      <c r="C389">
        <v>-2.0086427464207763</v>
      </c>
      <c r="D389">
        <v>-1.4319032804260754</v>
      </c>
      <c r="F389">
        <v>36.486486486486491</v>
      </c>
      <c r="G389">
        <v>2</v>
      </c>
    </row>
    <row r="390" spans="1:7" x14ac:dyDescent="0.25">
      <c r="A390">
        <v>366</v>
      </c>
      <c r="B390">
        <v>2.9963826971374035</v>
      </c>
      <c r="C390">
        <v>-1.9963826971374035</v>
      </c>
      <c r="D390">
        <v>-1.4231634461183922</v>
      </c>
      <c r="F390">
        <v>36.586586586586591</v>
      </c>
      <c r="G390">
        <v>2</v>
      </c>
    </row>
    <row r="391" spans="1:7" x14ac:dyDescent="0.25">
      <c r="A391">
        <v>367</v>
      </c>
      <c r="B391">
        <v>3.0155723394939873</v>
      </c>
      <c r="C391">
        <v>-1.0155723394939873</v>
      </c>
      <c r="D391">
        <v>-0.72397212845474013</v>
      </c>
      <c r="F391">
        <v>36.686686686686691</v>
      </c>
      <c r="G391">
        <v>2</v>
      </c>
    </row>
    <row r="392" spans="1:7" x14ac:dyDescent="0.25">
      <c r="A392">
        <v>368</v>
      </c>
      <c r="B392">
        <v>3.0049780577762899</v>
      </c>
      <c r="C392">
        <v>-1.0049780577762899</v>
      </c>
      <c r="D392">
        <v>-0.71641977163451387</v>
      </c>
      <c r="F392">
        <v>36.786786786786791</v>
      </c>
      <c r="G392">
        <v>2</v>
      </c>
    </row>
    <row r="393" spans="1:7" x14ac:dyDescent="0.25">
      <c r="A393">
        <v>369</v>
      </c>
      <c r="B393">
        <v>3.0050446884789173</v>
      </c>
      <c r="C393">
        <v>1.9949553115210827</v>
      </c>
      <c r="D393">
        <v>1.4221459042234561</v>
      </c>
      <c r="F393">
        <v>36.886886886886892</v>
      </c>
      <c r="G393">
        <v>2</v>
      </c>
    </row>
    <row r="394" spans="1:7" x14ac:dyDescent="0.25">
      <c r="A394">
        <v>370</v>
      </c>
      <c r="B394">
        <v>3.0073767630708632</v>
      </c>
      <c r="C394">
        <v>-7.3767630708632126E-3</v>
      </c>
      <c r="D394">
        <v>-5.2586808972959267E-3</v>
      </c>
      <c r="F394">
        <v>36.986986986986992</v>
      </c>
      <c r="G394">
        <v>2</v>
      </c>
    </row>
    <row r="395" spans="1:7" x14ac:dyDescent="0.25">
      <c r="A395">
        <v>371</v>
      </c>
      <c r="B395">
        <v>3.0136400491178037</v>
      </c>
      <c r="C395">
        <v>-2.0136400491178037</v>
      </c>
      <c r="D395">
        <v>-1.4354657128884463</v>
      </c>
      <c r="F395">
        <v>37.087087087087092</v>
      </c>
      <c r="G395">
        <v>2</v>
      </c>
    </row>
    <row r="396" spans="1:7" x14ac:dyDescent="0.25">
      <c r="A396">
        <v>372</v>
      </c>
      <c r="B396">
        <v>3.0143729868467006</v>
      </c>
      <c r="C396">
        <v>-1.4372986846700631E-2</v>
      </c>
      <c r="D396">
        <v>-1.024608634461479E-2</v>
      </c>
      <c r="F396">
        <v>37.187187187187192</v>
      </c>
      <c r="G396">
        <v>2</v>
      </c>
    </row>
    <row r="397" spans="1:7" x14ac:dyDescent="0.25">
      <c r="A397">
        <v>373</v>
      </c>
      <c r="B397">
        <v>3.0179710447885602</v>
      </c>
      <c r="C397">
        <v>-1.7971044788560153E-2</v>
      </c>
      <c r="D397">
        <v>-1.2811037717521833E-2</v>
      </c>
      <c r="F397">
        <v>37.287287287287292</v>
      </c>
      <c r="G397">
        <v>2</v>
      </c>
    </row>
    <row r="398" spans="1:7" x14ac:dyDescent="0.25">
      <c r="A398">
        <v>374</v>
      </c>
      <c r="B398">
        <v>3.0037120744263763</v>
      </c>
      <c r="C398">
        <v>-3.7120744263763328E-3</v>
      </c>
      <c r="D398">
        <v>-2.646230424890371E-3</v>
      </c>
      <c r="F398">
        <v>37.387387387387392</v>
      </c>
      <c r="G398">
        <v>2</v>
      </c>
    </row>
    <row r="399" spans="1:7" x14ac:dyDescent="0.25">
      <c r="A399">
        <v>375</v>
      </c>
      <c r="B399">
        <v>3.0054444726946792</v>
      </c>
      <c r="C399">
        <v>0.99455552730532082</v>
      </c>
      <c r="D399">
        <v>0.70898985130731051</v>
      </c>
      <c r="F399">
        <v>37.487487487487492</v>
      </c>
      <c r="G399">
        <v>2</v>
      </c>
    </row>
    <row r="400" spans="1:7" x14ac:dyDescent="0.25">
      <c r="A400">
        <v>376</v>
      </c>
      <c r="B400">
        <v>3.0120409122547547</v>
      </c>
      <c r="C400">
        <v>-2.0120409122547547</v>
      </c>
      <c r="D400">
        <v>-1.4343257345004874</v>
      </c>
      <c r="F400">
        <v>37.587587587587592</v>
      </c>
      <c r="G400">
        <v>2</v>
      </c>
    </row>
    <row r="401" spans="1:7" x14ac:dyDescent="0.25">
      <c r="A401">
        <v>377</v>
      </c>
      <c r="B401">
        <v>3.0076432858813713</v>
      </c>
      <c r="C401">
        <v>-7.6432858813713089E-3</v>
      </c>
      <c r="D401">
        <v>-5.4486772952890292E-3</v>
      </c>
      <c r="F401">
        <v>37.687687687687692</v>
      </c>
      <c r="G401">
        <v>2</v>
      </c>
    </row>
    <row r="402" spans="1:7" x14ac:dyDescent="0.25">
      <c r="A402">
        <v>378</v>
      </c>
      <c r="B402">
        <v>3.0026459831843439</v>
      </c>
      <c r="C402">
        <v>-1.0026459831843439</v>
      </c>
      <c r="D402">
        <v>-0.7147573031520742</v>
      </c>
      <c r="F402">
        <v>37.787787787787792</v>
      </c>
      <c r="G402">
        <v>2</v>
      </c>
    </row>
    <row r="403" spans="1:7" x14ac:dyDescent="0.25">
      <c r="A403">
        <v>379</v>
      </c>
      <c r="B403">
        <v>3.0015798919423116</v>
      </c>
      <c r="C403">
        <v>1.9984201080576884</v>
      </c>
      <c r="D403">
        <v>1.4246158573973668</v>
      </c>
      <c r="F403">
        <v>37.887887887887892</v>
      </c>
      <c r="G403">
        <v>2</v>
      </c>
    </row>
    <row r="404" spans="1:7" x14ac:dyDescent="0.25">
      <c r="A404">
        <v>380</v>
      </c>
      <c r="B404">
        <v>3.0150392938729711</v>
      </c>
      <c r="C404">
        <v>-2.0150392938729711</v>
      </c>
      <c r="D404">
        <v>-1.43646319397791</v>
      </c>
      <c r="F404">
        <v>37.987987987987992</v>
      </c>
      <c r="G404">
        <v>2</v>
      </c>
    </row>
    <row r="405" spans="1:7" x14ac:dyDescent="0.25">
      <c r="A405">
        <v>381</v>
      </c>
      <c r="B405">
        <v>3.0082429622050144</v>
      </c>
      <c r="C405">
        <v>-1.0082429622050144</v>
      </c>
      <c r="D405">
        <v>-0.71874722750992959</v>
      </c>
      <c r="F405">
        <v>38.088088088088092</v>
      </c>
      <c r="G405">
        <v>2</v>
      </c>
    </row>
    <row r="406" spans="1:7" x14ac:dyDescent="0.25">
      <c r="A406">
        <v>382</v>
      </c>
      <c r="B406">
        <v>2.9997808629713818</v>
      </c>
      <c r="C406">
        <v>-1.9997808629713818</v>
      </c>
      <c r="D406">
        <v>-1.4255859001928044</v>
      </c>
      <c r="F406">
        <v>38.188188188188192</v>
      </c>
      <c r="G406">
        <v>2</v>
      </c>
    </row>
    <row r="407" spans="1:7" x14ac:dyDescent="0.25">
      <c r="A407">
        <v>383</v>
      </c>
      <c r="B407">
        <v>3.0007136928081604</v>
      </c>
      <c r="C407">
        <v>-2.0007136928081604</v>
      </c>
      <c r="D407">
        <v>-1.4262508875857804</v>
      </c>
      <c r="F407">
        <v>38.288288288288292</v>
      </c>
      <c r="G407">
        <v>2</v>
      </c>
    </row>
    <row r="408" spans="1:7" x14ac:dyDescent="0.25">
      <c r="A408">
        <v>384</v>
      </c>
      <c r="B408">
        <v>3.0177045219780521</v>
      </c>
      <c r="C408">
        <v>-1.7704521978052057E-2</v>
      </c>
      <c r="D408">
        <v>-1.2621041319528729E-2</v>
      </c>
      <c r="F408">
        <v>38.388388388388393</v>
      </c>
      <c r="G408">
        <v>2</v>
      </c>
    </row>
    <row r="409" spans="1:7" x14ac:dyDescent="0.25">
      <c r="A409">
        <v>385</v>
      </c>
      <c r="B409">
        <v>3.0143729868467006</v>
      </c>
      <c r="C409">
        <v>0.98562701315329937</v>
      </c>
      <c r="D409">
        <v>0.70262497197454143</v>
      </c>
      <c r="F409">
        <v>38.488488488488493</v>
      </c>
      <c r="G409">
        <v>2</v>
      </c>
    </row>
    <row r="410" spans="1:7" x14ac:dyDescent="0.25">
      <c r="A410">
        <v>386</v>
      </c>
      <c r="B410">
        <v>2.9943837760585925</v>
      </c>
      <c r="C410">
        <v>-1.9943837760585925</v>
      </c>
      <c r="D410">
        <v>-1.4217384731334439</v>
      </c>
      <c r="F410">
        <v>38.588588588588593</v>
      </c>
      <c r="G410">
        <v>2</v>
      </c>
    </row>
    <row r="411" spans="1:7" x14ac:dyDescent="0.25">
      <c r="A411">
        <v>387</v>
      </c>
      <c r="B411">
        <v>3.0058442569104415</v>
      </c>
      <c r="C411">
        <v>-2.0058442569104415</v>
      </c>
      <c r="D411">
        <v>-1.4299083182471479</v>
      </c>
      <c r="F411">
        <v>38.688688688688693</v>
      </c>
      <c r="G411">
        <v>2</v>
      </c>
    </row>
    <row r="412" spans="1:7" x14ac:dyDescent="0.25">
      <c r="A412">
        <v>388</v>
      </c>
      <c r="B412">
        <v>3.0179710447885602</v>
      </c>
      <c r="C412">
        <v>-1.7971044788560153E-2</v>
      </c>
      <c r="D412">
        <v>-1.2811037717521833E-2</v>
      </c>
      <c r="F412">
        <v>38.788788788788793</v>
      </c>
      <c r="G412">
        <v>2</v>
      </c>
    </row>
    <row r="413" spans="1:7" x14ac:dyDescent="0.25">
      <c r="A413">
        <v>389</v>
      </c>
      <c r="B413">
        <v>3.0141064640361925</v>
      </c>
      <c r="C413">
        <v>0.98589353596380747</v>
      </c>
      <c r="D413">
        <v>0.70281496837253454</v>
      </c>
      <c r="F413">
        <v>38.888888888888893</v>
      </c>
      <c r="G413">
        <v>2</v>
      </c>
    </row>
    <row r="414" spans="1:7" x14ac:dyDescent="0.25">
      <c r="A414">
        <v>390</v>
      </c>
      <c r="B414">
        <v>2.9947835602743549</v>
      </c>
      <c r="C414">
        <v>2.0052164397256451</v>
      </c>
      <c r="D414">
        <v>1.4294607655461911</v>
      </c>
      <c r="F414">
        <v>38.988988988988993</v>
      </c>
      <c r="G414">
        <v>2</v>
      </c>
    </row>
    <row r="415" spans="1:7" x14ac:dyDescent="0.25">
      <c r="A415">
        <v>391</v>
      </c>
      <c r="B415">
        <v>3.0018464147528197</v>
      </c>
      <c r="C415">
        <v>1.9981535852471803</v>
      </c>
      <c r="D415">
        <v>1.4244258609993736</v>
      </c>
      <c r="F415">
        <v>39.089089089089093</v>
      </c>
      <c r="G415">
        <v>3</v>
      </c>
    </row>
    <row r="416" spans="1:7" x14ac:dyDescent="0.25">
      <c r="A416">
        <v>392</v>
      </c>
      <c r="B416">
        <v>3.0130403727941601</v>
      </c>
      <c r="C416">
        <v>-1.0130403727941601</v>
      </c>
      <c r="D416">
        <v>-0.72216716267380543</v>
      </c>
      <c r="F416">
        <v>39.189189189189193</v>
      </c>
      <c r="G416">
        <v>3</v>
      </c>
    </row>
    <row r="417" spans="1:7" x14ac:dyDescent="0.25">
      <c r="A417">
        <v>393</v>
      </c>
      <c r="B417">
        <v>3.0177045219780521</v>
      </c>
      <c r="C417">
        <v>-1.7704521978052057E-2</v>
      </c>
      <c r="D417">
        <v>-1.2621041319528729E-2</v>
      </c>
      <c r="F417">
        <v>39.289289289289293</v>
      </c>
      <c r="G417">
        <v>3</v>
      </c>
    </row>
    <row r="418" spans="1:7" x14ac:dyDescent="0.25">
      <c r="A418">
        <v>394</v>
      </c>
      <c r="B418">
        <v>3.0061774104235766</v>
      </c>
      <c r="C418">
        <v>-2.0061774104235766</v>
      </c>
      <c r="D418">
        <v>-1.4301458137446392</v>
      </c>
      <c r="F418">
        <v>39.389389389389393</v>
      </c>
      <c r="G418">
        <v>3</v>
      </c>
    </row>
    <row r="419" spans="1:7" x14ac:dyDescent="0.25">
      <c r="A419">
        <v>395</v>
      </c>
      <c r="B419">
        <v>3.0179710447885602</v>
      </c>
      <c r="C419">
        <v>-1.0179710447885602</v>
      </c>
      <c r="D419">
        <v>-0.72568209603667799</v>
      </c>
      <c r="F419">
        <v>39.489489489489493</v>
      </c>
      <c r="G419">
        <v>3</v>
      </c>
    </row>
    <row r="420" spans="1:7" x14ac:dyDescent="0.25">
      <c r="A420">
        <v>396</v>
      </c>
      <c r="B420">
        <v>2.9958496515163873</v>
      </c>
      <c r="C420">
        <v>1.0041503484836127</v>
      </c>
      <c r="D420">
        <v>0.71582972163506253</v>
      </c>
      <c r="F420">
        <v>39.589589589589593</v>
      </c>
      <c r="G420">
        <v>3</v>
      </c>
    </row>
    <row r="421" spans="1:7" x14ac:dyDescent="0.25">
      <c r="A421">
        <v>397</v>
      </c>
      <c r="B421">
        <v>2.9957163901111334</v>
      </c>
      <c r="C421">
        <v>4.2836098888665575E-3</v>
      </c>
      <c r="D421">
        <v>3.053661514902706E-3</v>
      </c>
      <c r="F421">
        <v>39.689689689689693</v>
      </c>
      <c r="G421">
        <v>3</v>
      </c>
    </row>
    <row r="422" spans="1:7" x14ac:dyDescent="0.25">
      <c r="A422">
        <v>398</v>
      </c>
      <c r="B422">
        <v>3.0151725552782254</v>
      </c>
      <c r="C422">
        <v>1.9848274447217746</v>
      </c>
      <c r="D422">
        <v>1.414926041099718</v>
      </c>
      <c r="F422">
        <v>39.789789789789793</v>
      </c>
      <c r="G422">
        <v>3</v>
      </c>
    </row>
    <row r="423" spans="1:7" x14ac:dyDescent="0.25">
      <c r="A423">
        <v>399</v>
      </c>
      <c r="B423">
        <v>3.0037120744263763</v>
      </c>
      <c r="C423">
        <v>-3.7120744263763328E-3</v>
      </c>
      <c r="D423">
        <v>-2.646230424890371E-3</v>
      </c>
      <c r="F423">
        <v>39.889889889889893</v>
      </c>
      <c r="G423">
        <v>3</v>
      </c>
    </row>
    <row r="424" spans="1:7" x14ac:dyDescent="0.25">
      <c r="A424">
        <v>400</v>
      </c>
      <c r="B424">
        <v>3.0011801077265496</v>
      </c>
      <c r="C424">
        <v>-1.1801077265496396E-3</v>
      </c>
      <c r="D424">
        <v>-8.4126464395605492E-4</v>
      </c>
      <c r="F424">
        <v>39.989989989989994</v>
      </c>
      <c r="G424">
        <v>3</v>
      </c>
    </row>
    <row r="425" spans="1:7" x14ac:dyDescent="0.25">
      <c r="A425">
        <v>401</v>
      </c>
      <c r="B425">
        <v>2.9982483568109601</v>
      </c>
      <c r="C425">
        <v>1.7516431890398643E-3</v>
      </c>
      <c r="D425">
        <v>1.2486957339683897E-3</v>
      </c>
      <c r="F425">
        <v>40.090090090090094</v>
      </c>
      <c r="G425">
        <v>3</v>
      </c>
    </row>
    <row r="426" spans="1:7" x14ac:dyDescent="0.25">
      <c r="A426">
        <v>402</v>
      </c>
      <c r="B426">
        <v>2.9941838839507118</v>
      </c>
      <c r="C426">
        <v>2.0058161160492882</v>
      </c>
      <c r="D426">
        <v>1.4298882574416756</v>
      </c>
      <c r="F426">
        <v>40.190190190190194</v>
      </c>
      <c r="G426">
        <v>3</v>
      </c>
    </row>
    <row r="427" spans="1:7" x14ac:dyDescent="0.25">
      <c r="A427">
        <v>403</v>
      </c>
      <c r="B427">
        <v>3.0001140164845173</v>
      </c>
      <c r="C427">
        <v>1.9998859835154827</v>
      </c>
      <c r="D427">
        <v>1.4256608375863287</v>
      </c>
      <c r="F427">
        <v>40.290290290290294</v>
      </c>
      <c r="G427">
        <v>3</v>
      </c>
    </row>
    <row r="428" spans="1:7" x14ac:dyDescent="0.25">
      <c r="A428">
        <v>404</v>
      </c>
      <c r="B428">
        <v>2.9978485725951982</v>
      </c>
      <c r="C428">
        <v>2.0021514274048018</v>
      </c>
      <c r="D428">
        <v>1.4272758069692701</v>
      </c>
      <c r="F428">
        <v>40.390390390390394</v>
      </c>
      <c r="G428">
        <v>3</v>
      </c>
    </row>
    <row r="429" spans="1:7" x14ac:dyDescent="0.25">
      <c r="A429">
        <v>405</v>
      </c>
      <c r="B429">
        <v>3.0096422069601818</v>
      </c>
      <c r="C429">
        <v>-2.0096422069601818</v>
      </c>
      <c r="D429">
        <v>-1.4326157669185495</v>
      </c>
      <c r="F429">
        <v>40.490490490490494</v>
      </c>
      <c r="G429">
        <v>3</v>
      </c>
    </row>
    <row r="430" spans="1:7" x14ac:dyDescent="0.25">
      <c r="A430">
        <v>406</v>
      </c>
      <c r="B430">
        <v>2.9935842076270682</v>
      </c>
      <c r="C430">
        <v>-0.99358420762706823</v>
      </c>
      <c r="D430">
        <v>-0.7082974256203084</v>
      </c>
      <c r="F430">
        <v>40.590590590590594</v>
      </c>
      <c r="G430">
        <v>3</v>
      </c>
    </row>
    <row r="431" spans="1:7" x14ac:dyDescent="0.25">
      <c r="A431">
        <v>407</v>
      </c>
      <c r="B431">
        <v>3.0129071113889063</v>
      </c>
      <c r="C431">
        <v>-1.0129071113889063</v>
      </c>
      <c r="D431">
        <v>-0.72207216447480904</v>
      </c>
      <c r="F431">
        <v>40.690690690690694</v>
      </c>
      <c r="G431">
        <v>3</v>
      </c>
    </row>
    <row r="432" spans="1:7" x14ac:dyDescent="0.25">
      <c r="A432">
        <v>408</v>
      </c>
      <c r="B432">
        <v>2.9941172532480844</v>
      </c>
      <c r="C432">
        <v>-0.99411725324808442</v>
      </c>
      <c r="D432">
        <v>-0.7086774184162945</v>
      </c>
      <c r="F432">
        <v>40.790790790790794</v>
      </c>
      <c r="G432">
        <v>3</v>
      </c>
    </row>
    <row r="433" spans="1:7" x14ac:dyDescent="0.25">
      <c r="A433">
        <v>409</v>
      </c>
      <c r="B433">
        <v>2.9945170374638468</v>
      </c>
      <c r="C433">
        <v>5.4829625361532131E-3</v>
      </c>
      <c r="D433">
        <v>3.9086453058718258E-3</v>
      </c>
      <c r="F433">
        <v>40.890890890890894</v>
      </c>
      <c r="G433">
        <v>3</v>
      </c>
    </row>
    <row r="434" spans="1:7" x14ac:dyDescent="0.25">
      <c r="A434">
        <v>410</v>
      </c>
      <c r="B434">
        <v>3.0070436095577278</v>
      </c>
      <c r="C434">
        <v>-7.0436095577277591E-3</v>
      </c>
      <c r="D434">
        <v>-5.0211853998043112E-3</v>
      </c>
      <c r="F434">
        <v>40.990990990990994</v>
      </c>
      <c r="G434">
        <v>3</v>
      </c>
    </row>
    <row r="435" spans="1:7" x14ac:dyDescent="0.25">
      <c r="A435">
        <v>411</v>
      </c>
      <c r="B435">
        <v>3.0159721237097497</v>
      </c>
      <c r="C435">
        <v>1.9840278762902503</v>
      </c>
      <c r="D435">
        <v>1.4143560519057385</v>
      </c>
      <c r="F435">
        <v>41.091091091091094</v>
      </c>
      <c r="G435">
        <v>3</v>
      </c>
    </row>
    <row r="436" spans="1:7" x14ac:dyDescent="0.25">
      <c r="A436">
        <v>412</v>
      </c>
      <c r="B436">
        <v>3.0000473857818899</v>
      </c>
      <c r="C436">
        <v>-1.0000473857818899</v>
      </c>
      <c r="D436">
        <v>-0.71290483827164131</v>
      </c>
      <c r="F436">
        <v>41.191191191191194</v>
      </c>
      <c r="G436">
        <v>3</v>
      </c>
    </row>
    <row r="437" spans="1:7" x14ac:dyDescent="0.25">
      <c r="A437">
        <v>413</v>
      </c>
      <c r="B437">
        <v>3.0011134770239223</v>
      </c>
      <c r="C437">
        <v>-1.0011134770239223</v>
      </c>
      <c r="D437">
        <v>-0.71366482386361374</v>
      </c>
      <c r="F437">
        <v>41.291291291291294</v>
      </c>
      <c r="G437">
        <v>3</v>
      </c>
    </row>
    <row r="438" spans="1:7" x14ac:dyDescent="0.25">
      <c r="A438">
        <v>414</v>
      </c>
      <c r="B438">
        <v>2.9973821576768089</v>
      </c>
      <c r="C438">
        <v>1.0026178423231911</v>
      </c>
      <c r="D438">
        <v>0.71473724234660208</v>
      </c>
      <c r="F438">
        <v>41.391391391391394</v>
      </c>
      <c r="G438">
        <v>3</v>
      </c>
    </row>
    <row r="439" spans="1:7" x14ac:dyDescent="0.25">
      <c r="A439">
        <v>415</v>
      </c>
      <c r="B439">
        <v>3.0020463068607008</v>
      </c>
      <c r="C439">
        <v>1.9979536931392992</v>
      </c>
      <c r="D439">
        <v>1.4242833637008787</v>
      </c>
      <c r="F439">
        <v>41.491491491491495</v>
      </c>
      <c r="G439">
        <v>3</v>
      </c>
    </row>
    <row r="440" spans="1:7" x14ac:dyDescent="0.25">
      <c r="A440">
        <v>416</v>
      </c>
      <c r="B440">
        <v>3.0162386465202577</v>
      </c>
      <c r="C440">
        <v>1.9837613534797423</v>
      </c>
      <c r="D440">
        <v>1.4141660555077455</v>
      </c>
      <c r="F440">
        <v>41.591591591591595</v>
      </c>
      <c r="G440">
        <v>3</v>
      </c>
    </row>
    <row r="441" spans="1:7" x14ac:dyDescent="0.25">
      <c r="A441">
        <v>417</v>
      </c>
      <c r="B441">
        <v>3.0137733105230575</v>
      </c>
      <c r="C441">
        <v>-1.0137733105230575</v>
      </c>
      <c r="D441">
        <v>-0.72268965276828656</v>
      </c>
      <c r="F441">
        <v>41.691691691691695</v>
      </c>
      <c r="G441">
        <v>3</v>
      </c>
    </row>
    <row r="442" spans="1:7" x14ac:dyDescent="0.25">
      <c r="A442">
        <v>418</v>
      </c>
      <c r="B442">
        <v>3.0042451200473925</v>
      </c>
      <c r="C442">
        <v>-1.0042451200473925</v>
      </c>
      <c r="D442">
        <v>-0.71589728154003274</v>
      </c>
      <c r="F442">
        <v>41.791791791791795</v>
      </c>
      <c r="G442">
        <v>3</v>
      </c>
    </row>
    <row r="443" spans="1:7" x14ac:dyDescent="0.25">
      <c r="A443">
        <v>419</v>
      </c>
      <c r="B443">
        <v>3.0122408043626359</v>
      </c>
      <c r="C443">
        <v>0.98775919563736414</v>
      </c>
      <c r="D443">
        <v>0.70414494315848619</v>
      </c>
      <c r="F443">
        <v>41.891891891891895</v>
      </c>
      <c r="G443">
        <v>3</v>
      </c>
    </row>
    <row r="444" spans="1:7" x14ac:dyDescent="0.25">
      <c r="A444">
        <v>420</v>
      </c>
      <c r="B444">
        <v>3.0111747131206035</v>
      </c>
      <c r="C444">
        <v>0.98882528687939653</v>
      </c>
      <c r="D444">
        <v>0.70490492875045863</v>
      </c>
      <c r="F444">
        <v>41.991991991991995</v>
      </c>
      <c r="G444">
        <v>3</v>
      </c>
    </row>
    <row r="445" spans="1:7" x14ac:dyDescent="0.25">
      <c r="A445">
        <v>421</v>
      </c>
      <c r="B445">
        <v>2.9998474936740092</v>
      </c>
      <c r="C445">
        <v>-0.99984749367400916</v>
      </c>
      <c r="D445">
        <v>-0.71276234097314672</v>
      </c>
      <c r="F445">
        <v>42.092092092092095</v>
      </c>
      <c r="G445">
        <v>3</v>
      </c>
    </row>
    <row r="446" spans="1:7" x14ac:dyDescent="0.25">
      <c r="A446">
        <v>422</v>
      </c>
      <c r="B446">
        <v>3.0148394017650899</v>
      </c>
      <c r="C446">
        <v>-1.483940176508991E-2</v>
      </c>
      <c r="D446">
        <v>-1.0578580041102799E-2</v>
      </c>
      <c r="F446">
        <v>42.192192192192195</v>
      </c>
      <c r="G446">
        <v>3</v>
      </c>
    </row>
    <row r="447" spans="1:7" x14ac:dyDescent="0.25">
      <c r="A447">
        <v>423</v>
      </c>
      <c r="B447">
        <v>2.9959829129216415</v>
      </c>
      <c r="C447">
        <v>-1.9959829129216415</v>
      </c>
      <c r="D447">
        <v>-1.4228784515214028</v>
      </c>
      <c r="F447">
        <v>42.292292292292295</v>
      </c>
      <c r="G447">
        <v>3</v>
      </c>
    </row>
    <row r="448" spans="1:7" x14ac:dyDescent="0.25">
      <c r="A448">
        <v>424</v>
      </c>
      <c r="B448">
        <v>3.0116411280389928</v>
      </c>
      <c r="C448">
        <v>-1.1641128038992754E-2</v>
      </c>
      <c r="D448">
        <v>-8.2986232651855677E-3</v>
      </c>
      <c r="F448">
        <v>42.392392392392395</v>
      </c>
      <c r="G448">
        <v>3</v>
      </c>
    </row>
    <row r="449" spans="1:7" x14ac:dyDescent="0.25">
      <c r="A449">
        <v>425</v>
      </c>
      <c r="B449">
        <v>3.0087760078260306</v>
      </c>
      <c r="C449">
        <v>-8.7760078260306074E-3</v>
      </c>
      <c r="D449">
        <v>-6.2561619867596363E-3</v>
      </c>
      <c r="F449">
        <v>42.492492492492495</v>
      </c>
      <c r="G449">
        <v>3</v>
      </c>
    </row>
    <row r="450" spans="1:7" x14ac:dyDescent="0.25">
      <c r="A450">
        <v>426</v>
      </c>
      <c r="B450">
        <v>2.9941172532480844</v>
      </c>
      <c r="C450">
        <v>2.0058827467519156</v>
      </c>
      <c r="D450">
        <v>1.4299357565411741</v>
      </c>
      <c r="F450">
        <v>42.592592592592595</v>
      </c>
      <c r="G450">
        <v>3</v>
      </c>
    </row>
    <row r="451" spans="1:7" x14ac:dyDescent="0.25">
      <c r="A451">
        <v>427</v>
      </c>
      <c r="B451">
        <v>2.9984482489188413</v>
      </c>
      <c r="C451">
        <v>1.551751081158681E-3</v>
      </c>
      <c r="D451">
        <v>1.1061984354734837E-3</v>
      </c>
      <c r="F451">
        <v>42.692692692692695</v>
      </c>
      <c r="G451">
        <v>3</v>
      </c>
    </row>
    <row r="452" spans="1:7" x14ac:dyDescent="0.25">
      <c r="A452">
        <v>428</v>
      </c>
      <c r="B452">
        <v>3.0097754683654361</v>
      </c>
      <c r="C452">
        <v>-1.0097754683654361</v>
      </c>
      <c r="D452">
        <v>-0.71983970679839004</v>
      </c>
      <c r="F452">
        <v>42.792792792792802</v>
      </c>
      <c r="G452">
        <v>3</v>
      </c>
    </row>
    <row r="453" spans="1:7" x14ac:dyDescent="0.25">
      <c r="A453">
        <v>429</v>
      </c>
      <c r="B453">
        <v>2.9999141243766361</v>
      </c>
      <c r="C453">
        <v>8.5875623363929066E-5</v>
      </c>
      <c r="D453">
        <v>6.1218246511261364E-5</v>
      </c>
      <c r="F453">
        <v>42.892892892892903</v>
      </c>
      <c r="G453">
        <v>3</v>
      </c>
    </row>
    <row r="454" spans="1:7" x14ac:dyDescent="0.25">
      <c r="A454">
        <v>430</v>
      </c>
      <c r="B454">
        <v>3.0086427464207763</v>
      </c>
      <c r="C454">
        <v>-2.0086427464207763</v>
      </c>
      <c r="D454">
        <v>-1.4319032804260754</v>
      </c>
      <c r="F454">
        <v>42.992992992993003</v>
      </c>
      <c r="G454">
        <v>3</v>
      </c>
    </row>
    <row r="455" spans="1:7" x14ac:dyDescent="0.25">
      <c r="A455">
        <v>431</v>
      </c>
      <c r="B455">
        <v>2.9983816182162144</v>
      </c>
      <c r="C455">
        <v>2.0016183817837856</v>
      </c>
      <c r="D455">
        <v>1.4268958141732841</v>
      </c>
      <c r="F455">
        <v>43.093093093093103</v>
      </c>
      <c r="G455">
        <v>3</v>
      </c>
    </row>
    <row r="456" spans="1:7" x14ac:dyDescent="0.25">
      <c r="A456">
        <v>432</v>
      </c>
      <c r="B456">
        <v>2.9975820497846901</v>
      </c>
      <c r="C456">
        <v>-1.9975820497846901</v>
      </c>
      <c r="D456">
        <v>-1.4240184299093614</v>
      </c>
      <c r="F456">
        <v>43.193193193193203</v>
      </c>
      <c r="G456">
        <v>3</v>
      </c>
    </row>
    <row r="457" spans="1:7" x14ac:dyDescent="0.25">
      <c r="A457">
        <v>433</v>
      </c>
      <c r="B457">
        <v>2.9975820497846901</v>
      </c>
      <c r="C457">
        <v>1.0024179502153099</v>
      </c>
      <c r="D457">
        <v>0.71459474504810716</v>
      </c>
      <c r="F457">
        <v>43.293293293293303</v>
      </c>
      <c r="G457">
        <v>3</v>
      </c>
    </row>
    <row r="458" spans="1:7" x14ac:dyDescent="0.25">
      <c r="A458">
        <v>434</v>
      </c>
      <c r="B458">
        <v>3.0082429622050144</v>
      </c>
      <c r="C458">
        <v>-8.2429622050144147E-3</v>
      </c>
      <c r="D458">
        <v>-5.8761691907734314E-3</v>
      </c>
      <c r="F458">
        <v>43.393393393393403</v>
      </c>
      <c r="G458">
        <v>3</v>
      </c>
    </row>
    <row r="459" spans="1:7" x14ac:dyDescent="0.25">
      <c r="A459">
        <v>435</v>
      </c>
      <c r="B459">
        <v>2.9951167137874899</v>
      </c>
      <c r="C459">
        <v>4.8832862125101073E-3</v>
      </c>
      <c r="D459">
        <v>3.481153410387424E-3</v>
      </c>
      <c r="F459">
        <v>43.493493493493503</v>
      </c>
      <c r="G459">
        <v>3</v>
      </c>
    </row>
    <row r="460" spans="1:7" x14ac:dyDescent="0.25">
      <c r="A460">
        <v>436</v>
      </c>
      <c r="B460">
        <v>3.0109081903100954</v>
      </c>
      <c r="C460">
        <v>-1.0109081903100954</v>
      </c>
      <c r="D460">
        <v>-0.72064719148986067</v>
      </c>
      <c r="F460">
        <v>43.593593593593603</v>
      </c>
      <c r="G460">
        <v>3</v>
      </c>
    </row>
    <row r="461" spans="1:7" x14ac:dyDescent="0.25">
      <c r="A461">
        <v>437</v>
      </c>
      <c r="B461">
        <v>3.0105084060943335</v>
      </c>
      <c r="C461">
        <v>0.98949159390566654</v>
      </c>
      <c r="D461">
        <v>0.70537991974544123</v>
      </c>
      <c r="F461">
        <v>43.693693693693703</v>
      </c>
      <c r="G461">
        <v>3</v>
      </c>
    </row>
    <row r="462" spans="1:7" x14ac:dyDescent="0.25">
      <c r="A462">
        <v>438</v>
      </c>
      <c r="B462">
        <v>3.0141064640361925</v>
      </c>
      <c r="C462">
        <v>0.98589353596380747</v>
      </c>
      <c r="D462">
        <v>0.70281496837253454</v>
      </c>
      <c r="F462">
        <v>43.793793793793803</v>
      </c>
      <c r="G462">
        <v>3</v>
      </c>
    </row>
    <row r="463" spans="1:7" x14ac:dyDescent="0.25">
      <c r="A463">
        <v>439</v>
      </c>
      <c r="B463">
        <v>3.0030457674001063</v>
      </c>
      <c r="C463">
        <v>-2.0030457674001063</v>
      </c>
      <c r="D463">
        <v>-1.4279133560682202</v>
      </c>
      <c r="F463">
        <v>43.893893893893903</v>
      </c>
      <c r="G463">
        <v>3</v>
      </c>
    </row>
    <row r="464" spans="1:7" x14ac:dyDescent="0.25">
      <c r="A464">
        <v>440</v>
      </c>
      <c r="B464">
        <v>2.9965159585426577</v>
      </c>
      <c r="C464">
        <v>-0.99651595854265773</v>
      </c>
      <c r="D464">
        <v>-0.71038738599823281</v>
      </c>
      <c r="F464">
        <v>43.993993993994003</v>
      </c>
      <c r="G464">
        <v>3</v>
      </c>
    </row>
    <row r="465" spans="1:7" x14ac:dyDescent="0.25">
      <c r="A465">
        <v>441</v>
      </c>
      <c r="B465">
        <v>3.0129071113889063</v>
      </c>
      <c r="C465">
        <v>-1.0129071113889063</v>
      </c>
      <c r="D465">
        <v>-0.72207216447480904</v>
      </c>
      <c r="F465">
        <v>44.094094094094103</v>
      </c>
      <c r="G465">
        <v>3</v>
      </c>
    </row>
    <row r="466" spans="1:7" x14ac:dyDescent="0.25">
      <c r="A466">
        <v>442</v>
      </c>
      <c r="B466">
        <v>3.0073767630708632</v>
      </c>
      <c r="C466">
        <v>-2.0073767630708632</v>
      </c>
      <c r="D466">
        <v>-1.4310007975356083</v>
      </c>
      <c r="F466">
        <v>44.194194194194203</v>
      </c>
      <c r="G466">
        <v>3</v>
      </c>
    </row>
    <row r="467" spans="1:7" x14ac:dyDescent="0.25">
      <c r="A467">
        <v>443</v>
      </c>
      <c r="B467">
        <v>2.9969157427584197</v>
      </c>
      <c r="C467">
        <v>-0.99691574275841965</v>
      </c>
      <c r="D467">
        <v>-0.71067238059522231</v>
      </c>
      <c r="F467">
        <v>44.294294294294303</v>
      </c>
      <c r="G467">
        <v>3</v>
      </c>
    </row>
    <row r="468" spans="1:7" x14ac:dyDescent="0.25">
      <c r="A468">
        <v>444</v>
      </c>
      <c r="B468">
        <v>3.0166384307360197</v>
      </c>
      <c r="C468">
        <v>-2.0166384307360197</v>
      </c>
      <c r="D468">
        <v>-1.4376031723658687</v>
      </c>
      <c r="F468">
        <v>44.394394394394403</v>
      </c>
      <c r="G468">
        <v>3</v>
      </c>
    </row>
    <row r="469" spans="1:7" x14ac:dyDescent="0.25">
      <c r="A469">
        <v>445</v>
      </c>
      <c r="B469">
        <v>2.9978485725951982</v>
      </c>
      <c r="C469">
        <v>2.1514274048017867E-3</v>
      </c>
      <c r="D469">
        <v>1.5336903309578853E-3</v>
      </c>
      <c r="F469">
        <v>44.494494494494504</v>
      </c>
      <c r="G469">
        <v>3</v>
      </c>
    </row>
    <row r="470" spans="1:7" x14ac:dyDescent="0.25">
      <c r="A470">
        <v>446</v>
      </c>
      <c r="B470">
        <v>3.0031123981027332</v>
      </c>
      <c r="C470">
        <v>-2.0031123981027332</v>
      </c>
      <c r="D470">
        <v>-1.4279608551677183</v>
      </c>
      <c r="F470">
        <v>44.594594594594604</v>
      </c>
      <c r="G470">
        <v>3</v>
      </c>
    </row>
    <row r="471" spans="1:7" x14ac:dyDescent="0.25">
      <c r="A471">
        <v>447</v>
      </c>
      <c r="B471">
        <v>2.9961161743268954</v>
      </c>
      <c r="C471">
        <v>3.883825673104635E-3</v>
      </c>
      <c r="D471">
        <v>2.7686669179132102E-3</v>
      </c>
      <c r="F471">
        <v>44.694694694694704</v>
      </c>
      <c r="G471">
        <v>3</v>
      </c>
    </row>
    <row r="472" spans="1:7" x14ac:dyDescent="0.25">
      <c r="A472">
        <v>448</v>
      </c>
      <c r="B472">
        <v>3.0179710447885602</v>
      </c>
      <c r="C472">
        <v>-1.7971044788560153E-2</v>
      </c>
      <c r="D472">
        <v>-1.2811037717521833E-2</v>
      </c>
      <c r="F472">
        <v>44.794794794794804</v>
      </c>
      <c r="G472">
        <v>3</v>
      </c>
    </row>
    <row r="473" spans="1:7" x14ac:dyDescent="0.25">
      <c r="A473">
        <v>449</v>
      </c>
      <c r="B473">
        <v>3.0089092692312844</v>
      </c>
      <c r="C473">
        <v>0.99109073076871557</v>
      </c>
      <c r="D473">
        <v>0.7065198981334001</v>
      </c>
      <c r="F473">
        <v>44.894894894894904</v>
      </c>
      <c r="G473">
        <v>3</v>
      </c>
    </row>
    <row r="474" spans="1:7" x14ac:dyDescent="0.25">
      <c r="A474">
        <v>450</v>
      </c>
      <c r="B474">
        <v>2.9975154190820632</v>
      </c>
      <c r="C474">
        <v>2.0024845809179368</v>
      </c>
      <c r="D474">
        <v>1.4275133024667614</v>
      </c>
      <c r="F474">
        <v>44.994994994995004</v>
      </c>
      <c r="G474">
        <v>3</v>
      </c>
    </row>
    <row r="475" spans="1:7" x14ac:dyDescent="0.25">
      <c r="A475">
        <v>451</v>
      </c>
      <c r="B475">
        <v>3.0019130454554466</v>
      </c>
      <c r="C475">
        <v>-1.9130454554465715E-3</v>
      </c>
      <c r="D475">
        <v>-1.3637547384368494E-3</v>
      </c>
      <c r="F475">
        <v>45.095095095095104</v>
      </c>
      <c r="G475">
        <v>3</v>
      </c>
    </row>
    <row r="476" spans="1:7" x14ac:dyDescent="0.25">
      <c r="A476">
        <v>452</v>
      </c>
      <c r="B476">
        <v>2.9943837760585925</v>
      </c>
      <c r="C476">
        <v>-1.9943837760585925</v>
      </c>
      <c r="D476">
        <v>-1.4217384731334439</v>
      </c>
      <c r="F476">
        <v>45.195195195195204</v>
      </c>
      <c r="G476">
        <v>3</v>
      </c>
    </row>
    <row r="477" spans="1:7" x14ac:dyDescent="0.25">
      <c r="A477">
        <v>453</v>
      </c>
      <c r="B477">
        <v>3.0024460910764632</v>
      </c>
      <c r="C477">
        <v>-2.0024460910764632</v>
      </c>
      <c r="D477">
        <v>-1.4274858641727357</v>
      </c>
      <c r="F477">
        <v>45.295295295295304</v>
      </c>
      <c r="G477">
        <v>3</v>
      </c>
    </row>
    <row r="478" spans="1:7" x14ac:dyDescent="0.25">
      <c r="A478">
        <v>454</v>
      </c>
      <c r="B478">
        <v>3.0084428543128956</v>
      </c>
      <c r="C478">
        <v>0.9915571456871044</v>
      </c>
      <c r="D478">
        <v>0.70685239182988779</v>
      </c>
      <c r="F478">
        <v>45.395395395395404</v>
      </c>
      <c r="G478">
        <v>3</v>
      </c>
    </row>
    <row r="479" spans="1:7" x14ac:dyDescent="0.25">
      <c r="A479">
        <v>455</v>
      </c>
      <c r="B479">
        <v>3.0089092692312844</v>
      </c>
      <c r="C479">
        <v>0.99109073076871557</v>
      </c>
      <c r="D479">
        <v>0.7065198981334001</v>
      </c>
      <c r="F479">
        <v>45.495495495495504</v>
      </c>
      <c r="G479">
        <v>3</v>
      </c>
    </row>
    <row r="480" spans="1:7" x14ac:dyDescent="0.25">
      <c r="A480">
        <v>456</v>
      </c>
      <c r="B480">
        <v>3.0077765472866251</v>
      </c>
      <c r="C480">
        <v>-2.0077765472866251</v>
      </c>
      <c r="D480">
        <v>-1.4312857921325979</v>
      </c>
      <c r="F480">
        <v>45.595595595595604</v>
      </c>
      <c r="G480">
        <v>3</v>
      </c>
    </row>
    <row r="481" spans="1:7" x14ac:dyDescent="0.25">
      <c r="A481">
        <v>457</v>
      </c>
      <c r="B481">
        <v>3.0153724473861061</v>
      </c>
      <c r="C481">
        <v>-1.5372447386106103E-2</v>
      </c>
      <c r="D481">
        <v>-1.0958572837089004E-2</v>
      </c>
      <c r="F481">
        <v>45.695695695695704</v>
      </c>
      <c r="G481">
        <v>3</v>
      </c>
    </row>
    <row r="482" spans="1:7" x14ac:dyDescent="0.25">
      <c r="A482">
        <v>458</v>
      </c>
      <c r="B482">
        <v>3.0136400491178037</v>
      </c>
      <c r="C482">
        <v>-1.0136400491178037</v>
      </c>
      <c r="D482">
        <v>-0.72259465456929017</v>
      </c>
      <c r="F482">
        <v>45.795795795795804</v>
      </c>
      <c r="G482">
        <v>3</v>
      </c>
    </row>
    <row r="483" spans="1:7" x14ac:dyDescent="0.25">
      <c r="A483">
        <v>459</v>
      </c>
      <c r="B483">
        <v>2.997981834000452</v>
      </c>
      <c r="C483">
        <v>2.002018165999548</v>
      </c>
      <c r="D483">
        <v>1.4271808087702738</v>
      </c>
      <c r="F483">
        <v>45.895895895895904</v>
      </c>
      <c r="G483">
        <v>3</v>
      </c>
    </row>
    <row r="484" spans="1:7" x14ac:dyDescent="0.25">
      <c r="A484">
        <v>460</v>
      </c>
      <c r="B484">
        <v>2.9939173611402037</v>
      </c>
      <c r="C484">
        <v>-0.99391736114020368</v>
      </c>
      <c r="D484">
        <v>-0.70853492111779992</v>
      </c>
      <c r="F484">
        <v>45.995995995996005</v>
      </c>
      <c r="G484">
        <v>3</v>
      </c>
    </row>
    <row r="485" spans="1:7" x14ac:dyDescent="0.25">
      <c r="A485">
        <v>461</v>
      </c>
      <c r="B485">
        <v>3.0081097007997601</v>
      </c>
      <c r="C485">
        <v>-1.0081097007997601</v>
      </c>
      <c r="D485">
        <v>-0.71865222931093287</v>
      </c>
      <c r="F485">
        <v>46.096096096096105</v>
      </c>
      <c r="G485">
        <v>3</v>
      </c>
    </row>
    <row r="486" spans="1:7" x14ac:dyDescent="0.25">
      <c r="A486">
        <v>462</v>
      </c>
      <c r="B486">
        <v>3.0167716921412739</v>
      </c>
      <c r="C486">
        <v>1.9832283078587261</v>
      </c>
      <c r="D486">
        <v>1.4137860627117593</v>
      </c>
      <c r="F486">
        <v>46.196196196196205</v>
      </c>
      <c r="G486">
        <v>3</v>
      </c>
    </row>
    <row r="487" spans="1:7" x14ac:dyDescent="0.25">
      <c r="A487">
        <v>463</v>
      </c>
      <c r="B487">
        <v>3.0033789209132413</v>
      </c>
      <c r="C487">
        <v>-3.3789209132413234E-3</v>
      </c>
      <c r="D487">
        <v>-2.4087349273990721E-3</v>
      </c>
      <c r="F487">
        <v>46.296296296296305</v>
      </c>
      <c r="G487">
        <v>3</v>
      </c>
    </row>
    <row r="488" spans="1:7" x14ac:dyDescent="0.25">
      <c r="A488">
        <v>464</v>
      </c>
      <c r="B488">
        <v>3.0099087297706899</v>
      </c>
      <c r="C488">
        <v>0.99009127022931009</v>
      </c>
      <c r="D488">
        <v>0.70580741164092597</v>
      </c>
      <c r="F488">
        <v>46.396396396396405</v>
      </c>
      <c r="G488">
        <v>3</v>
      </c>
    </row>
    <row r="489" spans="1:7" x14ac:dyDescent="0.25">
      <c r="A489">
        <v>465</v>
      </c>
      <c r="B489">
        <v>3.0095755762575549</v>
      </c>
      <c r="C489">
        <v>-2.0095755762575549</v>
      </c>
      <c r="D489">
        <v>-1.4325682678190512</v>
      </c>
      <c r="F489">
        <v>46.496496496496505</v>
      </c>
      <c r="G489">
        <v>3</v>
      </c>
    </row>
    <row r="490" spans="1:7" x14ac:dyDescent="0.25">
      <c r="A490">
        <v>466</v>
      </c>
      <c r="B490">
        <v>2.9956497594085061</v>
      </c>
      <c r="C490">
        <v>4.3502405914939146E-3</v>
      </c>
      <c r="D490">
        <v>3.1011606144012191E-3</v>
      </c>
      <c r="F490">
        <v>46.596596596596605</v>
      </c>
      <c r="G490">
        <v>3</v>
      </c>
    </row>
    <row r="491" spans="1:7" x14ac:dyDescent="0.25">
      <c r="A491">
        <v>467</v>
      </c>
      <c r="B491">
        <v>3.0104417753917061</v>
      </c>
      <c r="C491">
        <v>0.9895582246082939</v>
      </c>
      <c r="D491">
        <v>0.70542741884493976</v>
      </c>
      <c r="F491">
        <v>46.696696696696705</v>
      </c>
      <c r="G491">
        <v>3</v>
      </c>
    </row>
    <row r="492" spans="1:7" x14ac:dyDescent="0.25">
      <c r="A492">
        <v>468</v>
      </c>
      <c r="B492">
        <v>3.017104845654409</v>
      </c>
      <c r="C492">
        <v>0.98289515434559105</v>
      </c>
      <c r="D492">
        <v>0.70067750889511182</v>
      </c>
      <c r="F492">
        <v>46.796796796796805</v>
      </c>
      <c r="G492">
        <v>3</v>
      </c>
    </row>
    <row r="493" spans="1:7" x14ac:dyDescent="0.25">
      <c r="A493">
        <v>469</v>
      </c>
      <c r="B493">
        <v>3.012107542957382</v>
      </c>
      <c r="C493">
        <v>-2.012107542957382</v>
      </c>
      <c r="D493">
        <v>-1.4343732335999859</v>
      </c>
      <c r="F493">
        <v>46.896896896896905</v>
      </c>
      <c r="G493">
        <v>3</v>
      </c>
    </row>
    <row r="494" spans="1:7" x14ac:dyDescent="0.25">
      <c r="A494">
        <v>470</v>
      </c>
      <c r="B494">
        <v>3.014772771062463</v>
      </c>
      <c r="C494">
        <v>-1.014772771062463</v>
      </c>
      <c r="D494">
        <v>-0.7234021392607608</v>
      </c>
      <c r="F494">
        <v>46.996996996997005</v>
      </c>
      <c r="G494">
        <v>3</v>
      </c>
    </row>
    <row r="495" spans="1:7" x14ac:dyDescent="0.25">
      <c r="A495">
        <v>471</v>
      </c>
      <c r="B495">
        <v>3.0136400491178037</v>
      </c>
      <c r="C495">
        <v>1.9863599508821963</v>
      </c>
      <c r="D495">
        <v>1.4160185203881783</v>
      </c>
      <c r="F495">
        <v>47.097097097097105</v>
      </c>
      <c r="G495">
        <v>3</v>
      </c>
    </row>
    <row r="496" spans="1:7" x14ac:dyDescent="0.25">
      <c r="A496">
        <v>472</v>
      </c>
      <c r="B496">
        <v>2.9969157427584197</v>
      </c>
      <c r="C496">
        <v>2.0030842572415803</v>
      </c>
      <c r="D496">
        <v>1.4279407943622462</v>
      </c>
      <c r="F496">
        <v>47.197197197197205</v>
      </c>
      <c r="G496">
        <v>3</v>
      </c>
    </row>
    <row r="497" spans="1:7" x14ac:dyDescent="0.25">
      <c r="A497">
        <v>473</v>
      </c>
      <c r="B497">
        <v>2.9981817261083332</v>
      </c>
      <c r="C497">
        <v>2.0018182738916668</v>
      </c>
      <c r="D497">
        <v>1.4270383114717791</v>
      </c>
      <c r="F497">
        <v>47.297297297297305</v>
      </c>
      <c r="G497">
        <v>3</v>
      </c>
    </row>
    <row r="498" spans="1:7" x14ac:dyDescent="0.25">
      <c r="A498">
        <v>474</v>
      </c>
      <c r="B498">
        <v>3.0127738499836521</v>
      </c>
      <c r="C498">
        <v>1.9872261500163479</v>
      </c>
      <c r="D498">
        <v>1.4166360086816563</v>
      </c>
      <c r="F498">
        <v>47.397397397397405</v>
      </c>
      <c r="G498">
        <v>3</v>
      </c>
    </row>
    <row r="499" spans="1:7" x14ac:dyDescent="0.25">
      <c r="A499">
        <v>475</v>
      </c>
      <c r="B499">
        <v>3.0038453358316306</v>
      </c>
      <c r="C499">
        <v>-1.0038453358316306</v>
      </c>
      <c r="D499">
        <v>-0.71561228694304324</v>
      </c>
      <c r="F499">
        <v>47.497497497497505</v>
      </c>
      <c r="G499">
        <v>3</v>
      </c>
    </row>
    <row r="500" spans="1:7" x14ac:dyDescent="0.25">
      <c r="A500">
        <v>476</v>
      </c>
      <c r="B500">
        <v>2.9975820497846901</v>
      </c>
      <c r="C500">
        <v>1.0024179502153099</v>
      </c>
      <c r="D500">
        <v>0.71459474504810716</v>
      </c>
      <c r="F500">
        <v>47.597597597597606</v>
      </c>
      <c r="G500">
        <v>3</v>
      </c>
    </row>
    <row r="501" spans="1:7" x14ac:dyDescent="0.25">
      <c r="A501">
        <v>477</v>
      </c>
      <c r="B501">
        <v>3.0063106718288304</v>
      </c>
      <c r="C501">
        <v>1.9936893281711696</v>
      </c>
      <c r="D501">
        <v>1.4212434213329892</v>
      </c>
      <c r="F501">
        <v>47.697697697697706</v>
      </c>
      <c r="G501">
        <v>3</v>
      </c>
    </row>
    <row r="502" spans="1:7" x14ac:dyDescent="0.25">
      <c r="A502">
        <v>478</v>
      </c>
      <c r="B502">
        <v>2.9958496515163873</v>
      </c>
      <c r="C502">
        <v>-1.9958496515163873</v>
      </c>
      <c r="D502">
        <v>-1.422783453322406</v>
      </c>
      <c r="F502">
        <v>47.797797797797806</v>
      </c>
      <c r="G502">
        <v>3</v>
      </c>
    </row>
    <row r="503" spans="1:7" x14ac:dyDescent="0.25">
      <c r="A503">
        <v>479</v>
      </c>
      <c r="B503">
        <v>3.0111080824179766</v>
      </c>
      <c r="C503">
        <v>-1.1108082417976561E-2</v>
      </c>
      <c r="D503">
        <v>-7.9186304691993628E-3</v>
      </c>
      <c r="F503">
        <v>47.897897897897906</v>
      </c>
      <c r="G503">
        <v>3</v>
      </c>
    </row>
    <row r="504" spans="1:7" x14ac:dyDescent="0.25">
      <c r="A504">
        <v>480</v>
      </c>
      <c r="B504">
        <v>3.0063106718288304</v>
      </c>
      <c r="C504">
        <v>0.99368932817116962</v>
      </c>
      <c r="D504">
        <v>0.708372363013833</v>
      </c>
      <c r="F504">
        <v>47.997997997998006</v>
      </c>
      <c r="G504">
        <v>3</v>
      </c>
    </row>
    <row r="505" spans="1:7" x14ac:dyDescent="0.25">
      <c r="A505">
        <v>481</v>
      </c>
      <c r="B505">
        <v>3.0141064640361925</v>
      </c>
      <c r="C505">
        <v>-2.0141064640361925</v>
      </c>
      <c r="D505">
        <v>-1.435798206584934</v>
      </c>
      <c r="F505">
        <v>48.098098098098106</v>
      </c>
      <c r="G505">
        <v>3</v>
      </c>
    </row>
    <row r="506" spans="1:7" x14ac:dyDescent="0.25">
      <c r="A506">
        <v>482</v>
      </c>
      <c r="B506">
        <v>3.0084428543128956</v>
      </c>
      <c r="C506">
        <v>1.9915571456871044</v>
      </c>
      <c r="D506">
        <v>1.4197234501490441</v>
      </c>
      <c r="F506">
        <v>48.198198198198206</v>
      </c>
      <c r="G506">
        <v>3</v>
      </c>
    </row>
    <row r="507" spans="1:7" x14ac:dyDescent="0.25">
      <c r="A507">
        <v>483</v>
      </c>
      <c r="B507">
        <v>2.9949834523822361</v>
      </c>
      <c r="C507">
        <v>1.0050165476177639</v>
      </c>
      <c r="D507">
        <v>0.71644720992854005</v>
      </c>
      <c r="F507">
        <v>48.298298298298306</v>
      </c>
      <c r="G507">
        <v>3</v>
      </c>
    </row>
    <row r="508" spans="1:7" x14ac:dyDescent="0.25">
      <c r="A508">
        <v>484</v>
      </c>
      <c r="B508">
        <v>3.012107542957382</v>
      </c>
      <c r="C508">
        <v>0.98789245704261797</v>
      </c>
      <c r="D508">
        <v>0.70423994135748258</v>
      </c>
      <c r="F508">
        <v>48.398398398398406</v>
      </c>
      <c r="G508">
        <v>3</v>
      </c>
    </row>
    <row r="509" spans="1:7" x14ac:dyDescent="0.25">
      <c r="A509">
        <v>485</v>
      </c>
      <c r="B509">
        <v>3.0147061403598361</v>
      </c>
      <c r="C509">
        <v>-2.0147061403598361</v>
      </c>
      <c r="D509">
        <v>-1.4362256984804187</v>
      </c>
      <c r="F509">
        <v>48.498498498498506</v>
      </c>
      <c r="G509">
        <v>3</v>
      </c>
    </row>
    <row r="510" spans="1:7" x14ac:dyDescent="0.25">
      <c r="A510">
        <v>486</v>
      </c>
      <c r="B510">
        <v>3.017437999167544</v>
      </c>
      <c r="C510">
        <v>-1.7437999167543961E-2</v>
      </c>
      <c r="D510">
        <v>-1.2431044921535628E-2</v>
      </c>
      <c r="F510">
        <v>48.598598598598606</v>
      </c>
      <c r="G510">
        <v>3</v>
      </c>
    </row>
    <row r="511" spans="1:7" x14ac:dyDescent="0.25">
      <c r="A511">
        <v>487</v>
      </c>
      <c r="B511">
        <v>3.014439617549328</v>
      </c>
      <c r="C511">
        <v>1.985560382450672</v>
      </c>
      <c r="D511">
        <v>1.4154485311941991</v>
      </c>
      <c r="F511">
        <v>48.698698698698706</v>
      </c>
      <c r="G511">
        <v>3</v>
      </c>
    </row>
    <row r="512" spans="1:7" x14ac:dyDescent="0.25">
      <c r="A512">
        <v>488</v>
      </c>
      <c r="B512">
        <v>3.0008469542134142</v>
      </c>
      <c r="C512">
        <v>1.9991530457865858</v>
      </c>
      <c r="D512">
        <v>1.425138347491848</v>
      </c>
      <c r="F512">
        <v>48.798798798798806</v>
      </c>
      <c r="G512">
        <v>3</v>
      </c>
    </row>
    <row r="513" spans="1:7" x14ac:dyDescent="0.25">
      <c r="A513">
        <v>489</v>
      </c>
      <c r="B513">
        <v>3.0026459831843439</v>
      </c>
      <c r="C513">
        <v>1.9973540168156561</v>
      </c>
      <c r="D513">
        <v>1.4238558718053944</v>
      </c>
      <c r="F513">
        <v>48.898898898898906</v>
      </c>
      <c r="G513">
        <v>3</v>
      </c>
    </row>
    <row r="514" spans="1:7" x14ac:dyDescent="0.25">
      <c r="A514">
        <v>490</v>
      </c>
      <c r="B514">
        <v>3.0025127217790901</v>
      </c>
      <c r="C514">
        <v>1.9974872782209099</v>
      </c>
      <c r="D514">
        <v>1.4239508700043908</v>
      </c>
      <c r="F514">
        <v>48.998998998999006</v>
      </c>
      <c r="G514">
        <v>3</v>
      </c>
    </row>
    <row r="515" spans="1:7" x14ac:dyDescent="0.25">
      <c r="A515">
        <v>491</v>
      </c>
      <c r="B515">
        <v>3.0103751446890792</v>
      </c>
      <c r="C515">
        <v>1.9896248553109208</v>
      </c>
      <c r="D515">
        <v>1.4183459762635942</v>
      </c>
      <c r="F515">
        <v>49.099099099099107</v>
      </c>
      <c r="G515">
        <v>3</v>
      </c>
    </row>
    <row r="516" spans="1:7" x14ac:dyDescent="0.25">
      <c r="A516">
        <v>492</v>
      </c>
      <c r="B516">
        <v>3.0043117507500199</v>
      </c>
      <c r="C516">
        <v>1.9956882492499801</v>
      </c>
      <c r="D516">
        <v>1.4226683943179372</v>
      </c>
      <c r="F516">
        <v>49.199199199199207</v>
      </c>
      <c r="G516">
        <v>3</v>
      </c>
    </row>
    <row r="517" spans="1:7" x14ac:dyDescent="0.25">
      <c r="A517">
        <v>493</v>
      </c>
      <c r="B517">
        <v>3.0179710447885602</v>
      </c>
      <c r="C517">
        <v>0.98202895521143985</v>
      </c>
      <c r="D517">
        <v>0.7000600206016343</v>
      </c>
      <c r="F517">
        <v>49.299299299299307</v>
      </c>
      <c r="G517">
        <v>3</v>
      </c>
    </row>
    <row r="518" spans="1:7" x14ac:dyDescent="0.25">
      <c r="A518">
        <v>494</v>
      </c>
      <c r="B518">
        <v>3.0113746052284847</v>
      </c>
      <c r="C518">
        <v>-2.0113746052284847</v>
      </c>
      <c r="D518">
        <v>-1.4338507435055048</v>
      </c>
      <c r="F518">
        <v>49.399399399399407</v>
      </c>
      <c r="G518">
        <v>3</v>
      </c>
    </row>
    <row r="519" spans="1:7" x14ac:dyDescent="0.25">
      <c r="A519">
        <v>495</v>
      </c>
      <c r="B519">
        <v>3.0151725552782254</v>
      </c>
      <c r="C519">
        <v>-2.0151725552782254</v>
      </c>
      <c r="D519">
        <v>-1.4365581921769068</v>
      </c>
      <c r="F519">
        <v>49.499499499499507</v>
      </c>
      <c r="G519">
        <v>3</v>
      </c>
    </row>
    <row r="520" spans="1:7" x14ac:dyDescent="0.25">
      <c r="A520">
        <v>496</v>
      </c>
      <c r="B520">
        <v>3.0061774104235766</v>
      </c>
      <c r="C520">
        <v>0.99382258957642344</v>
      </c>
      <c r="D520">
        <v>0.70846736121282938</v>
      </c>
      <c r="F520">
        <v>49.599599599599607</v>
      </c>
      <c r="G520">
        <v>3</v>
      </c>
    </row>
    <row r="521" spans="1:7" x14ac:dyDescent="0.25">
      <c r="A521">
        <v>497</v>
      </c>
      <c r="B521">
        <v>3.0152391859808523</v>
      </c>
      <c r="C521">
        <v>-1.0152391859808523</v>
      </c>
      <c r="D521">
        <v>-0.72373463295724882</v>
      </c>
      <c r="F521">
        <v>49.699699699699707</v>
      </c>
      <c r="G521">
        <v>3</v>
      </c>
    </row>
    <row r="522" spans="1:7" x14ac:dyDescent="0.25">
      <c r="A522">
        <v>498</v>
      </c>
      <c r="B522">
        <v>3.0135067877125494</v>
      </c>
      <c r="C522">
        <v>-1.3506787712549428E-2</v>
      </c>
      <c r="D522">
        <v>-9.6285980511372857E-3</v>
      </c>
      <c r="F522">
        <v>49.799799799799807</v>
      </c>
      <c r="G522">
        <v>3</v>
      </c>
    </row>
    <row r="523" spans="1:7" x14ac:dyDescent="0.25">
      <c r="A523">
        <v>499</v>
      </c>
      <c r="B523">
        <v>2.9937840997349494</v>
      </c>
      <c r="C523">
        <v>1.0062159002650506</v>
      </c>
      <c r="D523">
        <v>0.7173021937195091</v>
      </c>
      <c r="F523">
        <v>49.899899899899907</v>
      </c>
      <c r="G523">
        <v>3</v>
      </c>
    </row>
    <row r="524" spans="1:7" x14ac:dyDescent="0.25">
      <c r="A524">
        <v>500</v>
      </c>
      <c r="B524">
        <v>3.0147061403598361</v>
      </c>
      <c r="C524">
        <v>1.9852938596401639</v>
      </c>
      <c r="D524">
        <v>1.4152585347962059</v>
      </c>
      <c r="F524">
        <v>50.000000000000007</v>
      </c>
      <c r="G524">
        <v>3</v>
      </c>
    </row>
    <row r="525" spans="1:7" x14ac:dyDescent="0.25">
      <c r="A525">
        <v>501</v>
      </c>
      <c r="B525">
        <v>2.9981150954057063</v>
      </c>
      <c r="C525">
        <v>1.0018849045942937</v>
      </c>
      <c r="D525">
        <v>0.71421475225212094</v>
      </c>
      <c r="F525">
        <v>50.100100100100107</v>
      </c>
      <c r="G525">
        <v>3</v>
      </c>
    </row>
    <row r="526" spans="1:7" x14ac:dyDescent="0.25">
      <c r="A526">
        <v>502</v>
      </c>
      <c r="B526">
        <v>3.0096422069601818</v>
      </c>
      <c r="C526">
        <v>-2.0096422069601818</v>
      </c>
      <c r="D526">
        <v>-1.4326157669185495</v>
      </c>
      <c r="F526">
        <v>50.200200200200207</v>
      </c>
      <c r="G526">
        <v>3</v>
      </c>
    </row>
    <row r="527" spans="1:7" x14ac:dyDescent="0.25">
      <c r="A527">
        <v>503</v>
      </c>
      <c r="B527">
        <v>3.0165051693307658</v>
      </c>
      <c r="C527">
        <v>-1.0165051693307658</v>
      </c>
      <c r="D527">
        <v>-0.72463711584771606</v>
      </c>
      <c r="F527">
        <v>50.300300300300307</v>
      </c>
      <c r="G527">
        <v>3</v>
      </c>
    </row>
    <row r="528" spans="1:7" x14ac:dyDescent="0.25">
      <c r="A528">
        <v>504</v>
      </c>
      <c r="B528">
        <v>2.9949168216796092</v>
      </c>
      <c r="C528">
        <v>2.0050831783203908</v>
      </c>
      <c r="D528">
        <v>1.4293657673471944</v>
      </c>
      <c r="F528">
        <v>50.400400400400407</v>
      </c>
      <c r="G528">
        <v>3</v>
      </c>
    </row>
    <row r="529" spans="1:7" x14ac:dyDescent="0.25">
      <c r="A529">
        <v>505</v>
      </c>
      <c r="B529">
        <v>3.0177711526806794</v>
      </c>
      <c r="C529">
        <v>1.9822288473193206</v>
      </c>
      <c r="D529">
        <v>1.4130735762192852</v>
      </c>
      <c r="F529">
        <v>50.500500500500507</v>
      </c>
      <c r="G529">
        <v>3</v>
      </c>
    </row>
    <row r="530" spans="1:7" x14ac:dyDescent="0.25">
      <c r="A530">
        <v>506</v>
      </c>
      <c r="B530">
        <v>3.0177711526806794</v>
      </c>
      <c r="C530">
        <v>1.9822288473193206</v>
      </c>
      <c r="D530">
        <v>1.4130735762192852</v>
      </c>
      <c r="F530">
        <v>50.600600600600607</v>
      </c>
      <c r="G530">
        <v>3</v>
      </c>
    </row>
    <row r="531" spans="1:7" x14ac:dyDescent="0.25">
      <c r="A531">
        <v>507</v>
      </c>
      <c r="B531">
        <v>3.0087760078260306</v>
      </c>
      <c r="C531">
        <v>1.9912239921739694</v>
      </c>
      <c r="D531">
        <v>1.4194859546515528</v>
      </c>
      <c r="F531">
        <v>50.700700700700708</v>
      </c>
      <c r="G531">
        <v>3</v>
      </c>
    </row>
    <row r="532" spans="1:7" x14ac:dyDescent="0.25">
      <c r="A532">
        <v>508</v>
      </c>
      <c r="B532">
        <v>3.0051779498841711</v>
      </c>
      <c r="C532">
        <v>-2.0051779498841711</v>
      </c>
      <c r="D532">
        <v>-1.4294333272521649</v>
      </c>
      <c r="F532">
        <v>50.800800800800808</v>
      </c>
      <c r="G532">
        <v>3</v>
      </c>
    </row>
    <row r="533" spans="1:7" x14ac:dyDescent="0.25">
      <c r="A533">
        <v>509</v>
      </c>
      <c r="B533">
        <v>3.0130403727941601</v>
      </c>
      <c r="C533">
        <v>-2.0130403727941601</v>
      </c>
      <c r="D533">
        <v>-1.4350382209929617</v>
      </c>
      <c r="F533">
        <v>50.900900900900908</v>
      </c>
      <c r="G533">
        <v>3</v>
      </c>
    </row>
    <row r="534" spans="1:7" x14ac:dyDescent="0.25">
      <c r="A534">
        <v>510</v>
      </c>
      <c r="B534">
        <v>3.015105924575598</v>
      </c>
      <c r="C534">
        <v>-1.015105924575598</v>
      </c>
      <c r="D534">
        <v>-0.7236396347582521</v>
      </c>
      <c r="F534">
        <v>51.001001001001008</v>
      </c>
      <c r="G534">
        <v>3</v>
      </c>
    </row>
    <row r="535" spans="1:7" x14ac:dyDescent="0.25">
      <c r="A535">
        <v>511</v>
      </c>
      <c r="B535">
        <v>3.0009802156186685</v>
      </c>
      <c r="C535">
        <v>-1.0009802156186685</v>
      </c>
      <c r="D535">
        <v>-0.71356982566461735</v>
      </c>
      <c r="F535">
        <v>51.101101101101108</v>
      </c>
      <c r="G535">
        <v>3</v>
      </c>
    </row>
    <row r="536" spans="1:7" x14ac:dyDescent="0.25">
      <c r="A536">
        <v>512</v>
      </c>
      <c r="B536">
        <v>3.0102418832838254</v>
      </c>
      <c r="C536">
        <v>0.98975811671617464</v>
      </c>
      <c r="D536">
        <v>0.70556991614343434</v>
      </c>
      <c r="F536">
        <v>51.201201201201208</v>
      </c>
      <c r="G536">
        <v>3</v>
      </c>
    </row>
    <row r="537" spans="1:7" x14ac:dyDescent="0.25">
      <c r="A537">
        <v>513</v>
      </c>
      <c r="B537">
        <v>3.0004471699976523</v>
      </c>
      <c r="C537">
        <v>-1.0004471699976523</v>
      </c>
      <c r="D537">
        <v>-0.71318983286863114</v>
      </c>
      <c r="F537">
        <v>51.301301301301308</v>
      </c>
      <c r="G537">
        <v>3</v>
      </c>
    </row>
    <row r="538" spans="1:7" x14ac:dyDescent="0.25">
      <c r="A538">
        <v>514</v>
      </c>
      <c r="B538">
        <v>3.005244580586798</v>
      </c>
      <c r="C538">
        <v>-5.2445805867979978E-3</v>
      </c>
      <c r="D538">
        <v>-3.7387097133507897E-3</v>
      </c>
      <c r="F538">
        <v>51.401401401401408</v>
      </c>
      <c r="G538">
        <v>3</v>
      </c>
    </row>
    <row r="539" spans="1:7" x14ac:dyDescent="0.25">
      <c r="A539">
        <v>515</v>
      </c>
      <c r="B539">
        <v>3.0037120744263763</v>
      </c>
      <c r="C539">
        <v>-1.0037120744263763</v>
      </c>
      <c r="D539">
        <v>-0.71551728874404652</v>
      </c>
      <c r="F539">
        <v>51.501501501501508</v>
      </c>
      <c r="G539">
        <v>3</v>
      </c>
    </row>
    <row r="540" spans="1:7" x14ac:dyDescent="0.25">
      <c r="A540">
        <v>516</v>
      </c>
      <c r="B540">
        <v>3.0027792445895982</v>
      </c>
      <c r="C540">
        <v>-2.0027792445895982</v>
      </c>
      <c r="D540">
        <v>-1.427723359670227</v>
      </c>
      <c r="F540">
        <v>51.601601601601608</v>
      </c>
      <c r="G540">
        <v>3</v>
      </c>
    </row>
    <row r="541" spans="1:7" x14ac:dyDescent="0.25">
      <c r="A541">
        <v>517</v>
      </c>
      <c r="B541">
        <v>2.9999141243766361</v>
      </c>
      <c r="C541">
        <v>8.5875623363929066E-5</v>
      </c>
      <c r="D541">
        <v>6.1218246511261364E-5</v>
      </c>
      <c r="F541">
        <v>51.701701701701708</v>
      </c>
      <c r="G541">
        <v>3</v>
      </c>
    </row>
    <row r="542" spans="1:7" x14ac:dyDescent="0.25">
      <c r="A542">
        <v>518</v>
      </c>
      <c r="B542">
        <v>3.0149060324677173</v>
      </c>
      <c r="C542">
        <v>1.9850939675322827</v>
      </c>
      <c r="D542">
        <v>1.415116037497711</v>
      </c>
      <c r="F542">
        <v>51.801801801801808</v>
      </c>
      <c r="G542">
        <v>3</v>
      </c>
    </row>
    <row r="543" spans="1:7" x14ac:dyDescent="0.25">
      <c r="A543">
        <v>519</v>
      </c>
      <c r="B543">
        <v>3.0015132612396846</v>
      </c>
      <c r="C543">
        <v>-1.513261239684649E-3</v>
      </c>
      <c r="D543">
        <v>-1.0787601414473541E-3</v>
      </c>
      <c r="F543">
        <v>51.901901901901908</v>
      </c>
      <c r="G543">
        <v>3</v>
      </c>
    </row>
    <row r="544" spans="1:7" x14ac:dyDescent="0.25">
      <c r="A544">
        <v>520</v>
      </c>
      <c r="B544">
        <v>3.0032456595079875</v>
      </c>
      <c r="C544">
        <v>-3.2456595079874972E-3</v>
      </c>
      <c r="D544">
        <v>-2.3137367284026787E-3</v>
      </c>
      <c r="F544">
        <v>52.002002002002008</v>
      </c>
      <c r="G544">
        <v>3</v>
      </c>
    </row>
    <row r="545" spans="1:7" x14ac:dyDescent="0.25">
      <c r="A545">
        <v>521</v>
      </c>
      <c r="B545">
        <v>2.9949834523822361</v>
      </c>
      <c r="C545">
        <v>-0.99498345238223607</v>
      </c>
      <c r="D545">
        <v>-0.70929490670977235</v>
      </c>
      <c r="F545">
        <v>52.102102102102108</v>
      </c>
      <c r="G545">
        <v>3</v>
      </c>
    </row>
    <row r="546" spans="1:7" x14ac:dyDescent="0.25">
      <c r="A546">
        <v>522</v>
      </c>
      <c r="B546">
        <v>3.0121741736600089</v>
      </c>
      <c r="C546">
        <v>0.98782582633999105</v>
      </c>
      <c r="D546">
        <v>0.70419244225798439</v>
      </c>
      <c r="F546">
        <v>52.202202202202209</v>
      </c>
      <c r="G546">
        <v>3</v>
      </c>
    </row>
    <row r="547" spans="1:7" x14ac:dyDescent="0.25">
      <c r="A547">
        <v>523</v>
      </c>
      <c r="B547">
        <v>3.0156389701966142</v>
      </c>
      <c r="C547">
        <v>0.9843610298033858</v>
      </c>
      <c r="D547">
        <v>0.70172248908407409</v>
      </c>
      <c r="F547">
        <v>52.302302302302309</v>
      </c>
      <c r="G547">
        <v>3</v>
      </c>
    </row>
    <row r="548" spans="1:7" x14ac:dyDescent="0.25">
      <c r="A548">
        <v>524</v>
      </c>
      <c r="B548">
        <v>3.0115744973363658</v>
      </c>
      <c r="C548">
        <v>-1.1574497336365841E-2</v>
      </c>
      <c r="D548">
        <v>-8.2511241656873721E-3</v>
      </c>
      <c r="F548">
        <v>52.402402402402409</v>
      </c>
      <c r="G548">
        <v>3</v>
      </c>
    </row>
    <row r="549" spans="1:7" x14ac:dyDescent="0.25">
      <c r="A549">
        <v>525</v>
      </c>
      <c r="B549">
        <v>3.0141730947388199</v>
      </c>
      <c r="C549">
        <v>0.98582690526118011</v>
      </c>
      <c r="D549">
        <v>0.70276746927303602</v>
      </c>
      <c r="F549">
        <v>52.502502502502509</v>
      </c>
      <c r="G549">
        <v>3</v>
      </c>
    </row>
    <row r="550" spans="1:7" x14ac:dyDescent="0.25">
      <c r="A550">
        <v>526</v>
      </c>
      <c r="B550">
        <v>3.0129737420915332</v>
      </c>
      <c r="C550">
        <v>1.9870262579084668</v>
      </c>
      <c r="D550">
        <v>1.4164935113831614</v>
      </c>
      <c r="F550">
        <v>52.602602602602609</v>
      </c>
      <c r="G550">
        <v>3</v>
      </c>
    </row>
    <row r="551" spans="1:7" x14ac:dyDescent="0.25">
      <c r="A551">
        <v>527</v>
      </c>
      <c r="B551">
        <v>3.0108415596074685</v>
      </c>
      <c r="C551">
        <v>0.98915844039253153</v>
      </c>
      <c r="D551">
        <v>0.70514242424794993</v>
      </c>
      <c r="F551">
        <v>52.702702702702709</v>
      </c>
      <c r="G551">
        <v>3</v>
      </c>
    </row>
    <row r="552" spans="1:7" x14ac:dyDescent="0.25">
      <c r="A552">
        <v>528</v>
      </c>
      <c r="B552">
        <v>3.0070436095577278</v>
      </c>
      <c r="C552">
        <v>0.99295639044227224</v>
      </c>
      <c r="D552">
        <v>0.70784987291935186</v>
      </c>
      <c r="F552">
        <v>52.802802802802809</v>
      </c>
      <c r="G552">
        <v>3</v>
      </c>
    </row>
    <row r="553" spans="1:7" x14ac:dyDescent="0.25">
      <c r="A553">
        <v>529</v>
      </c>
      <c r="B553">
        <v>3.0015798919423116</v>
      </c>
      <c r="C553">
        <v>1.9984201080576884</v>
      </c>
      <c r="D553">
        <v>1.4246158573973668</v>
      </c>
      <c r="F553">
        <v>52.902902902902909</v>
      </c>
      <c r="G553">
        <v>3</v>
      </c>
    </row>
    <row r="554" spans="1:7" x14ac:dyDescent="0.25">
      <c r="A554">
        <v>530</v>
      </c>
      <c r="B554">
        <v>3.0159721237097497</v>
      </c>
      <c r="C554">
        <v>-2.0159721237097497</v>
      </c>
      <c r="D554">
        <v>-1.437128181370886</v>
      </c>
      <c r="F554">
        <v>53.003003003003009</v>
      </c>
      <c r="G554">
        <v>3</v>
      </c>
    </row>
    <row r="555" spans="1:7" x14ac:dyDescent="0.25">
      <c r="A555">
        <v>531</v>
      </c>
      <c r="B555">
        <v>3.0093756841496737</v>
      </c>
      <c r="C555">
        <v>-2.0093756841496737</v>
      </c>
      <c r="D555">
        <v>-1.4324257705205563</v>
      </c>
      <c r="F555">
        <v>53.103103103103109</v>
      </c>
      <c r="G555">
        <v>3</v>
      </c>
    </row>
    <row r="556" spans="1:7" x14ac:dyDescent="0.25">
      <c r="A556">
        <v>532</v>
      </c>
      <c r="B556">
        <v>3.0040452279395118</v>
      </c>
      <c r="C556">
        <v>1.9959547720604882</v>
      </c>
      <c r="D556">
        <v>1.4228583907159305</v>
      </c>
      <c r="F556">
        <v>53.203203203203209</v>
      </c>
      <c r="G556">
        <v>3</v>
      </c>
    </row>
    <row r="557" spans="1:7" x14ac:dyDescent="0.25">
      <c r="A557">
        <v>533</v>
      </c>
      <c r="B557">
        <v>3.0133735263072956</v>
      </c>
      <c r="C557">
        <v>-2.0133735263072956</v>
      </c>
      <c r="D557">
        <v>-1.4352757164904533</v>
      </c>
      <c r="F557">
        <v>53.303303303303309</v>
      </c>
      <c r="G557">
        <v>3</v>
      </c>
    </row>
    <row r="558" spans="1:7" x14ac:dyDescent="0.25">
      <c r="A558">
        <v>534</v>
      </c>
      <c r="B558">
        <v>2.9939173611402037</v>
      </c>
      <c r="C558">
        <v>2.0060826388597963</v>
      </c>
      <c r="D558">
        <v>1.4300782538396686</v>
      </c>
      <c r="F558">
        <v>53.403403403403409</v>
      </c>
      <c r="G558">
        <v>3</v>
      </c>
    </row>
    <row r="559" spans="1:7" x14ac:dyDescent="0.25">
      <c r="A559">
        <v>535</v>
      </c>
      <c r="B559">
        <v>3.0009802156186685</v>
      </c>
      <c r="C559">
        <v>1.9990197843813315</v>
      </c>
      <c r="D559">
        <v>1.4250433492928511</v>
      </c>
      <c r="F559">
        <v>53.503503503503509</v>
      </c>
      <c r="G559">
        <v>3</v>
      </c>
    </row>
    <row r="560" spans="1:7" x14ac:dyDescent="0.25">
      <c r="A560">
        <v>536</v>
      </c>
      <c r="B560">
        <v>3.0104417753917061</v>
      </c>
      <c r="C560">
        <v>-1.0441775391706098E-2</v>
      </c>
      <c r="D560">
        <v>-7.4436394742164484E-3</v>
      </c>
      <c r="F560">
        <v>53.603603603603609</v>
      </c>
      <c r="G560">
        <v>3</v>
      </c>
    </row>
    <row r="561" spans="1:7" x14ac:dyDescent="0.25">
      <c r="A561">
        <v>537</v>
      </c>
      <c r="B561">
        <v>2.9953166058953711</v>
      </c>
      <c r="C561">
        <v>-1.9953166058953711</v>
      </c>
      <c r="D561">
        <v>-1.4224034605264197</v>
      </c>
      <c r="F561">
        <v>53.703703703703709</v>
      </c>
      <c r="G561">
        <v>3</v>
      </c>
    </row>
    <row r="562" spans="1:7" x14ac:dyDescent="0.25">
      <c r="A562">
        <v>538</v>
      </c>
      <c r="B562">
        <v>3.0065771946393385</v>
      </c>
      <c r="C562">
        <v>-6.5771946393384795E-3</v>
      </c>
      <c r="D562">
        <v>-4.6886917033163028E-3</v>
      </c>
      <c r="F562">
        <v>53.80380380380381</v>
      </c>
      <c r="G562">
        <v>3</v>
      </c>
    </row>
    <row r="563" spans="1:7" x14ac:dyDescent="0.25">
      <c r="A563">
        <v>539</v>
      </c>
      <c r="B563">
        <v>2.9937174690323225</v>
      </c>
      <c r="C563">
        <v>2.0062825309676775</v>
      </c>
      <c r="D563">
        <v>1.4302207511381635</v>
      </c>
      <c r="F563">
        <v>53.90390390390391</v>
      </c>
      <c r="G563">
        <v>3</v>
      </c>
    </row>
    <row r="564" spans="1:7" x14ac:dyDescent="0.25">
      <c r="A564">
        <v>540</v>
      </c>
      <c r="B564">
        <v>2.999980755079263</v>
      </c>
      <c r="C564">
        <v>2.000019244920737</v>
      </c>
      <c r="D564">
        <v>1.4257558357853255</v>
      </c>
      <c r="F564">
        <v>54.00400400400401</v>
      </c>
      <c r="G564">
        <v>3</v>
      </c>
    </row>
    <row r="565" spans="1:7" x14ac:dyDescent="0.25">
      <c r="A565">
        <v>541</v>
      </c>
      <c r="B565">
        <v>3.0016465226449385</v>
      </c>
      <c r="C565">
        <v>1.9983534773550615</v>
      </c>
      <c r="D565">
        <v>1.4245683582978685</v>
      </c>
      <c r="F565">
        <v>54.10410410410411</v>
      </c>
      <c r="G565">
        <v>3</v>
      </c>
    </row>
    <row r="566" spans="1:7" x14ac:dyDescent="0.25">
      <c r="A566">
        <v>542</v>
      </c>
      <c r="B566">
        <v>3.0065105639367116</v>
      </c>
      <c r="C566">
        <v>-1.0065105639367116</v>
      </c>
      <c r="D566">
        <v>-0.71751225092297433</v>
      </c>
      <c r="F566">
        <v>54.20420420420421</v>
      </c>
      <c r="G566">
        <v>3</v>
      </c>
    </row>
    <row r="567" spans="1:7" x14ac:dyDescent="0.25">
      <c r="A567">
        <v>543</v>
      </c>
      <c r="B567">
        <v>3.0115078666337385</v>
      </c>
      <c r="C567">
        <v>0.98849213336626152</v>
      </c>
      <c r="D567">
        <v>0.70466743325296732</v>
      </c>
      <c r="F567">
        <v>54.30430430430431</v>
      </c>
      <c r="G567">
        <v>3</v>
      </c>
    </row>
    <row r="568" spans="1:7" x14ac:dyDescent="0.25">
      <c r="A568">
        <v>544</v>
      </c>
      <c r="B568">
        <v>3.002912505994852</v>
      </c>
      <c r="C568">
        <v>0.99708749400514796</v>
      </c>
      <c r="D568">
        <v>0.7107948170882451</v>
      </c>
      <c r="F568">
        <v>54.40440440440441</v>
      </c>
      <c r="G568">
        <v>3</v>
      </c>
    </row>
    <row r="569" spans="1:7" x14ac:dyDescent="0.25">
      <c r="A569">
        <v>545</v>
      </c>
      <c r="B569">
        <v>2.9993810787556199</v>
      </c>
      <c r="C569">
        <v>6.1892124438012175E-4</v>
      </c>
      <c r="D569">
        <v>4.4121104249746648E-4</v>
      </c>
      <c r="F569">
        <v>54.50450450450451</v>
      </c>
      <c r="G569">
        <v>3</v>
      </c>
    </row>
    <row r="570" spans="1:7" x14ac:dyDescent="0.25">
      <c r="A570">
        <v>546</v>
      </c>
      <c r="B570">
        <v>3.0077099165839982</v>
      </c>
      <c r="C570">
        <v>1.9922900834160018</v>
      </c>
      <c r="D570">
        <v>1.4202459402435252</v>
      </c>
      <c r="F570">
        <v>54.60460460460461</v>
      </c>
      <c r="G570">
        <v>3</v>
      </c>
    </row>
    <row r="571" spans="1:7" x14ac:dyDescent="0.25">
      <c r="A571">
        <v>547</v>
      </c>
      <c r="B571">
        <v>3.0027792445895982</v>
      </c>
      <c r="C571">
        <v>-2.7792445895982176E-3</v>
      </c>
      <c r="D571">
        <v>-1.9812430319146703E-3</v>
      </c>
      <c r="F571">
        <v>54.70470470470471</v>
      </c>
      <c r="G571">
        <v>3</v>
      </c>
    </row>
    <row r="572" spans="1:7" x14ac:dyDescent="0.25">
      <c r="A572">
        <v>548</v>
      </c>
      <c r="B572">
        <v>3.0168383228439009</v>
      </c>
      <c r="C572">
        <v>1.9831616771560991</v>
      </c>
      <c r="D572">
        <v>1.4137385636122612</v>
      </c>
      <c r="F572">
        <v>54.80480480480481</v>
      </c>
      <c r="G572">
        <v>3</v>
      </c>
    </row>
    <row r="573" spans="1:7" x14ac:dyDescent="0.25">
      <c r="A573">
        <v>549</v>
      </c>
      <c r="B573">
        <v>3.0137733105230575</v>
      </c>
      <c r="C573">
        <v>-1.3773310523057525E-2</v>
      </c>
      <c r="D573">
        <v>-9.8185944491303891E-3</v>
      </c>
      <c r="F573">
        <v>54.90490490490491</v>
      </c>
      <c r="G573">
        <v>3</v>
      </c>
    </row>
    <row r="574" spans="1:7" x14ac:dyDescent="0.25">
      <c r="A574">
        <v>550</v>
      </c>
      <c r="B574">
        <v>3.0179710447885602</v>
      </c>
      <c r="C574">
        <v>-1.0179710447885602</v>
      </c>
      <c r="D574">
        <v>-0.72568209603667799</v>
      </c>
      <c r="F574">
        <v>55.00500500500501</v>
      </c>
      <c r="G574">
        <v>3</v>
      </c>
    </row>
    <row r="575" spans="1:7" x14ac:dyDescent="0.25">
      <c r="A575">
        <v>551</v>
      </c>
      <c r="B575">
        <v>2.9939839918428306</v>
      </c>
      <c r="C575">
        <v>6.0160081571694057E-3</v>
      </c>
      <c r="D575">
        <v>4.2886381018580307E-3</v>
      </c>
      <c r="F575">
        <v>55.10510510510511</v>
      </c>
      <c r="G575">
        <v>3</v>
      </c>
    </row>
    <row r="576" spans="1:7" x14ac:dyDescent="0.25">
      <c r="A576">
        <v>552</v>
      </c>
      <c r="B576">
        <v>3.0113079745258577</v>
      </c>
      <c r="C576">
        <v>0.98869202547414226</v>
      </c>
      <c r="D576">
        <v>0.70480993055146191</v>
      </c>
      <c r="F576">
        <v>55.20520520520521</v>
      </c>
      <c r="G576">
        <v>3</v>
      </c>
    </row>
    <row r="577" spans="1:7" x14ac:dyDescent="0.25">
      <c r="A577">
        <v>553</v>
      </c>
      <c r="B577">
        <v>3.0006470621055334</v>
      </c>
      <c r="C577">
        <v>-6.470621055334469E-4</v>
      </c>
      <c r="D577">
        <v>-4.612718479698498E-4</v>
      </c>
      <c r="F577">
        <v>55.305305305305311</v>
      </c>
      <c r="G577">
        <v>3</v>
      </c>
    </row>
    <row r="578" spans="1:7" x14ac:dyDescent="0.25">
      <c r="A578">
        <v>554</v>
      </c>
      <c r="B578">
        <v>2.9967824813531658</v>
      </c>
      <c r="C578">
        <v>-1.9967824813531658</v>
      </c>
      <c r="D578">
        <v>-1.423448440715382</v>
      </c>
      <c r="F578">
        <v>55.405405405405411</v>
      </c>
      <c r="G578">
        <v>3</v>
      </c>
    </row>
    <row r="579" spans="1:7" x14ac:dyDescent="0.25">
      <c r="A579">
        <v>555</v>
      </c>
      <c r="B579">
        <v>3.0035788130211225</v>
      </c>
      <c r="C579">
        <v>-2.0035788130211225</v>
      </c>
      <c r="D579">
        <v>-1.4282933488642064</v>
      </c>
      <c r="F579">
        <v>55.505505505505511</v>
      </c>
      <c r="G579">
        <v>3</v>
      </c>
    </row>
    <row r="580" spans="1:7" x14ac:dyDescent="0.25">
      <c r="A580">
        <v>556</v>
      </c>
      <c r="B580">
        <v>3.0053778419920523</v>
      </c>
      <c r="C580">
        <v>1.9946221580079477</v>
      </c>
      <c r="D580">
        <v>1.4219084087259648</v>
      </c>
      <c r="F580">
        <v>55.605605605605611</v>
      </c>
      <c r="G580">
        <v>3</v>
      </c>
    </row>
    <row r="581" spans="1:7" x14ac:dyDescent="0.25">
      <c r="A581">
        <v>557</v>
      </c>
      <c r="B581">
        <v>3.0010468463212954</v>
      </c>
      <c r="C581">
        <v>-2.0010468463212954</v>
      </c>
      <c r="D581">
        <v>-1.4264883830832717</v>
      </c>
      <c r="F581">
        <v>55.705705705705711</v>
      </c>
      <c r="G581">
        <v>3</v>
      </c>
    </row>
    <row r="582" spans="1:7" x14ac:dyDescent="0.25">
      <c r="A582">
        <v>558</v>
      </c>
      <c r="B582">
        <v>3.0162386465202577</v>
      </c>
      <c r="C582">
        <v>-1.0162386465202577</v>
      </c>
      <c r="D582">
        <v>-0.72444711944972295</v>
      </c>
      <c r="F582">
        <v>55.805805805805811</v>
      </c>
      <c r="G582">
        <v>3</v>
      </c>
    </row>
    <row r="583" spans="1:7" x14ac:dyDescent="0.25">
      <c r="A583">
        <v>559</v>
      </c>
      <c r="B583">
        <v>3.0139732026309387</v>
      </c>
      <c r="C583">
        <v>-2.0139732026309387</v>
      </c>
      <c r="D583">
        <v>-1.4357032083859376</v>
      </c>
      <c r="F583">
        <v>55.905905905905911</v>
      </c>
      <c r="G583">
        <v>3</v>
      </c>
    </row>
    <row r="584" spans="1:7" x14ac:dyDescent="0.25">
      <c r="A584">
        <v>560</v>
      </c>
      <c r="B584">
        <v>3.0006470621055334</v>
      </c>
      <c r="C584">
        <v>1.9993529378944666</v>
      </c>
      <c r="D584">
        <v>1.4252808447903424</v>
      </c>
      <c r="F584">
        <v>56.006006006006011</v>
      </c>
      <c r="G584">
        <v>3</v>
      </c>
    </row>
    <row r="585" spans="1:7" x14ac:dyDescent="0.25">
      <c r="A585">
        <v>561</v>
      </c>
      <c r="B585">
        <v>3.0112413438232304</v>
      </c>
      <c r="C585">
        <v>-1.0112413438232304</v>
      </c>
      <c r="D585">
        <v>-0.72088468698735197</v>
      </c>
      <c r="F585">
        <v>56.106106106106111</v>
      </c>
      <c r="G585">
        <v>3</v>
      </c>
    </row>
    <row r="586" spans="1:7" x14ac:dyDescent="0.25">
      <c r="A586">
        <v>562</v>
      </c>
      <c r="B586">
        <v>3.0145728789545818</v>
      </c>
      <c r="C586">
        <v>-1.0145728789545818</v>
      </c>
      <c r="D586">
        <v>-0.72325964196226589</v>
      </c>
      <c r="F586">
        <v>56.206206206206211</v>
      </c>
      <c r="G586">
        <v>3</v>
      </c>
    </row>
    <row r="587" spans="1:7" x14ac:dyDescent="0.25">
      <c r="A587">
        <v>563</v>
      </c>
      <c r="B587">
        <v>3.0123074350652628</v>
      </c>
      <c r="C587">
        <v>-2.0123074350652628</v>
      </c>
      <c r="D587">
        <v>-1.4345157308984806</v>
      </c>
      <c r="F587">
        <v>56.306306306306311</v>
      </c>
      <c r="G587">
        <v>3</v>
      </c>
    </row>
    <row r="588" spans="1:7" x14ac:dyDescent="0.25">
      <c r="A588">
        <v>564</v>
      </c>
      <c r="B588">
        <v>2.9966492199479116</v>
      </c>
      <c r="C588">
        <v>-1.9966492199479116</v>
      </c>
      <c r="D588">
        <v>-1.4233534425163854</v>
      </c>
      <c r="F588">
        <v>56.406406406406411</v>
      </c>
      <c r="G588">
        <v>3</v>
      </c>
    </row>
    <row r="589" spans="1:7" x14ac:dyDescent="0.25">
      <c r="A589">
        <v>565</v>
      </c>
      <c r="B589">
        <v>2.9987147717293494</v>
      </c>
      <c r="C589">
        <v>1.2852282706505846E-3</v>
      </c>
      <c r="D589">
        <v>9.1620203748038118E-4</v>
      </c>
      <c r="F589">
        <v>56.506506506506511</v>
      </c>
      <c r="G589">
        <v>3</v>
      </c>
    </row>
    <row r="590" spans="1:7" x14ac:dyDescent="0.25">
      <c r="A590">
        <v>566</v>
      </c>
      <c r="B590">
        <v>3.0135067877125494</v>
      </c>
      <c r="C590">
        <v>1.9864932122874506</v>
      </c>
      <c r="D590">
        <v>1.4161135185871752</v>
      </c>
      <c r="F590">
        <v>56.606606606606611</v>
      </c>
      <c r="G590">
        <v>3</v>
      </c>
    </row>
    <row r="591" spans="1:7" x14ac:dyDescent="0.25">
      <c r="A591">
        <v>567</v>
      </c>
      <c r="B591">
        <v>2.9945170374638468</v>
      </c>
      <c r="C591">
        <v>2.0054829625361532</v>
      </c>
      <c r="D591">
        <v>1.4296507619441843</v>
      </c>
      <c r="F591">
        <v>56.706706706706711</v>
      </c>
      <c r="G591">
        <v>3</v>
      </c>
    </row>
    <row r="592" spans="1:7" x14ac:dyDescent="0.25">
      <c r="A592">
        <v>568</v>
      </c>
      <c r="B592">
        <v>2.9962494357321496</v>
      </c>
      <c r="C592">
        <v>-0.99624943573214964</v>
      </c>
      <c r="D592">
        <v>-0.7101973896002397</v>
      </c>
      <c r="F592">
        <v>56.806806806806811</v>
      </c>
      <c r="G592">
        <v>3</v>
      </c>
    </row>
    <row r="593" spans="1:7" x14ac:dyDescent="0.25">
      <c r="A593">
        <v>569</v>
      </c>
      <c r="B593">
        <v>3.0169049535465278</v>
      </c>
      <c r="C593">
        <v>-1.0169049535465278</v>
      </c>
      <c r="D593">
        <v>-0.72492211044470556</v>
      </c>
      <c r="F593">
        <v>56.906906906906912</v>
      </c>
      <c r="G593">
        <v>3</v>
      </c>
    </row>
    <row r="594" spans="1:7" x14ac:dyDescent="0.25">
      <c r="A594">
        <v>570</v>
      </c>
      <c r="B594">
        <v>3.0097088376628087</v>
      </c>
      <c r="C594">
        <v>1.9902911623371913</v>
      </c>
      <c r="D594">
        <v>1.418820967258577</v>
      </c>
      <c r="F594">
        <v>57.007007007007012</v>
      </c>
      <c r="G594">
        <v>3</v>
      </c>
    </row>
    <row r="595" spans="1:7" x14ac:dyDescent="0.25">
      <c r="A595">
        <v>571</v>
      </c>
      <c r="B595">
        <v>3.0068437174498466</v>
      </c>
      <c r="C595">
        <v>1.9931562825501534</v>
      </c>
      <c r="D595">
        <v>1.420863428537003</v>
      </c>
      <c r="F595">
        <v>57.107107107107112</v>
      </c>
      <c r="G595">
        <v>3</v>
      </c>
    </row>
    <row r="596" spans="1:7" x14ac:dyDescent="0.25">
      <c r="A596">
        <v>572</v>
      </c>
      <c r="B596">
        <v>3.0111747131206035</v>
      </c>
      <c r="C596">
        <v>-1.0111747131206035</v>
      </c>
      <c r="D596">
        <v>-0.72083718788785378</v>
      </c>
      <c r="F596">
        <v>57.207207207207212</v>
      </c>
      <c r="G596">
        <v>3</v>
      </c>
    </row>
    <row r="597" spans="1:7" x14ac:dyDescent="0.25">
      <c r="A597">
        <v>573</v>
      </c>
      <c r="B597">
        <v>3.0064439332340847</v>
      </c>
      <c r="C597">
        <v>-1.0064439332340847</v>
      </c>
      <c r="D597">
        <v>-0.71746475182347613</v>
      </c>
      <c r="F597">
        <v>57.307307307307312</v>
      </c>
      <c r="G597">
        <v>3</v>
      </c>
    </row>
    <row r="598" spans="1:7" x14ac:dyDescent="0.25">
      <c r="A598">
        <v>574</v>
      </c>
      <c r="B598">
        <v>3.0044450121552737</v>
      </c>
      <c r="C598">
        <v>0.99555498784472629</v>
      </c>
      <c r="D598">
        <v>0.70970233779978475</v>
      </c>
      <c r="F598">
        <v>57.407407407407412</v>
      </c>
      <c r="G598">
        <v>3</v>
      </c>
    </row>
    <row r="599" spans="1:7" x14ac:dyDescent="0.25">
      <c r="A599">
        <v>575</v>
      </c>
      <c r="B599">
        <v>3.0039119665342575</v>
      </c>
      <c r="C599">
        <v>0.99608803346574248</v>
      </c>
      <c r="D599">
        <v>0.71008233059577086</v>
      </c>
      <c r="F599">
        <v>57.507507507507512</v>
      </c>
      <c r="G599">
        <v>3</v>
      </c>
    </row>
    <row r="600" spans="1:7" x14ac:dyDescent="0.25">
      <c r="A600">
        <v>576</v>
      </c>
      <c r="B600">
        <v>2.9940506225454575</v>
      </c>
      <c r="C600">
        <v>-0.99405062254545751</v>
      </c>
      <c r="D600">
        <v>-0.70862991931679631</v>
      </c>
      <c r="F600">
        <v>57.607607607607612</v>
      </c>
      <c r="G600">
        <v>3</v>
      </c>
    </row>
    <row r="601" spans="1:7" x14ac:dyDescent="0.25">
      <c r="A601">
        <v>577</v>
      </c>
      <c r="B601">
        <v>3.0074433937734901</v>
      </c>
      <c r="C601">
        <v>-1.0074433937734901</v>
      </c>
      <c r="D601">
        <v>-0.71817723831595026</v>
      </c>
      <c r="F601">
        <v>57.707707707707712</v>
      </c>
      <c r="G601">
        <v>3</v>
      </c>
    </row>
    <row r="602" spans="1:7" x14ac:dyDescent="0.25">
      <c r="A602">
        <v>578</v>
      </c>
      <c r="B602">
        <v>3.0079098086918794</v>
      </c>
      <c r="C602">
        <v>-1.0079098086918794</v>
      </c>
      <c r="D602">
        <v>-0.71850973201243828</v>
      </c>
      <c r="F602">
        <v>57.807807807807812</v>
      </c>
      <c r="G602">
        <v>3</v>
      </c>
    </row>
    <row r="603" spans="1:7" x14ac:dyDescent="0.25">
      <c r="A603">
        <v>579</v>
      </c>
      <c r="B603">
        <v>2.9969157427584197</v>
      </c>
      <c r="C603">
        <v>3.084257241580346E-3</v>
      </c>
      <c r="D603">
        <v>2.1986777239339024E-3</v>
      </c>
      <c r="F603">
        <v>57.907907907907912</v>
      </c>
      <c r="G603">
        <v>3</v>
      </c>
    </row>
    <row r="604" spans="1:7" x14ac:dyDescent="0.25">
      <c r="A604">
        <v>580</v>
      </c>
      <c r="B604">
        <v>3.0017797840501927</v>
      </c>
      <c r="C604">
        <v>-1.0017797840501927</v>
      </c>
      <c r="D604">
        <v>-0.71413981485859668</v>
      </c>
      <c r="F604">
        <v>58.008008008008012</v>
      </c>
      <c r="G604">
        <v>3</v>
      </c>
    </row>
    <row r="605" spans="1:7" x14ac:dyDescent="0.25">
      <c r="A605">
        <v>581</v>
      </c>
      <c r="B605">
        <v>2.9945170374638468</v>
      </c>
      <c r="C605">
        <v>5.4829625361532131E-3</v>
      </c>
      <c r="D605">
        <v>3.9086453058718258E-3</v>
      </c>
      <c r="F605">
        <v>58.108108108108112</v>
      </c>
      <c r="G605">
        <v>3</v>
      </c>
    </row>
    <row r="606" spans="1:7" x14ac:dyDescent="0.25">
      <c r="A606">
        <v>582</v>
      </c>
      <c r="B606">
        <v>3.005244580586798</v>
      </c>
      <c r="C606">
        <v>-2.005244580586798</v>
      </c>
      <c r="D606">
        <v>-1.4294808263516632</v>
      </c>
      <c r="F606">
        <v>58.208208208208212</v>
      </c>
      <c r="G606">
        <v>3</v>
      </c>
    </row>
    <row r="607" spans="1:7" x14ac:dyDescent="0.25">
      <c r="A607">
        <v>583</v>
      </c>
      <c r="B607">
        <v>3.0007803235107873</v>
      </c>
      <c r="C607">
        <v>-2.0007803235107873</v>
      </c>
      <c r="D607">
        <v>-1.4262983866852785</v>
      </c>
      <c r="F607">
        <v>58.308308308308312</v>
      </c>
      <c r="G607">
        <v>3</v>
      </c>
    </row>
    <row r="608" spans="1:7" x14ac:dyDescent="0.25">
      <c r="A608">
        <v>584</v>
      </c>
      <c r="B608">
        <v>3.0136400491178037</v>
      </c>
      <c r="C608">
        <v>1.9863599508821963</v>
      </c>
      <c r="D608">
        <v>1.4160185203881783</v>
      </c>
      <c r="F608">
        <v>58.408408408408413</v>
      </c>
      <c r="G608">
        <v>3</v>
      </c>
    </row>
    <row r="609" spans="1:7" x14ac:dyDescent="0.25">
      <c r="A609">
        <v>585</v>
      </c>
      <c r="B609">
        <v>3.0099087297706899</v>
      </c>
      <c r="C609">
        <v>0.99009127022931009</v>
      </c>
      <c r="D609">
        <v>0.70580741164092597</v>
      </c>
      <c r="F609">
        <v>58.508508508508513</v>
      </c>
      <c r="G609">
        <v>3</v>
      </c>
    </row>
    <row r="610" spans="1:7" x14ac:dyDescent="0.25">
      <c r="A610">
        <v>586</v>
      </c>
      <c r="B610">
        <v>2.9967158506505385</v>
      </c>
      <c r="C610">
        <v>3.2841493494615293E-3</v>
      </c>
      <c r="D610">
        <v>2.3411750224288088E-3</v>
      </c>
      <c r="F610">
        <v>58.608608608608613</v>
      </c>
      <c r="G610">
        <v>3</v>
      </c>
    </row>
    <row r="611" spans="1:7" x14ac:dyDescent="0.25">
      <c r="A611">
        <v>587</v>
      </c>
      <c r="B611">
        <v>2.9939173611402037</v>
      </c>
      <c r="C611">
        <v>2.0060826388597963</v>
      </c>
      <c r="D611">
        <v>1.4300782538396686</v>
      </c>
      <c r="F611">
        <v>58.708708708708713</v>
      </c>
      <c r="G611">
        <v>3</v>
      </c>
    </row>
    <row r="612" spans="1:7" x14ac:dyDescent="0.25">
      <c r="A612">
        <v>588</v>
      </c>
      <c r="B612">
        <v>3.0121741736600089</v>
      </c>
      <c r="C612">
        <v>-1.0121741736600089</v>
      </c>
      <c r="D612">
        <v>-0.72154967438032791</v>
      </c>
      <c r="F612">
        <v>58.808808808808813</v>
      </c>
      <c r="G612">
        <v>3</v>
      </c>
    </row>
    <row r="613" spans="1:7" x14ac:dyDescent="0.25">
      <c r="A613">
        <v>589</v>
      </c>
      <c r="B613">
        <v>3.0169715842491547</v>
      </c>
      <c r="C613">
        <v>1.9830284157508453</v>
      </c>
      <c r="D613">
        <v>1.4136435654132649</v>
      </c>
      <c r="F613">
        <v>58.908908908908913</v>
      </c>
      <c r="G613">
        <v>3</v>
      </c>
    </row>
    <row r="614" spans="1:7" x14ac:dyDescent="0.25">
      <c r="A614">
        <v>590</v>
      </c>
      <c r="B614">
        <v>3.0001140164845173</v>
      </c>
      <c r="C614">
        <v>-1.1401648451725421E-4</v>
      </c>
      <c r="D614">
        <v>-8.1279051983644703E-5</v>
      </c>
      <c r="F614">
        <v>59.009009009009013</v>
      </c>
      <c r="G614">
        <v>3</v>
      </c>
    </row>
    <row r="615" spans="1:7" x14ac:dyDescent="0.25">
      <c r="A615">
        <v>591</v>
      </c>
      <c r="B615">
        <v>3.0035788130211225</v>
      </c>
      <c r="C615">
        <v>-3.5788130211225067E-3</v>
      </c>
      <c r="D615">
        <v>-2.5512322258939781E-3</v>
      </c>
      <c r="F615">
        <v>59.109109109109113</v>
      </c>
      <c r="G615">
        <v>3</v>
      </c>
    </row>
    <row r="616" spans="1:7" x14ac:dyDescent="0.25">
      <c r="A616">
        <v>592</v>
      </c>
      <c r="B616">
        <v>3.0057109955051873</v>
      </c>
      <c r="C616">
        <v>1.9942890044948127</v>
      </c>
      <c r="D616">
        <v>1.4216709132284735</v>
      </c>
      <c r="F616">
        <v>59.209209209209213</v>
      </c>
      <c r="G616">
        <v>3</v>
      </c>
    </row>
    <row r="617" spans="1:7" x14ac:dyDescent="0.25">
      <c r="A617">
        <v>593</v>
      </c>
      <c r="B617">
        <v>3.0126405885783982</v>
      </c>
      <c r="C617">
        <v>-1.2640588578398226E-2</v>
      </c>
      <c r="D617">
        <v>-9.0111097576597819E-3</v>
      </c>
      <c r="F617">
        <v>59.309309309309313</v>
      </c>
      <c r="G617">
        <v>3</v>
      </c>
    </row>
    <row r="618" spans="1:7" x14ac:dyDescent="0.25">
      <c r="A618">
        <v>594</v>
      </c>
      <c r="B618">
        <v>3.0041784893447656</v>
      </c>
      <c r="C618">
        <v>0.99582151065523439</v>
      </c>
      <c r="D618">
        <v>0.70989233419777775</v>
      </c>
      <c r="F618">
        <v>59.409409409409413</v>
      </c>
      <c r="G618">
        <v>3</v>
      </c>
    </row>
    <row r="619" spans="1:7" x14ac:dyDescent="0.25">
      <c r="A619">
        <v>595</v>
      </c>
      <c r="B619">
        <v>3.009842099068063</v>
      </c>
      <c r="C619">
        <v>0.99015790093193701</v>
      </c>
      <c r="D619">
        <v>0.70585491074042417</v>
      </c>
      <c r="F619">
        <v>59.509509509509513</v>
      </c>
      <c r="G619">
        <v>3</v>
      </c>
    </row>
    <row r="620" spans="1:7" x14ac:dyDescent="0.25">
      <c r="A620">
        <v>596</v>
      </c>
      <c r="B620">
        <v>2.997648680487317</v>
      </c>
      <c r="C620">
        <v>2.002351319512683</v>
      </c>
      <c r="D620">
        <v>1.4274183042677651</v>
      </c>
      <c r="F620">
        <v>59.609609609609613</v>
      </c>
      <c r="G620">
        <v>3</v>
      </c>
    </row>
    <row r="621" spans="1:7" x14ac:dyDescent="0.25">
      <c r="A621">
        <v>597</v>
      </c>
      <c r="B621">
        <v>2.995050083084863</v>
      </c>
      <c r="C621">
        <v>-0.99505008308486298</v>
      </c>
      <c r="D621">
        <v>-0.70934240580927055</v>
      </c>
      <c r="F621">
        <v>59.709709709709713</v>
      </c>
      <c r="G621">
        <v>3</v>
      </c>
    </row>
    <row r="622" spans="1:7" x14ac:dyDescent="0.25">
      <c r="A622">
        <v>598</v>
      </c>
      <c r="B622">
        <v>3.0112413438232304</v>
      </c>
      <c r="C622">
        <v>0.98875865617676961</v>
      </c>
      <c r="D622">
        <v>0.70485742965096043</v>
      </c>
      <c r="F622">
        <v>59.809809809809813</v>
      </c>
      <c r="G622">
        <v>3</v>
      </c>
    </row>
    <row r="623" spans="1:7" x14ac:dyDescent="0.25">
      <c r="A623">
        <v>599</v>
      </c>
      <c r="B623">
        <v>3.0048447963710361</v>
      </c>
      <c r="C623">
        <v>-1.0048447963710361</v>
      </c>
      <c r="D623">
        <v>-0.71632477343551748</v>
      </c>
      <c r="F623">
        <v>59.909909909909921</v>
      </c>
      <c r="G623">
        <v>3</v>
      </c>
    </row>
    <row r="624" spans="1:7" x14ac:dyDescent="0.25">
      <c r="A624">
        <v>600</v>
      </c>
      <c r="B624">
        <v>3.0147061403598361</v>
      </c>
      <c r="C624">
        <v>0.98529385964016392</v>
      </c>
      <c r="D624">
        <v>0.7023874764770498</v>
      </c>
      <c r="F624">
        <v>60.010010010010021</v>
      </c>
      <c r="G624">
        <v>3</v>
      </c>
    </row>
    <row r="625" spans="1:7" x14ac:dyDescent="0.25">
      <c r="A625">
        <v>601</v>
      </c>
      <c r="B625">
        <v>3.0013133691318035</v>
      </c>
      <c r="C625">
        <v>1.9986866308681965</v>
      </c>
      <c r="D625">
        <v>1.4248058537953598</v>
      </c>
      <c r="F625">
        <v>60.110110110110121</v>
      </c>
      <c r="G625">
        <v>3</v>
      </c>
    </row>
    <row r="626" spans="1:7" x14ac:dyDescent="0.25">
      <c r="A626">
        <v>602</v>
      </c>
      <c r="B626">
        <v>3.002912505994852</v>
      </c>
      <c r="C626">
        <v>-2.9125059948520438E-3</v>
      </c>
      <c r="D626">
        <v>-2.0762412309110632E-3</v>
      </c>
      <c r="F626">
        <v>60.210210210210221</v>
      </c>
      <c r="G626">
        <v>3</v>
      </c>
    </row>
    <row r="627" spans="1:7" x14ac:dyDescent="0.25">
      <c r="A627">
        <v>603</v>
      </c>
      <c r="B627">
        <v>2.9995809708635011</v>
      </c>
      <c r="C627">
        <v>4.1902913649893847E-4</v>
      </c>
      <c r="D627">
        <v>2.9871374400256044E-4</v>
      </c>
      <c r="F627">
        <v>60.310310310310321</v>
      </c>
      <c r="G627">
        <v>4</v>
      </c>
    </row>
    <row r="628" spans="1:7" x14ac:dyDescent="0.25">
      <c r="A628">
        <v>604</v>
      </c>
      <c r="B628">
        <v>3.0147061403598361</v>
      </c>
      <c r="C628">
        <v>-1.0147061403598361</v>
      </c>
      <c r="D628">
        <v>-0.72335464016126261</v>
      </c>
      <c r="F628">
        <v>60.410410410410421</v>
      </c>
      <c r="G628">
        <v>4</v>
      </c>
    </row>
    <row r="629" spans="1:7" x14ac:dyDescent="0.25">
      <c r="A629">
        <v>605</v>
      </c>
      <c r="B629">
        <v>3.0119742815521278</v>
      </c>
      <c r="C629">
        <v>-1.0119742815521278</v>
      </c>
      <c r="D629">
        <v>-0.72140717708183311</v>
      </c>
      <c r="F629">
        <v>60.510510510510521</v>
      </c>
      <c r="G629">
        <v>4</v>
      </c>
    </row>
    <row r="630" spans="1:7" x14ac:dyDescent="0.25">
      <c r="A630">
        <v>606</v>
      </c>
      <c r="B630">
        <v>3.0090425306365387</v>
      </c>
      <c r="C630">
        <v>1.9909574693634613</v>
      </c>
      <c r="D630">
        <v>1.4192959582535596</v>
      </c>
      <c r="F630">
        <v>60.610610610610621</v>
      </c>
      <c r="G630">
        <v>4</v>
      </c>
    </row>
    <row r="631" spans="1:7" x14ac:dyDescent="0.25">
      <c r="A631">
        <v>607</v>
      </c>
      <c r="B631">
        <v>3.0065771946393385</v>
      </c>
      <c r="C631">
        <v>-1.0065771946393385</v>
      </c>
      <c r="D631">
        <v>-0.71755975002247252</v>
      </c>
      <c r="F631">
        <v>60.710710710710721</v>
      </c>
      <c r="G631">
        <v>4</v>
      </c>
    </row>
    <row r="632" spans="1:7" x14ac:dyDescent="0.25">
      <c r="A632">
        <v>608</v>
      </c>
      <c r="B632">
        <v>2.9952499751927442</v>
      </c>
      <c r="C632">
        <v>2.0047500248072558</v>
      </c>
      <c r="D632">
        <v>1.4291282718497031</v>
      </c>
      <c r="F632">
        <v>60.810810810810821</v>
      </c>
      <c r="G632">
        <v>4</v>
      </c>
    </row>
    <row r="633" spans="1:7" x14ac:dyDescent="0.25">
      <c r="A633">
        <v>609</v>
      </c>
      <c r="B633">
        <v>3.0100419911759442</v>
      </c>
      <c r="C633">
        <v>-2.0100419911759442</v>
      </c>
      <c r="D633">
        <v>-1.4329007615155394</v>
      </c>
      <c r="F633">
        <v>60.910910910910921</v>
      </c>
      <c r="G633">
        <v>4</v>
      </c>
    </row>
    <row r="634" spans="1:7" x14ac:dyDescent="0.25">
      <c r="A634">
        <v>610</v>
      </c>
      <c r="B634">
        <v>3.0018464147528197</v>
      </c>
      <c r="C634">
        <v>1.9981535852471803</v>
      </c>
      <c r="D634">
        <v>1.4244258609993736</v>
      </c>
      <c r="F634">
        <v>61.011011011011021</v>
      </c>
      <c r="G634">
        <v>4</v>
      </c>
    </row>
    <row r="635" spans="1:7" x14ac:dyDescent="0.25">
      <c r="A635">
        <v>611</v>
      </c>
      <c r="B635">
        <v>2.9943837760585925</v>
      </c>
      <c r="C635">
        <v>2.0056162239414075</v>
      </c>
      <c r="D635">
        <v>1.4297457601431809</v>
      </c>
      <c r="F635">
        <v>61.111111111111121</v>
      </c>
      <c r="G635">
        <v>4</v>
      </c>
    </row>
    <row r="636" spans="1:7" x14ac:dyDescent="0.25">
      <c r="A636">
        <v>612</v>
      </c>
      <c r="B636">
        <v>3.0013133691318035</v>
      </c>
      <c r="C636">
        <v>0.99868663086819653</v>
      </c>
      <c r="D636">
        <v>0.71193479547620375</v>
      </c>
      <c r="F636">
        <v>61.211211211211221</v>
      </c>
      <c r="G636">
        <v>4</v>
      </c>
    </row>
    <row r="637" spans="1:7" x14ac:dyDescent="0.25">
      <c r="A637">
        <v>613</v>
      </c>
      <c r="B637">
        <v>2.9935842076270682</v>
      </c>
      <c r="C637">
        <v>1.0064157923729318</v>
      </c>
      <c r="D637">
        <v>0.71744469101800401</v>
      </c>
      <c r="F637">
        <v>61.311311311311322</v>
      </c>
      <c r="G637">
        <v>4</v>
      </c>
    </row>
    <row r="638" spans="1:7" x14ac:dyDescent="0.25">
      <c r="A638">
        <v>614</v>
      </c>
      <c r="B638">
        <v>3.0143063561440737</v>
      </c>
      <c r="C638">
        <v>-1.4306356144073717E-2</v>
      </c>
      <c r="D638">
        <v>-1.0198587245116594E-2</v>
      </c>
      <c r="F638">
        <v>61.411411411411422</v>
      </c>
      <c r="G638">
        <v>4</v>
      </c>
    </row>
    <row r="639" spans="1:7" x14ac:dyDescent="0.25">
      <c r="A639">
        <v>615</v>
      </c>
      <c r="B639">
        <v>3.0057109955051873</v>
      </c>
      <c r="C639">
        <v>1.9942890044948127</v>
      </c>
      <c r="D639">
        <v>1.4216709132284735</v>
      </c>
      <c r="F639">
        <v>61.511511511511522</v>
      </c>
      <c r="G639">
        <v>4</v>
      </c>
    </row>
    <row r="640" spans="1:7" x14ac:dyDescent="0.25">
      <c r="A640">
        <v>616</v>
      </c>
      <c r="B640">
        <v>2.9943837760585925</v>
      </c>
      <c r="C640">
        <v>1.0056162239414075</v>
      </c>
      <c r="D640">
        <v>0.71687470182402468</v>
      </c>
      <c r="F640">
        <v>61.611611611611622</v>
      </c>
      <c r="G640">
        <v>4</v>
      </c>
    </row>
    <row r="641" spans="1:7" x14ac:dyDescent="0.25">
      <c r="A641">
        <v>617</v>
      </c>
      <c r="B641">
        <v>2.9970490041636739</v>
      </c>
      <c r="C641">
        <v>-1.9970490041636739</v>
      </c>
      <c r="D641">
        <v>-1.4236384371133752</v>
      </c>
      <c r="F641">
        <v>61.711711711711722</v>
      </c>
      <c r="G641">
        <v>4</v>
      </c>
    </row>
    <row r="642" spans="1:7" x14ac:dyDescent="0.25">
      <c r="A642">
        <v>618</v>
      </c>
      <c r="B642">
        <v>3.0042451200473925</v>
      </c>
      <c r="C642">
        <v>-2.0042451200473925</v>
      </c>
      <c r="D642">
        <v>-1.4287683398591891</v>
      </c>
      <c r="F642">
        <v>61.811811811811822</v>
      </c>
      <c r="G642">
        <v>4</v>
      </c>
    </row>
    <row r="643" spans="1:7" x14ac:dyDescent="0.25">
      <c r="A643">
        <v>619</v>
      </c>
      <c r="B643">
        <v>3.0025127217790901</v>
      </c>
      <c r="C643">
        <v>-2.5127217790901213E-3</v>
      </c>
      <c r="D643">
        <v>-1.7912466339215678E-3</v>
      </c>
      <c r="F643">
        <v>61.911911911911922</v>
      </c>
      <c r="G643">
        <v>4</v>
      </c>
    </row>
    <row r="644" spans="1:7" x14ac:dyDescent="0.25">
      <c r="A644">
        <v>620</v>
      </c>
      <c r="B644">
        <v>2.9984482489188413</v>
      </c>
      <c r="C644">
        <v>-1.9984482489188413</v>
      </c>
      <c r="D644">
        <v>-1.424635918202839</v>
      </c>
      <c r="F644">
        <v>62.012012012012022</v>
      </c>
      <c r="G644">
        <v>4</v>
      </c>
    </row>
    <row r="645" spans="1:7" x14ac:dyDescent="0.25">
      <c r="A645">
        <v>621</v>
      </c>
      <c r="B645">
        <v>2.9936508383296956</v>
      </c>
      <c r="C645">
        <v>2.0063491616703044</v>
      </c>
      <c r="D645">
        <v>1.4302682502376618</v>
      </c>
      <c r="F645">
        <v>62.112112112112122</v>
      </c>
      <c r="G645">
        <v>4</v>
      </c>
    </row>
    <row r="646" spans="1:7" x14ac:dyDescent="0.25">
      <c r="A646">
        <v>622</v>
      </c>
      <c r="B646">
        <v>3.0036454437237494</v>
      </c>
      <c r="C646">
        <v>-1.0036454437237494</v>
      </c>
      <c r="D646">
        <v>-0.71546978964454833</v>
      </c>
      <c r="F646">
        <v>62.212212212212222</v>
      </c>
      <c r="G646">
        <v>4</v>
      </c>
    </row>
    <row r="647" spans="1:7" x14ac:dyDescent="0.25">
      <c r="A647">
        <v>623</v>
      </c>
      <c r="B647">
        <v>3.0039119665342575</v>
      </c>
      <c r="C647">
        <v>-1.0039119665342575</v>
      </c>
      <c r="D647">
        <v>-0.71565978604254143</v>
      </c>
      <c r="F647">
        <v>62.312312312312322</v>
      </c>
      <c r="G647">
        <v>4</v>
      </c>
    </row>
    <row r="648" spans="1:7" x14ac:dyDescent="0.25">
      <c r="A648">
        <v>624</v>
      </c>
      <c r="B648">
        <v>3.0135067877125494</v>
      </c>
      <c r="C648">
        <v>1.9864932122874506</v>
      </c>
      <c r="D648">
        <v>1.4161135185871752</v>
      </c>
      <c r="F648">
        <v>62.412412412412422</v>
      </c>
      <c r="G648">
        <v>4</v>
      </c>
    </row>
    <row r="649" spans="1:7" x14ac:dyDescent="0.25">
      <c r="A649">
        <v>625</v>
      </c>
      <c r="B649">
        <v>2.9955164980032523</v>
      </c>
      <c r="C649">
        <v>1.0044835019967477</v>
      </c>
      <c r="D649">
        <v>0.71606721713255383</v>
      </c>
      <c r="F649">
        <v>62.512512512512522</v>
      </c>
      <c r="G649">
        <v>4</v>
      </c>
    </row>
    <row r="650" spans="1:7" x14ac:dyDescent="0.25">
      <c r="A650">
        <v>626</v>
      </c>
      <c r="B650">
        <v>3.0013133691318035</v>
      </c>
      <c r="C650">
        <v>0.99868663086819653</v>
      </c>
      <c r="D650">
        <v>0.71193479547620375</v>
      </c>
      <c r="F650">
        <v>62.612612612612622</v>
      </c>
      <c r="G650">
        <v>4</v>
      </c>
    </row>
    <row r="651" spans="1:7" x14ac:dyDescent="0.25">
      <c r="A651">
        <v>627</v>
      </c>
      <c r="B651">
        <v>3.0069769788551008</v>
      </c>
      <c r="C651">
        <v>0.99302302114489915</v>
      </c>
      <c r="D651">
        <v>0.70789737201885006</v>
      </c>
      <c r="F651">
        <v>62.712712712712722</v>
      </c>
      <c r="G651">
        <v>4</v>
      </c>
    </row>
    <row r="652" spans="1:7" x14ac:dyDescent="0.25">
      <c r="A652">
        <v>628</v>
      </c>
      <c r="B652">
        <v>3.0043117507500199</v>
      </c>
      <c r="C652">
        <v>-2.0043117507500199</v>
      </c>
      <c r="D652">
        <v>-1.4288158389586874</v>
      </c>
      <c r="F652">
        <v>62.812812812812822</v>
      </c>
      <c r="G652">
        <v>4</v>
      </c>
    </row>
    <row r="653" spans="1:7" x14ac:dyDescent="0.25">
      <c r="A653">
        <v>629</v>
      </c>
      <c r="B653">
        <v>2.9987147717293494</v>
      </c>
      <c r="C653">
        <v>1.0012852282706506</v>
      </c>
      <c r="D653">
        <v>0.71378726035663653</v>
      </c>
      <c r="F653">
        <v>62.912912912912923</v>
      </c>
      <c r="G653">
        <v>4</v>
      </c>
    </row>
    <row r="654" spans="1:7" x14ac:dyDescent="0.25">
      <c r="A654">
        <v>630</v>
      </c>
      <c r="B654">
        <v>3.0003805392950254</v>
      </c>
      <c r="C654">
        <v>0.99961946070497465</v>
      </c>
      <c r="D654">
        <v>0.71259978286917947</v>
      </c>
      <c r="F654">
        <v>63.013013013013023</v>
      </c>
      <c r="G654">
        <v>4</v>
      </c>
    </row>
    <row r="655" spans="1:7" x14ac:dyDescent="0.25">
      <c r="A655">
        <v>631</v>
      </c>
      <c r="B655">
        <v>3.0017131533475658</v>
      </c>
      <c r="C655">
        <v>-1.0017131533475658</v>
      </c>
      <c r="D655">
        <v>-0.71409231575909848</v>
      </c>
      <c r="F655">
        <v>63.113113113113123</v>
      </c>
      <c r="G655">
        <v>4</v>
      </c>
    </row>
    <row r="656" spans="1:7" x14ac:dyDescent="0.25">
      <c r="A656">
        <v>632</v>
      </c>
      <c r="B656">
        <v>3.0115078666337385</v>
      </c>
      <c r="C656">
        <v>1.9884921333662615</v>
      </c>
      <c r="D656">
        <v>1.4175384915721234</v>
      </c>
      <c r="F656">
        <v>63.213213213213223</v>
      </c>
      <c r="G656">
        <v>4</v>
      </c>
    </row>
    <row r="657" spans="1:7" x14ac:dyDescent="0.25">
      <c r="A657">
        <v>633</v>
      </c>
      <c r="B657">
        <v>3.0076432858813713</v>
      </c>
      <c r="C657">
        <v>-1.0076432858813713</v>
      </c>
      <c r="D657">
        <v>-0.71831973561444518</v>
      </c>
      <c r="F657">
        <v>63.313313313313323</v>
      </c>
      <c r="G657">
        <v>4</v>
      </c>
    </row>
    <row r="658" spans="1:7" x14ac:dyDescent="0.25">
      <c r="A658">
        <v>634</v>
      </c>
      <c r="B658">
        <v>3.0113746052284847</v>
      </c>
      <c r="C658">
        <v>-2.0113746052284847</v>
      </c>
      <c r="D658">
        <v>-1.4338507435055048</v>
      </c>
      <c r="F658">
        <v>63.413413413413423</v>
      </c>
      <c r="G658">
        <v>4</v>
      </c>
    </row>
    <row r="659" spans="1:7" x14ac:dyDescent="0.25">
      <c r="A659">
        <v>635</v>
      </c>
      <c r="B659">
        <v>3.0146395096572087</v>
      </c>
      <c r="C659">
        <v>1.9853604903427913</v>
      </c>
      <c r="D659">
        <v>1.4153060338957044</v>
      </c>
      <c r="F659">
        <v>63.513513513513523</v>
      </c>
      <c r="G659">
        <v>4</v>
      </c>
    </row>
    <row r="660" spans="1:7" x14ac:dyDescent="0.25">
      <c r="A660">
        <v>636</v>
      </c>
      <c r="B660">
        <v>3.0137733105230575</v>
      </c>
      <c r="C660">
        <v>0.98622668947694248</v>
      </c>
      <c r="D660">
        <v>0.70305246387002585</v>
      </c>
      <c r="F660">
        <v>63.613613613613623</v>
      </c>
      <c r="G660">
        <v>4</v>
      </c>
    </row>
    <row r="661" spans="1:7" x14ac:dyDescent="0.25">
      <c r="A661">
        <v>637</v>
      </c>
      <c r="B661">
        <v>3.0055111033973061</v>
      </c>
      <c r="C661">
        <v>1.9944888966026939</v>
      </c>
      <c r="D661">
        <v>1.4218134105269684</v>
      </c>
      <c r="F661">
        <v>63.713713713713723</v>
      </c>
      <c r="G661">
        <v>4</v>
      </c>
    </row>
    <row r="662" spans="1:7" x14ac:dyDescent="0.25">
      <c r="A662">
        <v>638</v>
      </c>
      <c r="B662">
        <v>3.0123074350652628</v>
      </c>
      <c r="C662">
        <v>-1.0123074350652628</v>
      </c>
      <c r="D662">
        <v>-0.7216446725793243</v>
      </c>
      <c r="F662">
        <v>63.813813813813823</v>
      </c>
      <c r="G662">
        <v>4</v>
      </c>
    </row>
    <row r="663" spans="1:7" x14ac:dyDescent="0.25">
      <c r="A663">
        <v>639</v>
      </c>
      <c r="B663">
        <v>3.0109081903100954</v>
      </c>
      <c r="C663">
        <v>-1.0908190310095378E-2</v>
      </c>
      <c r="D663">
        <v>-7.7761331707044568E-3</v>
      </c>
      <c r="F663">
        <v>63.913913913913923</v>
      </c>
      <c r="G663">
        <v>4</v>
      </c>
    </row>
    <row r="664" spans="1:7" x14ac:dyDescent="0.25">
      <c r="A664">
        <v>640</v>
      </c>
      <c r="B664">
        <v>3.0179710447885602</v>
      </c>
      <c r="C664">
        <v>-2.0179710447885602</v>
      </c>
      <c r="D664">
        <v>-1.4385531543558343</v>
      </c>
      <c r="F664">
        <v>64.014014014014023</v>
      </c>
      <c r="G664">
        <v>4</v>
      </c>
    </row>
    <row r="665" spans="1:7" x14ac:dyDescent="0.25">
      <c r="A665">
        <v>641</v>
      </c>
      <c r="B665">
        <v>2.9940506225454575</v>
      </c>
      <c r="C665">
        <v>-0.99405062254545751</v>
      </c>
      <c r="D665">
        <v>-0.70862991931679631</v>
      </c>
      <c r="F665">
        <v>64.114114114114116</v>
      </c>
      <c r="G665">
        <v>4</v>
      </c>
    </row>
    <row r="666" spans="1:7" x14ac:dyDescent="0.25">
      <c r="A666">
        <v>642</v>
      </c>
      <c r="B666">
        <v>3.0083095929076413</v>
      </c>
      <c r="C666">
        <v>-2.0083095929076413</v>
      </c>
      <c r="D666">
        <v>-1.4316657849285841</v>
      </c>
      <c r="F666">
        <v>64.214214214214209</v>
      </c>
      <c r="G666">
        <v>4</v>
      </c>
    </row>
    <row r="667" spans="1:7" x14ac:dyDescent="0.25">
      <c r="A667">
        <v>643</v>
      </c>
      <c r="B667">
        <v>3.007176870962982</v>
      </c>
      <c r="C667">
        <v>-2.007176870962982</v>
      </c>
      <c r="D667">
        <v>-1.4308583002371134</v>
      </c>
      <c r="F667">
        <v>64.314314314314316</v>
      </c>
      <c r="G667">
        <v>4</v>
      </c>
    </row>
    <row r="668" spans="1:7" x14ac:dyDescent="0.25">
      <c r="A668">
        <v>644</v>
      </c>
      <c r="B668">
        <v>3.0116411280389928</v>
      </c>
      <c r="C668">
        <v>-2.0116411280389928</v>
      </c>
      <c r="D668">
        <v>-1.434040739903498</v>
      </c>
      <c r="F668">
        <v>64.414414414414409</v>
      </c>
      <c r="G668">
        <v>4</v>
      </c>
    </row>
    <row r="669" spans="1:7" x14ac:dyDescent="0.25">
      <c r="A669">
        <v>645</v>
      </c>
      <c r="B669">
        <v>3.0133735263072956</v>
      </c>
      <c r="C669">
        <v>-1.0133735263072956</v>
      </c>
      <c r="D669">
        <v>-0.72240465817129706</v>
      </c>
      <c r="F669">
        <v>64.514514514514516</v>
      </c>
      <c r="G669">
        <v>4</v>
      </c>
    </row>
    <row r="670" spans="1:7" x14ac:dyDescent="0.25">
      <c r="A670">
        <v>646</v>
      </c>
      <c r="B670">
        <v>3.0171714763570359</v>
      </c>
      <c r="C670">
        <v>0.98282852364296414</v>
      </c>
      <c r="D670">
        <v>0.70063000979561363</v>
      </c>
      <c r="F670">
        <v>64.614614614614609</v>
      </c>
      <c r="G670">
        <v>4</v>
      </c>
    </row>
    <row r="671" spans="1:7" x14ac:dyDescent="0.25">
      <c r="A671">
        <v>647</v>
      </c>
      <c r="B671">
        <v>3.0105084060943335</v>
      </c>
      <c r="C671">
        <v>0.98949159390566654</v>
      </c>
      <c r="D671">
        <v>0.70537991974544123</v>
      </c>
      <c r="F671">
        <v>64.714714714714717</v>
      </c>
      <c r="G671">
        <v>4</v>
      </c>
    </row>
    <row r="672" spans="1:7" x14ac:dyDescent="0.25">
      <c r="A672">
        <v>648</v>
      </c>
      <c r="B672">
        <v>3.017437999167544</v>
      </c>
      <c r="C672">
        <v>0.98256200083245604</v>
      </c>
      <c r="D672">
        <v>0.70044001339762052</v>
      </c>
      <c r="F672">
        <v>64.81481481481481</v>
      </c>
      <c r="G672">
        <v>4</v>
      </c>
    </row>
    <row r="673" spans="1:7" x14ac:dyDescent="0.25">
      <c r="A673">
        <v>649</v>
      </c>
      <c r="B673">
        <v>3.0100419911759442</v>
      </c>
      <c r="C673">
        <v>-1.0100419911759442</v>
      </c>
      <c r="D673">
        <v>-0.72002970319638315</v>
      </c>
      <c r="F673">
        <v>64.914914914914917</v>
      </c>
      <c r="G673">
        <v>4</v>
      </c>
    </row>
    <row r="674" spans="1:7" x14ac:dyDescent="0.25">
      <c r="A674">
        <v>650</v>
      </c>
      <c r="B674">
        <v>3.0146395096572087</v>
      </c>
      <c r="C674">
        <v>1.9853604903427913</v>
      </c>
      <c r="D674">
        <v>1.4153060338957044</v>
      </c>
      <c r="F674">
        <v>65.01501501501501</v>
      </c>
      <c r="G674">
        <v>4</v>
      </c>
    </row>
    <row r="675" spans="1:7" x14ac:dyDescent="0.25">
      <c r="A675">
        <v>651</v>
      </c>
      <c r="B675">
        <v>3.0011134770239223</v>
      </c>
      <c r="C675">
        <v>-1.1134770239222824E-3</v>
      </c>
      <c r="D675">
        <v>-7.9376554445754186E-4</v>
      </c>
      <c r="F675">
        <v>65.115115115115117</v>
      </c>
      <c r="G675">
        <v>4</v>
      </c>
    </row>
    <row r="676" spans="1:7" x14ac:dyDescent="0.25">
      <c r="A676">
        <v>652</v>
      </c>
      <c r="B676">
        <v>3.0072435016656089</v>
      </c>
      <c r="C676">
        <v>-2.0072435016656089</v>
      </c>
      <c r="D676">
        <v>-1.4309057993366117</v>
      </c>
      <c r="F676">
        <v>65.21521521521521</v>
      </c>
      <c r="G676">
        <v>4</v>
      </c>
    </row>
    <row r="677" spans="1:7" x14ac:dyDescent="0.25">
      <c r="A677">
        <v>653</v>
      </c>
      <c r="B677">
        <v>3.0045116428579006</v>
      </c>
      <c r="C677">
        <v>-4.5116428579006218E-3</v>
      </c>
      <c r="D677">
        <v>-3.2162196188696788E-3</v>
      </c>
      <c r="F677">
        <v>65.315315315315317</v>
      </c>
      <c r="G677">
        <v>4</v>
      </c>
    </row>
    <row r="678" spans="1:7" x14ac:dyDescent="0.25">
      <c r="A678">
        <v>654</v>
      </c>
      <c r="B678">
        <v>3.002912505994852</v>
      </c>
      <c r="C678">
        <v>-2.9125059948520438E-3</v>
      </c>
      <c r="D678">
        <v>-2.0762412309110632E-3</v>
      </c>
      <c r="F678">
        <v>65.41541541541541</v>
      </c>
      <c r="G678">
        <v>4</v>
      </c>
    </row>
    <row r="679" spans="1:7" x14ac:dyDescent="0.25">
      <c r="A679">
        <v>655</v>
      </c>
      <c r="B679">
        <v>3.0161720158176304</v>
      </c>
      <c r="C679">
        <v>-1.6172015817630392E-2</v>
      </c>
      <c r="D679">
        <v>-1.1528562031068312E-2</v>
      </c>
      <c r="F679">
        <v>65.515515515515517</v>
      </c>
      <c r="G679">
        <v>4</v>
      </c>
    </row>
    <row r="680" spans="1:7" x14ac:dyDescent="0.25">
      <c r="A680">
        <v>656</v>
      </c>
      <c r="B680">
        <v>2.9973821576768089</v>
      </c>
      <c r="C680">
        <v>-1.9973821576768089</v>
      </c>
      <c r="D680">
        <v>-1.4238759326108665</v>
      </c>
      <c r="F680">
        <v>65.61561561561561</v>
      </c>
      <c r="G680">
        <v>4</v>
      </c>
    </row>
    <row r="681" spans="1:7" x14ac:dyDescent="0.25">
      <c r="A681">
        <v>657</v>
      </c>
      <c r="B681">
        <v>3.0179710447885602</v>
      </c>
      <c r="C681">
        <v>0.98202895521143985</v>
      </c>
      <c r="D681">
        <v>0.7000600206016343</v>
      </c>
      <c r="F681">
        <v>65.715715715715717</v>
      </c>
      <c r="G681">
        <v>4</v>
      </c>
    </row>
    <row r="682" spans="1:7" x14ac:dyDescent="0.25">
      <c r="A682">
        <v>658</v>
      </c>
      <c r="B682">
        <v>3.0017131533475658</v>
      </c>
      <c r="C682">
        <v>1.9982868466524342</v>
      </c>
      <c r="D682">
        <v>1.42452085919837</v>
      </c>
      <c r="F682">
        <v>65.81581581581581</v>
      </c>
      <c r="G682">
        <v>4</v>
      </c>
    </row>
    <row r="683" spans="1:7" x14ac:dyDescent="0.25">
      <c r="A683">
        <v>659</v>
      </c>
      <c r="B683">
        <v>3.0093756841496737</v>
      </c>
      <c r="C683">
        <v>-2.0093756841496737</v>
      </c>
      <c r="D683">
        <v>-1.4324257705205563</v>
      </c>
      <c r="F683">
        <v>65.915915915915917</v>
      </c>
      <c r="G683">
        <v>4</v>
      </c>
    </row>
    <row r="684" spans="1:7" x14ac:dyDescent="0.25">
      <c r="A684">
        <v>660</v>
      </c>
      <c r="B684">
        <v>3.0146395096572087</v>
      </c>
      <c r="C684">
        <v>1.9853604903427913</v>
      </c>
      <c r="D684">
        <v>1.4153060338957044</v>
      </c>
      <c r="F684">
        <v>66.01601601601601</v>
      </c>
      <c r="G684">
        <v>4</v>
      </c>
    </row>
    <row r="685" spans="1:7" x14ac:dyDescent="0.25">
      <c r="A685">
        <v>661</v>
      </c>
      <c r="B685">
        <v>3.0100419911759442</v>
      </c>
      <c r="C685">
        <v>-2.0100419911759442</v>
      </c>
      <c r="D685">
        <v>-1.4329007615155394</v>
      </c>
      <c r="F685">
        <v>66.116116116116117</v>
      </c>
      <c r="G685">
        <v>4</v>
      </c>
    </row>
    <row r="686" spans="1:7" x14ac:dyDescent="0.25">
      <c r="A686">
        <v>662</v>
      </c>
      <c r="B686">
        <v>2.9936508383296956</v>
      </c>
      <c r="C686">
        <v>-1.9936508383296956</v>
      </c>
      <c r="D686">
        <v>-1.421215983038963</v>
      </c>
      <c r="F686">
        <v>66.21621621621621</v>
      </c>
      <c r="G686">
        <v>4</v>
      </c>
    </row>
    <row r="687" spans="1:7" x14ac:dyDescent="0.25">
      <c r="A687">
        <v>663</v>
      </c>
      <c r="B687">
        <v>2.9968491120557927</v>
      </c>
      <c r="C687">
        <v>1.0031508879442073</v>
      </c>
      <c r="D687">
        <v>0.71511723514258829</v>
      </c>
      <c r="F687">
        <v>66.316316316316318</v>
      </c>
      <c r="G687">
        <v>4</v>
      </c>
    </row>
    <row r="688" spans="1:7" x14ac:dyDescent="0.25">
      <c r="A688">
        <v>664</v>
      </c>
      <c r="B688">
        <v>3.000313908592398</v>
      </c>
      <c r="C688">
        <v>-2.000313908592398</v>
      </c>
      <c r="D688">
        <v>-1.4259658929887906</v>
      </c>
      <c r="F688">
        <v>66.416416416416411</v>
      </c>
      <c r="G688">
        <v>4</v>
      </c>
    </row>
    <row r="689" spans="1:7" x14ac:dyDescent="0.25">
      <c r="A689">
        <v>665</v>
      </c>
      <c r="B689">
        <v>2.9937840997349494</v>
      </c>
      <c r="C689">
        <v>1.0062159002650506</v>
      </c>
      <c r="D689">
        <v>0.7173021937195091</v>
      </c>
      <c r="F689">
        <v>66.516516516516518</v>
      </c>
      <c r="G689">
        <v>4</v>
      </c>
    </row>
    <row r="690" spans="1:7" x14ac:dyDescent="0.25">
      <c r="A690">
        <v>666</v>
      </c>
      <c r="B690">
        <v>3.002912505994852</v>
      </c>
      <c r="C690">
        <v>-2.002912505994852</v>
      </c>
      <c r="D690">
        <v>-1.4278183578692234</v>
      </c>
      <c r="F690">
        <v>66.616616616616611</v>
      </c>
      <c r="G690">
        <v>4</v>
      </c>
    </row>
    <row r="691" spans="1:7" x14ac:dyDescent="0.25">
      <c r="A691">
        <v>667</v>
      </c>
      <c r="B691">
        <v>3.0082429622050144</v>
      </c>
      <c r="C691">
        <v>-8.2429622050144147E-3</v>
      </c>
      <c r="D691">
        <v>-5.8761691907734314E-3</v>
      </c>
      <c r="F691">
        <v>66.716716716716718</v>
      </c>
      <c r="G691">
        <v>4</v>
      </c>
    </row>
    <row r="692" spans="1:7" x14ac:dyDescent="0.25">
      <c r="A692">
        <v>668</v>
      </c>
      <c r="B692">
        <v>3.0042451200473925</v>
      </c>
      <c r="C692">
        <v>0.99575487995260747</v>
      </c>
      <c r="D692">
        <v>0.70984483509827956</v>
      </c>
      <c r="F692">
        <v>66.816816816816811</v>
      </c>
      <c r="G692">
        <v>4</v>
      </c>
    </row>
    <row r="693" spans="1:7" x14ac:dyDescent="0.25">
      <c r="A693">
        <v>669</v>
      </c>
      <c r="B693">
        <v>2.9971822655689278</v>
      </c>
      <c r="C693">
        <v>1.0028177344310722</v>
      </c>
      <c r="D693">
        <v>0.71487973964509699</v>
      </c>
      <c r="F693">
        <v>66.916916916916918</v>
      </c>
      <c r="G693">
        <v>4</v>
      </c>
    </row>
    <row r="694" spans="1:7" x14ac:dyDescent="0.25">
      <c r="A694">
        <v>670</v>
      </c>
      <c r="B694">
        <v>3.0038453358316306</v>
      </c>
      <c r="C694">
        <v>-1.0038453358316306</v>
      </c>
      <c r="D694">
        <v>-0.71561228694304324</v>
      </c>
      <c r="F694">
        <v>67.017017017017011</v>
      </c>
      <c r="G694">
        <v>4</v>
      </c>
    </row>
    <row r="695" spans="1:7" x14ac:dyDescent="0.25">
      <c r="A695">
        <v>671</v>
      </c>
      <c r="B695">
        <v>3.0127738499836521</v>
      </c>
      <c r="C695">
        <v>-1.2773849983652052E-2</v>
      </c>
      <c r="D695">
        <v>-9.1061079566561749E-3</v>
      </c>
      <c r="F695">
        <v>67.117117117117118</v>
      </c>
      <c r="G695">
        <v>4</v>
      </c>
    </row>
    <row r="696" spans="1:7" x14ac:dyDescent="0.25">
      <c r="A696">
        <v>672</v>
      </c>
      <c r="B696">
        <v>2.9951167137874899</v>
      </c>
      <c r="C696">
        <v>2.0048832862125101</v>
      </c>
      <c r="D696">
        <v>1.4292232700486998</v>
      </c>
      <c r="F696">
        <v>67.217217217217211</v>
      </c>
      <c r="G696">
        <v>4</v>
      </c>
    </row>
    <row r="697" spans="1:7" x14ac:dyDescent="0.25">
      <c r="A697">
        <v>673</v>
      </c>
      <c r="B697">
        <v>2.9941172532480844</v>
      </c>
      <c r="C697">
        <v>-0.99411725324808442</v>
      </c>
      <c r="D697">
        <v>-0.7086774184162945</v>
      </c>
      <c r="F697">
        <v>67.317317317317318</v>
      </c>
      <c r="G697">
        <v>4</v>
      </c>
    </row>
    <row r="698" spans="1:7" x14ac:dyDescent="0.25">
      <c r="A698">
        <v>674</v>
      </c>
      <c r="B698">
        <v>3.0175046298701713</v>
      </c>
      <c r="C698">
        <v>-1.7504629870171318E-2</v>
      </c>
      <c r="D698">
        <v>-1.2478544021034141E-2</v>
      </c>
      <c r="F698">
        <v>67.417417417417411</v>
      </c>
      <c r="G698">
        <v>4</v>
      </c>
    </row>
    <row r="699" spans="1:7" x14ac:dyDescent="0.25">
      <c r="A699">
        <v>675</v>
      </c>
      <c r="B699">
        <v>3.0139065719283118</v>
      </c>
      <c r="C699">
        <v>1.9860934280716882</v>
      </c>
      <c r="D699">
        <v>1.4158285239901853</v>
      </c>
      <c r="F699">
        <v>67.517517517517518</v>
      </c>
      <c r="G699">
        <v>4</v>
      </c>
    </row>
    <row r="700" spans="1:7" x14ac:dyDescent="0.25">
      <c r="A700">
        <v>676</v>
      </c>
      <c r="B700">
        <v>3.0001140164845173</v>
      </c>
      <c r="C700">
        <v>-1.0001140164845173</v>
      </c>
      <c r="D700">
        <v>-0.71295233737113983</v>
      </c>
      <c r="F700">
        <v>67.617617617617611</v>
      </c>
      <c r="G700">
        <v>4</v>
      </c>
    </row>
    <row r="701" spans="1:7" x14ac:dyDescent="0.25">
      <c r="A701">
        <v>677</v>
      </c>
      <c r="B701">
        <v>3.0175046298701713</v>
      </c>
      <c r="C701">
        <v>0.98249537012982868</v>
      </c>
      <c r="D701">
        <v>0.70039251429812199</v>
      </c>
      <c r="F701">
        <v>67.717717717717719</v>
      </c>
      <c r="G701">
        <v>4</v>
      </c>
    </row>
    <row r="702" spans="1:7" x14ac:dyDescent="0.25">
      <c r="A702">
        <v>678</v>
      </c>
      <c r="B702">
        <v>3.0171714763570359</v>
      </c>
      <c r="C702">
        <v>-1.7171476357035864E-2</v>
      </c>
      <c r="D702">
        <v>-1.2241048523542524E-2</v>
      </c>
      <c r="F702">
        <v>67.817817817817811</v>
      </c>
      <c r="G702">
        <v>4</v>
      </c>
    </row>
    <row r="703" spans="1:7" x14ac:dyDescent="0.25">
      <c r="A703">
        <v>679</v>
      </c>
      <c r="B703">
        <v>3.0142397254414468</v>
      </c>
      <c r="C703">
        <v>-1.0142397254414468</v>
      </c>
      <c r="D703">
        <v>-0.72302214646477458</v>
      </c>
      <c r="F703">
        <v>67.917917917917919</v>
      </c>
      <c r="G703">
        <v>4</v>
      </c>
    </row>
    <row r="704" spans="1:7" x14ac:dyDescent="0.25">
      <c r="A704">
        <v>680</v>
      </c>
      <c r="B704">
        <v>3.0161720158176304</v>
      </c>
      <c r="C704">
        <v>-1.6172015817630392E-2</v>
      </c>
      <c r="D704">
        <v>-1.1528562031068312E-2</v>
      </c>
      <c r="F704">
        <v>68.018018018018012</v>
      </c>
      <c r="G704">
        <v>4</v>
      </c>
    </row>
    <row r="705" spans="1:7" x14ac:dyDescent="0.25">
      <c r="A705">
        <v>681</v>
      </c>
      <c r="B705">
        <v>2.9977819418925713</v>
      </c>
      <c r="C705">
        <v>-1.9977819418925713</v>
      </c>
      <c r="D705">
        <v>-1.4241609272078564</v>
      </c>
      <c r="F705">
        <v>68.118118118118119</v>
      </c>
      <c r="G705">
        <v>4</v>
      </c>
    </row>
    <row r="706" spans="1:7" x14ac:dyDescent="0.25">
      <c r="A706">
        <v>682</v>
      </c>
      <c r="B706">
        <v>3.0019130454554466</v>
      </c>
      <c r="C706">
        <v>-2.0019130454554466</v>
      </c>
      <c r="D706">
        <v>-1.4271058713767493</v>
      </c>
      <c r="F706">
        <v>68.218218218218212</v>
      </c>
      <c r="G706">
        <v>4</v>
      </c>
    </row>
    <row r="707" spans="1:7" x14ac:dyDescent="0.25">
      <c r="A707">
        <v>683</v>
      </c>
      <c r="B707">
        <v>3.0161720158176304</v>
      </c>
      <c r="C707">
        <v>1.9838279841823696</v>
      </c>
      <c r="D707">
        <v>1.4142135546072441</v>
      </c>
      <c r="F707">
        <v>68.318318318318319</v>
      </c>
      <c r="G707">
        <v>4</v>
      </c>
    </row>
    <row r="708" spans="1:7" x14ac:dyDescent="0.25">
      <c r="A708">
        <v>684</v>
      </c>
      <c r="B708">
        <v>3.0105084060943335</v>
      </c>
      <c r="C708">
        <v>0.98949159390566654</v>
      </c>
      <c r="D708">
        <v>0.70537991974544123</v>
      </c>
      <c r="F708">
        <v>68.418418418418426</v>
      </c>
      <c r="G708">
        <v>4</v>
      </c>
    </row>
    <row r="709" spans="1:7" x14ac:dyDescent="0.25">
      <c r="A709">
        <v>685</v>
      </c>
      <c r="B709">
        <v>3.0177711526806794</v>
      </c>
      <c r="C709">
        <v>-1.7771152680679414E-2</v>
      </c>
      <c r="D709">
        <v>-1.2668540419027244E-2</v>
      </c>
      <c r="F709">
        <v>68.518518518518519</v>
      </c>
      <c r="G709">
        <v>4</v>
      </c>
    </row>
    <row r="710" spans="1:7" x14ac:dyDescent="0.25">
      <c r="A710">
        <v>686</v>
      </c>
      <c r="B710">
        <v>3.0007803235107873</v>
      </c>
      <c r="C710">
        <v>-1.0007803235107873</v>
      </c>
      <c r="D710">
        <v>-0.71342732836612244</v>
      </c>
      <c r="F710">
        <v>68.618618618618626</v>
      </c>
      <c r="G710">
        <v>4</v>
      </c>
    </row>
    <row r="711" spans="1:7" x14ac:dyDescent="0.25">
      <c r="A711">
        <v>687</v>
      </c>
      <c r="B711">
        <v>2.9994477094582468</v>
      </c>
      <c r="C711">
        <v>1.0005522905417532</v>
      </c>
      <c r="D711">
        <v>0.7132647702621554</v>
      </c>
      <c r="F711">
        <v>68.718718718718719</v>
      </c>
      <c r="G711">
        <v>4</v>
      </c>
    </row>
    <row r="712" spans="1:7" x14ac:dyDescent="0.25">
      <c r="A712">
        <v>688</v>
      </c>
      <c r="B712">
        <v>3.0150392938729711</v>
      </c>
      <c r="C712">
        <v>0.98496070612702891</v>
      </c>
      <c r="D712">
        <v>0.7021499809795585</v>
      </c>
      <c r="F712">
        <v>68.818818818818826</v>
      </c>
      <c r="G712">
        <v>4</v>
      </c>
    </row>
    <row r="713" spans="1:7" x14ac:dyDescent="0.25">
      <c r="A713">
        <v>689</v>
      </c>
      <c r="B713">
        <v>3.0163052772228847</v>
      </c>
      <c r="C713">
        <v>-1.6305277222884662E-2</v>
      </c>
      <c r="D713">
        <v>-1.1623560230065021E-2</v>
      </c>
      <c r="F713">
        <v>68.918918918918919</v>
      </c>
      <c r="G713">
        <v>4</v>
      </c>
    </row>
    <row r="714" spans="1:7" x14ac:dyDescent="0.25">
      <c r="A714">
        <v>690</v>
      </c>
      <c r="B714">
        <v>3.0039119665342575</v>
      </c>
      <c r="C714">
        <v>-2.0039119665342575</v>
      </c>
      <c r="D714">
        <v>-1.4285308443616977</v>
      </c>
      <c r="F714">
        <v>69.019019019019026</v>
      </c>
      <c r="G714">
        <v>4</v>
      </c>
    </row>
    <row r="715" spans="1:7" x14ac:dyDescent="0.25">
      <c r="A715">
        <v>691</v>
      </c>
      <c r="B715">
        <v>3.0165051693307658</v>
      </c>
      <c r="C715">
        <v>1.9834948306692342</v>
      </c>
      <c r="D715">
        <v>1.4139760591097525</v>
      </c>
      <c r="F715">
        <v>69.119119119119119</v>
      </c>
      <c r="G715">
        <v>4</v>
      </c>
    </row>
    <row r="716" spans="1:7" x14ac:dyDescent="0.25">
      <c r="A716">
        <v>692</v>
      </c>
      <c r="B716">
        <v>3.007510024476117</v>
      </c>
      <c r="C716">
        <v>1.992489975523883</v>
      </c>
      <c r="D716">
        <v>1.4203884375420202</v>
      </c>
      <c r="F716">
        <v>69.219219219219227</v>
      </c>
      <c r="G716">
        <v>4</v>
      </c>
    </row>
    <row r="717" spans="1:7" x14ac:dyDescent="0.25">
      <c r="A717">
        <v>693</v>
      </c>
      <c r="B717">
        <v>3.0132402649020413</v>
      </c>
      <c r="C717">
        <v>1.9867597350979587</v>
      </c>
      <c r="D717">
        <v>1.4163035149851682</v>
      </c>
      <c r="F717">
        <v>69.31931931931932</v>
      </c>
      <c r="G717">
        <v>4</v>
      </c>
    </row>
    <row r="718" spans="1:7" x14ac:dyDescent="0.25">
      <c r="A718">
        <v>694</v>
      </c>
      <c r="B718">
        <v>3.0133068956046682</v>
      </c>
      <c r="C718">
        <v>1.9866931043953318</v>
      </c>
      <c r="D718">
        <v>1.4162560158856701</v>
      </c>
      <c r="F718">
        <v>69.419419419419427</v>
      </c>
      <c r="G718">
        <v>4</v>
      </c>
    </row>
    <row r="719" spans="1:7" x14ac:dyDescent="0.25">
      <c r="A719">
        <v>695</v>
      </c>
      <c r="B719">
        <v>3.0063773025314577</v>
      </c>
      <c r="C719">
        <v>-1.0063773025314577</v>
      </c>
      <c r="D719">
        <v>-0.71741725272397794</v>
      </c>
      <c r="F719">
        <v>69.51951951951952</v>
      </c>
      <c r="G719">
        <v>4</v>
      </c>
    </row>
    <row r="720" spans="1:7" x14ac:dyDescent="0.25">
      <c r="A720">
        <v>696</v>
      </c>
      <c r="B720">
        <v>3.0033122902106144</v>
      </c>
      <c r="C720">
        <v>-3.3122902106144103E-3</v>
      </c>
      <c r="D720">
        <v>-2.3612358279008756E-3</v>
      </c>
      <c r="F720">
        <v>69.619619619619627</v>
      </c>
      <c r="G720">
        <v>4</v>
      </c>
    </row>
    <row r="721" spans="1:7" x14ac:dyDescent="0.25">
      <c r="A721">
        <v>697</v>
      </c>
      <c r="B721">
        <v>3.0179710447885602</v>
      </c>
      <c r="C721">
        <v>1.9820289552114398</v>
      </c>
      <c r="D721">
        <v>1.4129310789207905</v>
      </c>
      <c r="F721">
        <v>69.71971971971972</v>
      </c>
      <c r="G721">
        <v>4</v>
      </c>
    </row>
    <row r="722" spans="1:7" x14ac:dyDescent="0.25">
      <c r="A722">
        <v>698</v>
      </c>
      <c r="B722">
        <v>3.0123740657678901</v>
      </c>
      <c r="C722">
        <v>-2.0123740657678901</v>
      </c>
      <c r="D722">
        <v>-1.4345632299979791</v>
      </c>
      <c r="F722">
        <v>69.819819819819827</v>
      </c>
      <c r="G722">
        <v>4</v>
      </c>
    </row>
    <row r="723" spans="1:7" x14ac:dyDescent="0.25">
      <c r="A723">
        <v>699</v>
      </c>
      <c r="B723">
        <v>2.9973821576768089</v>
      </c>
      <c r="C723">
        <v>2.6178423231910664E-3</v>
      </c>
      <c r="D723">
        <v>1.866184027445894E-3</v>
      </c>
      <c r="F723">
        <v>69.91991991991992</v>
      </c>
      <c r="G723">
        <v>4</v>
      </c>
    </row>
    <row r="724" spans="1:7" x14ac:dyDescent="0.25">
      <c r="A724">
        <v>700</v>
      </c>
      <c r="B724">
        <v>3.0006470621055334</v>
      </c>
      <c r="C724">
        <v>-6.470621055334469E-4</v>
      </c>
      <c r="D724">
        <v>-4.612718479698498E-4</v>
      </c>
      <c r="F724">
        <v>70.020020020020027</v>
      </c>
      <c r="G724">
        <v>4</v>
      </c>
    </row>
    <row r="725" spans="1:7" x14ac:dyDescent="0.25">
      <c r="A725">
        <v>701</v>
      </c>
      <c r="B725">
        <v>3.014439617549328</v>
      </c>
      <c r="C725">
        <v>-1.014439617549328</v>
      </c>
      <c r="D725">
        <v>-0.7231646437632695</v>
      </c>
      <c r="F725">
        <v>70.12012012012012</v>
      </c>
      <c r="G725">
        <v>4</v>
      </c>
    </row>
    <row r="726" spans="1:7" x14ac:dyDescent="0.25">
      <c r="A726">
        <v>702</v>
      </c>
      <c r="B726">
        <v>3.0097088376628087</v>
      </c>
      <c r="C726">
        <v>-2.0097088376628087</v>
      </c>
      <c r="D726">
        <v>-1.4326632660180476</v>
      </c>
      <c r="F726">
        <v>70.220220220220227</v>
      </c>
      <c r="G726">
        <v>4</v>
      </c>
    </row>
    <row r="727" spans="1:7" x14ac:dyDescent="0.25">
      <c r="A727">
        <v>703</v>
      </c>
      <c r="B727">
        <v>3.0085094850155225</v>
      </c>
      <c r="C727">
        <v>-8.509485015522511E-3</v>
      </c>
      <c r="D727">
        <v>-6.0661655887665339E-3</v>
      </c>
      <c r="F727">
        <v>70.32032032032032</v>
      </c>
      <c r="G727">
        <v>4</v>
      </c>
    </row>
    <row r="728" spans="1:7" x14ac:dyDescent="0.25">
      <c r="A728">
        <v>704</v>
      </c>
      <c r="B728">
        <v>2.9957163901111334</v>
      </c>
      <c r="C728">
        <v>4.2836098888665575E-3</v>
      </c>
      <c r="D728">
        <v>3.053661514902706E-3</v>
      </c>
      <c r="F728">
        <v>70.420420420420427</v>
      </c>
      <c r="G728">
        <v>4</v>
      </c>
    </row>
    <row r="729" spans="1:7" x14ac:dyDescent="0.25">
      <c r="A729">
        <v>705</v>
      </c>
      <c r="B729">
        <v>2.9958496515163873</v>
      </c>
      <c r="C729">
        <v>-0.99584965151638727</v>
      </c>
      <c r="D729">
        <v>-0.70991239500324987</v>
      </c>
      <c r="F729">
        <v>70.52052052052052</v>
      </c>
      <c r="G729">
        <v>4</v>
      </c>
    </row>
    <row r="730" spans="1:7" x14ac:dyDescent="0.25">
      <c r="A730">
        <v>706</v>
      </c>
      <c r="B730">
        <v>2.9947835602743549</v>
      </c>
      <c r="C730">
        <v>5.2164397256451167E-3</v>
      </c>
      <c r="D730">
        <v>3.7186489078787229E-3</v>
      </c>
      <c r="F730">
        <v>70.620620620620628</v>
      </c>
      <c r="G730">
        <v>4</v>
      </c>
    </row>
    <row r="731" spans="1:7" x14ac:dyDescent="0.25">
      <c r="A731">
        <v>707</v>
      </c>
      <c r="B731">
        <v>2.9967158506505385</v>
      </c>
      <c r="C731">
        <v>3.2841493494615293E-3</v>
      </c>
      <c r="D731">
        <v>2.3411750224288088E-3</v>
      </c>
      <c r="F731">
        <v>70.72072072072072</v>
      </c>
      <c r="G731">
        <v>4</v>
      </c>
    </row>
    <row r="732" spans="1:7" x14ac:dyDescent="0.25">
      <c r="A732">
        <v>708</v>
      </c>
      <c r="B732">
        <v>3.0074433937734901</v>
      </c>
      <c r="C732">
        <v>-2.0074433937734901</v>
      </c>
      <c r="D732">
        <v>-1.4310482966351066</v>
      </c>
      <c r="F732">
        <v>70.820820820820828</v>
      </c>
      <c r="G732">
        <v>4</v>
      </c>
    </row>
    <row r="733" spans="1:7" x14ac:dyDescent="0.25">
      <c r="A733">
        <v>709</v>
      </c>
      <c r="B733">
        <v>3.007176870962982</v>
      </c>
      <c r="C733">
        <v>-7.1768709629820293E-3</v>
      </c>
      <c r="D733">
        <v>-5.1161835988010208E-3</v>
      </c>
      <c r="F733">
        <v>70.920920920920921</v>
      </c>
      <c r="G733">
        <v>4</v>
      </c>
    </row>
    <row r="734" spans="1:7" x14ac:dyDescent="0.25">
      <c r="A734">
        <v>710</v>
      </c>
      <c r="B734">
        <v>3.0167716921412739</v>
      </c>
      <c r="C734">
        <v>-1.6771692141273942E-2</v>
      </c>
      <c r="D734">
        <v>-1.195605392655303E-2</v>
      </c>
      <c r="F734">
        <v>71.021021021021028</v>
      </c>
      <c r="G734">
        <v>4</v>
      </c>
    </row>
    <row r="735" spans="1:7" x14ac:dyDescent="0.25">
      <c r="A735">
        <v>711</v>
      </c>
      <c r="B735">
        <v>2.9993810787556199</v>
      </c>
      <c r="C735">
        <v>-0.99938107875561988</v>
      </c>
      <c r="D735">
        <v>-0.7124298472766587</v>
      </c>
      <c r="F735">
        <v>71.121121121121121</v>
      </c>
      <c r="G735">
        <v>4</v>
      </c>
    </row>
    <row r="736" spans="1:7" x14ac:dyDescent="0.25">
      <c r="A736">
        <v>712</v>
      </c>
      <c r="B736">
        <v>2.9949168216796092</v>
      </c>
      <c r="C736">
        <v>-0.99491682167960915</v>
      </c>
      <c r="D736">
        <v>-0.70924740761027416</v>
      </c>
      <c r="F736">
        <v>71.221221221221228</v>
      </c>
      <c r="G736">
        <v>4</v>
      </c>
    </row>
    <row r="737" spans="1:7" x14ac:dyDescent="0.25">
      <c r="A737">
        <v>713</v>
      </c>
      <c r="B737">
        <v>2.994716929571728</v>
      </c>
      <c r="C737">
        <v>-0.99471692957172797</v>
      </c>
      <c r="D737">
        <v>-0.70910491031177925</v>
      </c>
      <c r="F737">
        <v>71.321321321321321</v>
      </c>
      <c r="G737">
        <v>4</v>
      </c>
    </row>
    <row r="738" spans="1:7" x14ac:dyDescent="0.25">
      <c r="A738">
        <v>714</v>
      </c>
      <c r="B738">
        <v>3.0165718000333928</v>
      </c>
      <c r="C738">
        <v>0.98342819996660724</v>
      </c>
      <c r="D738">
        <v>0.70105750169109804</v>
      </c>
      <c r="F738">
        <v>71.421421421421428</v>
      </c>
      <c r="G738">
        <v>4</v>
      </c>
    </row>
    <row r="739" spans="1:7" x14ac:dyDescent="0.25">
      <c r="A739">
        <v>715</v>
      </c>
      <c r="B739">
        <v>3.0059108876130685</v>
      </c>
      <c r="C739">
        <v>-2.0059108876130685</v>
      </c>
      <c r="D739">
        <v>-1.429955817346646</v>
      </c>
      <c r="F739">
        <v>71.521521521521521</v>
      </c>
      <c r="G739">
        <v>4</v>
      </c>
    </row>
    <row r="740" spans="1:7" x14ac:dyDescent="0.25">
      <c r="A740">
        <v>716</v>
      </c>
      <c r="B740">
        <v>3.0069769788551008</v>
      </c>
      <c r="C740">
        <v>-2.0069769788551008</v>
      </c>
      <c r="D740">
        <v>-1.4307158029386184</v>
      </c>
      <c r="F740">
        <v>71.621621621621628</v>
      </c>
      <c r="G740">
        <v>4</v>
      </c>
    </row>
    <row r="741" spans="1:7" x14ac:dyDescent="0.25">
      <c r="A741">
        <v>717</v>
      </c>
      <c r="B741">
        <v>3.0039119665342575</v>
      </c>
      <c r="C741">
        <v>0.99608803346574248</v>
      </c>
      <c r="D741">
        <v>0.71008233059577086</v>
      </c>
      <c r="F741">
        <v>71.721721721721721</v>
      </c>
      <c r="G741">
        <v>4</v>
      </c>
    </row>
    <row r="742" spans="1:7" x14ac:dyDescent="0.25">
      <c r="A742">
        <v>718</v>
      </c>
      <c r="B742">
        <v>3.0077765472866251</v>
      </c>
      <c r="C742">
        <v>1.9922234527133749</v>
      </c>
      <c r="D742">
        <v>1.4201984411440269</v>
      </c>
      <c r="F742">
        <v>71.821821821821828</v>
      </c>
      <c r="G742">
        <v>4</v>
      </c>
    </row>
    <row r="743" spans="1:7" x14ac:dyDescent="0.25">
      <c r="A743">
        <v>719</v>
      </c>
      <c r="B743">
        <v>2.9942505146533387</v>
      </c>
      <c r="C743">
        <v>-0.99425051465333869</v>
      </c>
      <c r="D743">
        <v>-0.70877241661529122</v>
      </c>
      <c r="F743">
        <v>71.921921921921921</v>
      </c>
      <c r="G743">
        <v>4</v>
      </c>
    </row>
    <row r="744" spans="1:7" x14ac:dyDescent="0.25">
      <c r="A744">
        <v>720</v>
      </c>
      <c r="B744">
        <v>3.0074433937734901</v>
      </c>
      <c r="C744">
        <v>-2.0074433937734901</v>
      </c>
      <c r="D744">
        <v>-1.4310482966351066</v>
      </c>
      <c r="F744">
        <v>72.022022022022028</v>
      </c>
      <c r="G744">
        <v>4</v>
      </c>
    </row>
    <row r="745" spans="1:7" x14ac:dyDescent="0.25">
      <c r="A745">
        <v>721</v>
      </c>
      <c r="B745">
        <v>3.0089092692312844</v>
      </c>
      <c r="C745">
        <v>0.99109073076871557</v>
      </c>
      <c r="D745">
        <v>0.7065198981334001</v>
      </c>
      <c r="F745">
        <v>72.122122122122121</v>
      </c>
      <c r="G745">
        <v>4</v>
      </c>
    </row>
    <row r="746" spans="1:7" x14ac:dyDescent="0.25">
      <c r="A746">
        <v>722</v>
      </c>
      <c r="B746">
        <v>2.997981834000452</v>
      </c>
      <c r="C746">
        <v>1.002018165999548</v>
      </c>
      <c r="D746">
        <v>0.71430975045111766</v>
      </c>
      <c r="F746">
        <v>72.222222222222229</v>
      </c>
      <c r="G746">
        <v>4</v>
      </c>
    </row>
    <row r="747" spans="1:7" x14ac:dyDescent="0.25">
      <c r="A747">
        <v>723</v>
      </c>
      <c r="B747">
        <v>3.0149060324677173</v>
      </c>
      <c r="C747">
        <v>-1.4906032467717267E-2</v>
      </c>
      <c r="D747">
        <v>-1.0626079140601312E-2</v>
      </c>
      <c r="F747">
        <v>72.322322322322321</v>
      </c>
      <c r="G747">
        <v>4</v>
      </c>
    </row>
    <row r="748" spans="1:7" x14ac:dyDescent="0.25">
      <c r="A748">
        <v>724</v>
      </c>
      <c r="B748">
        <v>3.0096422069601818</v>
      </c>
      <c r="C748">
        <v>1.9903577930398182</v>
      </c>
      <c r="D748">
        <v>1.4188684663580753</v>
      </c>
      <c r="F748">
        <v>72.422422422422429</v>
      </c>
      <c r="G748">
        <v>4</v>
      </c>
    </row>
    <row r="749" spans="1:7" x14ac:dyDescent="0.25">
      <c r="A749">
        <v>725</v>
      </c>
      <c r="B749">
        <v>3.0087093771234037</v>
      </c>
      <c r="C749">
        <v>0.99129062287659631</v>
      </c>
      <c r="D749">
        <v>0.7066623954318948</v>
      </c>
      <c r="F749">
        <v>72.522522522522522</v>
      </c>
      <c r="G749">
        <v>4</v>
      </c>
    </row>
    <row r="750" spans="1:7" x14ac:dyDescent="0.25">
      <c r="A750">
        <v>726</v>
      </c>
      <c r="B750">
        <v>3.0080430700971332</v>
      </c>
      <c r="C750">
        <v>1.9919569299028668</v>
      </c>
      <c r="D750">
        <v>1.4200084447460339</v>
      </c>
      <c r="F750">
        <v>72.622622622622629</v>
      </c>
      <c r="G750">
        <v>4</v>
      </c>
    </row>
    <row r="751" spans="1:7" x14ac:dyDescent="0.25">
      <c r="A751">
        <v>727</v>
      </c>
      <c r="B751">
        <v>3.0148394017650899</v>
      </c>
      <c r="C751">
        <v>-1.483940176508991E-2</v>
      </c>
      <c r="D751">
        <v>-1.0578580041102799E-2</v>
      </c>
      <c r="F751">
        <v>72.722722722722722</v>
      </c>
      <c r="G751">
        <v>4</v>
      </c>
    </row>
    <row r="752" spans="1:7" x14ac:dyDescent="0.25">
      <c r="A752">
        <v>728</v>
      </c>
      <c r="B752">
        <v>2.9994477094582468</v>
      </c>
      <c r="C752">
        <v>1.0005522905417532</v>
      </c>
      <c r="D752">
        <v>0.7132647702621554</v>
      </c>
      <c r="F752">
        <v>72.822822822822829</v>
      </c>
      <c r="G752">
        <v>4</v>
      </c>
    </row>
    <row r="753" spans="1:7" x14ac:dyDescent="0.25">
      <c r="A753">
        <v>729</v>
      </c>
      <c r="B753">
        <v>3.0068437174498466</v>
      </c>
      <c r="C753">
        <v>-6.8437174498465758E-3</v>
      </c>
      <c r="D753">
        <v>-4.8786881013094053E-3</v>
      </c>
      <c r="F753">
        <v>72.922922922922922</v>
      </c>
      <c r="G753">
        <v>4</v>
      </c>
    </row>
    <row r="754" spans="1:7" x14ac:dyDescent="0.25">
      <c r="A754">
        <v>730</v>
      </c>
      <c r="B754">
        <v>3.0043117507500199</v>
      </c>
      <c r="C754">
        <v>0.99568824924998012</v>
      </c>
      <c r="D754">
        <v>0.70979733599878114</v>
      </c>
      <c r="F754">
        <v>73.023023023023029</v>
      </c>
      <c r="G754">
        <v>4</v>
      </c>
    </row>
    <row r="755" spans="1:7" x14ac:dyDescent="0.25">
      <c r="A755">
        <v>731</v>
      </c>
      <c r="B755">
        <v>3.0040452279395118</v>
      </c>
      <c r="C755">
        <v>1.9959547720604882</v>
      </c>
      <c r="D755">
        <v>1.4228583907159305</v>
      </c>
      <c r="F755">
        <v>73.123123123123122</v>
      </c>
      <c r="G755">
        <v>4</v>
      </c>
    </row>
    <row r="756" spans="1:7" x14ac:dyDescent="0.25">
      <c r="A756">
        <v>732</v>
      </c>
      <c r="B756">
        <v>3.0162386465202577</v>
      </c>
      <c r="C756">
        <v>0.98376135347974225</v>
      </c>
      <c r="D756">
        <v>0.70129499718858934</v>
      </c>
      <c r="F756">
        <v>73.223223223223229</v>
      </c>
      <c r="G756">
        <v>4</v>
      </c>
    </row>
    <row r="757" spans="1:7" x14ac:dyDescent="0.25">
      <c r="A757">
        <v>733</v>
      </c>
      <c r="B757">
        <v>3.0141730947388199</v>
      </c>
      <c r="C757">
        <v>1.9858269052611801</v>
      </c>
      <c r="D757">
        <v>1.4156385275921921</v>
      </c>
      <c r="F757">
        <v>73.323323323323322</v>
      </c>
      <c r="G757">
        <v>4</v>
      </c>
    </row>
    <row r="758" spans="1:7" x14ac:dyDescent="0.25">
      <c r="A758">
        <v>734</v>
      </c>
      <c r="B758">
        <v>3.0158388623044954</v>
      </c>
      <c r="C758">
        <v>-2.0158388623044954</v>
      </c>
      <c r="D758">
        <v>-1.4370331831718894</v>
      </c>
      <c r="F758">
        <v>73.423423423423429</v>
      </c>
      <c r="G758">
        <v>4</v>
      </c>
    </row>
    <row r="759" spans="1:7" x14ac:dyDescent="0.25">
      <c r="A759">
        <v>735</v>
      </c>
      <c r="B759">
        <v>3.0137066798204306</v>
      </c>
      <c r="C759">
        <v>-1.3706679820430612E-2</v>
      </c>
      <c r="D759">
        <v>-9.7710953496321917E-3</v>
      </c>
      <c r="F759">
        <v>73.523523523523522</v>
      </c>
      <c r="G759">
        <v>4</v>
      </c>
    </row>
    <row r="760" spans="1:7" x14ac:dyDescent="0.25">
      <c r="A760">
        <v>736</v>
      </c>
      <c r="B760">
        <v>3.0100419911759442</v>
      </c>
      <c r="C760">
        <v>1.9899580088240558</v>
      </c>
      <c r="D760">
        <v>1.4185834717610855</v>
      </c>
      <c r="F760">
        <v>73.623623623623629</v>
      </c>
      <c r="G760">
        <v>4</v>
      </c>
    </row>
    <row r="761" spans="1:7" x14ac:dyDescent="0.25">
      <c r="A761">
        <v>737</v>
      </c>
      <c r="B761">
        <v>2.9977153111899439</v>
      </c>
      <c r="C761">
        <v>2.284688810056057E-3</v>
      </c>
      <c r="D761">
        <v>1.6286885299545948E-3</v>
      </c>
      <c r="F761">
        <v>73.723723723723722</v>
      </c>
      <c r="G761">
        <v>4</v>
      </c>
    </row>
    <row r="762" spans="1:7" x14ac:dyDescent="0.25">
      <c r="A762">
        <v>738</v>
      </c>
      <c r="B762">
        <v>3.0019130454554466</v>
      </c>
      <c r="C762">
        <v>-2.0019130454554466</v>
      </c>
      <c r="D762">
        <v>-1.4271058713767493</v>
      </c>
      <c r="F762">
        <v>73.82382382382383</v>
      </c>
      <c r="G762">
        <v>4</v>
      </c>
    </row>
    <row r="763" spans="1:7" x14ac:dyDescent="0.25">
      <c r="A763">
        <v>739</v>
      </c>
      <c r="B763">
        <v>3.0129737420915332</v>
      </c>
      <c r="C763">
        <v>-1.2973742091533236E-2</v>
      </c>
      <c r="D763">
        <v>-9.2486052551510808E-3</v>
      </c>
      <c r="F763">
        <v>73.923923923923923</v>
      </c>
      <c r="G763">
        <v>4</v>
      </c>
    </row>
    <row r="764" spans="1:7" x14ac:dyDescent="0.25">
      <c r="A764">
        <v>740</v>
      </c>
      <c r="B764">
        <v>2.9984482489188413</v>
      </c>
      <c r="C764">
        <v>1.0015517510811587</v>
      </c>
      <c r="D764">
        <v>0.71397725675462964</v>
      </c>
      <c r="F764">
        <v>74.02402402402403</v>
      </c>
      <c r="G764">
        <v>4</v>
      </c>
    </row>
    <row r="765" spans="1:7" x14ac:dyDescent="0.25">
      <c r="A765">
        <v>741</v>
      </c>
      <c r="B765">
        <v>3.0063773025314577</v>
      </c>
      <c r="C765">
        <v>-2.0063773025314577</v>
      </c>
      <c r="D765">
        <v>-1.4302883110431341</v>
      </c>
      <c r="F765">
        <v>74.124124124124123</v>
      </c>
      <c r="G765">
        <v>4</v>
      </c>
    </row>
    <row r="766" spans="1:7" x14ac:dyDescent="0.25">
      <c r="A766">
        <v>742</v>
      </c>
      <c r="B766">
        <v>2.9948501909769818</v>
      </c>
      <c r="C766">
        <v>-1.9948501909769818</v>
      </c>
      <c r="D766">
        <v>-1.4220709668299318</v>
      </c>
      <c r="F766">
        <v>74.22422422422423</v>
      </c>
      <c r="G766">
        <v>4</v>
      </c>
    </row>
    <row r="767" spans="1:7" x14ac:dyDescent="0.25">
      <c r="A767">
        <v>743</v>
      </c>
      <c r="B767">
        <v>3.0088426385286575</v>
      </c>
      <c r="C767">
        <v>-8.8426385286575204E-3</v>
      </c>
      <c r="D767">
        <v>-6.3036610862578328E-3</v>
      </c>
      <c r="F767">
        <v>74.324324324324323</v>
      </c>
      <c r="G767">
        <v>4</v>
      </c>
    </row>
    <row r="768" spans="1:7" x14ac:dyDescent="0.25">
      <c r="A768">
        <v>744</v>
      </c>
      <c r="B768">
        <v>3.0116411280389928</v>
      </c>
      <c r="C768">
        <v>-1.0116411280389928</v>
      </c>
      <c r="D768">
        <v>-0.7211696815843418</v>
      </c>
      <c r="F768">
        <v>74.42442442442443</v>
      </c>
      <c r="G768">
        <v>4</v>
      </c>
    </row>
    <row r="769" spans="1:7" x14ac:dyDescent="0.25">
      <c r="A769">
        <v>745</v>
      </c>
      <c r="B769">
        <v>3.0137066798204306</v>
      </c>
      <c r="C769">
        <v>1.9862933201795694</v>
      </c>
      <c r="D769">
        <v>1.4159710212886802</v>
      </c>
      <c r="F769">
        <v>74.524524524524523</v>
      </c>
      <c r="G769">
        <v>4</v>
      </c>
    </row>
    <row r="770" spans="1:7" x14ac:dyDescent="0.25">
      <c r="A770">
        <v>746</v>
      </c>
      <c r="B770">
        <v>2.9987814024319763</v>
      </c>
      <c r="C770">
        <v>-0.99878140243197633</v>
      </c>
      <c r="D770">
        <v>-0.71200235538117396</v>
      </c>
      <c r="F770">
        <v>74.62462462462463</v>
      </c>
      <c r="G770">
        <v>4</v>
      </c>
    </row>
    <row r="771" spans="1:7" x14ac:dyDescent="0.25">
      <c r="A771">
        <v>747</v>
      </c>
      <c r="B771">
        <v>3.0061107797209496</v>
      </c>
      <c r="C771">
        <v>0.99388922027905036</v>
      </c>
      <c r="D771">
        <v>0.70851486031232758</v>
      </c>
      <c r="F771">
        <v>74.724724724724723</v>
      </c>
      <c r="G771">
        <v>4</v>
      </c>
    </row>
    <row r="772" spans="1:7" x14ac:dyDescent="0.25">
      <c r="A772">
        <v>748</v>
      </c>
      <c r="B772">
        <v>3.0161720158176304</v>
      </c>
      <c r="C772">
        <v>-2.0161720158176304</v>
      </c>
      <c r="D772">
        <v>-1.4372706786693807</v>
      </c>
      <c r="F772">
        <v>74.82482482482483</v>
      </c>
      <c r="G772">
        <v>4</v>
      </c>
    </row>
    <row r="773" spans="1:7" x14ac:dyDescent="0.25">
      <c r="A773">
        <v>749</v>
      </c>
      <c r="B773">
        <v>3.0036454437237494</v>
      </c>
      <c r="C773">
        <v>1.9963545562762506</v>
      </c>
      <c r="D773">
        <v>1.4231433853129203</v>
      </c>
      <c r="F773">
        <v>74.924924924924923</v>
      </c>
      <c r="G773">
        <v>4</v>
      </c>
    </row>
    <row r="774" spans="1:7" x14ac:dyDescent="0.25">
      <c r="A774">
        <v>750</v>
      </c>
      <c r="B774">
        <v>3.0034455516158682</v>
      </c>
      <c r="C774">
        <v>-2.0034455516158682</v>
      </c>
      <c r="D774">
        <v>-1.4281983506652096</v>
      </c>
      <c r="F774">
        <v>75.02502502502503</v>
      </c>
      <c r="G774">
        <v>4</v>
      </c>
    </row>
    <row r="775" spans="1:7" x14ac:dyDescent="0.25">
      <c r="A775">
        <v>751</v>
      </c>
      <c r="B775">
        <v>3.0035788130211225</v>
      </c>
      <c r="C775">
        <v>-1.0035788130211225</v>
      </c>
      <c r="D775">
        <v>-0.71542229054505013</v>
      </c>
      <c r="F775">
        <v>75.125125125125123</v>
      </c>
      <c r="G775">
        <v>4</v>
      </c>
    </row>
    <row r="776" spans="1:7" x14ac:dyDescent="0.25">
      <c r="A776">
        <v>752</v>
      </c>
      <c r="B776">
        <v>3.0157722316018685</v>
      </c>
      <c r="C776">
        <v>-1.5772231601868469E-2</v>
      </c>
      <c r="D776">
        <v>-1.1243567434078816E-2</v>
      </c>
      <c r="F776">
        <v>75.22522522522523</v>
      </c>
      <c r="G776">
        <v>4</v>
      </c>
    </row>
    <row r="777" spans="1:7" x14ac:dyDescent="0.25">
      <c r="A777">
        <v>753</v>
      </c>
      <c r="B777">
        <v>3.0131736341994144</v>
      </c>
      <c r="C777">
        <v>-1.3173634199414419E-2</v>
      </c>
      <c r="D777">
        <v>-9.3911025536459868E-3</v>
      </c>
      <c r="F777">
        <v>75.325325325325323</v>
      </c>
      <c r="G777">
        <v>4</v>
      </c>
    </row>
    <row r="778" spans="1:7" x14ac:dyDescent="0.25">
      <c r="A778">
        <v>754</v>
      </c>
      <c r="B778">
        <v>3.0046449042631549</v>
      </c>
      <c r="C778">
        <v>0.99535509573684511</v>
      </c>
      <c r="D778">
        <v>0.70955984050128984</v>
      </c>
      <c r="F778">
        <v>75.425425425425431</v>
      </c>
      <c r="G778">
        <v>4</v>
      </c>
    </row>
    <row r="779" spans="1:7" x14ac:dyDescent="0.25">
      <c r="A779">
        <v>755</v>
      </c>
      <c r="B779">
        <v>3.0140398333335656</v>
      </c>
      <c r="C779">
        <v>0.98596016666643438</v>
      </c>
      <c r="D779">
        <v>0.70286246747203274</v>
      </c>
      <c r="F779">
        <v>75.525525525525524</v>
      </c>
      <c r="G779">
        <v>4</v>
      </c>
    </row>
    <row r="780" spans="1:7" x14ac:dyDescent="0.25">
      <c r="A780">
        <v>756</v>
      </c>
      <c r="B780">
        <v>3.0162386465202577</v>
      </c>
      <c r="C780">
        <v>-1.0162386465202577</v>
      </c>
      <c r="D780">
        <v>-0.72444711944972295</v>
      </c>
      <c r="F780">
        <v>75.625625625625631</v>
      </c>
      <c r="G780">
        <v>4</v>
      </c>
    </row>
    <row r="781" spans="1:7" x14ac:dyDescent="0.25">
      <c r="A781">
        <v>757</v>
      </c>
      <c r="B781">
        <v>3.0107082982022142</v>
      </c>
      <c r="C781">
        <v>-1.0708298202214195E-2</v>
      </c>
      <c r="D781">
        <v>-7.6336358722095508E-3</v>
      </c>
      <c r="F781">
        <v>75.725725725725724</v>
      </c>
      <c r="G781">
        <v>4</v>
      </c>
    </row>
    <row r="782" spans="1:7" x14ac:dyDescent="0.25">
      <c r="A782">
        <v>758</v>
      </c>
      <c r="B782">
        <v>3.0102418832838254</v>
      </c>
      <c r="C782">
        <v>-1.0241883283825359E-2</v>
      </c>
      <c r="D782">
        <v>-7.301142175721859E-3</v>
      </c>
      <c r="F782">
        <v>75.825825825825831</v>
      </c>
      <c r="G782">
        <v>4</v>
      </c>
    </row>
    <row r="783" spans="1:7" x14ac:dyDescent="0.25">
      <c r="A783">
        <v>759</v>
      </c>
      <c r="B783">
        <v>2.997981834000452</v>
      </c>
      <c r="C783">
        <v>-1.997981834000452</v>
      </c>
      <c r="D783">
        <v>-1.4243034245063508</v>
      </c>
      <c r="F783">
        <v>75.925925925925924</v>
      </c>
      <c r="G783">
        <v>4</v>
      </c>
    </row>
    <row r="784" spans="1:7" x14ac:dyDescent="0.25">
      <c r="A784">
        <v>760</v>
      </c>
      <c r="B784">
        <v>3.0076432858813713</v>
      </c>
      <c r="C784">
        <v>0.99235671411862869</v>
      </c>
      <c r="D784">
        <v>0.70742238102386712</v>
      </c>
      <c r="F784">
        <v>76.026026026026031</v>
      </c>
      <c r="G784">
        <v>4</v>
      </c>
    </row>
    <row r="785" spans="1:7" x14ac:dyDescent="0.25">
      <c r="A785">
        <v>761</v>
      </c>
      <c r="B785">
        <v>3.0019796761580739</v>
      </c>
      <c r="C785">
        <v>-1.0019796761580739</v>
      </c>
      <c r="D785">
        <v>-0.71428231215709159</v>
      </c>
      <c r="F785">
        <v>76.126126126126124</v>
      </c>
      <c r="G785">
        <v>4</v>
      </c>
    </row>
    <row r="786" spans="1:7" x14ac:dyDescent="0.25">
      <c r="A786">
        <v>762</v>
      </c>
      <c r="B786">
        <v>3.017104845654409</v>
      </c>
      <c r="C786">
        <v>1.982895154345591</v>
      </c>
      <c r="D786">
        <v>1.413548567214268</v>
      </c>
      <c r="F786">
        <v>76.226226226226231</v>
      </c>
      <c r="G786">
        <v>4</v>
      </c>
    </row>
    <row r="787" spans="1:7" x14ac:dyDescent="0.25">
      <c r="A787">
        <v>763</v>
      </c>
      <c r="B787">
        <v>3.0162386465202577</v>
      </c>
      <c r="C787">
        <v>-2.0162386465202577</v>
      </c>
      <c r="D787">
        <v>-1.4373181777688793</v>
      </c>
      <c r="F787">
        <v>76.326326326326324</v>
      </c>
      <c r="G787">
        <v>4</v>
      </c>
    </row>
    <row r="788" spans="1:7" x14ac:dyDescent="0.25">
      <c r="A788">
        <v>764</v>
      </c>
      <c r="B788">
        <v>3.0054444726946792</v>
      </c>
      <c r="C788">
        <v>0.99455552730532082</v>
      </c>
      <c r="D788">
        <v>0.70898985130731051</v>
      </c>
      <c r="F788">
        <v>76.426426426426431</v>
      </c>
      <c r="G788">
        <v>4</v>
      </c>
    </row>
    <row r="789" spans="1:7" x14ac:dyDescent="0.25">
      <c r="A789">
        <v>765</v>
      </c>
      <c r="B789">
        <v>3.0112413438232304</v>
      </c>
      <c r="C789">
        <v>-1.0112413438232304</v>
      </c>
      <c r="D789">
        <v>-0.72088468698735197</v>
      </c>
      <c r="F789">
        <v>76.526526526526524</v>
      </c>
      <c r="G789">
        <v>4</v>
      </c>
    </row>
    <row r="790" spans="1:7" x14ac:dyDescent="0.25">
      <c r="A790">
        <v>766</v>
      </c>
      <c r="B790">
        <v>3.002912505994852</v>
      </c>
      <c r="C790">
        <v>-2.9125059948520438E-3</v>
      </c>
      <c r="D790">
        <v>-2.0762412309110632E-3</v>
      </c>
      <c r="F790">
        <v>76.626626626626631</v>
      </c>
      <c r="G790">
        <v>4</v>
      </c>
    </row>
    <row r="791" spans="1:7" x14ac:dyDescent="0.25">
      <c r="A791">
        <v>767</v>
      </c>
      <c r="B791">
        <v>3.0074433937734901</v>
      </c>
      <c r="C791">
        <v>-7.4433937734901257E-3</v>
      </c>
      <c r="D791">
        <v>-5.3061799967941232E-3</v>
      </c>
      <c r="F791">
        <v>76.726726726726724</v>
      </c>
      <c r="G791">
        <v>4</v>
      </c>
    </row>
    <row r="792" spans="1:7" x14ac:dyDescent="0.25">
      <c r="A792">
        <v>768</v>
      </c>
      <c r="B792">
        <v>3.0129071113889063</v>
      </c>
      <c r="C792">
        <v>0.98709288861109368</v>
      </c>
      <c r="D792">
        <v>0.70366995216350325</v>
      </c>
      <c r="F792">
        <v>76.826826826826832</v>
      </c>
      <c r="G792">
        <v>4</v>
      </c>
    </row>
    <row r="793" spans="1:7" x14ac:dyDescent="0.25">
      <c r="A793">
        <v>769</v>
      </c>
      <c r="B793">
        <v>3.0097754683654361</v>
      </c>
      <c r="C793">
        <v>1.9902245316345639</v>
      </c>
      <c r="D793">
        <v>1.4187734681590785</v>
      </c>
      <c r="F793">
        <v>76.926926926926924</v>
      </c>
      <c r="G793">
        <v>4</v>
      </c>
    </row>
    <row r="794" spans="1:7" x14ac:dyDescent="0.25">
      <c r="A794">
        <v>770</v>
      </c>
      <c r="B794">
        <v>3.004911427073663</v>
      </c>
      <c r="C794">
        <v>0.99508857292633701</v>
      </c>
      <c r="D794">
        <v>0.70936984410329673</v>
      </c>
      <c r="F794">
        <v>77.027027027027032</v>
      </c>
      <c r="G794">
        <v>4</v>
      </c>
    </row>
    <row r="795" spans="1:7" x14ac:dyDescent="0.25">
      <c r="A795">
        <v>771</v>
      </c>
      <c r="B795">
        <v>3.0043783814526468</v>
      </c>
      <c r="C795">
        <v>-1.0043783814526468</v>
      </c>
      <c r="D795">
        <v>-0.71599227973902946</v>
      </c>
      <c r="F795">
        <v>77.127127127127125</v>
      </c>
      <c r="G795">
        <v>4</v>
      </c>
    </row>
    <row r="796" spans="1:7" x14ac:dyDescent="0.25">
      <c r="A796">
        <v>772</v>
      </c>
      <c r="B796">
        <v>3.0175712605727982</v>
      </c>
      <c r="C796">
        <v>-2.0175712605727982</v>
      </c>
      <c r="D796">
        <v>-1.4382681597588447</v>
      </c>
      <c r="F796">
        <v>77.227227227227232</v>
      </c>
      <c r="G796">
        <v>4</v>
      </c>
    </row>
    <row r="797" spans="1:7" x14ac:dyDescent="0.25">
      <c r="A797">
        <v>773</v>
      </c>
      <c r="B797">
        <v>3.0059108876130685</v>
      </c>
      <c r="C797">
        <v>-5.9108876130684607E-3</v>
      </c>
      <c r="D797">
        <v>-4.2137007083337041E-3</v>
      </c>
      <c r="F797">
        <v>77.327327327327325</v>
      </c>
      <c r="G797">
        <v>4</v>
      </c>
    </row>
    <row r="798" spans="1:7" x14ac:dyDescent="0.25">
      <c r="A798">
        <v>774</v>
      </c>
      <c r="B798">
        <v>3.0043783814526468</v>
      </c>
      <c r="C798">
        <v>0.9956216185473532</v>
      </c>
      <c r="D798">
        <v>0.70974983689928295</v>
      </c>
      <c r="F798">
        <v>77.427427427427432</v>
      </c>
      <c r="G798">
        <v>4</v>
      </c>
    </row>
    <row r="799" spans="1:7" x14ac:dyDescent="0.25">
      <c r="A799">
        <v>775</v>
      </c>
      <c r="B799">
        <v>2.9987147717293494</v>
      </c>
      <c r="C799">
        <v>-1.9987147717293494</v>
      </c>
      <c r="D799">
        <v>-1.424825914600832</v>
      </c>
      <c r="F799">
        <v>77.527527527527525</v>
      </c>
      <c r="G799">
        <v>4</v>
      </c>
    </row>
    <row r="800" spans="1:7" x14ac:dyDescent="0.25">
      <c r="A800">
        <v>776</v>
      </c>
      <c r="B800">
        <v>2.9968491120557927</v>
      </c>
      <c r="C800">
        <v>1.0031508879442073</v>
      </c>
      <c r="D800">
        <v>0.71511723514258829</v>
      </c>
      <c r="F800">
        <v>77.627627627627632</v>
      </c>
      <c r="G800">
        <v>4</v>
      </c>
    </row>
    <row r="801" spans="1:7" x14ac:dyDescent="0.25">
      <c r="A801">
        <v>777</v>
      </c>
      <c r="B801">
        <v>3.0093756841496737</v>
      </c>
      <c r="C801">
        <v>0.99062431585032629</v>
      </c>
      <c r="D801">
        <v>0.70618740443691219</v>
      </c>
      <c r="F801">
        <v>77.727727727727725</v>
      </c>
      <c r="G801">
        <v>4</v>
      </c>
    </row>
    <row r="802" spans="1:7" x14ac:dyDescent="0.25">
      <c r="A802">
        <v>778</v>
      </c>
      <c r="B802">
        <v>2.9957163901111334</v>
      </c>
      <c r="C802">
        <v>2.0042836098888666</v>
      </c>
      <c r="D802">
        <v>1.428795778153215</v>
      </c>
      <c r="F802">
        <v>77.827827827827832</v>
      </c>
      <c r="G802">
        <v>4</v>
      </c>
    </row>
    <row r="803" spans="1:7" x14ac:dyDescent="0.25">
      <c r="A803">
        <v>779</v>
      </c>
      <c r="B803">
        <v>3.0114412359311116</v>
      </c>
      <c r="C803">
        <v>1.9885587640688884</v>
      </c>
      <c r="D803">
        <v>1.4175859906716217</v>
      </c>
      <c r="F803">
        <v>77.927927927927925</v>
      </c>
      <c r="G803">
        <v>4</v>
      </c>
    </row>
    <row r="804" spans="1:7" x14ac:dyDescent="0.25">
      <c r="A804">
        <v>780</v>
      </c>
      <c r="B804">
        <v>2.9985815103240956</v>
      </c>
      <c r="C804">
        <v>-0.99858151032409559</v>
      </c>
      <c r="D804">
        <v>-0.71185985808267938</v>
      </c>
      <c r="F804">
        <v>78.028028028028032</v>
      </c>
      <c r="G804">
        <v>4</v>
      </c>
    </row>
    <row r="805" spans="1:7" x14ac:dyDescent="0.25">
      <c r="A805">
        <v>781</v>
      </c>
      <c r="B805">
        <v>2.9945836681664737</v>
      </c>
      <c r="C805">
        <v>-0.9945836681664737</v>
      </c>
      <c r="D805">
        <v>-0.70900991211278253</v>
      </c>
      <c r="F805">
        <v>78.128128128128125</v>
      </c>
      <c r="G805">
        <v>4</v>
      </c>
    </row>
    <row r="806" spans="1:7" x14ac:dyDescent="0.25">
      <c r="A806">
        <v>782</v>
      </c>
      <c r="B806">
        <v>3.0021795682659551</v>
      </c>
      <c r="C806">
        <v>0.99782043173404489</v>
      </c>
      <c r="D806">
        <v>0.7113173071827259</v>
      </c>
      <c r="F806">
        <v>78.228228228228232</v>
      </c>
      <c r="G806">
        <v>4</v>
      </c>
    </row>
    <row r="807" spans="1:7" x14ac:dyDescent="0.25">
      <c r="A807">
        <v>783</v>
      </c>
      <c r="B807">
        <v>2.9980484647030794</v>
      </c>
      <c r="C807">
        <v>-0.9980484647030794</v>
      </c>
      <c r="D807">
        <v>-0.71147986528669316</v>
      </c>
      <c r="F807">
        <v>78.328328328328325</v>
      </c>
      <c r="G807">
        <v>4</v>
      </c>
    </row>
    <row r="808" spans="1:7" x14ac:dyDescent="0.25">
      <c r="A808">
        <v>784</v>
      </c>
      <c r="B808">
        <v>3.0053112112894254</v>
      </c>
      <c r="C808">
        <v>-2.0053112112894254</v>
      </c>
      <c r="D808">
        <v>-1.4295283254511617</v>
      </c>
      <c r="F808">
        <v>78.428428428428433</v>
      </c>
      <c r="G808">
        <v>4</v>
      </c>
    </row>
    <row r="809" spans="1:7" x14ac:dyDescent="0.25">
      <c r="A809">
        <v>785</v>
      </c>
      <c r="B809">
        <v>3.0141730947388199</v>
      </c>
      <c r="C809">
        <v>0.98582690526118011</v>
      </c>
      <c r="D809">
        <v>0.70276746927303602</v>
      </c>
      <c r="F809">
        <v>78.528528528528525</v>
      </c>
      <c r="G809">
        <v>4</v>
      </c>
    </row>
    <row r="810" spans="1:7" x14ac:dyDescent="0.25">
      <c r="A810">
        <v>786</v>
      </c>
      <c r="B810">
        <v>2.999980755079263</v>
      </c>
      <c r="C810">
        <v>2.000019244920737</v>
      </c>
      <c r="D810">
        <v>1.4257558357853255</v>
      </c>
      <c r="F810">
        <v>78.628628628628633</v>
      </c>
      <c r="G810">
        <v>4</v>
      </c>
    </row>
    <row r="811" spans="1:7" x14ac:dyDescent="0.25">
      <c r="A811">
        <v>787</v>
      </c>
      <c r="B811">
        <v>3.0134401570099225</v>
      </c>
      <c r="C811">
        <v>-1.0134401570099225</v>
      </c>
      <c r="D811">
        <v>-0.72245215727079526</v>
      </c>
      <c r="F811">
        <v>78.728728728728726</v>
      </c>
      <c r="G811">
        <v>4</v>
      </c>
    </row>
    <row r="812" spans="1:7" x14ac:dyDescent="0.25">
      <c r="A812">
        <v>788</v>
      </c>
      <c r="B812">
        <v>2.9955831287058792</v>
      </c>
      <c r="C812">
        <v>2.0044168712941208</v>
      </c>
      <c r="D812">
        <v>1.4288907763522118</v>
      </c>
      <c r="F812">
        <v>78.828828828828833</v>
      </c>
      <c r="G812">
        <v>4</v>
      </c>
    </row>
    <row r="813" spans="1:7" x14ac:dyDescent="0.25">
      <c r="A813">
        <v>789</v>
      </c>
      <c r="B813">
        <v>3.0032456595079875</v>
      </c>
      <c r="C813">
        <v>0.9967543404920125</v>
      </c>
      <c r="D813">
        <v>0.71055732159075347</v>
      </c>
      <c r="F813">
        <v>78.928928928928926</v>
      </c>
      <c r="G813">
        <v>4</v>
      </c>
    </row>
    <row r="814" spans="1:7" x14ac:dyDescent="0.25">
      <c r="A814">
        <v>790</v>
      </c>
      <c r="B814">
        <v>3.0117077587416197</v>
      </c>
      <c r="C814">
        <v>0.98829224125838033</v>
      </c>
      <c r="D814">
        <v>0.70452493595447241</v>
      </c>
      <c r="F814">
        <v>79.029029029029033</v>
      </c>
      <c r="G814">
        <v>4</v>
      </c>
    </row>
    <row r="815" spans="1:7" x14ac:dyDescent="0.25">
      <c r="A815">
        <v>791</v>
      </c>
      <c r="B815">
        <v>3.0017797840501927</v>
      </c>
      <c r="C815">
        <v>-1.7797840501927453E-3</v>
      </c>
      <c r="D815">
        <v>-1.2687565394404565E-3</v>
      </c>
      <c r="F815">
        <v>79.129129129129126</v>
      </c>
      <c r="G815">
        <v>4</v>
      </c>
    </row>
    <row r="816" spans="1:7" x14ac:dyDescent="0.25">
      <c r="A816">
        <v>792</v>
      </c>
      <c r="B816">
        <v>3.0171714763570359</v>
      </c>
      <c r="C816">
        <v>0.98282852364296414</v>
      </c>
      <c r="D816">
        <v>0.70063000979561363</v>
      </c>
      <c r="F816">
        <v>79.229229229229233</v>
      </c>
      <c r="G816">
        <v>4</v>
      </c>
    </row>
    <row r="817" spans="1:7" x14ac:dyDescent="0.25">
      <c r="A817">
        <v>793</v>
      </c>
      <c r="B817">
        <v>3.0043783814526468</v>
      </c>
      <c r="C817">
        <v>-1.0043783814526468</v>
      </c>
      <c r="D817">
        <v>-0.71599227973902946</v>
      </c>
      <c r="F817">
        <v>79.329329329329326</v>
      </c>
      <c r="G817">
        <v>4</v>
      </c>
    </row>
    <row r="818" spans="1:7" x14ac:dyDescent="0.25">
      <c r="A818">
        <v>794</v>
      </c>
      <c r="B818">
        <v>2.9941838839507118</v>
      </c>
      <c r="C818">
        <v>1.0058161160492882</v>
      </c>
      <c r="D818">
        <v>0.71701719912251927</v>
      </c>
      <c r="F818">
        <v>79.429429429429433</v>
      </c>
      <c r="G818">
        <v>4</v>
      </c>
    </row>
    <row r="819" spans="1:7" x14ac:dyDescent="0.25">
      <c r="A819">
        <v>795</v>
      </c>
      <c r="B819">
        <v>2.9959829129216415</v>
      </c>
      <c r="C819">
        <v>-1.9959829129216415</v>
      </c>
      <c r="D819">
        <v>-1.4228784515214028</v>
      </c>
      <c r="F819">
        <v>79.529529529529526</v>
      </c>
      <c r="G819">
        <v>4</v>
      </c>
    </row>
    <row r="820" spans="1:7" x14ac:dyDescent="0.25">
      <c r="A820">
        <v>796</v>
      </c>
      <c r="B820">
        <v>3.0064439332340847</v>
      </c>
      <c r="C820">
        <v>-1.0064439332340847</v>
      </c>
      <c r="D820">
        <v>-0.71746475182347613</v>
      </c>
      <c r="F820">
        <v>79.629629629629633</v>
      </c>
      <c r="G820">
        <v>4</v>
      </c>
    </row>
    <row r="821" spans="1:7" x14ac:dyDescent="0.25">
      <c r="A821">
        <v>797</v>
      </c>
      <c r="B821">
        <v>2.9999141243766361</v>
      </c>
      <c r="C821">
        <v>2.0000858756233639</v>
      </c>
      <c r="D821">
        <v>1.4258033348848236</v>
      </c>
      <c r="F821">
        <v>79.729729729729726</v>
      </c>
      <c r="G821">
        <v>4</v>
      </c>
    </row>
    <row r="822" spans="1:7" x14ac:dyDescent="0.25">
      <c r="A822">
        <v>798</v>
      </c>
      <c r="B822">
        <v>3.0169049535465278</v>
      </c>
      <c r="C822">
        <v>-2.0169049535465278</v>
      </c>
      <c r="D822">
        <v>-1.4377931687638619</v>
      </c>
      <c r="F822">
        <v>79.829829829829833</v>
      </c>
      <c r="G822">
        <v>4</v>
      </c>
    </row>
    <row r="823" spans="1:7" x14ac:dyDescent="0.25">
      <c r="A823">
        <v>799</v>
      </c>
      <c r="B823">
        <v>3.0148394017650899</v>
      </c>
      <c r="C823">
        <v>-1.0148394017650899</v>
      </c>
      <c r="D823">
        <v>-0.723449638360259</v>
      </c>
      <c r="F823">
        <v>79.929929929929926</v>
      </c>
      <c r="G823">
        <v>4</v>
      </c>
    </row>
    <row r="824" spans="1:7" x14ac:dyDescent="0.25">
      <c r="A824">
        <v>800</v>
      </c>
      <c r="B824">
        <v>3.017437999167544</v>
      </c>
      <c r="C824">
        <v>-2.017437999167544</v>
      </c>
      <c r="D824">
        <v>-1.4381731615598481</v>
      </c>
      <c r="F824">
        <v>80.030030030030034</v>
      </c>
      <c r="G824">
        <v>4</v>
      </c>
    </row>
    <row r="825" spans="1:7" x14ac:dyDescent="0.25">
      <c r="A825">
        <v>801</v>
      </c>
      <c r="B825">
        <v>3.0159721237097497</v>
      </c>
      <c r="C825">
        <v>-1.5972123709749653E-2</v>
      </c>
      <c r="D825">
        <v>-1.1386064732573722E-2</v>
      </c>
      <c r="F825">
        <v>80.130130130130127</v>
      </c>
      <c r="G825">
        <v>4</v>
      </c>
    </row>
    <row r="826" spans="1:7" x14ac:dyDescent="0.25">
      <c r="A826">
        <v>802</v>
      </c>
      <c r="B826">
        <v>3.0040452279395118</v>
      </c>
      <c r="C826">
        <v>-1.0040452279395118</v>
      </c>
      <c r="D826">
        <v>-0.71575478424153816</v>
      </c>
      <c r="F826">
        <v>80.230230230230234</v>
      </c>
      <c r="G826">
        <v>4</v>
      </c>
    </row>
    <row r="827" spans="1:7" x14ac:dyDescent="0.25">
      <c r="A827">
        <v>803</v>
      </c>
      <c r="B827">
        <v>3.0085094850155225</v>
      </c>
      <c r="C827">
        <v>0.99149051498447749</v>
      </c>
      <c r="D827">
        <v>0.7068048927303896</v>
      </c>
      <c r="F827">
        <v>80.330330330330327</v>
      </c>
      <c r="G827">
        <v>4</v>
      </c>
    </row>
    <row r="828" spans="1:7" x14ac:dyDescent="0.25">
      <c r="A828">
        <v>804</v>
      </c>
      <c r="B828">
        <v>3.0145728789545818</v>
      </c>
      <c r="C828">
        <v>0.98542712104541819</v>
      </c>
      <c r="D828">
        <v>0.70248247467604652</v>
      </c>
      <c r="F828">
        <v>80.430430430430434</v>
      </c>
      <c r="G828">
        <v>5</v>
      </c>
    </row>
    <row r="829" spans="1:7" x14ac:dyDescent="0.25">
      <c r="A829">
        <v>805</v>
      </c>
      <c r="B829">
        <v>3.0127738499836521</v>
      </c>
      <c r="C829">
        <v>-1.0127738499836521</v>
      </c>
      <c r="D829">
        <v>-0.72197716627581232</v>
      </c>
      <c r="F829">
        <v>80.530530530530527</v>
      </c>
      <c r="G829">
        <v>5</v>
      </c>
    </row>
    <row r="830" spans="1:7" x14ac:dyDescent="0.25">
      <c r="A830">
        <v>806</v>
      </c>
      <c r="B830">
        <v>3.0070436095577278</v>
      </c>
      <c r="C830">
        <v>0.99295639044227224</v>
      </c>
      <c r="D830">
        <v>0.70784987291935186</v>
      </c>
      <c r="F830">
        <v>80.630630630630634</v>
      </c>
      <c r="G830">
        <v>5</v>
      </c>
    </row>
    <row r="831" spans="1:7" x14ac:dyDescent="0.25">
      <c r="A831">
        <v>807</v>
      </c>
      <c r="B831">
        <v>3.0045116428579006</v>
      </c>
      <c r="C831">
        <v>1.9954883571420994</v>
      </c>
      <c r="D831">
        <v>1.4225258970194428</v>
      </c>
      <c r="F831">
        <v>80.730730730730727</v>
      </c>
      <c r="G831">
        <v>5</v>
      </c>
    </row>
    <row r="832" spans="1:7" x14ac:dyDescent="0.25">
      <c r="A832">
        <v>808</v>
      </c>
      <c r="B832">
        <v>3.0067104560445927</v>
      </c>
      <c r="C832">
        <v>1.9932895439554073</v>
      </c>
      <c r="D832">
        <v>1.4209584267359994</v>
      </c>
      <c r="F832">
        <v>80.830830830830834</v>
      </c>
      <c r="G832">
        <v>5</v>
      </c>
    </row>
    <row r="833" spans="1:7" x14ac:dyDescent="0.25">
      <c r="A833">
        <v>809</v>
      </c>
      <c r="B833">
        <v>3.002246198968582</v>
      </c>
      <c r="C833">
        <v>1.997753801031418</v>
      </c>
      <c r="D833">
        <v>1.4241408664023838</v>
      </c>
      <c r="F833">
        <v>80.930930930930927</v>
      </c>
      <c r="G833">
        <v>5</v>
      </c>
    </row>
    <row r="834" spans="1:7" x14ac:dyDescent="0.25">
      <c r="A834">
        <v>810</v>
      </c>
      <c r="B834">
        <v>2.9967824813531658</v>
      </c>
      <c r="C834">
        <v>1.0032175186468342</v>
      </c>
      <c r="D834">
        <v>0.71516473424208649</v>
      </c>
      <c r="F834">
        <v>81.031031031031034</v>
      </c>
      <c r="G834">
        <v>5</v>
      </c>
    </row>
    <row r="835" spans="1:7" x14ac:dyDescent="0.25">
      <c r="A835">
        <v>811</v>
      </c>
      <c r="B835">
        <v>3.0127738499836521</v>
      </c>
      <c r="C835">
        <v>0.98722615001634795</v>
      </c>
      <c r="D835">
        <v>0.70376495036249997</v>
      </c>
      <c r="F835">
        <v>81.131131131131127</v>
      </c>
      <c r="G835">
        <v>5</v>
      </c>
    </row>
    <row r="836" spans="1:7" x14ac:dyDescent="0.25">
      <c r="A836">
        <v>812</v>
      </c>
      <c r="B836">
        <v>3.0116411280389928</v>
      </c>
      <c r="C836">
        <v>-1.1641128038992754E-2</v>
      </c>
      <c r="D836">
        <v>-8.2986232651855677E-3</v>
      </c>
      <c r="F836">
        <v>81.231231231231234</v>
      </c>
      <c r="G836">
        <v>5</v>
      </c>
    </row>
    <row r="837" spans="1:7" x14ac:dyDescent="0.25">
      <c r="A837">
        <v>813</v>
      </c>
      <c r="B837">
        <v>3.0027792445895982</v>
      </c>
      <c r="C837">
        <v>0.99722075541040178</v>
      </c>
      <c r="D837">
        <v>0.71088981528724149</v>
      </c>
      <c r="F837">
        <v>81.331331331331327</v>
      </c>
      <c r="G837">
        <v>5</v>
      </c>
    </row>
    <row r="838" spans="1:7" x14ac:dyDescent="0.25">
      <c r="A838">
        <v>814</v>
      </c>
      <c r="B838">
        <v>3.0012467384291766</v>
      </c>
      <c r="C838">
        <v>0.99875326157082345</v>
      </c>
      <c r="D838">
        <v>0.71198229457570195</v>
      </c>
      <c r="F838">
        <v>81.431431431431434</v>
      </c>
      <c r="G838">
        <v>5</v>
      </c>
    </row>
    <row r="839" spans="1:7" x14ac:dyDescent="0.25">
      <c r="A839">
        <v>815</v>
      </c>
      <c r="B839">
        <v>2.9991811866477387</v>
      </c>
      <c r="C839">
        <v>-0.99918118664773869</v>
      </c>
      <c r="D839">
        <v>-0.71228734997816379</v>
      </c>
      <c r="F839">
        <v>81.531531531531527</v>
      </c>
      <c r="G839">
        <v>5</v>
      </c>
    </row>
    <row r="840" spans="1:7" x14ac:dyDescent="0.25">
      <c r="A840">
        <v>816</v>
      </c>
      <c r="B840">
        <v>3.007576655178744</v>
      </c>
      <c r="C840">
        <v>1.992423344821256</v>
      </c>
      <c r="D840">
        <v>1.4203409384425218</v>
      </c>
      <c r="F840">
        <v>81.631631631631635</v>
      </c>
      <c r="G840">
        <v>5</v>
      </c>
    </row>
    <row r="841" spans="1:7" x14ac:dyDescent="0.25">
      <c r="A841">
        <v>817</v>
      </c>
      <c r="B841">
        <v>2.9962494357321496</v>
      </c>
      <c r="C841">
        <v>1.0037505642678504</v>
      </c>
      <c r="D841">
        <v>0.7155447270380727</v>
      </c>
      <c r="F841">
        <v>81.731731731731728</v>
      </c>
      <c r="G841">
        <v>5</v>
      </c>
    </row>
    <row r="842" spans="1:7" x14ac:dyDescent="0.25">
      <c r="A842">
        <v>818</v>
      </c>
      <c r="B842">
        <v>2.9937174690323225</v>
      </c>
      <c r="C842">
        <v>2.0062825309676775</v>
      </c>
      <c r="D842">
        <v>1.4302207511381635</v>
      </c>
      <c r="F842">
        <v>81.831831831831835</v>
      </c>
      <c r="G842">
        <v>5</v>
      </c>
    </row>
    <row r="843" spans="1:7" x14ac:dyDescent="0.25">
      <c r="A843">
        <v>819</v>
      </c>
      <c r="B843">
        <v>3.0095755762575549</v>
      </c>
      <c r="C843">
        <v>-9.5755762575548964E-3</v>
      </c>
      <c r="D843">
        <v>-6.8261511807389437E-3</v>
      </c>
      <c r="F843">
        <v>81.931931931931928</v>
      </c>
      <c r="G843">
        <v>5</v>
      </c>
    </row>
    <row r="844" spans="1:7" x14ac:dyDescent="0.25">
      <c r="A844">
        <v>820</v>
      </c>
      <c r="B844">
        <v>2.9977819418925713</v>
      </c>
      <c r="C844">
        <v>2.0022180581074287</v>
      </c>
      <c r="D844">
        <v>1.4273233060687684</v>
      </c>
      <c r="F844">
        <v>82.032032032032035</v>
      </c>
      <c r="G844">
        <v>5</v>
      </c>
    </row>
    <row r="845" spans="1:7" x14ac:dyDescent="0.25">
      <c r="A845">
        <v>821</v>
      </c>
      <c r="B845">
        <v>2.9972488962715551</v>
      </c>
      <c r="C845">
        <v>2.7511037284448925E-3</v>
      </c>
      <c r="D845">
        <v>1.9611822264422869E-3</v>
      </c>
      <c r="F845">
        <v>82.132132132132128</v>
      </c>
      <c r="G845">
        <v>5</v>
      </c>
    </row>
    <row r="846" spans="1:7" x14ac:dyDescent="0.25">
      <c r="A846">
        <v>822</v>
      </c>
      <c r="B846">
        <v>2.9971822655689278</v>
      </c>
      <c r="C846">
        <v>1.0028177344310722</v>
      </c>
      <c r="D846">
        <v>0.71487973964509699</v>
      </c>
      <c r="F846">
        <v>82.232232232232235</v>
      </c>
      <c r="G846">
        <v>5</v>
      </c>
    </row>
    <row r="847" spans="1:7" x14ac:dyDescent="0.25">
      <c r="A847">
        <v>823</v>
      </c>
      <c r="B847">
        <v>2.9936508383296956</v>
      </c>
      <c r="C847">
        <v>1.0063491616703044</v>
      </c>
      <c r="D847">
        <v>0.71739719191850548</v>
      </c>
      <c r="F847">
        <v>82.332332332332328</v>
      </c>
      <c r="G847">
        <v>5</v>
      </c>
    </row>
    <row r="848" spans="1:7" x14ac:dyDescent="0.25">
      <c r="A848">
        <v>824</v>
      </c>
      <c r="B848">
        <v>3.0175712605727982</v>
      </c>
      <c r="C848">
        <v>0.98242873942720177</v>
      </c>
      <c r="D848">
        <v>0.7003450151986238</v>
      </c>
      <c r="F848">
        <v>82.432432432432435</v>
      </c>
      <c r="G848">
        <v>5</v>
      </c>
    </row>
    <row r="849" spans="1:7" x14ac:dyDescent="0.25">
      <c r="A849">
        <v>825</v>
      </c>
      <c r="B849">
        <v>3.0149060324677173</v>
      </c>
      <c r="C849">
        <v>-1.4906032467717267E-2</v>
      </c>
      <c r="D849">
        <v>-1.0626079140601312E-2</v>
      </c>
      <c r="F849">
        <v>82.532532532532528</v>
      </c>
      <c r="G849">
        <v>5</v>
      </c>
    </row>
    <row r="850" spans="1:7" x14ac:dyDescent="0.25">
      <c r="A850">
        <v>826</v>
      </c>
      <c r="B850">
        <v>2.9981150954057063</v>
      </c>
      <c r="C850">
        <v>1.8849045942936904E-3</v>
      </c>
      <c r="D850">
        <v>1.3436939329647829E-3</v>
      </c>
      <c r="F850">
        <v>82.632632632632635</v>
      </c>
      <c r="G850">
        <v>5</v>
      </c>
    </row>
    <row r="851" spans="1:7" x14ac:dyDescent="0.25">
      <c r="A851">
        <v>827</v>
      </c>
      <c r="B851">
        <v>3.0109081903100954</v>
      </c>
      <c r="C851">
        <v>0.98909180968990462</v>
      </c>
      <c r="D851">
        <v>0.70509492514845173</v>
      </c>
      <c r="F851">
        <v>82.732732732732728</v>
      </c>
      <c r="G851">
        <v>5</v>
      </c>
    </row>
    <row r="852" spans="1:7" x14ac:dyDescent="0.25">
      <c r="A852">
        <v>828</v>
      </c>
      <c r="B852">
        <v>3.0024460910764632</v>
      </c>
      <c r="C852">
        <v>1.9975539089235368</v>
      </c>
      <c r="D852">
        <v>1.4239983691038891</v>
      </c>
      <c r="F852">
        <v>82.832832832832835</v>
      </c>
      <c r="G852">
        <v>5</v>
      </c>
    </row>
    <row r="853" spans="1:7" x14ac:dyDescent="0.25">
      <c r="A853">
        <v>829</v>
      </c>
      <c r="B853">
        <v>3.0131736341994144</v>
      </c>
      <c r="C853">
        <v>0.98682636580058558</v>
      </c>
      <c r="D853">
        <v>0.70347995576551015</v>
      </c>
      <c r="F853">
        <v>82.932932932932928</v>
      </c>
      <c r="G853">
        <v>5</v>
      </c>
    </row>
    <row r="854" spans="1:7" x14ac:dyDescent="0.25">
      <c r="A854">
        <v>830</v>
      </c>
      <c r="B854">
        <v>2.9978485725951982</v>
      </c>
      <c r="C854">
        <v>2.0021514274048018</v>
      </c>
      <c r="D854">
        <v>1.4272758069692701</v>
      </c>
      <c r="F854">
        <v>83.033033033033036</v>
      </c>
      <c r="G854">
        <v>5</v>
      </c>
    </row>
    <row r="855" spans="1:7" x14ac:dyDescent="0.25">
      <c r="A855">
        <v>831</v>
      </c>
      <c r="B855">
        <v>2.9945170374638468</v>
      </c>
      <c r="C855">
        <v>-1.9945170374638468</v>
      </c>
      <c r="D855">
        <v>-1.4218334713324405</v>
      </c>
      <c r="F855">
        <v>83.133133133133128</v>
      </c>
      <c r="G855">
        <v>5</v>
      </c>
    </row>
    <row r="856" spans="1:7" x14ac:dyDescent="0.25">
      <c r="A856">
        <v>832</v>
      </c>
      <c r="B856">
        <v>3.0001140164845173</v>
      </c>
      <c r="C856">
        <v>-1.1401648451725421E-4</v>
      </c>
      <c r="D856">
        <v>-8.1279051983644703E-5</v>
      </c>
      <c r="F856">
        <v>83.233233233233236</v>
      </c>
      <c r="G856">
        <v>5</v>
      </c>
    </row>
    <row r="857" spans="1:7" x14ac:dyDescent="0.25">
      <c r="A857">
        <v>833</v>
      </c>
      <c r="B857">
        <v>3.0105084060943335</v>
      </c>
      <c r="C857">
        <v>-1.0508406094333456E-2</v>
      </c>
      <c r="D857">
        <v>-7.4911385737149614E-3</v>
      </c>
      <c r="F857">
        <v>83.333333333333329</v>
      </c>
      <c r="G857">
        <v>5</v>
      </c>
    </row>
    <row r="858" spans="1:7" x14ac:dyDescent="0.25">
      <c r="A858">
        <v>834</v>
      </c>
      <c r="B858">
        <v>3.0113746052284847</v>
      </c>
      <c r="C858">
        <v>-1.1374605228484658E-2</v>
      </c>
      <c r="D858">
        <v>-8.1086268671924661E-3</v>
      </c>
      <c r="F858">
        <v>83.433433433433436</v>
      </c>
      <c r="G858">
        <v>5</v>
      </c>
    </row>
    <row r="859" spans="1:7" x14ac:dyDescent="0.25">
      <c r="A859">
        <v>835</v>
      </c>
      <c r="B859">
        <v>3.0152391859808523</v>
      </c>
      <c r="C859">
        <v>0.98476081401914772</v>
      </c>
      <c r="D859">
        <v>0.70200748368106358</v>
      </c>
      <c r="F859">
        <v>83.533533533533529</v>
      </c>
      <c r="G859">
        <v>5</v>
      </c>
    </row>
    <row r="860" spans="1:7" x14ac:dyDescent="0.25">
      <c r="A860">
        <v>836</v>
      </c>
      <c r="B860">
        <v>3.0083762236102682</v>
      </c>
      <c r="C860">
        <v>-8.3762236102682408E-3</v>
      </c>
      <c r="D860">
        <v>-5.9711673897698244E-3</v>
      </c>
      <c r="F860">
        <v>83.633633633633636</v>
      </c>
      <c r="G860">
        <v>5</v>
      </c>
    </row>
    <row r="861" spans="1:7" x14ac:dyDescent="0.25">
      <c r="A861">
        <v>837</v>
      </c>
      <c r="B861">
        <v>3.0165718000333928</v>
      </c>
      <c r="C861">
        <v>1.9834281999666072</v>
      </c>
      <c r="D861">
        <v>1.4139285600102542</v>
      </c>
      <c r="F861">
        <v>83.733733733733729</v>
      </c>
      <c r="G861">
        <v>5</v>
      </c>
    </row>
    <row r="862" spans="1:7" x14ac:dyDescent="0.25">
      <c r="A862">
        <v>838</v>
      </c>
      <c r="B862">
        <v>3.0060441490183223</v>
      </c>
      <c r="C862">
        <v>-2.0060441490183223</v>
      </c>
      <c r="D862">
        <v>-1.4300508155456424</v>
      </c>
      <c r="F862">
        <v>83.833833833833836</v>
      </c>
      <c r="G862">
        <v>5</v>
      </c>
    </row>
    <row r="863" spans="1:7" x14ac:dyDescent="0.25">
      <c r="A863">
        <v>839</v>
      </c>
      <c r="B863">
        <v>3.007176870962982</v>
      </c>
      <c r="C863">
        <v>-7.1768709629820293E-3</v>
      </c>
      <c r="D863">
        <v>-5.1161835988010208E-3</v>
      </c>
      <c r="F863">
        <v>83.933933933933929</v>
      </c>
      <c r="G863">
        <v>5</v>
      </c>
    </row>
    <row r="864" spans="1:7" x14ac:dyDescent="0.25">
      <c r="A864">
        <v>840</v>
      </c>
      <c r="B864">
        <v>3.0060441490183223</v>
      </c>
      <c r="C864">
        <v>-2.0060441490183223</v>
      </c>
      <c r="D864">
        <v>-1.4300508155456424</v>
      </c>
      <c r="F864">
        <v>84.034034034034036</v>
      </c>
      <c r="G864">
        <v>5</v>
      </c>
    </row>
    <row r="865" spans="1:7" x14ac:dyDescent="0.25">
      <c r="A865">
        <v>841</v>
      </c>
      <c r="B865">
        <v>3.0073767630708632</v>
      </c>
      <c r="C865">
        <v>-2.0073767630708632</v>
      </c>
      <c r="D865">
        <v>-1.4310007975356083</v>
      </c>
      <c r="F865">
        <v>84.134134134134129</v>
      </c>
      <c r="G865">
        <v>5</v>
      </c>
    </row>
    <row r="866" spans="1:7" x14ac:dyDescent="0.25">
      <c r="A866">
        <v>842</v>
      </c>
      <c r="B866">
        <v>3.0109081903100954</v>
      </c>
      <c r="C866">
        <v>-2.0109081903100954</v>
      </c>
      <c r="D866">
        <v>-1.4335182498090169</v>
      </c>
      <c r="F866">
        <v>84.234234234234236</v>
      </c>
      <c r="G866">
        <v>5</v>
      </c>
    </row>
    <row r="867" spans="1:7" x14ac:dyDescent="0.25">
      <c r="A867">
        <v>843</v>
      </c>
      <c r="B867">
        <v>2.9946502988691011</v>
      </c>
      <c r="C867">
        <v>-0.99465029886910106</v>
      </c>
      <c r="D867">
        <v>-0.70905741121228105</v>
      </c>
      <c r="F867">
        <v>84.334334334334329</v>
      </c>
      <c r="G867">
        <v>5</v>
      </c>
    </row>
    <row r="868" spans="1:7" x14ac:dyDescent="0.25">
      <c r="A868">
        <v>844</v>
      </c>
      <c r="B868">
        <v>2.9938507304375763</v>
      </c>
      <c r="C868">
        <v>2.0061492695624237</v>
      </c>
      <c r="D868">
        <v>1.4301257529391671</v>
      </c>
      <c r="F868">
        <v>84.434434434434436</v>
      </c>
      <c r="G868">
        <v>5</v>
      </c>
    </row>
    <row r="869" spans="1:7" x14ac:dyDescent="0.25">
      <c r="A869">
        <v>845</v>
      </c>
      <c r="B869">
        <v>3.0061107797209496</v>
      </c>
      <c r="C869">
        <v>0.99388922027905036</v>
      </c>
      <c r="D869">
        <v>0.70851486031232758</v>
      </c>
      <c r="F869">
        <v>84.534534534534529</v>
      </c>
      <c r="G869">
        <v>5</v>
      </c>
    </row>
    <row r="870" spans="1:7" x14ac:dyDescent="0.25">
      <c r="A870">
        <v>846</v>
      </c>
      <c r="B870">
        <v>3.0055777340999335</v>
      </c>
      <c r="C870">
        <v>1.9944222659000665</v>
      </c>
      <c r="D870">
        <v>1.4217659114274699</v>
      </c>
      <c r="F870">
        <v>84.634634634634637</v>
      </c>
      <c r="G870">
        <v>5</v>
      </c>
    </row>
    <row r="871" spans="1:7" x14ac:dyDescent="0.25">
      <c r="A871">
        <v>847</v>
      </c>
      <c r="B871">
        <v>3.0126405885783982</v>
      </c>
      <c r="C871">
        <v>0.98735941142160177</v>
      </c>
      <c r="D871">
        <v>0.70385994856149636</v>
      </c>
      <c r="F871">
        <v>84.734734734734729</v>
      </c>
      <c r="G871">
        <v>5</v>
      </c>
    </row>
    <row r="872" spans="1:7" x14ac:dyDescent="0.25">
      <c r="A872">
        <v>848</v>
      </c>
      <c r="B872">
        <v>3.0179710447885602</v>
      </c>
      <c r="C872">
        <v>-1.7971044788560153E-2</v>
      </c>
      <c r="D872">
        <v>-1.2811037717521833E-2</v>
      </c>
      <c r="F872">
        <v>84.834834834834837</v>
      </c>
      <c r="G872">
        <v>5</v>
      </c>
    </row>
    <row r="873" spans="1:7" x14ac:dyDescent="0.25">
      <c r="A873">
        <v>849</v>
      </c>
      <c r="B873">
        <v>3.014772771062463</v>
      </c>
      <c r="C873">
        <v>-1.014772771062463</v>
      </c>
      <c r="D873">
        <v>-0.7234021392607608</v>
      </c>
      <c r="F873">
        <v>84.93493493493493</v>
      </c>
      <c r="G873">
        <v>5</v>
      </c>
    </row>
    <row r="874" spans="1:7" x14ac:dyDescent="0.25">
      <c r="A874">
        <v>850</v>
      </c>
      <c r="B874">
        <v>3.0088426385286575</v>
      </c>
      <c r="C874">
        <v>-1.0088426385286575</v>
      </c>
      <c r="D874">
        <v>-0.719174719405414</v>
      </c>
      <c r="F874">
        <v>85.035035035035037</v>
      </c>
      <c r="G874">
        <v>5</v>
      </c>
    </row>
    <row r="875" spans="1:7" x14ac:dyDescent="0.25">
      <c r="A875">
        <v>851</v>
      </c>
      <c r="B875">
        <v>3.0162386465202577</v>
      </c>
      <c r="C875">
        <v>-1.0162386465202577</v>
      </c>
      <c r="D875">
        <v>-0.72444711944972295</v>
      </c>
      <c r="F875">
        <v>85.13513513513513</v>
      </c>
      <c r="G875">
        <v>5</v>
      </c>
    </row>
    <row r="876" spans="1:7" x14ac:dyDescent="0.25">
      <c r="A876">
        <v>852</v>
      </c>
      <c r="B876">
        <v>3.0163052772228847</v>
      </c>
      <c r="C876">
        <v>0.98369472277711534</v>
      </c>
      <c r="D876">
        <v>0.70124749808909115</v>
      </c>
      <c r="F876">
        <v>85.235235235235237</v>
      </c>
      <c r="G876">
        <v>5</v>
      </c>
    </row>
    <row r="877" spans="1:7" x14ac:dyDescent="0.25">
      <c r="A877">
        <v>853</v>
      </c>
      <c r="B877">
        <v>3.0133068956046682</v>
      </c>
      <c r="C877">
        <v>-2.0133068956046682</v>
      </c>
      <c r="D877">
        <v>-1.4352282173909547</v>
      </c>
      <c r="F877">
        <v>85.33533533533533</v>
      </c>
      <c r="G877">
        <v>5</v>
      </c>
    </row>
    <row r="878" spans="1:7" x14ac:dyDescent="0.25">
      <c r="A878">
        <v>854</v>
      </c>
      <c r="B878">
        <v>3.0167716921412739</v>
      </c>
      <c r="C878">
        <v>-1.0167716921412739</v>
      </c>
      <c r="D878">
        <v>-0.72482711224570917</v>
      </c>
      <c r="F878">
        <v>85.435435435435437</v>
      </c>
      <c r="G878">
        <v>5</v>
      </c>
    </row>
    <row r="879" spans="1:7" x14ac:dyDescent="0.25">
      <c r="A879">
        <v>855</v>
      </c>
      <c r="B879">
        <v>3.0079764393945063</v>
      </c>
      <c r="C879">
        <v>-2.0079764393945063</v>
      </c>
      <c r="D879">
        <v>-1.4314282894310928</v>
      </c>
      <c r="F879">
        <v>85.535535535535544</v>
      </c>
      <c r="G879">
        <v>5</v>
      </c>
    </row>
    <row r="880" spans="1:7" x14ac:dyDescent="0.25">
      <c r="A880">
        <v>856</v>
      </c>
      <c r="B880">
        <v>3.0011801077265496</v>
      </c>
      <c r="C880">
        <v>0.99881989227345036</v>
      </c>
      <c r="D880">
        <v>0.71202979367520014</v>
      </c>
      <c r="F880">
        <v>85.635635635635637</v>
      </c>
      <c r="G880">
        <v>5</v>
      </c>
    </row>
    <row r="881" spans="1:7" x14ac:dyDescent="0.25">
      <c r="A881">
        <v>857</v>
      </c>
      <c r="B881">
        <v>3.0053112112894254</v>
      </c>
      <c r="C881">
        <v>0.99468878871057465</v>
      </c>
      <c r="D881">
        <v>0.7090848495063069</v>
      </c>
      <c r="F881">
        <v>85.735735735735744</v>
      </c>
      <c r="G881">
        <v>5</v>
      </c>
    </row>
    <row r="882" spans="1:7" x14ac:dyDescent="0.25">
      <c r="A882">
        <v>858</v>
      </c>
      <c r="B882">
        <v>2.9951833444901172</v>
      </c>
      <c r="C882">
        <v>1.0048166555098828</v>
      </c>
      <c r="D882">
        <v>0.71630471263004514</v>
      </c>
      <c r="F882">
        <v>85.835835835835837</v>
      </c>
      <c r="G882">
        <v>5</v>
      </c>
    </row>
    <row r="883" spans="1:7" x14ac:dyDescent="0.25">
      <c r="A883">
        <v>859</v>
      </c>
      <c r="B883">
        <v>3.0133735263072956</v>
      </c>
      <c r="C883">
        <v>-2.0133735263072956</v>
      </c>
      <c r="D883">
        <v>-1.4352757164904533</v>
      </c>
      <c r="F883">
        <v>85.935935935935944</v>
      </c>
      <c r="G883">
        <v>5</v>
      </c>
    </row>
    <row r="884" spans="1:7" x14ac:dyDescent="0.25">
      <c r="A884">
        <v>860</v>
      </c>
      <c r="B884">
        <v>2.9954498673006253</v>
      </c>
      <c r="C884">
        <v>4.5501326993746538E-3</v>
      </c>
      <c r="D884">
        <v>3.2436579128958085E-3</v>
      </c>
      <c r="F884">
        <v>86.036036036036037</v>
      </c>
      <c r="G884">
        <v>5</v>
      </c>
    </row>
    <row r="885" spans="1:7" x14ac:dyDescent="0.25">
      <c r="A885">
        <v>861</v>
      </c>
      <c r="B885">
        <v>3.0033789209132413</v>
      </c>
      <c r="C885">
        <v>0.99662107908675868</v>
      </c>
      <c r="D885">
        <v>0.71046232339175708</v>
      </c>
      <c r="F885">
        <v>86.136136136136145</v>
      </c>
      <c r="G885">
        <v>5</v>
      </c>
    </row>
    <row r="886" spans="1:7" x14ac:dyDescent="0.25">
      <c r="A886">
        <v>862</v>
      </c>
      <c r="B886">
        <v>3.0117743894442466</v>
      </c>
      <c r="C886">
        <v>-1.0117743894442466</v>
      </c>
      <c r="D886">
        <v>-0.72126467978333819</v>
      </c>
      <c r="F886">
        <v>86.236236236236238</v>
      </c>
      <c r="G886">
        <v>5</v>
      </c>
    </row>
    <row r="887" spans="1:7" x14ac:dyDescent="0.25">
      <c r="A887">
        <v>863</v>
      </c>
      <c r="B887">
        <v>3.0039119665342575</v>
      </c>
      <c r="C887">
        <v>0.99608803346574248</v>
      </c>
      <c r="D887">
        <v>0.71008233059577086</v>
      </c>
      <c r="F887">
        <v>86.336336336336345</v>
      </c>
      <c r="G887">
        <v>5</v>
      </c>
    </row>
    <row r="888" spans="1:7" x14ac:dyDescent="0.25">
      <c r="A888">
        <v>864</v>
      </c>
      <c r="B888">
        <v>2.9955164980032523</v>
      </c>
      <c r="C888">
        <v>-0.99551649800325226</v>
      </c>
      <c r="D888">
        <v>-0.70967489950575857</v>
      </c>
      <c r="F888">
        <v>86.436436436436438</v>
      </c>
      <c r="G888">
        <v>5</v>
      </c>
    </row>
    <row r="889" spans="1:7" x14ac:dyDescent="0.25">
      <c r="A889">
        <v>865</v>
      </c>
      <c r="B889">
        <v>3.0177711526806794</v>
      </c>
      <c r="C889">
        <v>-2.0177711526806794</v>
      </c>
      <c r="D889">
        <v>-1.4384106570573396</v>
      </c>
      <c r="F889">
        <v>86.536536536536545</v>
      </c>
      <c r="G889">
        <v>5</v>
      </c>
    </row>
    <row r="890" spans="1:7" x14ac:dyDescent="0.25">
      <c r="A890">
        <v>866</v>
      </c>
      <c r="B890">
        <v>2.9937840997349494</v>
      </c>
      <c r="C890">
        <v>-1.9937840997349494</v>
      </c>
      <c r="D890">
        <v>-1.4213109812379594</v>
      </c>
      <c r="F890">
        <v>86.636636636636638</v>
      </c>
      <c r="G890">
        <v>5</v>
      </c>
    </row>
    <row r="891" spans="1:7" x14ac:dyDescent="0.25">
      <c r="A891">
        <v>867</v>
      </c>
      <c r="B891">
        <v>3.0041784893447656</v>
      </c>
      <c r="C891">
        <v>-1.0041784893447656</v>
      </c>
      <c r="D891">
        <v>-0.71584978244053454</v>
      </c>
      <c r="F891">
        <v>86.736736736736745</v>
      </c>
      <c r="G891">
        <v>5</v>
      </c>
    </row>
    <row r="892" spans="1:7" x14ac:dyDescent="0.25">
      <c r="A892">
        <v>868</v>
      </c>
      <c r="B892">
        <v>3.0031790288053601</v>
      </c>
      <c r="C892">
        <v>0.99682097119463986</v>
      </c>
      <c r="D892">
        <v>0.71060482069025199</v>
      </c>
      <c r="F892">
        <v>86.836836836836838</v>
      </c>
      <c r="G892">
        <v>5</v>
      </c>
    </row>
    <row r="893" spans="1:7" x14ac:dyDescent="0.25">
      <c r="A893">
        <v>869</v>
      </c>
      <c r="B893">
        <v>3.0120409122547547</v>
      </c>
      <c r="C893">
        <v>-2.0120409122547547</v>
      </c>
      <c r="D893">
        <v>-1.4343257345004874</v>
      </c>
      <c r="F893">
        <v>86.936936936936945</v>
      </c>
      <c r="G893">
        <v>5</v>
      </c>
    </row>
    <row r="894" spans="1:7" x14ac:dyDescent="0.25">
      <c r="A894">
        <v>870</v>
      </c>
      <c r="B894">
        <v>3.0005138007002792</v>
      </c>
      <c r="C894">
        <v>-1.0005138007002792</v>
      </c>
      <c r="D894">
        <v>-0.71323733196812933</v>
      </c>
      <c r="F894">
        <v>87.037037037037038</v>
      </c>
      <c r="G894">
        <v>5</v>
      </c>
    </row>
    <row r="895" spans="1:7" x14ac:dyDescent="0.25">
      <c r="A895">
        <v>871</v>
      </c>
      <c r="B895">
        <v>2.9945836681664737</v>
      </c>
      <c r="C895">
        <v>1.0054163318335263</v>
      </c>
      <c r="D895">
        <v>0.71673220452552977</v>
      </c>
      <c r="F895">
        <v>87.137137137137145</v>
      </c>
      <c r="G895">
        <v>5</v>
      </c>
    </row>
    <row r="896" spans="1:7" x14ac:dyDescent="0.25">
      <c r="A896">
        <v>872</v>
      </c>
      <c r="B896">
        <v>2.9988480331346037</v>
      </c>
      <c r="C896">
        <v>1.1519668653963144E-3</v>
      </c>
      <c r="D896">
        <v>8.2120383848367166E-4</v>
      </c>
      <c r="F896">
        <v>87.237237237237238</v>
      </c>
      <c r="G896">
        <v>5</v>
      </c>
    </row>
    <row r="897" spans="1:7" x14ac:dyDescent="0.25">
      <c r="A897">
        <v>873</v>
      </c>
      <c r="B897">
        <v>3.0150392938729711</v>
      </c>
      <c r="C897">
        <v>-2.0150392938729711</v>
      </c>
      <c r="D897">
        <v>-1.43646319397791</v>
      </c>
      <c r="F897">
        <v>87.337337337337345</v>
      </c>
      <c r="G897">
        <v>5</v>
      </c>
    </row>
    <row r="898" spans="1:7" x14ac:dyDescent="0.25">
      <c r="A898">
        <v>874</v>
      </c>
      <c r="B898">
        <v>3.0069103481524739</v>
      </c>
      <c r="C898">
        <v>1.9930896518475261</v>
      </c>
      <c r="D898">
        <v>1.4208159294375045</v>
      </c>
      <c r="F898">
        <v>87.437437437437438</v>
      </c>
      <c r="G898">
        <v>5</v>
      </c>
    </row>
    <row r="899" spans="1:7" x14ac:dyDescent="0.25">
      <c r="A899">
        <v>875</v>
      </c>
      <c r="B899">
        <v>3.0072435016656089</v>
      </c>
      <c r="C899">
        <v>0.99275649833439106</v>
      </c>
      <c r="D899">
        <v>0.70770737562085695</v>
      </c>
      <c r="F899">
        <v>87.537537537537546</v>
      </c>
      <c r="G899">
        <v>5</v>
      </c>
    </row>
    <row r="900" spans="1:7" x14ac:dyDescent="0.25">
      <c r="A900">
        <v>876</v>
      </c>
      <c r="B900">
        <v>3.0026459831843439</v>
      </c>
      <c r="C900">
        <v>1.9973540168156561</v>
      </c>
      <c r="D900">
        <v>1.4238558718053944</v>
      </c>
      <c r="F900">
        <v>87.637637637637638</v>
      </c>
      <c r="G900">
        <v>5</v>
      </c>
    </row>
    <row r="901" spans="1:7" x14ac:dyDescent="0.25">
      <c r="A901">
        <v>877</v>
      </c>
      <c r="B901">
        <v>3.0179710447885602</v>
      </c>
      <c r="C901">
        <v>-1.0179710447885602</v>
      </c>
      <c r="D901">
        <v>-0.72568209603667799</v>
      </c>
      <c r="F901">
        <v>87.737737737737746</v>
      </c>
      <c r="G901">
        <v>5</v>
      </c>
    </row>
    <row r="902" spans="1:7" x14ac:dyDescent="0.25">
      <c r="A902">
        <v>878</v>
      </c>
      <c r="B902">
        <v>3.0083762236102682</v>
      </c>
      <c r="C902">
        <v>-1.0083762236102682</v>
      </c>
      <c r="D902">
        <v>-0.71884222570892597</v>
      </c>
      <c r="F902">
        <v>87.837837837837839</v>
      </c>
      <c r="G902">
        <v>5</v>
      </c>
    </row>
    <row r="903" spans="1:7" x14ac:dyDescent="0.25">
      <c r="A903">
        <v>879</v>
      </c>
      <c r="B903">
        <v>3.0086427464207763</v>
      </c>
      <c r="C903">
        <v>1.9913572535792237</v>
      </c>
      <c r="D903">
        <v>1.4195809528505494</v>
      </c>
      <c r="F903">
        <v>87.937937937937946</v>
      </c>
      <c r="G903">
        <v>5</v>
      </c>
    </row>
    <row r="904" spans="1:7" x14ac:dyDescent="0.25">
      <c r="A904">
        <v>880</v>
      </c>
      <c r="B904">
        <v>3.0083095929076413</v>
      </c>
      <c r="C904">
        <v>-8.3095929076413277E-3</v>
      </c>
      <c r="D904">
        <v>-5.9236682902716279E-3</v>
      </c>
      <c r="F904">
        <v>88.038038038038039</v>
      </c>
      <c r="G904">
        <v>5</v>
      </c>
    </row>
    <row r="905" spans="1:7" x14ac:dyDescent="0.25">
      <c r="A905">
        <v>881</v>
      </c>
      <c r="B905">
        <v>2.9935842076270682</v>
      </c>
      <c r="C905">
        <v>-0.99358420762706823</v>
      </c>
      <c r="D905">
        <v>-0.7082974256203084</v>
      </c>
      <c r="F905">
        <v>88.138138138138146</v>
      </c>
      <c r="G905">
        <v>5</v>
      </c>
    </row>
    <row r="906" spans="1:7" x14ac:dyDescent="0.25">
      <c r="A906">
        <v>882</v>
      </c>
      <c r="B906">
        <v>3.0073767630708632</v>
      </c>
      <c r="C906">
        <v>-1.0073767630708632</v>
      </c>
      <c r="D906">
        <v>-0.71812973921645207</v>
      </c>
      <c r="F906">
        <v>88.238238238238239</v>
      </c>
      <c r="G906">
        <v>5</v>
      </c>
    </row>
    <row r="907" spans="1:7" x14ac:dyDescent="0.25">
      <c r="A907">
        <v>883</v>
      </c>
      <c r="B907">
        <v>3.0012467384291766</v>
      </c>
      <c r="C907">
        <v>-1.2467384291765526E-3</v>
      </c>
      <c r="D907">
        <v>-8.8876374345425138E-4</v>
      </c>
      <c r="F907">
        <v>88.338338338338346</v>
      </c>
      <c r="G907">
        <v>5</v>
      </c>
    </row>
    <row r="908" spans="1:7" x14ac:dyDescent="0.25">
      <c r="A908">
        <v>884</v>
      </c>
      <c r="B908">
        <v>3.0086427464207763</v>
      </c>
      <c r="C908">
        <v>-1.0086427464207763</v>
      </c>
      <c r="D908">
        <v>-0.71903222210691908</v>
      </c>
      <c r="F908">
        <v>88.438438438438439</v>
      </c>
      <c r="G908">
        <v>5</v>
      </c>
    </row>
    <row r="909" spans="1:7" x14ac:dyDescent="0.25">
      <c r="A909">
        <v>885</v>
      </c>
      <c r="B909">
        <v>3.0131070034967875</v>
      </c>
      <c r="C909">
        <v>1.9868929965032125</v>
      </c>
      <c r="D909">
        <v>1.4163985131841645</v>
      </c>
      <c r="F909">
        <v>88.538538538538546</v>
      </c>
      <c r="G909">
        <v>5</v>
      </c>
    </row>
    <row r="910" spans="1:7" x14ac:dyDescent="0.25">
      <c r="A910">
        <v>886</v>
      </c>
      <c r="B910">
        <v>3.0091757920417925</v>
      </c>
      <c r="C910">
        <v>0.99082420795820747</v>
      </c>
      <c r="D910">
        <v>0.70632990173540711</v>
      </c>
      <c r="F910">
        <v>88.638638638638639</v>
      </c>
      <c r="G910">
        <v>5</v>
      </c>
    </row>
    <row r="911" spans="1:7" x14ac:dyDescent="0.25">
      <c r="A911">
        <v>887</v>
      </c>
      <c r="B911">
        <v>3.0134401570099225</v>
      </c>
      <c r="C911">
        <v>-1.0134401570099225</v>
      </c>
      <c r="D911">
        <v>-0.72245215727079526</v>
      </c>
      <c r="F911">
        <v>88.738738738738746</v>
      </c>
      <c r="G911">
        <v>5</v>
      </c>
    </row>
    <row r="912" spans="1:7" x14ac:dyDescent="0.25">
      <c r="A912">
        <v>888</v>
      </c>
      <c r="B912">
        <v>3.0154390780887335</v>
      </c>
      <c r="C912">
        <v>-1.543907808873346E-2</v>
      </c>
      <c r="D912">
        <v>-1.1006071936587517E-2</v>
      </c>
      <c r="F912">
        <v>88.838838838838839</v>
      </c>
      <c r="G912">
        <v>5</v>
      </c>
    </row>
    <row r="913" spans="1:7" x14ac:dyDescent="0.25">
      <c r="A913">
        <v>889</v>
      </c>
      <c r="B913">
        <v>2.9966492199479116</v>
      </c>
      <c r="C913">
        <v>-0.99664921994791156</v>
      </c>
      <c r="D913">
        <v>-0.7104823841972292</v>
      </c>
      <c r="F913">
        <v>88.938938938938946</v>
      </c>
      <c r="G913">
        <v>5</v>
      </c>
    </row>
    <row r="914" spans="1:7" x14ac:dyDescent="0.25">
      <c r="A914">
        <v>890</v>
      </c>
      <c r="B914">
        <v>3.0143063561440737</v>
      </c>
      <c r="C914">
        <v>-1.4306356144073717E-2</v>
      </c>
      <c r="D914">
        <v>-1.0198587245116594E-2</v>
      </c>
      <c r="F914">
        <v>89.039039039039039</v>
      </c>
      <c r="G914">
        <v>5</v>
      </c>
    </row>
    <row r="915" spans="1:7" x14ac:dyDescent="0.25">
      <c r="A915">
        <v>891</v>
      </c>
      <c r="B915">
        <v>3.0041784893447656</v>
      </c>
      <c r="C915">
        <v>-2.0041784893447656</v>
      </c>
      <c r="D915">
        <v>-1.4287208407596907</v>
      </c>
      <c r="F915">
        <v>89.139139139139147</v>
      </c>
      <c r="G915">
        <v>5</v>
      </c>
    </row>
    <row r="916" spans="1:7" x14ac:dyDescent="0.25">
      <c r="A916">
        <v>892</v>
      </c>
      <c r="B916">
        <v>3.000313908592398</v>
      </c>
      <c r="C916">
        <v>-3.139085923979934E-4</v>
      </c>
      <c r="D916">
        <v>-2.2377635047823418E-4</v>
      </c>
      <c r="F916">
        <v>89.23923923923924</v>
      </c>
      <c r="G916">
        <v>5</v>
      </c>
    </row>
    <row r="917" spans="1:7" x14ac:dyDescent="0.25">
      <c r="A917">
        <v>893</v>
      </c>
      <c r="B917">
        <v>3.0011134770239223</v>
      </c>
      <c r="C917">
        <v>-1.1134770239222824E-3</v>
      </c>
      <c r="D917">
        <v>-7.9376554445754186E-4</v>
      </c>
      <c r="F917">
        <v>89.339339339339347</v>
      </c>
      <c r="G917">
        <v>5</v>
      </c>
    </row>
    <row r="918" spans="1:7" x14ac:dyDescent="0.25">
      <c r="A918">
        <v>894</v>
      </c>
      <c r="B918">
        <v>2.9975820497846901</v>
      </c>
      <c r="C918">
        <v>1.0024179502153099</v>
      </c>
      <c r="D918">
        <v>0.71459474504810716</v>
      </c>
      <c r="F918">
        <v>89.43943943943944</v>
      </c>
      <c r="G918">
        <v>5</v>
      </c>
    </row>
    <row r="919" spans="1:7" x14ac:dyDescent="0.25">
      <c r="A919">
        <v>895</v>
      </c>
      <c r="B919">
        <v>2.9983149875135875</v>
      </c>
      <c r="C919">
        <v>1.6850124864125071E-3</v>
      </c>
      <c r="D919">
        <v>1.2011966344698767E-3</v>
      </c>
      <c r="F919">
        <v>89.539539539539547</v>
      </c>
      <c r="G919">
        <v>5</v>
      </c>
    </row>
    <row r="920" spans="1:7" x14ac:dyDescent="0.25">
      <c r="A920">
        <v>896</v>
      </c>
      <c r="B920">
        <v>2.999647601566128</v>
      </c>
      <c r="C920">
        <v>-1.999647601566128</v>
      </c>
      <c r="D920">
        <v>-1.425490901993808</v>
      </c>
      <c r="F920">
        <v>89.63963963963964</v>
      </c>
      <c r="G920">
        <v>5</v>
      </c>
    </row>
    <row r="921" spans="1:7" x14ac:dyDescent="0.25">
      <c r="A921">
        <v>897</v>
      </c>
      <c r="B921">
        <v>2.9995809708635011</v>
      </c>
      <c r="C921">
        <v>-1.9995809708635011</v>
      </c>
      <c r="D921">
        <v>-1.4254434028943097</v>
      </c>
      <c r="F921">
        <v>89.739739739739747</v>
      </c>
      <c r="G921">
        <v>5</v>
      </c>
    </row>
    <row r="922" spans="1:7" x14ac:dyDescent="0.25">
      <c r="A922">
        <v>898</v>
      </c>
      <c r="B922">
        <v>3.0060441490183223</v>
      </c>
      <c r="C922">
        <v>1.9939558509816777</v>
      </c>
      <c r="D922">
        <v>1.4214334177309822</v>
      </c>
      <c r="F922">
        <v>89.83983983983984</v>
      </c>
      <c r="G922">
        <v>5</v>
      </c>
    </row>
    <row r="923" spans="1:7" x14ac:dyDescent="0.25">
      <c r="A923">
        <v>899</v>
      </c>
      <c r="B923">
        <v>3.0007803235107873</v>
      </c>
      <c r="C923">
        <v>1.9992196764892127</v>
      </c>
      <c r="D923">
        <v>1.4251858465913461</v>
      </c>
      <c r="F923">
        <v>89.939939939939947</v>
      </c>
      <c r="G923">
        <v>5</v>
      </c>
    </row>
    <row r="924" spans="1:7" x14ac:dyDescent="0.25">
      <c r="A924">
        <v>900</v>
      </c>
      <c r="B924">
        <v>3.0129071113889063</v>
      </c>
      <c r="C924">
        <v>-1.0129071113889063</v>
      </c>
      <c r="D924">
        <v>-0.72207216447480904</v>
      </c>
      <c r="F924">
        <v>90.04004004004004</v>
      </c>
      <c r="G924">
        <v>5</v>
      </c>
    </row>
    <row r="925" spans="1:7" x14ac:dyDescent="0.25">
      <c r="A925">
        <v>901</v>
      </c>
      <c r="B925">
        <v>3.0023794603738359</v>
      </c>
      <c r="C925">
        <v>0.99762053962616415</v>
      </c>
      <c r="D925">
        <v>0.71117480988423132</v>
      </c>
      <c r="F925">
        <v>90.140140140140147</v>
      </c>
      <c r="G925">
        <v>5</v>
      </c>
    </row>
    <row r="926" spans="1:7" x14ac:dyDescent="0.25">
      <c r="A926">
        <v>902</v>
      </c>
      <c r="B926">
        <v>3.0115744973363658</v>
      </c>
      <c r="C926">
        <v>-1.1574497336365841E-2</v>
      </c>
      <c r="D926">
        <v>-8.2511241656873721E-3</v>
      </c>
      <c r="F926">
        <v>90.24024024024024</v>
      </c>
      <c r="G926">
        <v>5</v>
      </c>
    </row>
    <row r="927" spans="1:7" x14ac:dyDescent="0.25">
      <c r="A927">
        <v>903</v>
      </c>
      <c r="B927">
        <v>3.017437999167544</v>
      </c>
      <c r="C927">
        <v>-2.017437999167544</v>
      </c>
      <c r="D927">
        <v>-1.4381731615598481</v>
      </c>
      <c r="F927">
        <v>90.340340340340347</v>
      </c>
      <c r="G927">
        <v>5</v>
      </c>
    </row>
    <row r="928" spans="1:7" x14ac:dyDescent="0.25">
      <c r="A928">
        <v>904</v>
      </c>
      <c r="B928">
        <v>3.0040452279395118</v>
      </c>
      <c r="C928">
        <v>-2.0040452279395118</v>
      </c>
      <c r="D928">
        <v>-1.4286258425606944</v>
      </c>
      <c r="F928">
        <v>90.44044044044044</v>
      </c>
      <c r="G928">
        <v>5</v>
      </c>
    </row>
    <row r="929" spans="1:7" x14ac:dyDescent="0.25">
      <c r="A929">
        <v>905</v>
      </c>
      <c r="B929">
        <v>3.0037120744263763</v>
      </c>
      <c r="C929">
        <v>0.99628792557362367</v>
      </c>
      <c r="D929">
        <v>0.71022482789426578</v>
      </c>
      <c r="F929">
        <v>90.540540540540547</v>
      </c>
      <c r="G929">
        <v>5</v>
      </c>
    </row>
    <row r="930" spans="1:7" x14ac:dyDescent="0.25">
      <c r="A930">
        <v>906</v>
      </c>
      <c r="B930">
        <v>3.0157056008992416</v>
      </c>
      <c r="C930">
        <v>-1.5705600899241556E-2</v>
      </c>
      <c r="D930">
        <v>-1.119606833458062E-2</v>
      </c>
      <c r="F930">
        <v>90.64064064064064</v>
      </c>
      <c r="G930">
        <v>5</v>
      </c>
    </row>
    <row r="931" spans="1:7" x14ac:dyDescent="0.25">
      <c r="A931">
        <v>907</v>
      </c>
      <c r="B931">
        <v>2.9964493278400304</v>
      </c>
      <c r="C931">
        <v>3.5506721599696256E-3</v>
      </c>
      <c r="D931">
        <v>2.5311714204219113E-3</v>
      </c>
      <c r="F931">
        <v>90.740740740740748</v>
      </c>
      <c r="G931">
        <v>5</v>
      </c>
    </row>
    <row r="932" spans="1:7" x14ac:dyDescent="0.25">
      <c r="A932">
        <v>908</v>
      </c>
      <c r="B932">
        <v>3.0056443648025604</v>
      </c>
      <c r="C932">
        <v>-1.0056443648025604</v>
      </c>
      <c r="D932">
        <v>-0.71689476262949681</v>
      </c>
      <c r="F932">
        <v>90.840840840840841</v>
      </c>
      <c r="G932">
        <v>5</v>
      </c>
    </row>
    <row r="933" spans="1:7" x14ac:dyDescent="0.25">
      <c r="A933">
        <v>909</v>
      </c>
      <c r="B933">
        <v>3.0043783814526468</v>
      </c>
      <c r="C933">
        <v>-2.0043783814526468</v>
      </c>
      <c r="D933">
        <v>-1.4288633380581857</v>
      </c>
      <c r="F933">
        <v>90.940940940940948</v>
      </c>
      <c r="G933">
        <v>5</v>
      </c>
    </row>
    <row r="934" spans="1:7" x14ac:dyDescent="0.25">
      <c r="A934">
        <v>910</v>
      </c>
      <c r="B934">
        <v>2.9992478173503656</v>
      </c>
      <c r="C934">
        <v>1.0007521826496344</v>
      </c>
      <c r="D934">
        <v>0.71340726756065032</v>
      </c>
      <c r="F934">
        <v>91.041041041041041</v>
      </c>
      <c r="G934">
        <v>5</v>
      </c>
    </row>
    <row r="935" spans="1:7" x14ac:dyDescent="0.25">
      <c r="A935">
        <v>911</v>
      </c>
      <c r="B935">
        <v>3.0173047377622901</v>
      </c>
      <c r="C935">
        <v>1.9826952622377099</v>
      </c>
      <c r="D935">
        <v>1.4134060699157731</v>
      </c>
      <c r="F935">
        <v>91.141141141141148</v>
      </c>
      <c r="G935">
        <v>5</v>
      </c>
    </row>
    <row r="936" spans="1:7" x14ac:dyDescent="0.25">
      <c r="A936">
        <v>912</v>
      </c>
      <c r="B936">
        <v>3.0030457674001063</v>
      </c>
      <c r="C936">
        <v>0.99695423259989369</v>
      </c>
      <c r="D936">
        <v>0.71069981888924838</v>
      </c>
      <c r="F936">
        <v>91.241241241241241</v>
      </c>
      <c r="G936">
        <v>5</v>
      </c>
    </row>
    <row r="937" spans="1:7" x14ac:dyDescent="0.25">
      <c r="A937">
        <v>913</v>
      </c>
      <c r="B937">
        <v>3.0028458752922251</v>
      </c>
      <c r="C937">
        <v>-2.8458752922251307E-3</v>
      </c>
      <c r="D937">
        <v>-2.0287421314128667E-3</v>
      </c>
      <c r="F937">
        <v>91.341341341341348</v>
      </c>
      <c r="G937">
        <v>5</v>
      </c>
    </row>
    <row r="938" spans="1:7" x14ac:dyDescent="0.25">
      <c r="A938">
        <v>914</v>
      </c>
      <c r="B938">
        <v>2.9937840997349494</v>
      </c>
      <c r="C938">
        <v>2.0062159002650506</v>
      </c>
      <c r="D938">
        <v>1.4301732520386654</v>
      </c>
      <c r="F938">
        <v>91.441441441441441</v>
      </c>
      <c r="G938">
        <v>5</v>
      </c>
    </row>
    <row r="939" spans="1:7" x14ac:dyDescent="0.25">
      <c r="A939">
        <v>915</v>
      </c>
      <c r="B939">
        <v>3.0149726631703442</v>
      </c>
      <c r="C939">
        <v>0.98502733682965582</v>
      </c>
      <c r="D939">
        <v>0.70219748007905669</v>
      </c>
      <c r="F939">
        <v>91.541541541541548</v>
      </c>
      <c r="G939">
        <v>5</v>
      </c>
    </row>
    <row r="940" spans="1:7" x14ac:dyDescent="0.25">
      <c r="A940">
        <v>916</v>
      </c>
      <c r="B940">
        <v>3.0077099165839982</v>
      </c>
      <c r="C940">
        <v>1.9922900834160018</v>
      </c>
      <c r="D940">
        <v>1.4202459402435252</v>
      </c>
      <c r="F940">
        <v>91.641641641641641</v>
      </c>
      <c r="G940">
        <v>5</v>
      </c>
    </row>
    <row r="941" spans="1:7" x14ac:dyDescent="0.25">
      <c r="A941">
        <v>917</v>
      </c>
      <c r="B941">
        <v>3.004578273560528</v>
      </c>
      <c r="C941">
        <v>-2.004578273560528</v>
      </c>
      <c r="D941">
        <v>-1.4290058353566806</v>
      </c>
      <c r="F941">
        <v>91.741741741741748</v>
      </c>
      <c r="G941">
        <v>5</v>
      </c>
    </row>
    <row r="942" spans="1:7" x14ac:dyDescent="0.25">
      <c r="A942">
        <v>918</v>
      </c>
      <c r="B942">
        <v>2.9959162822190142</v>
      </c>
      <c r="C942">
        <v>4.0837177809858183E-3</v>
      </c>
      <c r="D942">
        <v>2.9111642164081162E-3</v>
      </c>
      <c r="F942">
        <v>91.841841841841841</v>
      </c>
      <c r="G942">
        <v>5</v>
      </c>
    </row>
    <row r="943" spans="1:7" x14ac:dyDescent="0.25">
      <c r="A943">
        <v>919</v>
      </c>
      <c r="B943">
        <v>3.0115078666337385</v>
      </c>
      <c r="C943">
        <v>-1.1507866633738484E-2</v>
      </c>
      <c r="D943">
        <v>-8.2036250661888591E-3</v>
      </c>
      <c r="F943">
        <v>91.941941941941948</v>
      </c>
      <c r="G943">
        <v>5</v>
      </c>
    </row>
    <row r="944" spans="1:7" x14ac:dyDescent="0.25">
      <c r="A944">
        <v>920</v>
      </c>
      <c r="B944">
        <v>3.0141730947388199</v>
      </c>
      <c r="C944">
        <v>0.98582690526118011</v>
      </c>
      <c r="D944">
        <v>0.70276746927303602</v>
      </c>
      <c r="F944">
        <v>92.042042042042041</v>
      </c>
      <c r="G944">
        <v>5</v>
      </c>
    </row>
    <row r="945" spans="1:7" x14ac:dyDescent="0.25">
      <c r="A945">
        <v>921</v>
      </c>
      <c r="B945">
        <v>2.9997142322687549</v>
      </c>
      <c r="C945">
        <v>2.0002857677312451</v>
      </c>
      <c r="D945">
        <v>1.4259458321833185</v>
      </c>
      <c r="F945">
        <v>92.142142142142148</v>
      </c>
      <c r="G945">
        <v>5</v>
      </c>
    </row>
    <row r="946" spans="1:7" x14ac:dyDescent="0.25">
      <c r="A946">
        <v>922</v>
      </c>
      <c r="B946">
        <v>3.0153058166834792</v>
      </c>
      <c r="C946">
        <v>1.9846941833165208</v>
      </c>
      <c r="D946">
        <v>1.4148310429007216</v>
      </c>
      <c r="F946">
        <v>92.242242242242241</v>
      </c>
      <c r="G946">
        <v>5</v>
      </c>
    </row>
    <row r="947" spans="1:7" x14ac:dyDescent="0.25">
      <c r="A947">
        <v>923</v>
      </c>
      <c r="B947">
        <v>3.0109081903100954</v>
      </c>
      <c r="C947">
        <v>-1.0109081903100954</v>
      </c>
      <c r="D947">
        <v>-0.72064719148986067</v>
      </c>
      <c r="F947">
        <v>92.342342342342349</v>
      </c>
      <c r="G947">
        <v>5</v>
      </c>
    </row>
    <row r="948" spans="1:7" x14ac:dyDescent="0.25">
      <c r="A948">
        <v>924</v>
      </c>
      <c r="B948">
        <v>2.9964493278400304</v>
      </c>
      <c r="C948">
        <v>3.5506721599696256E-3</v>
      </c>
      <c r="D948">
        <v>2.5311714204219113E-3</v>
      </c>
      <c r="F948">
        <v>92.442442442442442</v>
      </c>
      <c r="G948">
        <v>5</v>
      </c>
    </row>
    <row r="949" spans="1:7" x14ac:dyDescent="0.25">
      <c r="A949">
        <v>925</v>
      </c>
      <c r="B949">
        <v>2.9982483568109601</v>
      </c>
      <c r="C949">
        <v>1.7516431890398643E-3</v>
      </c>
      <c r="D949">
        <v>1.2486957339683897E-3</v>
      </c>
      <c r="F949">
        <v>92.542542542542549</v>
      </c>
      <c r="G949">
        <v>5</v>
      </c>
    </row>
    <row r="950" spans="1:7" x14ac:dyDescent="0.25">
      <c r="A950">
        <v>926</v>
      </c>
      <c r="B950">
        <v>3.0091757920417925</v>
      </c>
      <c r="C950">
        <v>-2.0091757920417925</v>
      </c>
      <c r="D950">
        <v>-1.4322832732220614</v>
      </c>
      <c r="F950">
        <v>92.642642642642642</v>
      </c>
      <c r="G950">
        <v>5</v>
      </c>
    </row>
    <row r="951" spans="1:7" x14ac:dyDescent="0.25">
      <c r="A951">
        <v>927</v>
      </c>
      <c r="B951">
        <v>3.0015132612396846</v>
      </c>
      <c r="C951">
        <v>-1.513261239684649E-3</v>
      </c>
      <c r="D951">
        <v>-1.0787601414473541E-3</v>
      </c>
      <c r="F951">
        <v>92.742742742742749</v>
      </c>
      <c r="G951">
        <v>5</v>
      </c>
    </row>
    <row r="952" spans="1:7" x14ac:dyDescent="0.25">
      <c r="A952">
        <v>928</v>
      </c>
      <c r="B952">
        <v>3.0111747131206035</v>
      </c>
      <c r="C952">
        <v>1.9888252868793965</v>
      </c>
      <c r="D952">
        <v>1.4177759870696147</v>
      </c>
      <c r="F952">
        <v>92.842842842842842</v>
      </c>
      <c r="G952">
        <v>5</v>
      </c>
    </row>
    <row r="953" spans="1:7" x14ac:dyDescent="0.25">
      <c r="A953">
        <v>929</v>
      </c>
      <c r="B953">
        <v>2.9957163901111334</v>
      </c>
      <c r="C953">
        <v>1.0042836098888666</v>
      </c>
      <c r="D953">
        <v>0.71592471983405892</v>
      </c>
      <c r="F953">
        <v>92.942942942942949</v>
      </c>
      <c r="G953">
        <v>5</v>
      </c>
    </row>
    <row r="954" spans="1:7" x14ac:dyDescent="0.25">
      <c r="A954">
        <v>930</v>
      </c>
      <c r="B954">
        <v>3.0176378912754251</v>
      </c>
      <c r="C954">
        <v>1.9823621087245749</v>
      </c>
      <c r="D954">
        <v>1.4131685744182818</v>
      </c>
      <c r="F954">
        <v>93.043043043043042</v>
      </c>
      <c r="G954">
        <v>5</v>
      </c>
    </row>
    <row r="955" spans="1:7" x14ac:dyDescent="0.25">
      <c r="A955">
        <v>931</v>
      </c>
      <c r="B955">
        <v>3.0166384307360197</v>
      </c>
      <c r="C955">
        <v>-1.6638430736019671E-2</v>
      </c>
      <c r="D955">
        <v>-1.186105572755632E-2</v>
      </c>
      <c r="F955">
        <v>93.143143143143149</v>
      </c>
      <c r="G955">
        <v>5</v>
      </c>
    </row>
    <row r="956" spans="1:7" x14ac:dyDescent="0.25">
      <c r="A956">
        <v>932</v>
      </c>
      <c r="B956">
        <v>2.9963826971374035</v>
      </c>
      <c r="C956">
        <v>1.0036173028625965</v>
      </c>
      <c r="D956">
        <v>0.71544972883907632</v>
      </c>
      <c r="F956">
        <v>93.243243243243242</v>
      </c>
      <c r="G956">
        <v>5</v>
      </c>
    </row>
    <row r="957" spans="1:7" x14ac:dyDescent="0.25">
      <c r="A957">
        <v>933</v>
      </c>
      <c r="B957">
        <v>2.9991145559451118</v>
      </c>
      <c r="C957">
        <v>-0.99911455594511178</v>
      </c>
      <c r="D957">
        <v>-0.71223985087866559</v>
      </c>
      <c r="F957">
        <v>93.343343343343349</v>
      </c>
      <c r="G957">
        <v>5</v>
      </c>
    </row>
    <row r="958" spans="1:7" x14ac:dyDescent="0.25">
      <c r="A958">
        <v>934</v>
      </c>
      <c r="B958">
        <v>3.0077765472866251</v>
      </c>
      <c r="C958">
        <v>-1.0077765472866251</v>
      </c>
      <c r="D958">
        <v>-0.71841473381344156</v>
      </c>
      <c r="F958">
        <v>93.443443443443442</v>
      </c>
      <c r="G958">
        <v>5</v>
      </c>
    </row>
    <row r="959" spans="1:7" x14ac:dyDescent="0.25">
      <c r="A959">
        <v>935</v>
      </c>
      <c r="B959">
        <v>3.0104417753917061</v>
      </c>
      <c r="C959">
        <v>1.9895582246082939</v>
      </c>
      <c r="D959">
        <v>1.4182984771640958</v>
      </c>
      <c r="F959">
        <v>93.543543543543549</v>
      </c>
      <c r="G959">
        <v>5</v>
      </c>
    </row>
    <row r="960" spans="1:7" x14ac:dyDescent="0.25">
      <c r="A960">
        <v>936</v>
      </c>
      <c r="B960">
        <v>3.0069103481524739</v>
      </c>
      <c r="C960">
        <v>-2.0069103481524739</v>
      </c>
      <c r="D960">
        <v>-1.4306683038391204</v>
      </c>
      <c r="F960">
        <v>93.643643643643642</v>
      </c>
      <c r="G960">
        <v>5</v>
      </c>
    </row>
    <row r="961" spans="1:7" x14ac:dyDescent="0.25">
      <c r="A961">
        <v>937</v>
      </c>
      <c r="B961">
        <v>2.9937840997349494</v>
      </c>
      <c r="C961">
        <v>6.215900265050589E-3</v>
      </c>
      <c r="D961">
        <v>4.4311354003529367E-3</v>
      </c>
      <c r="F961">
        <v>93.74374374374375</v>
      </c>
      <c r="G961">
        <v>5</v>
      </c>
    </row>
    <row r="962" spans="1:7" x14ac:dyDescent="0.25">
      <c r="A962">
        <v>938</v>
      </c>
      <c r="B962">
        <v>3.0053778419920523</v>
      </c>
      <c r="C962">
        <v>0.99462215800794773</v>
      </c>
      <c r="D962">
        <v>0.70903735040680871</v>
      </c>
      <c r="F962">
        <v>93.843843843843842</v>
      </c>
      <c r="G962">
        <v>5</v>
      </c>
    </row>
    <row r="963" spans="1:7" x14ac:dyDescent="0.25">
      <c r="A963">
        <v>939</v>
      </c>
      <c r="B963">
        <v>3.0179710447885602</v>
      </c>
      <c r="C963">
        <v>-1.7971044788560153E-2</v>
      </c>
      <c r="D963">
        <v>-1.2811037717521833E-2</v>
      </c>
      <c r="F963">
        <v>93.94394394394395</v>
      </c>
      <c r="G963">
        <v>5</v>
      </c>
    </row>
    <row r="964" spans="1:7" x14ac:dyDescent="0.25">
      <c r="A964">
        <v>940</v>
      </c>
      <c r="B964">
        <v>3.0016465226449385</v>
      </c>
      <c r="C964">
        <v>1.9983534773550615</v>
      </c>
      <c r="D964">
        <v>1.4245683582978685</v>
      </c>
      <c r="F964">
        <v>94.044044044044043</v>
      </c>
      <c r="G964">
        <v>5</v>
      </c>
    </row>
    <row r="965" spans="1:7" x14ac:dyDescent="0.25">
      <c r="A965">
        <v>941</v>
      </c>
      <c r="B965">
        <v>3.0070436095577278</v>
      </c>
      <c r="C965">
        <v>-2.0070436095577278</v>
      </c>
      <c r="D965">
        <v>-1.4307633020381167</v>
      </c>
      <c r="F965">
        <v>94.14414414414415</v>
      </c>
      <c r="G965">
        <v>5</v>
      </c>
    </row>
    <row r="966" spans="1:7" x14ac:dyDescent="0.25">
      <c r="A966">
        <v>942</v>
      </c>
      <c r="B966">
        <v>3.0165718000333928</v>
      </c>
      <c r="C966">
        <v>-2.0165718000333928</v>
      </c>
      <c r="D966">
        <v>-1.4375556732663706</v>
      </c>
      <c r="F966">
        <v>94.244244244244243</v>
      </c>
      <c r="G966">
        <v>5</v>
      </c>
    </row>
    <row r="967" spans="1:7" x14ac:dyDescent="0.25">
      <c r="A967">
        <v>943</v>
      </c>
      <c r="B967">
        <v>3.002912505994852</v>
      </c>
      <c r="C967">
        <v>1.997087494005148</v>
      </c>
      <c r="D967">
        <v>1.4236658754074014</v>
      </c>
      <c r="F967">
        <v>94.34434434434435</v>
      </c>
      <c r="G967">
        <v>5</v>
      </c>
    </row>
    <row r="968" spans="1:7" x14ac:dyDescent="0.25">
      <c r="A968">
        <v>944</v>
      </c>
      <c r="B968">
        <v>3.0165051693307658</v>
      </c>
      <c r="C968">
        <v>-1.6505169330765845E-2</v>
      </c>
      <c r="D968">
        <v>-1.1766057528559927E-2</v>
      </c>
      <c r="F968">
        <v>94.444444444444443</v>
      </c>
      <c r="G968">
        <v>5</v>
      </c>
    </row>
    <row r="969" spans="1:7" x14ac:dyDescent="0.25">
      <c r="A969">
        <v>945</v>
      </c>
      <c r="B969">
        <v>2.9953166058953711</v>
      </c>
      <c r="C969">
        <v>1.0046833941046289</v>
      </c>
      <c r="D969">
        <v>0.71620971443104875</v>
      </c>
      <c r="F969">
        <v>94.54454454454455</v>
      </c>
      <c r="G969">
        <v>5</v>
      </c>
    </row>
    <row r="970" spans="1:7" x14ac:dyDescent="0.25">
      <c r="A970">
        <v>946</v>
      </c>
      <c r="B970">
        <v>3.0155723394939873</v>
      </c>
      <c r="C970">
        <v>-1.5572339493987286E-2</v>
      </c>
      <c r="D970">
        <v>-1.110107013558391E-2</v>
      </c>
      <c r="F970">
        <v>94.644644644644643</v>
      </c>
      <c r="G970">
        <v>5</v>
      </c>
    </row>
    <row r="971" spans="1:7" x14ac:dyDescent="0.25">
      <c r="A971">
        <v>947</v>
      </c>
      <c r="B971">
        <v>3.0158388623044954</v>
      </c>
      <c r="C971">
        <v>-1.5838862304495382E-2</v>
      </c>
      <c r="D971">
        <v>-1.1291066533577013E-2</v>
      </c>
      <c r="F971">
        <v>94.74474474474475</v>
      </c>
      <c r="G971">
        <v>5</v>
      </c>
    </row>
    <row r="972" spans="1:7" x14ac:dyDescent="0.25">
      <c r="A972">
        <v>948</v>
      </c>
      <c r="B972">
        <v>3.0033789209132413</v>
      </c>
      <c r="C972">
        <v>-2.0033789209132413</v>
      </c>
      <c r="D972">
        <v>-1.4281508515657115</v>
      </c>
      <c r="F972">
        <v>94.844844844844843</v>
      </c>
      <c r="G972">
        <v>5</v>
      </c>
    </row>
    <row r="973" spans="1:7" x14ac:dyDescent="0.25">
      <c r="A973">
        <v>949</v>
      </c>
      <c r="B973">
        <v>3.0025127217790901</v>
      </c>
      <c r="C973">
        <v>0.99748727822090988</v>
      </c>
      <c r="D973">
        <v>0.7110798116852346</v>
      </c>
      <c r="F973">
        <v>94.94494494494495</v>
      </c>
      <c r="G973">
        <v>5</v>
      </c>
    </row>
    <row r="974" spans="1:7" x14ac:dyDescent="0.25">
      <c r="A974">
        <v>950</v>
      </c>
      <c r="B974">
        <v>3.0076432858813713</v>
      </c>
      <c r="C974">
        <v>-7.6432858813713089E-3</v>
      </c>
      <c r="D974">
        <v>-5.4486772952890292E-3</v>
      </c>
      <c r="F974">
        <v>95.045045045045043</v>
      </c>
      <c r="G974">
        <v>5</v>
      </c>
    </row>
    <row r="975" spans="1:7" x14ac:dyDescent="0.25">
      <c r="A975">
        <v>951</v>
      </c>
      <c r="B975">
        <v>3.007576655178744</v>
      </c>
      <c r="C975">
        <v>-2.007576655178744</v>
      </c>
      <c r="D975">
        <v>-1.431143294834103</v>
      </c>
      <c r="F975">
        <v>95.14514514514515</v>
      </c>
      <c r="G975">
        <v>5</v>
      </c>
    </row>
    <row r="976" spans="1:7" x14ac:dyDescent="0.25">
      <c r="A976">
        <v>952</v>
      </c>
      <c r="B976">
        <v>3.0062440411262035</v>
      </c>
      <c r="C976">
        <v>-6.2440411262034701E-3</v>
      </c>
      <c r="D976">
        <v>-4.4511962058250039E-3</v>
      </c>
      <c r="F976">
        <v>95.245245245245243</v>
      </c>
      <c r="G976">
        <v>5</v>
      </c>
    </row>
    <row r="977" spans="1:7" x14ac:dyDescent="0.25">
      <c r="A977">
        <v>953</v>
      </c>
      <c r="B977">
        <v>2.9951833444901172</v>
      </c>
      <c r="C977">
        <v>-0.99518334449011725</v>
      </c>
      <c r="D977">
        <v>-0.70943740400826727</v>
      </c>
      <c r="F977">
        <v>95.345345345345351</v>
      </c>
      <c r="G977">
        <v>5</v>
      </c>
    </row>
    <row r="978" spans="1:7" x14ac:dyDescent="0.25">
      <c r="A978">
        <v>954</v>
      </c>
      <c r="B978">
        <v>3.0146395096572087</v>
      </c>
      <c r="C978">
        <v>1.9853604903427913</v>
      </c>
      <c r="D978">
        <v>1.4153060338957044</v>
      </c>
      <c r="F978">
        <v>95.445445445445444</v>
      </c>
      <c r="G978">
        <v>5</v>
      </c>
    </row>
    <row r="979" spans="1:7" x14ac:dyDescent="0.25">
      <c r="A979">
        <v>955</v>
      </c>
      <c r="B979">
        <v>2.9972488962715551</v>
      </c>
      <c r="C979">
        <v>2.0027511037284449</v>
      </c>
      <c r="D979">
        <v>1.4277032988647547</v>
      </c>
      <c r="F979">
        <v>95.545545545545551</v>
      </c>
      <c r="G979">
        <v>5</v>
      </c>
    </row>
    <row r="980" spans="1:7" x14ac:dyDescent="0.25">
      <c r="A980">
        <v>956</v>
      </c>
      <c r="B980">
        <v>3.0072435016656089</v>
      </c>
      <c r="C980">
        <v>-7.2435016656089424E-3</v>
      </c>
      <c r="D980">
        <v>-5.1636826982992172E-3</v>
      </c>
      <c r="F980">
        <v>95.645645645645644</v>
      </c>
      <c r="G980">
        <v>5</v>
      </c>
    </row>
    <row r="981" spans="1:7" x14ac:dyDescent="0.25">
      <c r="A981">
        <v>957</v>
      </c>
      <c r="B981">
        <v>3.0039785972368844</v>
      </c>
      <c r="C981">
        <v>0.99602140276311557</v>
      </c>
      <c r="D981">
        <v>0.71003483149627267</v>
      </c>
      <c r="F981">
        <v>95.745745745745751</v>
      </c>
      <c r="G981">
        <v>5</v>
      </c>
    </row>
    <row r="982" spans="1:7" x14ac:dyDescent="0.25">
      <c r="A982">
        <v>958</v>
      </c>
      <c r="B982">
        <v>3.0033789209132413</v>
      </c>
      <c r="C982">
        <v>-2.0033789209132413</v>
      </c>
      <c r="D982">
        <v>-1.4281508515657115</v>
      </c>
      <c r="F982">
        <v>95.845845845845844</v>
      </c>
      <c r="G982">
        <v>5</v>
      </c>
    </row>
    <row r="983" spans="1:7" x14ac:dyDescent="0.25">
      <c r="A983">
        <v>959</v>
      </c>
      <c r="B983">
        <v>3.0042451200473925</v>
      </c>
      <c r="C983">
        <v>1.9957548799526075</v>
      </c>
      <c r="D983">
        <v>1.4227158934174358</v>
      </c>
      <c r="F983">
        <v>95.945945945945951</v>
      </c>
      <c r="G983">
        <v>5</v>
      </c>
    </row>
    <row r="984" spans="1:7" x14ac:dyDescent="0.25">
      <c r="A984">
        <v>960</v>
      </c>
      <c r="B984">
        <v>2.9963160664347765</v>
      </c>
      <c r="C984">
        <v>2.0036839335652235</v>
      </c>
      <c r="D984">
        <v>1.4283682862577307</v>
      </c>
      <c r="F984">
        <v>96.046046046046044</v>
      </c>
      <c r="G984">
        <v>5</v>
      </c>
    </row>
    <row r="985" spans="1:7" x14ac:dyDescent="0.25">
      <c r="A985">
        <v>961</v>
      </c>
      <c r="B985">
        <v>3.0169049535465278</v>
      </c>
      <c r="C985">
        <v>-2.0169049535465278</v>
      </c>
      <c r="D985">
        <v>-1.4377931687638619</v>
      </c>
      <c r="F985">
        <v>96.146146146146151</v>
      </c>
      <c r="G985">
        <v>5</v>
      </c>
    </row>
    <row r="986" spans="1:7" x14ac:dyDescent="0.25">
      <c r="A986">
        <v>962</v>
      </c>
      <c r="B986">
        <v>3.0066438253419658</v>
      </c>
      <c r="C986">
        <v>-2.0066438253419658</v>
      </c>
      <c r="D986">
        <v>-1.4304783074411271</v>
      </c>
      <c r="F986">
        <v>96.246246246246244</v>
      </c>
      <c r="G986">
        <v>5</v>
      </c>
    </row>
    <row r="987" spans="1:7" x14ac:dyDescent="0.25">
      <c r="A987">
        <v>963</v>
      </c>
      <c r="B987">
        <v>3.0027792445895982</v>
      </c>
      <c r="C987">
        <v>-1.0027792445895982</v>
      </c>
      <c r="D987">
        <v>-0.71485230135107081</v>
      </c>
      <c r="F987">
        <v>96.346346346346351</v>
      </c>
      <c r="G987">
        <v>5</v>
      </c>
    </row>
    <row r="988" spans="1:7" x14ac:dyDescent="0.25">
      <c r="A988">
        <v>964</v>
      </c>
      <c r="B988">
        <v>2.9937174690323225</v>
      </c>
      <c r="C988">
        <v>1.0062825309676775</v>
      </c>
      <c r="D988">
        <v>0.71734969281900729</v>
      </c>
      <c r="F988">
        <v>96.446446446446444</v>
      </c>
      <c r="G988">
        <v>5</v>
      </c>
    </row>
    <row r="989" spans="1:7" x14ac:dyDescent="0.25">
      <c r="A989">
        <v>965</v>
      </c>
      <c r="B989">
        <v>3.0163719079255116</v>
      </c>
      <c r="C989">
        <v>-2.0163719079255116</v>
      </c>
      <c r="D989">
        <v>-1.4374131759678757</v>
      </c>
      <c r="F989">
        <v>96.546546546546551</v>
      </c>
      <c r="G989">
        <v>5</v>
      </c>
    </row>
    <row r="990" spans="1:7" x14ac:dyDescent="0.25">
      <c r="A990">
        <v>966</v>
      </c>
      <c r="B990">
        <v>3.0148394017650899</v>
      </c>
      <c r="C990">
        <v>-1.483940176508991E-2</v>
      </c>
      <c r="D990">
        <v>-1.0578580041102799E-2</v>
      </c>
      <c r="F990">
        <v>96.646646646646644</v>
      </c>
      <c r="G990">
        <v>5</v>
      </c>
    </row>
    <row r="991" spans="1:7" x14ac:dyDescent="0.25">
      <c r="A991">
        <v>967</v>
      </c>
      <c r="B991">
        <v>3.0093090534470468</v>
      </c>
      <c r="C991">
        <v>0.9906909465529532</v>
      </c>
      <c r="D991">
        <v>0.70623490353641039</v>
      </c>
      <c r="F991">
        <v>96.746746746746751</v>
      </c>
      <c r="G991">
        <v>5</v>
      </c>
    </row>
    <row r="992" spans="1:7" x14ac:dyDescent="0.25">
      <c r="A992">
        <v>968</v>
      </c>
      <c r="B992">
        <v>2.9961828050295223</v>
      </c>
      <c r="C992">
        <v>-1.9961828050295223</v>
      </c>
      <c r="D992">
        <v>-1.4230209488198973</v>
      </c>
      <c r="F992">
        <v>96.846846846846844</v>
      </c>
      <c r="G992">
        <v>5</v>
      </c>
    </row>
    <row r="993" spans="1:7" x14ac:dyDescent="0.25">
      <c r="A993">
        <v>969</v>
      </c>
      <c r="B993">
        <v>2.9941172532480844</v>
      </c>
      <c r="C993">
        <v>5.8827467519155796E-3</v>
      </c>
      <c r="D993">
        <v>4.1936399028616378E-3</v>
      </c>
      <c r="F993">
        <v>96.946946946946952</v>
      </c>
      <c r="G993">
        <v>5</v>
      </c>
    </row>
    <row r="994" spans="1:7" x14ac:dyDescent="0.25">
      <c r="A994">
        <v>970</v>
      </c>
      <c r="B994">
        <v>3.0067770867472197</v>
      </c>
      <c r="C994">
        <v>1.9932229132527803</v>
      </c>
      <c r="D994">
        <v>1.4209109276365011</v>
      </c>
      <c r="F994">
        <v>97.047047047047045</v>
      </c>
      <c r="G994">
        <v>5</v>
      </c>
    </row>
    <row r="995" spans="1:7" x14ac:dyDescent="0.25">
      <c r="A995">
        <v>971</v>
      </c>
      <c r="B995">
        <v>2.9991811866477387</v>
      </c>
      <c r="C995">
        <v>-0.99918118664773869</v>
      </c>
      <c r="D995">
        <v>-0.71228734997816379</v>
      </c>
      <c r="F995">
        <v>97.147147147147152</v>
      </c>
      <c r="G995">
        <v>5</v>
      </c>
    </row>
    <row r="996" spans="1:7" x14ac:dyDescent="0.25">
      <c r="A996">
        <v>972</v>
      </c>
      <c r="B996">
        <v>3.0089092692312844</v>
      </c>
      <c r="C996">
        <v>1.9910907307687156</v>
      </c>
      <c r="D996">
        <v>1.4193909564525564</v>
      </c>
      <c r="F996">
        <v>97.247247247247245</v>
      </c>
      <c r="G996">
        <v>5</v>
      </c>
    </row>
    <row r="997" spans="1:7" x14ac:dyDescent="0.25">
      <c r="A997">
        <v>973</v>
      </c>
      <c r="B997">
        <v>3.0069769788551008</v>
      </c>
      <c r="C997">
        <v>-6.976978855100846E-3</v>
      </c>
      <c r="D997">
        <v>-4.9736863003061148E-3</v>
      </c>
      <c r="F997">
        <v>97.347347347347352</v>
      </c>
      <c r="G997">
        <v>5</v>
      </c>
    </row>
    <row r="998" spans="1:7" x14ac:dyDescent="0.25">
      <c r="A998">
        <v>974</v>
      </c>
      <c r="B998">
        <v>3.0123074350652628</v>
      </c>
      <c r="C998">
        <v>1.9876925649347372</v>
      </c>
      <c r="D998">
        <v>1.4169685023781442</v>
      </c>
      <c r="F998">
        <v>97.447447447447445</v>
      </c>
      <c r="G998">
        <v>5</v>
      </c>
    </row>
    <row r="999" spans="1:7" x14ac:dyDescent="0.25">
      <c r="A999">
        <v>975</v>
      </c>
      <c r="B999">
        <v>3.0034455516158682</v>
      </c>
      <c r="C999">
        <v>0.99655444838413176</v>
      </c>
      <c r="D999">
        <v>0.71041482429225888</v>
      </c>
      <c r="F999">
        <v>97.547547547547552</v>
      </c>
      <c r="G999">
        <v>5</v>
      </c>
    </row>
    <row r="1000" spans="1:7" x14ac:dyDescent="0.25">
      <c r="A1000">
        <v>976</v>
      </c>
      <c r="B1000">
        <v>3.0127072192810251</v>
      </c>
      <c r="C1000">
        <v>1.9872927807189749</v>
      </c>
      <c r="D1000">
        <v>1.4166835077811544</v>
      </c>
      <c r="F1000">
        <v>97.647647647647645</v>
      </c>
      <c r="G1000">
        <v>5</v>
      </c>
    </row>
    <row r="1001" spans="1:7" x14ac:dyDescent="0.25">
      <c r="A1001">
        <v>977</v>
      </c>
      <c r="B1001">
        <v>3.0017131533475658</v>
      </c>
      <c r="C1001">
        <v>-1.7131533475658323E-3</v>
      </c>
      <c r="D1001">
        <v>-1.22125743994226E-3</v>
      </c>
      <c r="F1001">
        <v>97.747747747747752</v>
      </c>
      <c r="G1001">
        <v>5</v>
      </c>
    </row>
    <row r="1002" spans="1:7" x14ac:dyDescent="0.25">
      <c r="A1002">
        <v>978</v>
      </c>
      <c r="B1002">
        <v>3.0138399412256844</v>
      </c>
      <c r="C1002">
        <v>-1.0138399412256844</v>
      </c>
      <c r="D1002">
        <v>-0.72273715186778476</v>
      </c>
      <c r="F1002">
        <v>97.847847847847845</v>
      </c>
      <c r="G1002">
        <v>5</v>
      </c>
    </row>
    <row r="1003" spans="1:7" x14ac:dyDescent="0.25">
      <c r="A1003">
        <v>979</v>
      </c>
      <c r="B1003">
        <v>2.9940506225454575</v>
      </c>
      <c r="C1003">
        <v>1.0059493774545425</v>
      </c>
      <c r="D1003">
        <v>0.71711219732151599</v>
      </c>
      <c r="F1003">
        <v>97.947947947947952</v>
      </c>
      <c r="G1003">
        <v>5</v>
      </c>
    </row>
    <row r="1004" spans="1:7" x14ac:dyDescent="0.25">
      <c r="A1004">
        <v>980</v>
      </c>
      <c r="B1004">
        <v>2.9968491120557927</v>
      </c>
      <c r="C1004">
        <v>-1.9968491120557927</v>
      </c>
      <c r="D1004">
        <v>-1.4234959398148803</v>
      </c>
      <c r="F1004">
        <v>98.048048048048045</v>
      </c>
      <c r="G1004">
        <v>5</v>
      </c>
    </row>
    <row r="1005" spans="1:7" x14ac:dyDescent="0.25">
      <c r="A1005">
        <v>981</v>
      </c>
      <c r="B1005">
        <v>3.007576655178744</v>
      </c>
      <c r="C1005">
        <v>0.99242334482125605</v>
      </c>
      <c r="D1005">
        <v>0.70746988012336565</v>
      </c>
      <c r="F1005">
        <v>98.148148148148152</v>
      </c>
      <c r="G1005">
        <v>5</v>
      </c>
    </row>
    <row r="1006" spans="1:7" x14ac:dyDescent="0.25">
      <c r="A1006">
        <v>982</v>
      </c>
      <c r="B1006">
        <v>3.0051779498841711</v>
      </c>
      <c r="C1006">
        <v>-5.1779498841710847E-3</v>
      </c>
      <c r="D1006">
        <v>-3.6912106138525932E-3</v>
      </c>
      <c r="F1006">
        <v>98.248248248248245</v>
      </c>
      <c r="G1006">
        <v>5</v>
      </c>
    </row>
    <row r="1007" spans="1:7" x14ac:dyDescent="0.25">
      <c r="A1007">
        <v>983</v>
      </c>
      <c r="B1007">
        <v>2.9983816182162144</v>
      </c>
      <c r="C1007">
        <v>1.0016183817837856</v>
      </c>
      <c r="D1007">
        <v>0.71402475585412783</v>
      </c>
      <c r="F1007">
        <v>98.348348348348352</v>
      </c>
      <c r="G1007">
        <v>5</v>
      </c>
    </row>
    <row r="1008" spans="1:7" x14ac:dyDescent="0.25">
      <c r="A1008">
        <v>984</v>
      </c>
      <c r="B1008">
        <v>3.0121741736600089</v>
      </c>
      <c r="C1008">
        <v>-1.0121741736600089</v>
      </c>
      <c r="D1008">
        <v>-0.72154967438032791</v>
      </c>
      <c r="F1008">
        <v>98.448448448448445</v>
      </c>
      <c r="G1008">
        <v>5</v>
      </c>
    </row>
    <row r="1009" spans="1:7" x14ac:dyDescent="0.25">
      <c r="A1009">
        <v>985</v>
      </c>
      <c r="B1009">
        <v>3.0056443648025604</v>
      </c>
      <c r="C1009">
        <v>1.9943556351974396</v>
      </c>
      <c r="D1009">
        <v>1.4217184123279718</v>
      </c>
      <c r="F1009">
        <v>98.548548548548553</v>
      </c>
      <c r="G1009">
        <v>5</v>
      </c>
    </row>
    <row r="1010" spans="1:7" x14ac:dyDescent="0.25">
      <c r="A1010">
        <v>986</v>
      </c>
      <c r="B1010">
        <v>3.007510024476117</v>
      </c>
      <c r="C1010">
        <v>0.99248997552388296</v>
      </c>
      <c r="D1010">
        <v>0.70751737922286384</v>
      </c>
      <c r="F1010">
        <v>98.648648648648646</v>
      </c>
      <c r="G1010">
        <v>5</v>
      </c>
    </row>
    <row r="1011" spans="1:7" x14ac:dyDescent="0.25">
      <c r="A1011">
        <v>987</v>
      </c>
      <c r="B1011">
        <v>2.9941838839507118</v>
      </c>
      <c r="C1011">
        <v>-0.99418388395071178</v>
      </c>
      <c r="D1011">
        <v>-0.70872491751579303</v>
      </c>
      <c r="F1011">
        <v>98.748748748748753</v>
      </c>
      <c r="G1011">
        <v>5</v>
      </c>
    </row>
    <row r="1012" spans="1:7" x14ac:dyDescent="0.25">
      <c r="A1012">
        <v>988</v>
      </c>
      <c r="B1012">
        <v>3.0077765472866251</v>
      </c>
      <c r="C1012">
        <v>0.99222345271337486</v>
      </c>
      <c r="D1012">
        <v>0.70732738282487073</v>
      </c>
      <c r="F1012">
        <v>98.848848848848846</v>
      </c>
      <c r="G1012">
        <v>5</v>
      </c>
    </row>
    <row r="1013" spans="1:7" x14ac:dyDescent="0.25">
      <c r="A1013">
        <v>989</v>
      </c>
      <c r="B1013">
        <v>3.0113079745258577</v>
      </c>
      <c r="C1013">
        <v>-1.0113079745258577</v>
      </c>
      <c r="D1013">
        <v>-0.7209321860868505</v>
      </c>
      <c r="F1013">
        <v>98.948948948948953</v>
      </c>
      <c r="G1013">
        <v>5</v>
      </c>
    </row>
    <row r="1014" spans="1:7" x14ac:dyDescent="0.25">
      <c r="A1014">
        <v>990</v>
      </c>
      <c r="B1014">
        <v>3.0157056008992416</v>
      </c>
      <c r="C1014">
        <v>1.9842943991007584</v>
      </c>
      <c r="D1014">
        <v>1.4145460483037318</v>
      </c>
      <c r="F1014">
        <v>99.049049049049046</v>
      </c>
      <c r="G1014">
        <v>5</v>
      </c>
    </row>
    <row r="1015" spans="1:7" x14ac:dyDescent="0.25">
      <c r="A1015">
        <v>991</v>
      </c>
      <c r="B1015">
        <v>3.0129737420915332</v>
      </c>
      <c r="C1015">
        <v>-1.2973742091533236E-2</v>
      </c>
      <c r="D1015">
        <v>-9.2486052551510808E-3</v>
      </c>
      <c r="F1015">
        <v>99.149149149149153</v>
      </c>
      <c r="G1015">
        <v>5</v>
      </c>
    </row>
    <row r="1016" spans="1:7" x14ac:dyDescent="0.25">
      <c r="A1016">
        <v>992</v>
      </c>
      <c r="B1016">
        <v>2.9935175769244413</v>
      </c>
      <c r="C1016">
        <v>2.0064824230755587</v>
      </c>
      <c r="D1016">
        <v>1.4303632484366584</v>
      </c>
      <c r="F1016">
        <v>99.249249249249246</v>
      </c>
      <c r="G1016">
        <v>5</v>
      </c>
    </row>
    <row r="1017" spans="1:7" x14ac:dyDescent="0.25">
      <c r="A1017">
        <v>993</v>
      </c>
      <c r="B1017">
        <v>3.0079098086918794</v>
      </c>
      <c r="C1017">
        <v>0.99209019130812059</v>
      </c>
      <c r="D1017">
        <v>0.70723238462587401</v>
      </c>
      <c r="F1017">
        <v>99.349349349349353</v>
      </c>
      <c r="G1017">
        <v>5</v>
      </c>
    </row>
    <row r="1018" spans="1:7" x14ac:dyDescent="0.25">
      <c r="A1018">
        <v>994</v>
      </c>
      <c r="B1018">
        <v>2.9937174690323225</v>
      </c>
      <c r="C1018">
        <v>-0.9937174690323225</v>
      </c>
      <c r="D1018">
        <v>-0.70839242381930501</v>
      </c>
      <c r="F1018">
        <v>99.449449449449446</v>
      </c>
      <c r="G1018">
        <v>5</v>
      </c>
    </row>
    <row r="1019" spans="1:7" x14ac:dyDescent="0.25">
      <c r="A1019">
        <v>995</v>
      </c>
      <c r="B1019">
        <v>2.9937840997349494</v>
      </c>
      <c r="C1019">
        <v>-1.9937840997349494</v>
      </c>
      <c r="D1019">
        <v>-1.4213109812379594</v>
      </c>
      <c r="F1019">
        <v>99.549549549549553</v>
      </c>
      <c r="G1019">
        <v>5</v>
      </c>
    </row>
    <row r="1020" spans="1:7" x14ac:dyDescent="0.25">
      <c r="A1020">
        <v>996</v>
      </c>
      <c r="B1020">
        <v>2.9995143401608737</v>
      </c>
      <c r="C1020">
        <v>-1.9995143401608737</v>
      </c>
      <c r="D1020">
        <v>-1.4253959037948114</v>
      </c>
      <c r="F1020">
        <v>99.649649649649646</v>
      </c>
      <c r="G1020">
        <v>5</v>
      </c>
    </row>
    <row r="1021" spans="1:7" x14ac:dyDescent="0.25">
      <c r="A1021">
        <v>997</v>
      </c>
      <c r="B1021">
        <v>3.0129737420915332</v>
      </c>
      <c r="C1021">
        <v>1.9870262579084668</v>
      </c>
      <c r="D1021">
        <v>1.4164935113831614</v>
      </c>
      <c r="F1021">
        <v>99.749749749749753</v>
      </c>
      <c r="G1021">
        <v>5</v>
      </c>
    </row>
    <row r="1022" spans="1:7" x14ac:dyDescent="0.25">
      <c r="A1022">
        <v>998</v>
      </c>
      <c r="B1022">
        <v>2.9939173611402037</v>
      </c>
      <c r="C1022">
        <v>2.0060826388597963</v>
      </c>
      <c r="D1022">
        <v>1.4300782538396686</v>
      </c>
      <c r="F1022">
        <v>99.849849849849846</v>
      </c>
      <c r="G1022">
        <v>5</v>
      </c>
    </row>
    <row r="1023" spans="1:7" ht="15.75" thickBot="1" x14ac:dyDescent="0.3">
      <c r="A1023" s="22">
        <v>999</v>
      </c>
      <c r="B1023" s="22">
        <v>2.9954498673006253</v>
      </c>
      <c r="C1023" s="22">
        <v>-1.9954498673006253</v>
      </c>
      <c r="D1023" s="22">
        <v>-1.4224984587254166</v>
      </c>
      <c r="F1023" s="22">
        <v>99.949949949949954</v>
      </c>
      <c r="G1023" s="2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Descriptive</vt:lpstr>
      <vt:lpstr>Forcast</vt:lpstr>
      <vt:lpstr>Table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Zahid Choudhury</dc:creator>
  <cp:lastModifiedBy>Muhammad Zahid Choudhury</cp:lastModifiedBy>
  <dcterms:created xsi:type="dcterms:W3CDTF">2026-01-01T13:16:40Z</dcterms:created>
  <dcterms:modified xsi:type="dcterms:W3CDTF">2026-01-02T19:49:11Z</dcterms:modified>
</cp:coreProperties>
</file>