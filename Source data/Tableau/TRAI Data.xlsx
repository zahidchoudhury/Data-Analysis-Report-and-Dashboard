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admin\Desktop\Telecom Industry TRAI India Nov 2025\"/>
    </mc:Choice>
  </mc:AlternateContent>
  <xr:revisionPtr revIDLastSave="0" documentId="8_{DE4E567D-C10E-4818-86C8-5562589CA11A}" xr6:coauthVersionLast="47" xr6:coauthVersionMax="47" xr10:uidLastSave="{00000000-0000-0000-0000-000000000000}"/>
  <bookViews>
    <workbookView xWindow="-120" yWindow="-120" windowWidth="20640" windowHeight="11160" activeTab="2" xr2:uid="{2A7ADFFB-0E65-42D6-910B-8BF28D1B27E2}"/>
  </bookViews>
  <sheets>
    <sheet name="Fixed Wireless urb" sheetId="14" r:id="rId1"/>
    <sheet name="Fixed Wireless 5g" sheetId="13" r:id="rId2"/>
    <sheet name="Port" sheetId="9" r:id="rId3"/>
    <sheet name="Table017 (Page 14)" sheetId="8" r:id="rId4"/>
    <sheet name="Table016 (Page 14)" sheetId="7" r:id="rId5"/>
    <sheet name="Top FIxed wireless &amp; mobile" sheetId="6" r:id="rId6"/>
    <sheet name="Top 5 Service provide Wireless " sheetId="5" r:id="rId7"/>
    <sheet name="Top 5 Service Provider broadban" sheetId="4" r:id="rId8"/>
    <sheet name="Subscriber" sheetId="3" r:id="rId9"/>
    <sheet name="Broadband" sheetId="2" r:id="rId10"/>
  </sheets>
  <definedNames>
    <definedName name="ExternalData_1" localSheetId="9" hidden="1">Broadband!$A$1:$E$5</definedName>
    <definedName name="ExternalData_12" localSheetId="1" hidden="1">'Fixed Wireless 5g'!#REF!</definedName>
    <definedName name="ExternalData_13" localSheetId="0" hidden="1">'Fixed Wireless urb'!#REF!</definedName>
    <definedName name="ExternalData_2" localSheetId="8" hidden="1">Subscriber!$A$1:$D$16</definedName>
    <definedName name="ExternalData_3" localSheetId="7" hidden="1">'Top 5 Service Provider broadban'!$A$1:$C$6</definedName>
    <definedName name="ExternalData_4" localSheetId="6" hidden="1">'Top 5 Service provide Wireless '!$A$1:$C$6</definedName>
    <definedName name="ExternalData_5" localSheetId="5" hidden="1">'Top FIxed wireless &amp; mobile'!$A$1:$C$6</definedName>
    <definedName name="ExternalData_6" localSheetId="4" hidden="1">'Table016 (Page 14)'!$A$1:$E$8</definedName>
    <definedName name="ExternalData_7" localSheetId="3" hidden="1">'Table017 (Page 14)'!$A$1:$E$11</definedName>
    <definedName name="ExternalData_8" localSheetId="2" hidden="1">Port!#REF!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9" l="1"/>
  <c r="D24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A2BD1-CA92-4004-80D3-8142F2B030F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6D021FB-1784-4BCF-A750-3DFFB7778752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3" xr16:uid="{25F9D4DB-7725-49C3-A6CD-BD3AD8D85598}" keepAlive="1" name="Query - Table003 (Page 2)" description="Connection to the 'Table003 (Page 2)' query in the workbook." type="5" refreshedVersion="8" background="1" saveData="1">
    <dbPr connection="Provider=Microsoft.Mashup.OleDb.1;Data Source=$Workbook$;Location=&quot;Table003 (Page 2)&quot;;Extended Properties=&quot;&quot;" command="SELECT * FROM [Table003 (Page 2)]"/>
  </connection>
  <connection id="4" xr16:uid="{BA3DE2C1-3639-4DAD-818E-6577DD559BC7}" keepAlive="1" name="Query - Table004 (Page 3)" description="Connection to the 'Table004 (Page 3)' query in the workbook." type="5" refreshedVersion="8" background="1" saveData="1">
    <dbPr connection="Provider=Microsoft.Mashup.OleDb.1;Data Source=$Workbook$;Location=&quot;Table004 (Page 3)&quot;;Extended Properties=&quot;&quot;" command="SELECT * FROM [Table004 (Page 3)]"/>
  </connection>
  <connection id="5" xr16:uid="{0F8F9838-DC0C-4B32-91BF-5A0B9AB6A7D8}" keepAlive="1" name="Query - Table005 (Page 3)" description="Connection to the 'Table005 (Page 3)' query in the workbook." type="5" refreshedVersion="8" background="1" saveData="1">
    <dbPr connection="Provider=Microsoft.Mashup.OleDb.1;Data Source=$Workbook$;Location=&quot;Table005 (Page 3)&quot;;Extended Properties=&quot;&quot;" command="SELECT * FROM [Table005 (Page 3)]"/>
  </connection>
  <connection id="6" xr16:uid="{425BEDA2-D522-412E-A83A-10AAFC75E9CF}" keepAlive="1" name="Query - Table016 (Page 14)" description="Connection to the 'Table016 (Page 14)' query in the workbook." type="5" refreshedVersion="8" background="1" saveData="1">
    <dbPr connection="Provider=Microsoft.Mashup.OleDb.1;Data Source=$Workbook$;Location=&quot;Table016 (Page 14)&quot;;Extended Properties=&quot;&quot;" command="SELECT * FROM [Table016 (Page 14)]"/>
  </connection>
  <connection id="7" xr16:uid="{EFA35CA5-10FF-49AF-936A-320D7F5C5FDE}" keepAlive="1" name="Query - Table017 (Page 14)" description="Connection to the 'Table017 (Page 14)' query in the workbook." type="5" refreshedVersion="8" background="1" saveData="1">
    <dbPr connection="Provider=Microsoft.Mashup.OleDb.1;Data Source=$Workbook$;Location=&quot;Table017 (Page 14)&quot;;Extended Properties=&quot;&quot;" command="SELECT * FROM [Table017 (Page 14)]"/>
  </connection>
  <connection id="8" xr16:uid="{5EC235DC-AA5E-4206-9347-11577007F580}" keepAlive="1" name="Query - Table018 (Page 17)" description="Connection to the 'Table018 (Page 17)' query in the workbook." type="5" refreshedVersion="0" background="1">
    <dbPr connection="Provider=Microsoft.Mashup.OleDb.1;Data Source=$Workbook$;Location=&quot;Table018 (Page 17)&quot;;Extended Properties=&quot;&quot;" command="SELECT * FROM [Table018 (Page 17)]"/>
  </connection>
  <connection id="9" xr16:uid="{B60D7F81-EA89-4090-9767-4CDCD163A067}" keepAlive="1" name="Query - Table019 (Page 18)" description="Connection to the 'Table019 (Page 18)' query in the workbook." type="5" refreshedVersion="8" background="1" saveData="1">
    <dbPr connection="Provider=Microsoft.Mashup.OleDb.1;Data Source=$Workbook$;Location=&quot;Table019 (Page 18)&quot;;Extended Properties=&quot;&quot;" command="SELECT * FROM [Table019 (Page 18)]"/>
  </connection>
  <connection id="10" xr16:uid="{EAB1E75F-3125-489C-BE1A-62AFE8C0AB58}" keepAlive="1" name="Query - Table020 (Page 19)" description="Connection to the 'Table020 (Page 19)' query in the workbook." type="5" refreshedVersion="8" background="1" saveData="1">
    <dbPr connection="Provider=Microsoft.Mashup.OleDb.1;Data Source=$Workbook$;Location=&quot;Table020 (Page 19)&quot;;Extended Properties=&quot;&quot;" command="SELECT * FROM [Table020 (Page 19)]"/>
  </connection>
  <connection id="11" xr16:uid="{E6F2B4DA-88A0-4D8E-A6FD-3B8E90C8A60F}" keepAlive="1" name="Query - Table021 (Page 20)" description="Connection to the 'Table021 (Page 20)' query in the workbook." type="5" refreshedVersion="8" background="1" saveData="1">
    <dbPr connection="Provider=Microsoft.Mashup.OleDb.1;Data Source=$Workbook$;Location=&quot;Table021 (Page 20)&quot;;Extended Properties=&quot;&quot;" command="SELECT * FROM [Table021 (Page 20)]"/>
  </connection>
  <connection id="12" xr16:uid="{8E352DC0-4F5E-492D-B96D-C21E7425C72D}" keepAlive="1" name="Query - Table023 (Page 23)" description="Connection to the 'Table023 (Page 23)' query in the workbook." type="5" refreshedVersion="8" background="1" saveData="1">
    <dbPr connection="Provider=Microsoft.Mashup.OleDb.1;Data Source=$Workbook$;Location=&quot;Table023 (Page 23)&quot;;Extended Properties=&quot;&quot;" command="SELECT * FROM [Table023 (Page 23)]"/>
  </connection>
  <connection id="13" xr16:uid="{9F8235B1-C583-4153-8D55-2B91123E8F0E}" keepAlive="1" name="Query - Table024 (Page 24)" description="Connection to the 'Table024 (Page 24)' query in the workbook." type="5" refreshedVersion="8" background="1" saveData="1">
    <dbPr connection="Provider=Microsoft.Mashup.OleDb.1;Data Source=$Workbook$;Location=&quot;Table024 (Page 24)&quot;;Extended Properties=&quot;&quot;" command="SELECT * FROM [Table024 (Page 24)]"/>
  </connection>
</connections>
</file>

<file path=xl/sharedStrings.xml><?xml version="1.0" encoding="utf-8"?>
<sst xmlns="http://schemas.openxmlformats.org/spreadsheetml/2006/main" count="487" uniqueCount="384">
  <si>
    <t>Column1</t>
  </si>
  <si>
    <t>Column2</t>
  </si>
  <si>
    <t>Column3</t>
  </si>
  <si>
    <t>Column4</t>
  </si>
  <si>
    <t>Column5</t>
  </si>
  <si>
    <t>Segment</t>
  </si>
  <si>
    <t>October
2025</t>
  </si>
  <si>
    <t>Novembe
r 2025</t>
  </si>
  <si>
    <t>Percentage
Change</t>
  </si>
  <si>
    <t>Wired
subscribers</t>
  </si>
  <si>
    <t>Fixed Wired Access
(DSL, FTTx, Ethernet/LAN,
Cable Modem, ILL)</t>
  </si>
  <si>
    <t>44.82</t>
  </si>
  <si>
    <t>45.11</t>
  </si>
  <si>
    <t>0.64%</t>
  </si>
  <si>
    <t>Wireless
Subscribers</t>
  </si>
  <si>
    <t>Fixed Wireless Access
(5G FWA, Wi-Fi, Wi-Max,
Radio/UBR, Satellite)</t>
  </si>
  <si>
    <t>13.18</t>
  </si>
  <si>
    <t>14.06</t>
  </si>
  <si>
    <t>6.69%</t>
  </si>
  <si>
    <t>Mobile Wireless Access
(3G, 4G, 5G)</t>
  </si>
  <si>
    <t>941.82</t>
  </si>
  <si>
    <t>944.48</t>
  </si>
  <si>
    <t>0.28%</t>
  </si>
  <si>
    <t>Total Broadband Subscribers</t>
  </si>
  <si>
    <t>999.81</t>
  </si>
  <si>
    <t>1003.65</t>
  </si>
  <si>
    <t>0.38%</t>
  </si>
  <si>
    <t>Particulars</t>
  </si>
  <si>
    <t>Wireless*</t>
  </si>
  <si>
    <t>Wireline</t>
  </si>
  <si>
    <t>Total
(Wireless+
Wireline)</t>
  </si>
  <si>
    <t>Broadband Subscribers (Million)</t>
  </si>
  <si>
    <t>Urban Telephone Subscribers (Million)</t>
  </si>
  <si>
    <t>Net Addition in November 2025 (Million)</t>
  </si>
  <si>
    <t>Monthly Growth Rate</t>
  </si>
  <si>
    <t>Rural Telephone Subscribers (Million)</t>
  </si>
  <si>
    <t>Total Telephone Subscribers (Million)</t>
  </si>
  <si>
    <t>Overall Tele-density@(%)</t>
  </si>
  <si>
    <t>Urban Tele-density@(%)</t>
  </si>
  <si>
    <t>Rural Tele-density^{@} (%)</t>
  </si>
  <si>
    <t>Share of Urban Subscribers</t>
  </si>
  <si>
    <t>Share of Rural Subscribers</t>
  </si>
  <si>
    <t>Monthly growth rate (%)</t>
  </si>
  <si>
    <t>Yearly growth rate (%)</t>
  </si>
  <si>
    <t>Circle</t>
  </si>
  <si>
    <t>(October 2025 to November</t>
  </si>
  <si>
    <t>(November 2024 to November</t>
  </si>
  <si>
    <t>2025)</t>
  </si>
  <si>
    <t>Category</t>
  </si>
  <si>
    <t>Circle A</t>
  </si>
  <si>
    <t>0.59%</t>
  </si>
  <si>
    <t>0.41%</t>
  </si>
  <si>
    <t>35.22%</t>
  </si>
  <si>
    <t>3.45%</t>
  </si>
  <si>
    <t>Circle B</t>
  </si>
  <si>
    <t>0.94%</t>
  </si>
  <si>
    <t>0.15%</t>
  </si>
  <si>
    <t>5.25%</t>
  </si>
  <si>
    <t>3.15%</t>
  </si>
  <si>
    <t>Circle C</t>
  </si>
  <si>
    <t>1.33%</t>
  </si>
  <si>
    <t>6.06%</t>
  </si>
  <si>
    <t>5.15%</t>
  </si>
  <si>
    <t>Metro</t>
  </si>
  <si>
    <t>0.22%</t>
  </si>
  <si>
    <t>0.19%</t>
  </si>
  <si>
    <t>26.72%</t>
  </si>
  <si>
    <t>1.14%</t>
  </si>
  <si>
    <t>All India</t>
  </si>
  <si>
    <t>0.63%</t>
  </si>
  <si>
    <t>0.24%</t>
  </si>
  <si>
    <t>22.20%</t>
  </si>
  <si>
    <t>3.38%</t>
  </si>
  <si>
    <t>Number of Porting
Requests in
the month of</t>
  </si>
  <si>
    <t>Service Area</t>
  </si>
  <si>
    <t>November-25</t>
  </si>
  <si>
    <t>Delhi</t>
  </si>
  <si>
    <t>0.66</t>
  </si>
  <si>
    <t>Andhra
Pradesh</t>
  </si>
  <si>
    <t>0.69</t>
  </si>
  <si>
    <t>0.68</t>
  </si>
  <si>
    <t>Gujarat</t>
  </si>
  <si>
    <t>0.98</t>
  </si>
  <si>
    <t>1.00</t>
  </si>
  <si>
    <t>Assam</t>
  </si>
  <si>
    <t>0.12</t>
  </si>
  <si>
    <t>Haryana</t>
  </si>
  <si>
    <t>0.43</t>
  </si>
  <si>
    <t>0.41</t>
  </si>
  <si>
    <t>Bihar</t>
  </si>
  <si>
    <t>1.27</t>
  </si>
  <si>
    <t>1.33</t>
  </si>
  <si>
    <t>Himachal Pradesh</t>
  </si>
  <si>
    <t>0.05</t>
  </si>
  <si>
    <t>0.06</t>
  </si>
  <si>
    <t>Karnataka</t>
  </si>
  <si>
    <t>0.62</t>
  </si>
  <si>
    <t>0.61</t>
  </si>
  <si>
    <t>Jammu &amp;
Kashmir</t>
  </si>
  <si>
    <t>0.07</t>
  </si>
  <si>
    <t>Kerala</t>
  </si>
  <si>
    <t>0.26</t>
  </si>
  <si>
    <t>Maharashtra</t>
  </si>
  <si>
    <t>1.08</t>
  </si>
  <si>
    <t>1.06</t>
  </si>
  <si>
    <t>Kolkata</t>
  </si>
  <si>
    <t>0.19</t>
  </si>
  <si>
    <t>Mumbai</t>
  </si>
  <si>
    <t>0.27</t>
  </si>
  <si>
    <t>0.25</t>
  </si>
  <si>
    <t>Madhya
Pradesh</t>
  </si>
  <si>
    <t>1.40</t>
  </si>
  <si>
    <t>Punjab</t>
  </si>
  <si>
    <t>0.38</t>
  </si>
  <si>
    <t>0.35</t>
  </si>
  <si>
    <t>North East</t>
  </si>
  <si>
    <t>0.03</t>
  </si>
  <si>
    <t>Rajasthan</t>
  </si>
  <si>
    <t>0.78</t>
  </si>
  <si>
    <t>Odisha</t>
  </si>
  <si>
    <t>U.P.(East)</t>
  </si>
  <si>
    <t>2.24</t>
  </si>
  <si>
    <t>1.97</t>
  </si>
  <si>
    <t>Tamil Nadu</t>
  </si>
  <si>
    <t>0.57</t>
  </si>
  <si>
    <t>U.P.(West)</t>
  </si>
  <si>
    <t>1.47</t>
  </si>
  <si>
    <t>1.35</t>
  </si>
  <si>
    <t>West
Bengal</t>
  </si>
  <si>
    <t>1.24</t>
  </si>
  <si>
    <t>1.26</t>
  </si>
  <si>
    <t>West Bengal</t>
  </si>
  <si>
    <t>Net Addition</t>
  </si>
  <si>
    <t>5G-Fixed Wireless Subscribers</t>
  </si>
  <si>
    <t>TSPs Name →</t>
  </si>
  <si>
    <t>Bharti Airtel</t>
  </si>
  <si>
    <t>Reliance Jio</t>
  </si>
  <si>
    <t>Grand Total</t>
  </si>
  <si>
    <t>↓Telecom Service
Area</t>
  </si>
  <si>
    <t>Oct-25</t>
  </si>
  <si>
    <t>Nov-25</t>
  </si>
  <si>
    <t>Andhra Pradesh</t>
  </si>
  <si>
    <t>235,361</t>
  </si>
  <si>
    <t>257,548</t>
  </si>
  <si>
    <t>628,014</t>
  </si>
  <si>
    <t>649,908</t>
  </si>
  <si>
    <t>863,375</t>
  </si>
  <si>
    <t>907,456</t>
  </si>
  <si>
    <t>48,338</t>
  </si>
  <si>
    <t>53,944</t>
  </si>
  <si>
    <t>170,246</t>
  </si>
  <si>
    <t>178,168</t>
  </si>
  <si>
    <t>218,584</t>
  </si>
  <si>
    <t>232,112</t>
  </si>
  <si>
    <t>107,879</t>
  </si>
  <si>
    <t>123,880</t>
  </si>
  <si>
    <t>595,045</t>
  </si>
  <si>
    <t>621,699</t>
  </si>
  <si>
    <t>702,924</t>
  </si>
  <si>
    <t>745,579</t>
  </si>
  <si>
    <t>128,273</t>
  </si>
  <si>
    <t>137,554</t>
  </si>
  <si>
    <t>229,637</t>
  </si>
  <si>
    <t>229,289</t>
  </si>
  <si>
    <t>357,910</t>
  </si>
  <si>
    <t>366,843</t>
  </si>
  <si>
    <t>142,042</t>
  </si>
  <si>
    <t>155,969</t>
  </si>
  <si>
    <t>411,200</t>
  </si>
  <si>
    <t>422,040</t>
  </si>
  <si>
    <t>553,242</t>
  </si>
  <si>
    <t>578,009</t>
  </si>
  <si>
    <t>68,274</t>
  </si>
  <si>
    <t>74,090</t>
  </si>
  <si>
    <t>211,262</t>
  </si>
  <si>
    <t>216,664</t>
  </si>
  <si>
    <t>279,536</t>
  </si>
  <si>
    <t>290,754</t>
  </si>
  <si>
    <t>11,834</t>
  </si>
  <si>
    <t>13,104</t>
  </si>
  <si>
    <t>69,786</t>
  </si>
  <si>
    <t>72,734</t>
  </si>
  <si>
    <t>81,620</t>
  </si>
  <si>
    <t>85,838</t>
  </si>
  <si>
    <t>Jammu &amp; Kashmir</t>
  </si>
  <si>
    <t>42,175</t>
  </si>
  <si>
    <t>46,975</t>
  </si>
  <si>
    <t>162,516</t>
  </si>
  <si>
    <t>167,716</t>
  </si>
  <si>
    <t>204,691</t>
  </si>
  <si>
    <t>214,691</t>
  </si>
  <si>
    <t>221,813</t>
  </si>
  <si>
    <t>242,390</t>
  </si>
  <si>
    <t>385,631</t>
  </si>
  <si>
    <t>393,430</t>
  </si>
  <si>
    <t>607,444</t>
  </si>
  <si>
    <t>635,820</t>
  </si>
  <si>
    <t>47,624</t>
  </si>
  <si>
    <t>52,925</t>
  </si>
  <si>
    <t>158,936</t>
  </si>
  <si>
    <t>167,426</t>
  </si>
  <si>
    <t>206,560</t>
  </si>
  <si>
    <t>220,351</t>
  </si>
  <si>
    <t>75,003</t>
  </si>
  <si>
    <t>80,459</t>
  </si>
  <si>
    <t>158,927</t>
  </si>
  <si>
    <t>159,893</t>
  </si>
  <si>
    <t>233,930</t>
  </si>
  <si>
    <t>240,352</t>
  </si>
  <si>
    <t>Madhya Pradesh</t>
  </si>
  <si>
    <t>107,595</t>
  </si>
  <si>
    <t>119,531</t>
  </si>
  <si>
    <t>500,184</t>
  </si>
  <si>
    <t>518,163</t>
  </si>
  <si>
    <t>607,779</t>
  </si>
  <si>
    <t>637,694</t>
  </si>
  <si>
    <t>217,618</t>
  </si>
  <si>
    <t>238,637</t>
  </si>
  <si>
    <t>572,801</t>
  </si>
  <si>
    <t>590,209</t>
  </si>
  <si>
    <t>790,419</t>
  </si>
  <si>
    <t>828,846</t>
  </si>
  <si>
    <t>85,839</t>
  </si>
  <si>
    <t>92,678</t>
  </si>
  <si>
    <t>100,625</t>
  </si>
  <si>
    <t>102,937</t>
  </si>
  <si>
    <t>186,464</t>
  </si>
  <si>
    <t>195,615</t>
  </si>
  <si>
    <t>26,453</t>
  </si>
  <si>
    <t>29,534</t>
  </si>
  <si>
    <t>80,032</t>
  </si>
  <si>
    <t>82,420</t>
  </si>
  <si>
    <t>106,485</t>
  </si>
  <si>
    <t>111,954</t>
  </si>
  <si>
    <t>56,595</t>
  </si>
  <si>
    <t>62,951</t>
  </si>
  <si>
    <t>259,012</t>
  </si>
  <si>
    <t>273,291</t>
  </si>
  <si>
    <t>315,607</t>
  </si>
  <si>
    <t>336,242</t>
  </si>
  <si>
    <t>117,678</t>
  </si>
  <si>
    <t>128,737</t>
  </si>
  <si>
    <t>454,094</t>
  </si>
  <si>
    <t>466,746</t>
  </si>
  <si>
    <t>571,772</t>
  </si>
  <si>
    <t>595,483</t>
  </si>
  <si>
    <t>148,985</t>
  </si>
  <si>
    <t>163,034</t>
  </si>
  <si>
    <t>417,140</t>
  </si>
  <si>
    <t>432,040</t>
  </si>
  <si>
    <t>566,125</t>
  </si>
  <si>
    <t>595,074</t>
  </si>
  <si>
    <t>305,779</t>
  </si>
  <si>
    <t>336,051</t>
  </si>
  <si>
    <t>347,520</t>
  </si>
  <si>
    <t>355,938</t>
  </si>
  <si>
    <t>653,299</t>
  </si>
  <si>
    <t>691,989</t>
  </si>
  <si>
    <t>Uttar Pradesh
(East)</t>
  </si>
  <si>
    <t>142,066</t>
  </si>
  <si>
    <t>157,801</t>
  </si>
  <si>
    <t>614,919</t>
  </si>
  <si>
    <t>638,577</t>
  </si>
  <si>
    <t>756,985</t>
  </si>
  <si>
    <t>796,378</t>
  </si>
  <si>
    <t>Uttar Pradesh
(West)</t>
  </si>
  <si>
    <t>112,806</t>
  </si>
  <si>
    <t>124,512</t>
  </si>
  <si>
    <t>479,234</t>
  </si>
  <si>
    <t>494,597</t>
  </si>
  <si>
    <t>592,040</t>
  </si>
  <si>
    <t>619,109</t>
  </si>
  <si>
    <t>64,758</t>
  </si>
  <si>
    <t>73,579</t>
  </si>
  <si>
    <t>389,107</t>
  </si>
  <si>
    <t>412,257</t>
  </si>
  <si>
    <t>453,865</t>
  </si>
  <si>
    <t>485,836</t>
  </si>
  <si>
    <t>TOTAL</t>
  </si>
  <si>
    <t>2,514,788</t>
  </si>
  <si>
    <t>2,765,883</t>
  </si>
  <si>
    <t>7,395,868</t>
  </si>
  <si>
    <t>7,646,142</t>
  </si>
  <si>
    <t>9,910,656</t>
  </si>
  <si>
    <t>10,412,025</t>
  </si>
  <si>
    <t/>
  </si>
  <si>
    <t>251,095</t>
  </si>
  <si>
    <t>250,274</t>
  </si>
  <si>
    <t>501,369</t>
  </si>
  <si>
    <t>Monthly Growth
%</t>
  </si>
  <si>
    <t>9.98%</t>
  </si>
  <si>
    <t>5.06%</t>
  </si>
  <si>
    <t>UBR- Fixed Wireless Subscribers</t>
  </si>
  <si>
    <t>Reliance Jio*</t>
  </si>
  <si>
    <t>↓Telecom Service Area</t>
  </si>
  <si>
    <t>222,266</t>
  </si>
  <si>
    <t>253,677</t>
  </si>
  <si>
    <t>23,244</t>
  </si>
  <si>
    <t>26,064</t>
  </si>
  <si>
    <t>189,771</t>
  </si>
  <si>
    <t>214,052</t>
  </si>
  <si>
    <t>194,571</t>
  </si>
  <si>
    <t>218,156</t>
  </si>
  <si>
    <t>197,488</t>
  </si>
  <si>
    <t>221,105</t>
  </si>
  <si>
    <t>130,192</t>
  </si>
  <si>
    <t>145,809</t>
  </si>
  <si>
    <t>7,007</t>
  </si>
  <si>
    <t>8,012</t>
  </si>
  <si>
    <t>54,076</t>
  </si>
  <si>
    <t>61,571</t>
  </si>
  <si>
    <t>169,096</t>
  </si>
  <si>
    <t>191,937</t>
  </si>
  <si>
    <t>7,657</t>
  </si>
  <si>
    <t>8,290</t>
  </si>
  <si>
    <t>120,661</t>
  </si>
  <si>
    <t>136,949</t>
  </si>
  <si>
    <t>161,513</t>
  </si>
  <si>
    <t>183,781</t>
  </si>
  <si>
    <t>233,554</t>
  </si>
  <si>
    <t>263,210</t>
  </si>
  <si>
    <t>43,040</t>
  </si>
  <si>
    <t>47,006</t>
  </si>
  <si>
    <t>9,932</t>
  </si>
  <si>
    <t>11,158</t>
  </si>
  <si>
    <t>36,246</t>
  </si>
  <si>
    <t>41,164</t>
  </si>
  <si>
    <t>173,244</t>
  </si>
  <si>
    <t>192,084</t>
  </si>
  <si>
    <t>203,819</t>
  </si>
  <si>
    <t>227,735</t>
  </si>
  <si>
    <t>125,358</t>
  </si>
  <si>
    <t>138,298</t>
  </si>
  <si>
    <t>Uttar Pradesh (East)</t>
  </si>
  <si>
    <t>199,506</t>
  </si>
  <si>
    <t>221,955</t>
  </si>
  <si>
    <t>Uttar Pradesh (West)</t>
  </si>
  <si>
    <t>246,608</t>
  </si>
  <si>
    <t>277,550</t>
  </si>
  <si>
    <t>86,657</t>
  </si>
  <si>
    <t>97,700</t>
  </si>
  <si>
    <t>2,835,506</t>
  </si>
  <si>
    <t>3,187,263</t>
  </si>
  <si>
    <t>351,757</t>
  </si>
  <si>
    <t>Monthly Growth %</t>
  </si>
  <si>
    <t>12.41%</t>
  </si>
  <si>
    <t>S.N.</t>
  </si>
  <si>
    <t>Service Provider</t>
  </si>
  <si>
    <t>Subscriber base
(In million)</t>
  </si>
  <si>
    <t>Reliance Jio Infocomm Ltd.</t>
  </si>
  <si>
    <t>Bharti Airtel Ltd.</t>
  </si>
  <si>
    <t>Vodafone Idea Ltd.</t>
  </si>
  <si>
    <t>Bharat Sanchar Nigam Ltd.</t>
  </si>
  <si>
    <t>Atria Convergence Technologies Ltd.</t>
  </si>
  <si>
    <t>Bharat Sanchar Nigam Ltd</t>
  </si>
  <si>
    <t>Kerala Vision Broadband Ltd.</t>
  </si>
  <si>
    <t>IBus Virtual Network Services Private Limited</t>
  </si>
  <si>
    <t>Net additions in the month
of November 2025</t>
  </si>
  <si>
    <t>Telephone Subscriber base as
on 30th November 2025</t>
  </si>
  <si>
    <t>Circle
Category</t>
  </si>
  <si>
    <t>Wireline
segment</t>
  </si>
  <si>
    <t>Wireless*
segment</t>
  </si>
  <si>
    <t>117,762</t>
  </si>
  <si>
    <t>1,622,368</t>
  </si>
  <si>
    <t>20,068,870</t>
  </si>
  <si>
    <t>396,121,176</t>
  </si>
  <si>
    <t>105,843</t>
  </si>
  <si>
    <t>718,076</t>
  </si>
  <si>
    <t>11,399,249</t>
  </si>
  <si>
    <t>479,573,275</t>
  </si>
  <si>
    <t>45,445</t>
  </si>
  <si>
    <t>304,595</t>
  </si>
  <si>
    <t>3,465,299</t>
  </si>
  <si>
    <t>197,760,639</t>
  </si>
  <si>
    <t>26,790</t>
  </si>
  <si>
    <t>215,273</t>
  </si>
  <si>
    <t>12,116,774</t>
  </si>
  <si>
    <t>114,026,119</t>
  </si>
  <si>
    <t>295,840</t>
  </si>
  <si>
    <t>2,860,312</t>
  </si>
  <si>
    <t>47,050,192</t>
  </si>
  <si>
    <t>1,187,481,209</t>
  </si>
  <si>
    <t>Subscription (Broadband
Subscribers
(in million))</t>
  </si>
  <si>
    <t>October-25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</si>
</sst>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theme="9" tint="0.79998168889431442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3" borderId="7" xfId="0" applyNumberFormat="1" applyFont="1" applyFill="1" applyBorder="1"/>
    <xf numFmtId="0" fontId="0" fillId="3" borderId="8" xfId="0" applyNumberFormat="1" applyFont="1" applyFill="1" applyBorder="1"/>
    <xf numFmtId="0" fontId="0" fillId="3" borderId="9" xfId="0" applyNumberFormat="1" applyFont="1" applyFill="1" applyBorder="1"/>
    <xf numFmtId="0" fontId="0" fillId="4" borderId="10" xfId="0" applyNumberFormat="1" applyFont="1" applyFill="1" applyBorder="1"/>
    <xf numFmtId="0" fontId="0" fillId="4" borderId="2" xfId="0" applyNumberFormat="1" applyFont="1" applyFill="1" applyBorder="1"/>
    <xf numFmtId="0" fontId="0" fillId="4" borderId="11" xfId="0" applyNumberFormat="1" applyFont="1" applyFill="1" applyBorder="1"/>
    <xf numFmtId="0" fontId="0" fillId="3" borderId="12" xfId="0" applyNumberFormat="1" applyFont="1" applyFill="1" applyBorder="1"/>
    <xf numFmtId="0" fontId="0" fillId="3" borderId="13" xfId="0" applyNumberFormat="1" applyFont="1" applyFill="1" applyBorder="1"/>
    <xf numFmtId="0" fontId="0" fillId="3" borderId="14" xfId="0" applyNumberFormat="1" applyFont="1" applyFill="1" applyBorder="1"/>
    <xf numFmtId="0" fontId="0" fillId="0" borderId="0" xfId="0" applyBorder="1"/>
    <xf numFmtId="0" fontId="0" fillId="0" borderId="0" xfId="0" applyNumberFormat="1" applyAlignment="1">
      <alignment wrapText="1"/>
    </xf>
    <xf numFmtId="0" fontId="0" fillId="0" borderId="0" xfId="0" applyNumberFormat="1" applyFill="1"/>
    <xf numFmtId="0" fontId="0" fillId="0" borderId="2" xfId="0" applyNumberFormat="1" applyFont="1" applyFill="1" applyBorder="1"/>
    <xf numFmtId="0" fontId="0" fillId="0" borderId="0" xfId="0" applyFill="1"/>
    <xf numFmtId="0" fontId="0" fillId="0" borderId="3" xfId="0" applyNumberFormat="1" applyFont="1" applyFill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BBF666F-7D5C-45EB-8A18-AB0F7139391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D6B614F-C6E8-465A-ADF1-1D85C26356B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E33EF1C-848D-46C3-A496-175006A69E36}" autoFormatId="16" applyNumberFormats="0" applyBorderFormats="0" applyFontFormats="0" applyPatternFormats="0" applyAlignmentFormats="0" applyWidthHeightFormats="0">
  <queryTableRefresh nextId="4">
    <queryTableFields count="3">
      <queryTableField id="1" name="S.N." tableColumnId="1"/>
      <queryTableField id="2" name="Service Provider" tableColumnId="2"/>
      <queryTableField id="3" name="Subscriber base_x000a_(In million)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D59E4EA-072F-4667-98A6-4C1C8E6C3D66}" autoFormatId="16" applyNumberFormats="0" applyBorderFormats="0" applyFontFormats="0" applyPatternFormats="0" applyAlignmentFormats="0" applyWidthHeightFormats="0">
  <queryTableRefresh nextId="4">
    <queryTableFields count="3">
      <queryTableField id="1" name="S.N." tableColumnId="1"/>
      <queryTableField id="2" name="Service Provider" tableColumnId="2"/>
      <queryTableField id="3" name="Subscriber base_x000a_(In million)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673D2CF-2238-456D-BA8C-15706B599C42}" autoFormatId="16" applyNumberFormats="0" applyBorderFormats="0" applyFontFormats="0" applyPatternFormats="0" applyAlignmentFormats="0" applyWidthHeightFormats="0">
  <queryTableRefresh nextId="4">
    <queryTableFields count="3">
      <queryTableField id="1" name="S.N." tableColumnId="1"/>
      <queryTableField id="2" name="Service Provider" tableColumnId="2"/>
      <queryTableField id="3" name="Subscriber base_x000a_(In million)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2FAFB12-F651-416A-861D-00C064E4FDD7}" autoFormatId="16" applyNumberFormats="0" applyBorderFormats="0" applyFontFormats="0" applyPatternFormats="0" applyAlignmentFormats="0" applyWidthHeightFormats="0">
  <queryTableRefresh nextId="5">
    <queryTableFields count="4">
      <queryTableField id="1" name="Particulars" tableColumnId="1"/>
      <queryTableField id="2" name="Wireless*" tableColumnId="2"/>
      <queryTableField id="3" name="Wireline" tableColumnId="3"/>
      <queryTableField id="4" name="Total_x000a_(Wireless+_x000a_Wireline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21C500-AD21-4D42-AB54-58C284F56C4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E3D6D-79E7-4AE2-B9C3-DA6EFDD680E0}" name="Table017__Page_14" displayName="Table017__Page_14" ref="A1:E11" tableType="queryTable" totalsRowShown="0">
  <autoFilter ref="A1:E11" xr:uid="{5F3E3D6D-79E7-4AE2-B9C3-DA6EFDD680E0}"/>
  <tableColumns count="5">
    <tableColumn id="1" xr3:uid="{4D5BCF6E-E42B-4A5F-9769-ED2E7FDD6632}" uniqueName="1" name="Column1" queryTableFieldId="1" dataDxfId="13"/>
    <tableColumn id="2" xr3:uid="{2CB198A4-34E1-48CB-B9DD-041EBBFFB75F}" uniqueName="2" name="Column2" queryTableFieldId="2" dataDxfId="12"/>
    <tableColumn id="3" xr3:uid="{D502D29E-2DD0-4DB1-B7AF-A338CF3CF017}" uniqueName="3" name="Column3" queryTableFieldId="3" dataDxfId="11"/>
    <tableColumn id="4" xr3:uid="{E501FA1C-4621-4FD1-9C00-F8B5FD4CF57D}" uniqueName="4" name="Column4" queryTableFieldId="4" dataDxfId="10"/>
    <tableColumn id="5" xr3:uid="{D3C3DBD3-2569-4199-BA75-A2C679FC3C21}" uniqueName="5" name="Column5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69776E1-3D07-4479-8078-4B9D9194555B}" name="Table016__Page_14" displayName="Table016__Page_14" ref="A1:E8" tableType="queryTable" totalsRowShown="0">
  <autoFilter ref="A1:E8" xr:uid="{A69776E1-3D07-4479-8078-4B9D9194555B}"/>
  <tableColumns count="5">
    <tableColumn id="1" xr3:uid="{549C2EA1-45AC-443A-846C-F26FB1FC789D}" uniqueName="1" name="Column1" queryTableFieldId="1" dataDxfId="5"/>
    <tableColumn id="2" xr3:uid="{80F8258D-EB06-438D-9F45-86C8763F736A}" uniqueName="2" name="Column2" queryTableFieldId="2" dataDxfId="4"/>
    <tableColumn id="3" xr3:uid="{CB6A1188-A660-4433-9A2C-90DDACDDBCB2}" uniqueName="3" name="Column3" queryTableFieldId="3" dataDxfId="3"/>
    <tableColumn id="4" xr3:uid="{32347224-49AB-41B8-AFA3-9C41109E530E}" uniqueName="4" name="Column4" queryTableFieldId="4" dataDxfId="2"/>
    <tableColumn id="5" xr3:uid="{812B6213-E727-4CBD-8BF8-AA7AFD0C1C61}" uniqueName="5" name="Column5" queryTableFieldId="5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D2E178-C076-464E-B4BA-6B384BD8491D}" name="Table005__Page_3" displayName="Table005__Page_3" ref="A1:C6" tableType="queryTable" totalsRowShown="0">
  <autoFilter ref="A1:C6" xr:uid="{6DD2E178-C076-464E-B4BA-6B384BD8491D}"/>
  <tableColumns count="3">
    <tableColumn id="1" xr3:uid="{F178D2C8-1D2C-4F53-BE1D-9406546C790F}" uniqueName="1" name="S.N." queryTableFieldId="1"/>
    <tableColumn id="2" xr3:uid="{CF8659CC-E659-4933-BDDE-43D6B04A6145}" uniqueName="2" name="Service Provider" queryTableFieldId="2" dataDxfId="6"/>
    <tableColumn id="3" xr3:uid="{EE747770-BDE1-4ACD-A238-4C7CEDF50431}" uniqueName="3" name="Subscriber base_x000a_(In million)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D2226B-00DB-4D27-AB7E-4994A1104AB4}" name="Table003__Page_2" displayName="Table003__Page_2" ref="A1:C6" tableType="queryTable" totalsRowShown="0">
  <autoFilter ref="A1:C6" xr:uid="{D0D2226B-00DB-4D27-AB7E-4994A1104AB4}"/>
  <tableColumns count="3">
    <tableColumn id="1" xr3:uid="{889AF2A9-8591-4DED-B15A-B48C5B0BFFDD}" uniqueName="1" name="S.N." queryTableFieldId="1"/>
    <tableColumn id="2" xr3:uid="{4C2A9F2A-5205-4C72-B403-526678C842CC}" uniqueName="2" name="Service Provider" queryTableFieldId="2" dataDxfId="8"/>
    <tableColumn id="3" xr3:uid="{6FDC3F2A-DC5B-480C-B826-889D08BA7DDD}" uniqueName="3" name="Subscriber base_x000a_(In million)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40A506-0F2F-432C-B3D5-DDDD936BC902}" name="Table004__Page_3" displayName="Table004__Page_3" ref="A1:C6" tableType="queryTable" totalsRowShown="0">
  <autoFilter ref="A1:C6" xr:uid="{6B40A506-0F2F-432C-B3D5-DDDD936BC902}"/>
  <tableColumns count="3">
    <tableColumn id="1" xr3:uid="{FDD2102F-0CDD-4E5C-B473-9CDD1DBFEDFD}" uniqueName="1" name="S.N." queryTableFieldId="1"/>
    <tableColumn id="2" xr3:uid="{138CAE6B-C7AF-4538-8D41-BAEEA825D2FA}" uniqueName="2" name="Service Provider" queryTableFieldId="2" dataDxfId="7"/>
    <tableColumn id="3" xr3:uid="{EF43E5A0-AB91-4184-AC4C-5ABC0701CB4F}" uniqueName="3" name="Subscriber base_x000a_(In million)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74A54-F2D5-414E-8850-D77E476CFB0D}" name="Table001__Page_1" displayName="Table001__Page_1" ref="A1:D16" tableType="queryTable" totalsRowShown="0">
  <autoFilter ref="A1:D16" xr:uid="{DD174A54-F2D5-414E-8850-D77E476CFB0D}"/>
  <tableColumns count="4">
    <tableColumn id="1" xr3:uid="{E576CEFB-F9C5-413D-B622-7EC80C9237B2}" uniqueName="1" name="Particulars" queryTableFieldId="1" dataDxfId="14"/>
    <tableColumn id="2" xr3:uid="{27C28809-5371-46C6-ADBA-3DE65EC8BEEC}" uniqueName="2" name="Wireless*" queryTableFieldId="2"/>
    <tableColumn id="3" xr3:uid="{3CE075C0-4620-496F-BBA7-A4A286552D30}" uniqueName="3" name="Wireline" queryTableFieldId="3"/>
    <tableColumn id="4" xr3:uid="{A2EC0781-4A47-4BD2-AAC2-CA0A6C6231F1}" uniqueName="4" name="Total_x000a_(Wireless+_x000a_Wireline)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502F0-9199-41F4-951A-CCFE000CCBCB}" name="Table002__Page_2" displayName="Table002__Page_2" ref="A1:E5" tableType="queryTable" totalsRowShown="0" headerRowDxfId="0">
  <autoFilter ref="A1:E5" xr:uid="{4A6502F0-9199-41F4-951A-CCFE000CCBCB}"/>
  <tableColumns count="5">
    <tableColumn id="1" xr3:uid="{22D6F7EC-FF11-4D4A-AF5F-65E1E685C05F}" uniqueName="1" name="Segment" queryTableFieldId="1" dataDxfId="19"/>
    <tableColumn id="2" xr3:uid="{DE1D2F24-F348-4DF0-9511-2F8FD7795E7A}" uniqueName="2" name="Subscription (Broadband_x000a_Subscribers_x000a_(in million))" queryTableFieldId="2" dataDxfId="18"/>
    <tableColumn id="3" xr3:uid="{3EA56C6A-E1DB-4CA8-9892-036860EBC1D1}" uniqueName="3" name="October_x000a_2025" queryTableFieldId="3" dataDxfId="17"/>
    <tableColumn id="4" xr3:uid="{5BF09564-5942-438B-A639-9BFAEA102943}" uniqueName="4" name="Novembe_x000a_r 2025" queryTableFieldId="4" dataDxfId="16"/>
    <tableColumn id="5" xr3:uid="{7FE3FECE-88EF-43EB-B078-EC490258B586}" uniqueName="5" name="Percentage_x000a_Change" queryTableFieldId="5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2E32-6A69-493A-A836-E7D21FF2AB97}">
  <dimension ref="A1:C28"/>
  <sheetViews>
    <sheetView workbookViewId="0">
      <selection activeCell="E10" sqref="E10"/>
    </sheetView>
  </sheetViews>
  <sheetFormatPr defaultRowHeight="15" x14ac:dyDescent="0.25"/>
  <cols>
    <col min="1" max="1" width="29.85546875" bestFit="1" customWidth="1"/>
    <col min="2" max="2" width="12.42578125" bestFit="1" customWidth="1"/>
  </cols>
  <sheetData>
    <row r="1" spans="1:3" x14ac:dyDescent="0.25">
      <c r="A1" s="11" t="s">
        <v>292</v>
      </c>
      <c r="B1" s="12"/>
      <c r="C1" s="13"/>
    </row>
    <row r="2" spans="1:3" x14ac:dyDescent="0.25">
      <c r="A2" s="14" t="s">
        <v>134</v>
      </c>
      <c r="B2" s="15" t="s">
        <v>293</v>
      </c>
      <c r="C2" s="16"/>
    </row>
    <row r="3" spans="1:3" x14ac:dyDescent="0.25">
      <c r="A3" s="17" t="s">
        <v>294</v>
      </c>
      <c r="B3" s="18" t="s">
        <v>139</v>
      </c>
      <c r="C3" s="19" t="s">
        <v>140</v>
      </c>
    </row>
    <row r="4" spans="1:3" x14ac:dyDescent="0.25">
      <c r="A4" s="8" t="s">
        <v>141</v>
      </c>
      <c r="B4" s="9" t="s">
        <v>295</v>
      </c>
      <c r="C4" s="10" t="s">
        <v>296</v>
      </c>
    </row>
    <row r="5" spans="1:3" x14ac:dyDescent="0.25">
      <c r="A5" s="2" t="s">
        <v>84</v>
      </c>
      <c r="B5" s="3" t="s">
        <v>297</v>
      </c>
      <c r="C5" s="4" t="s">
        <v>298</v>
      </c>
    </row>
    <row r="6" spans="1:3" x14ac:dyDescent="0.25">
      <c r="A6" s="5" t="s">
        <v>89</v>
      </c>
      <c r="B6" s="6" t="s">
        <v>299</v>
      </c>
      <c r="C6" s="7" t="s">
        <v>300</v>
      </c>
    </row>
    <row r="7" spans="1:3" x14ac:dyDescent="0.25">
      <c r="A7" s="2" t="s">
        <v>76</v>
      </c>
      <c r="B7" s="3" t="s">
        <v>301</v>
      </c>
      <c r="C7" s="4" t="s">
        <v>302</v>
      </c>
    </row>
    <row r="8" spans="1:3" x14ac:dyDescent="0.25">
      <c r="A8" s="5" t="s">
        <v>81</v>
      </c>
      <c r="B8" s="6" t="s">
        <v>303</v>
      </c>
      <c r="C8" s="7" t="s">
        <v>304</v>
      </c>
    </row>
    <row r="9" spans="1:3" x14ac:dyDescent="0.25">
      <c r="A9" s="2" t="s">
        <v>86</v>
      </c>
      <c r="B9" s="3" t="s">
        <v>305</v>
      </c>
      <c r="C9" s="4" t="s">
        <v>306</v>
      </c>
    </row>
    <row r="10" spans="1:3" x14ac:dyDescent="0.25">
      <c r="A10" s="5" t="s">
        <v>92</v>
      </c>
      <c r="B10" s="6" t="s">
        <v>307</v>
      </c>
      <c r="C10" s="7" t="s">
        <v>308</v>
      </c>
    </row>
    <row r="11" spans="1:3" x14ac:dyDescent="0.25">
      <c r="A11" s="2" t="s">
        <v>184</v>
      </c>
      <c r="B11" s="3" t="s">
        <v>309</v>
      </c>
      <c r="C11" s="4" t="s">
        <v>310</v>
      </c>
    </row>
    <row r="12" spans="1:3" x14ac:dyDescent="0.25">
      <c r="A12" s="5" t="s">
        <v>95</v>
      </c>
      <c r="B12" s="6" t="s">
        <v>311</v>
      </c>
      <c r="C12" s="7" t="s">
        <v>312</v>
      </c>
    </row>
    <row r="13" spans="1:3" x14ac:dyDescent="0.25">
      <c r="A13" s="2" t="s">
        <v>100</v>
      </c>
      <c r="B13" s="3" t="s">
        <v>313</v>
      </c>
      <c r="C13" s="4" t="s">
        <v>314</v>
      </c>
    </row>
    <row r="14" spans="1:3" x14ac:dyDescent="0.25">
      <c r="A14" s="5" t="s">
        <v>105</v>
      </c>
      <c r="B14" s="6" t="s">
        <v>315</v>
      </c>
      <c r="C14" s="7" t="s">
        <v>316</v>
      </c>
    </row>
    <row r="15" spans="1:3" x14ac:dyDescent="0.25">
      <c r="A15" s="2" t="s">
        <v>209</v>
      </c>
      <c r="B15" s="3" t="s">
        <v>317</v>
      </c>
      <c r="C15" s="4" t="s">
        <v>318</v>
      </c>
    </row>
    <row r="16" spans="1:3" x14ac:dyDescent="0.25">
      <c r="A16" s="5" t="s">
        <v>102</v>
      </c>
      <c r="B16" s="6" t="s">
        <v>319</v>
      </c>
      <c r="C16" s="7" t="s">
        <v>320</v>
      </c>
    </row>
    <row r="17" spans="1:3" x14ac:dyDescent="0.25">
      <c r="A17" s="2" t="s">
        <v>107</v>
      </c>
      <c r="B17" s="3" t="s">
        <v>321</v>
      </c>
      <c r="C17" s="4" t="s">
        <v>322</v>
      </c>
    </row>
    <row r="18" spans="1:3" x14ac:dyDescent="0.25">
      <c r="A18" s="5" t="s">
        <v>115</v>
      </c>
      <c r="B18" s="6" t="s">
        <v>323</v>
      </c>
      <c r="C18" s="7" t="s">
        <v>324</v>
      </c>
    </row>
    <row r="19" spans="1:3" x14ac:dyDescent="0.25">
      <c r="A19" s="2" t="s">
        <v>119</v>
      </c>
      <c r="B19" s="3" t="s">
        <v>325</v>
      </c>
      <c r="C19" s="4" t="s">
        <v>326</v>
      </c>
    </row>
    <row r="20" spans="1:3" x14ac:dyDescent="0.25">
      <c r="A20" s="5" t="s">
        <v>112</v>
      </c>
      <c r="B20" s="6" t="s">
        <v>327</v>
      </c>
      <c r="C20" s="7" t="s">
        <v>328</v>
      </c>
    </row>
    <row r="21" spans="1:3" x14ac:dyDescent="0.25">
      <c r="A21" s="2" t="s">
        <v>117</v>
      </c>
      <c r="B21" s="3" t="s">
        <v>329</v>
      </c>
      <c r="C21" s="4" t="s">
        <v>330</v>
      </c>
    </row>
    <row r="22" spans="1:3" x14ac:dyDescent="0.25">
      <c r="A22" s="5" t="s">
        <v>123</v>
      </c>
      <c r="B22" s="6" t="s">
        <v>331</v>
      </c>
      <c r="C22" s="7" t="s">
        <v>332</v>
      </c>
    </row>
    <row r="23" spans="1:3" x14ac:dyDescent="0.25">
      <c r="A23" s="2" t="s">
        <v>333</v>
      </c>
      <c r="B23" s="3" t="s">
        <v>334</v>
      </c>
      <c r="C23" s="4" t="s">
        <v>335</v>
      </c>
    </row>
    <row r="24" spans="1:3" x14ac:dyDescent="0.25">
      <c r="A24" s="5" t="s">
        <v>336</v>
      </c>
      <c r="B24" s="6" t="s">
        <v>337</v>
      </c>
      <c r="C24" s="7" t="s">
        <v>338</v>
      </c>
    </row>
    <row r="25" spans="1:3" x14ac:dyDescent="0.25">
      <c r="A25" s="2" t="s">
        <v>131</v>
      </c>
      <c r="B25" s="3" t="s">
        <v>339</v>
      </c>
      <c r="C25" s="4" t="s">
        <v>340</v>
      </c>
    </row>
    <row r="26" spans="1:3" x14ac:dyDescent="0.25">
      <c r="A26" s="5" t="s">
        <v>278</v>
      </c>
      <c r="B26" s="6" t="s">
        <v>341</v>
      </c>
      <c r="C26" s="7" t="s">
        <v>342</v>
      </c>
    </row>
    <row r="27" spans="1:3" x14ac:dyDescent="0.25">
      <c r="A27" s="2" t="s">
        <v>132</v>
      </c>
      <c r="B27" s="3" t="s">
        <v>285</v>
      </c>
      <c r="C27" s="4" t="s">
        <v>343</v>
      </c>
    </row>
    <row r="28" spans="1:3" x14ac:dyDescent="0.25">
      <c r="A28" s="5" t="s">
        <v>344</v>
      </c>
      <c r="B28" s="6" t="s">
        <v>285</v>
      </c>
      <c r="C28" s="7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EB33-699D-4BA3-936B-2EEC4CB2DF13}">
  <dimension ref="A1:G28"/>
  <sheetViews>
    <sheetView topLeftCell="A9" workbookViewId="0">
      <selection activeCell="C4" sqref="C4"/>
    </sheetView>
  </sheetViews>
  <sheetFormatPr defaultRowHeight="15" x14ac:dyDescent="0.25"/>
  <cols>
    <col min="1" max="1" width="20.42578125" bestFit="1" customWidth="1"/>
    <col min="2" max="2" width="11.28515625" bestFit="1" customWidth="1"/>
  </cols>
  <sheetData>
    <row r="1" spans="1:7" s="20" customFormat="1" ht="12.75" customHeight="1" x14ac:dyDescent="0.25">
      <c r="A1" s="2"/>
      <c r="B1" s="3"/>
      <c r="C1" s="3"/>
      <c r="D1" s="3" t="s">
        <v>133</v>
      </c>
      <c r="E1" s="3"/>
      <c r="F1" s="3"/>
      <c r="G1" s="4"/>
    </row>
    <row r="2" spans="1:7" x14ac:dyDescent="0.25">
      <c r="A2" s="5" t="s">
        <v>134</v>
      </c>
      <c r="B2" s="6" t="s">
        <v>135</v>
      </c>
      <c r="C2" s="6"/>
      <c r="D2" s="6" t="s">
        <v>136</v>
      </c>
      <c r="E2" s="6"/>
      <c r="F2" s="6"/>
      <c r="G2" s="7" t="s">
        <v>137</v>
      </c>
    </row>
    <row r="3" spans="1:7" x14ac:dyDescent="0.25">
      <c r="A3" s="2" t="s">
        <v>138</v>
      </c>
      <c r="B3" s="3" t="s">
        <v>139</v>
      </c>
      <c r="C3" s="3" t="s">
        <v>140</v>
      </c>
      <c r="D3" s="3" t="s">
        <v>139</v>
      </c>
      <c r="E3" s="3" t="s">
        <v>140</v>
      </c>
      <c r="F3" s="3" t="s">
        <v>139</v>
      </c>
      <c r="G3" s="4" t="s">
        <v>140</v>
      </c>
    </row>
    <row r="4" spans="1:7" x14ac:dyDescent="0.25">
      <c r="A4" s="5" t="s">
        <v>141</v>
      </c>
      <c r="B4" s="6" t="s">
        <v>142</v>
      </c>
      <c r="C4" s="6" t="s">
        <v>143</v>
      </c>
      <c r="D4" s="6" t="s">
        <v>144</v>
      </c>
      <c r="E4" s="6" t="s">
        <v>145</v>
      </c>
      <c r="F4" s="6" t="s">
        <v>146</v>
      </c>
      <c r="G4" s="7" t="s">
        <v>147</v>
      </c>
    </row>
    <row r="5" spans="1:7" x14ac:dyDescent="0.25">
      <c r="A5" s="2" t="s">
        <v>84</v>
      </c>
      <c r="B5" s="3" t="s">
        <v>148</v>
      </c>
      <c r="C5" s="3" t="s">
        <v>149</v>
      </c>
      <c r="D5" s="3" t="s">
        <v>150</v>
      </c>
      <c r="E5" s="3" t="s">
        <v>151</v>
      </c>
      <c r="F5" s="3" t="s">
        <v>152</v>
      </c>
      <c r="G5" s="4" t="s">
        <v>153</v>
      </c>
    </row>
    <row r="6" spans="1:7" x14ac:dyDescent="0.25">
      <c r="A6" s="5" t="s">
        <v>89</v>
      </c>
      <c r="B6" s="6" t="s">
        <v>154</v>
      </c>
      <c r="C6" s="6" t="s">
        <v>155</v>
      </c>
      <c r="D6" s="6" t="s">
        <v>156</v>
      </c>
      <c r="E6" s="6" t="s">
        <v>157</v>
      </c>
      <c r="F6" s="6" t="s">
        <v>158</v>
      </c>
      <c r="G6" s="7" t="s">
        <v>159</v>
      </c>
    </row>
    <row r="7" spans="1:7" x14ac:dyDescent="0.25">
      <c r="A7" s="2" t="s">
        <v>76</v>
      </c>
      <c r="B7" s="3" t="s">
        <v>160</v>
      </c>
      <c r="C7" s="3" t="s">
        <v>161</v>
      </c>
      <c r="D7" s="3" t="s">
        <v>162</v>
      </c>
      <c r="E7" s="3" t="s">
        <v>163</v>
      </c>
      <c r="F7" s="3" t="s">
        <v>164</v>
      </c>
      <c r="G7" s="4" t="s">
        <v>165</v>
      </c>
    </row>
    <row r="8" spans="1:7" x14ac:dyDescent="0.25">
      <c r="A8" s="5" t="s">
        <v>81</v>
      </c>
      <c r="B8" s="6" t="s">
        <v>166</v>
      </c>
      <c r="C8" s="6" t="s">
        <v>167</v>
      </c>
      <c r="D8" s="6" t="s">
        <v>168</v>
      </c>
      <c r="E8" s="6" t="s">
        <v>169</v>
      </c>
      <c r="F8" s="6" t="s">
        <v>170</v>
      </c>
      <c r="G8" s="7" t="s">
        <v>171</v>
      </c>
    </row>
    <row r="9" spans="1:7" x14ac:dyDescent="0.25">
      <c r="A9" s="2" t="s">
        <v>86</v>
      </c>
      <c r="B9" s="3" t="s">
        <v>172</v>
      </c>
      <c r="C9" s="3" t="s">
        <v>173</v>
      </c>
      <c r="D9" s="3" t="s">
        <v>174</v>
      </c>
      <c r="E9" s="3" t="s">
        <v>175</v>
      </c>
      <c r="F9" s="3" t="s">
        <v>176</v>
      </c>
      <c r="G9" s="4" t="s">
        <v>177</v>
      </c>
    </row>
    <row r="10" spans="1:7" x14ac:dyDescent="0.25">
      <c r="A10" s="5" t="s">
        <v>92</v>
      </c>
      <c r="B10" s="6" t="s">
        <v>178</v>
      </c>
      <c r="C10" s="6" t="s">
        <v>179</v>
      </c>
      <c r="D10" s="6" t="s">
        <v>180</v>
      </c>
      <c r="E10" s="6" t="s">
        <v>181</v>
      </c>
      <c r="F10" s="6" t="s">
        <v>182</v>
      </c>
      <c r="G10" s="7" t="s">
        <v>183</v>
      </c>
    </row>
    <row r="11" spans="1:7" x14ac:dyDescent="0.25">
      <c r="A11" s="2" t="s">
        <v>184</v>
      </c>
      <c r="B11" s="3" t="s">
        <v>185</v>
      </c>
      <c r="C11" s="3" t="s">
        <v>186</v>
      </c>
      <c r="D11" s="3" t="s">
        <v>187</v>
      </c>
      <c r="E11" s="3" t="s">
        <v>188</v>
      </c>
      <c r="F11" s="3" t="s">
        <v>189</v>
      </c>
      <c r="G11" s="4" t="s">
        <v>190</v>
      </c>
    </row>
    <row r="12" spans="1:7" x14ac:dyDescent="0.25">
      <c r="A12" s="5" t="s">
        <v>95</v>
      </c>
      <c r="B12" s="6" t="s">
        <v>191</v>
      </c>
      <c r="C12" s="6" t="s">
        <v>192</v>
      </c>
      <c r="D12" s="6" t="s">
        <v>193</v>
      </c>
      <c r="E12" s="6" t="s">
        <v>194</v>
      </c>
      <c r="F12" s="6" t="s">
        <v>195</v>
      </c>
      <c r="G12" s="7" t="s">
        <v>196</v>
      </c>
    </row>
    <row r="13" spans="1:7" x14ac:dyDescent="0.25">
      <c r="A13" s="2" t="s">
        <v>100</v>
      </c>
      <c r="B13" s="3" t="s">
        <v>197</v>
      </c>
      <c r="C13" s="3" t="s">
        <v>198</v>
      </c>
      <c r="D13" s="3" t="s">
        <v>199</v>
      </c>
      <c r="E13" s="3" t="s">
        <v>200</v>
      </c>
      <c r="F13" s="3" t="s">
        <v>201</v>
      </c>
      <c r="G13" s="4" t="s">
        <v>202</v>
      </c>
    </row>
    <row r="14" spans="1:7" x14ac:dyDescent="0.25">
      <c r="A14" s="5" t="s">
        <v>105</v>
      </c>
      <c r="B14" s="6" t="s">
        <v>203</v>
      </c>
      <c r="C14" s="6" t="s">
        <v>204</v>
      </c>
      <c r="D14" s="6" t="s">
        <v>205</v>
      </c>
      <c r="E14" s="6" t="s">
        <v>206</v>
      </c>
      <c r="F14" s="6" t="s">
        <v>207</v>
      </c>
      <c r="G14" s="7" t="s">
        <v>208</v>
      </c>
    </row>
    <row r="15" spans="1:7" x14ac:dyDescent="0.25">
      <c r="A15" s="2" t="s">
        <v>209</v>
      </c>
      <c r="B15" s="3" t="s">
        <v>210</v>
      </c>
      <c r="C15" s="3" t="s">
        <v>211</v>
      </c>
      <c r="D15" s="3" t="s">
        <v>212</v>
      </c>
      <c r="E15" s="3" t="s">
        <v>213</v>
      </c>
      <c r="F15" s="3" t="s">
        <v>214</v>
      </c>
      <c r="G15" s="4" t="s">
        <v>215</v>
      </c>
    </row>
    <row r="16" spans="1:7" x14ac:dyDescent="0.25">
      <c r="A16" s="5" t="s">
        <v>102</v>
      </c>
      <c r="B16" s="6" t="s">
        <v>216</v>
      </c>
      <c r="C16" s="6" t="s">
        <v>217</v>
      </c>
      <c r="D16" s="6" t="s">
        <v>218</v>
      </c>
      <c r="E16" s="6" t="s">
        <v>219</v>
      </c>
      <c r="F16" s="6" t="s">
        <v>220</v>
      </c>
      <c r="G16" s="7" t="s">
        <v>221</v>
      </c>
    </row>
    <row r="17" spans="1:7" x14ac:dyDescent="0.25">
      <c r="A17" s="2" t="s">
        <v>107</v>
      </c>
      <c r="B17" s="3" t="s">
        <v>222</v>
      </c>
      <c r="C17" s="3" t="s">
        <v>223</v>
      </c>
      <c r="D17" s="3" t="s">
        <v>224</v>
      </c>
      <c r="E17" s="3" t="s">
        <v>225</v>
      </c>
      <c r="F17" s="3" t="s">
        <v>226</v>
      </c>
      <c r="G17" s="4" t="s">
        <v>227</v>
      </c>
    </row>
    <row r="18" spans="1:7" x14ac:dyDescent="0.25">
      <c r="A18" s="5" t="s">
        <v>115</v>
      </c>
      <c r="B18" s="6" t="s">
        <v>228</v>
      </c>
      <c r="C18" s="6" t="s">
        <v>229</v>
      </c>
      <c r="D18" s="6" t="s">
        <v>230</v>
      </c>
      <c r="E18" s="6" t="s">
        <v>231</v>
      </c>
      <c r="F18" s="6" t="s">
        <v>232</v>
      </c>
      <c r="G18" s="7" t="s">
        <v>233</v>
      </c>
    </row>
    <row r="19" spans="1:7" x14ac:dyDescent="0.25">
      <c r="A19" s="2" t="s">
        <v>119</v>
      </c>
      <c r="B19" s="3" t="s">
        <v>234</v>
      </c>
      <c r="C19" s="3" t="s">
        <v>235</v>
      </c>
      <c r="D19" s="3" t="s">
        <v>236</v>
      </c>
      <c r="E19" s="3" t="s">
        <v>237</v>
      </c>
      <c r="F19" s="3" t="s">
        <v>238</v>
      </c>
      <c r="G19" s="4" t="s">
        <v>239</v>
      </c>
    </row>
    <row r="20" spans="1:7" x14ac:dyDescent="0.25">
      <c r="A20" s="5" t="s">
        <v>112</v>
      </c>
      <c r="B20" s="6" t="s">
        <v>240</v>
      </c>
      <c r="C20" s="6" t="s">
        <v>241</v>
      </c>
      <c r="D20" s="6" t="s">
        <v>242</v>
      </c>
      <c r="E20" s="6" t="s">
        <v>243</v>
      </c>
      <c r="F20" s="6" t="s">
        <v>244</v>
      </c>
      <c r="G20" s="7" t="s">
        <v>245</v>
      </c>
    </row>
    <row r="21" spans="1:7" x14ac:dyDescent="0.25">
      <c r="A21" s="2" t="s">
        <v>117</v>
      </c>
      <c r="B21" s="3" t="s">
        <v>246</v>
      </c>
      <c r="C21" s="3" t="s">
        <v>247</v>
      </c>
      <c r="D21" s="3" t="s">
        <v>248</v>
      </c>
      <c r="E21" s="3" t="s">
        <v>249</v>
      </c>
      <c r="F21" s="3" t="s">
        <v>250</v>
      </c>
      <c r="G21" s="4" t="s">
        <v>251</v>
      </c>
    </row>
    <row r="22" spans="1:7" x14ac:dyDescent="0.25">
      <c r="A22" s="5" t="s">
        <v>123</v>
      </c>
      <c r="B22" s="6" t="s">
        <v>252</v>
      </c>
      <c r="C22" s="6" t="s">
        <v>253</v>
      </c>
      <c r="D22" s="6" t="s">
        <v>254</v>
      </c>
      <c r="E22" s="6" t="s">
        <v>255</v>
      </c>
      <c r="F22" s="6" t="s">
        <v>256</v>
      </c>
      <c r="G22" s="7" t="s">
        <v>257</v>
      </c>
    </row>
    <row r="23" spans="1:7" x14ac:dyDescent="0.25">
      <c r="A23" s="2" t="s">
        <v>258</v>
      </c>
      <c r="B23" s="3" t="s">
        <v>259</v>
      </c>
      <c r="C23" s="3" t="s">
        <v>260</v>
      </c>
      <c r="D23" s="3" t="s">
        <v>261</v>
      </c>
      <c r="E23" s="3" t="s">
        <v>262</v>
      </c>
      <c r="F23" s="3" t="s">
        <v>263</v>
      </c>
      <c r="G23" s="4" t="s">
        <v>264</v>
      </c>
    </row>
    <row r="24" spans="1:7" x14ac:dyDescent="0.25">
      <c r="A24" s="5" t="s">
        <v>265</v>
      </c>
      <c r="B24" s="6" t="s">
        <v>266</v>
      </c>
      <c r="C24" s="6" t="s">
        <v>267</v>
      </c>
      <c r="D24" s="6" t="s">
        <v>268</v>
      </c>
      <c r="E24" s="6" t="s">
        <v>269</v>
      </c>
      <c r="F24" s="6" t="s">
        <v>270</v>
      </c>
      <c r="G24" s="7" t="s">
        <v>271</v>
      </c>
    </row>
    <row r="25" spans="1:7" x14ac:dyDescent="0.25">
      <c r="A25" s="2" t="s">
        <v>131</v>
      </c>
      <c r="B25" s="3" t="s">
        <v>272</v>
      </c>
      <c r="C25" s="3" t="s">
        <v>273</v>
      </c>
      <c r="D25" s="3" t="s">
        <v>274</v>
      </c>
      <c r="E25" s="3" t="s">
        <v>275</v>
      </c>
      <c r="F25" s="3" t="s">
        <v>276</v>
      </c>
      <c r="G25" s="4" t="s">
        <v>277</v>
      </c>
    </row>
    <row r="26" spans="1:7" x14ac:dyDescent="0.25">
      <c r="A26" s="5" t="s">
        <v>278</v>
      </c>
      <c r="B26" s="6" t="s">
        <v>279</v>
      </c>
      <c r="C26" s="6" t="s">
        <v>280</v>
      </c>
      <c r="D26" s="6" t="s">
        <v>281</v>
      </c>
      <c r="E26" s="6" t="s">
        <v>282</v>
      </c>
      <c r="F26" s="6" t="s">
        <v>283</v>
      </c>
      <c r="G26" s="7" t="s">
        <v>284</v>
      </c>
    </row>
    <row r="27" spans="1:7" x14ac:dyDescent="0.25">
      <c r="A27" s="2" t="s">
        <v>132</v>
      </c>
      <c r="B27" s="3" t="s">
        <v>285</v>
      </c>
      <c r="C27" s="3" t="s">
        <v>286</v>
      </c>
      <c r="D27" s="3" t="s">
        <v>285</v>
      </c>
      <c r="E27" s="3" t="s">
        <v>287</v>
      </c>
      <c r="F27" s="3" t="s">
        <v>285</v>
      </c>
      <c r="G27" s="4" t="s">
        <v>288</v>
      </c>
    </row>
    <row r="28" spans="1:7" x14ac:dyDescent="0.25">
      <c r="A28" s="5" t="s">
        <v>289</v>
      </c>
      <c r="B28" s="6" t="s">
        <v>285</v>
      </c>
      <c r="C28" s="6" t="s">
        <v>290</v>
      </c>
      <c r="D28" s="6" t="s">
        <v>285</v>
      </c>
      <c r="E28" s="6" t="s">
        <v>72</v>
      </c>
      <c r="F28" s="6" t="s">
        <v>285</v>
      </c>
      <c r="G28" s="7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03FA-0813-4D5F-927B-EDFACAA06AF9}">
  <dimension ref="A1:D24"/>
  <sheetViews>
    <sheetView tabSelected="1" topLeftCell="A6" workbookViewId="0">
      <selection activeCell="D26" sqref="D26"/>
    </sheetView>
  </sheetViews>
  <sheetFormatPr defaultRowHeight="15" x14ac:dyDescent="0.25"/>
  <cols>
    <col min="1" max="1" width="17.7109375" style="24" bestFit="1" customWidth="1"/>
    <col min="2" max="2" width="40.85546875" style="24" bestFit="1" customWidth="1"/>
    <col min="3" max="3" width="9.140625" style="24"/>
  </cols>
  <sheetData>
    <row r="1" spans="1:4" x14ac:dyDescent="0.25">
      <c r="A1" s="22"/>
      <c r="B1" s="22" t="s">
        <v>73</v>
      </c>
      <c r="C1" s="22"/>
    </row>
    <row r="2" spans="1:4" x14ac:dyDescent="0.25">
      <c r="A2" s="22" t="s">
        <v>74</v>
      </c>
      <c r="B2" s="22" t="s">
        <v>383</v>
      </c>
      <c r="C2" s="22" t="s">
        <v>75</v>
      </c>
    </row>
    <row r="3" spans="1:4" x14ac:dyDescent="0.25">
      <c r="A3" s="22" t="s">
        <v>76</v>
      </c>
      <c r="B3" s="22" t="s">
        <v>77</v>
      </c>
      <c r="C3" s="22" t="s">
        <v>77</v>
      </c>
      <c r="D3">
        <f>C3*1000000</f>
        <v>660000</v>
      </c>
    </row>
    <row r="4" spans="1:4" x14ac:dyDescent="0.25">
      <c r="A4" s="22" t="s">
        <v>81</v>
      </c>
      <c r="B4" s="22" t="s">
        <v>82</v>
      </c>
      <c r="C4" s="22" t="s">
        <v>83</v>
      </c>
      <c r="D4">
        <f t="shared" ref="D4:D24" si="0">C4*1000000</f>
        <v>1000000</v>
      </c>
    </row>
    <row r="5" spans="1:4" x14ac:dyDescent="0.25">
      <c r="A5" s="22" t="s">
        <v>86</v>
      </c>
      <c r="B5" s="22" t="s">
        <v>87</v>
      </c>
      <c r="C5" s="22" t="s">
        <v>88</v>
      </c>
      <c r="D5">
        <f t="shared" si="0"/>
        <v>410000</v>
      </c>
    </row>
    <row r="6" spans="1:4" x14ac:dyDescent="0.25">
      <c r="A6" s="22" t="s">
        <v>92</v>
      </c>
      <c r="B6" s="22" t="s">
        <v>93</v>
      </c>
      <c r="C6" s="22" t="s">
        <v>94</v>
      </c>
      <c r="D6">
        <f t="shared" si="0"/>
        <v>60000</v>
      </c>
    </row>
    <row r="7" spans="1:4" x14ac:dyDescent="0.25">
      <c r="A7" s="22" t="s">
        <v>98</v>
      </c>
      <c r="B7" s="22" t="s">
        <v>94</v>
      </c>
      <c r="C7" s="22" t="s">
        <v>99</v>
      </c>
      <c r="D7">
        <f t="shared" si="0"/>
        <v>70000</v>
      </c>
    </row>
    <row r="8" spans="1:4" x14ac:dyDescent="0.25">
      <c r="A8" s="22" t="s">
        <v>102</v>
      </c>
      <c r="B8" s="22" t="s">
        <v>103</v>
      </c>
      <c r="C8" s="22" t="s">
        <v>104</v>
      </c>
      <c r="D8">
        <f t="shared" si="0"/>
        <v>1060000</v>
      </c>
    </row>
    <row r="9" spans="1:4" x14ac:dyDescent="0.25">
      <c r="A9" s="22" t="s">
        <v>107</v>
      </c>
      <c r="B9" s="22" t="s">
        <v>108</v>
      </c>
      <c r="C9" s="22" t="s">
        <v>109</v>
      </c>
      <c r="D9">
        <f t="shared" si="0"/>
        <v>250000</v>
      </c>
    </row>
    <row r="10" spans="1:4" x14ac:dyDescent="0.25">
      <c r="A10" s="22" t="s">
        <v>112</v>
      </c>
      <c r="B10" s="22" t="s">
        <v>113</v>
      </c>
      <c r="C10" s="22" t="s">
        <v>114</v>
      </c>
      <c r="D10">
        <f t="shared" si="0"/>
        <v>350000</v>
      </c>
    </row>
    <row r="11" spans="1:4" x14ac:dyDescent="0.25">
      <c r="A11" s="22" t="s">
        <v>117</v>
      </c>
      <c r="B11" s="22" t="s">
        <v>118</v>
      </c>
      <c r="C11" s="22" t="s">
        <v>118</v>
      </c>
      <c r="D11">
        <f t="shared" si="0"/>
        <v>780000</v>
      </c>
    </row>
    <row r="12" spans="1:4" x14ac:dyDescent="0.25">
      <c r="A12" s="22" t="s">
        <v>120</v>
      </c>
      <c r="B12" s="22" t="s">
        <v>121</v>
      </c>
      <c r="C12" s="22" t="s">
        <v>122</v>
      </c>
      <c r="D12">
        <f t="shared" si="0"/>
        <v>1970000</v>
      </c>
    </row>
    <row r="13" spans="1:4" x14ac:dyDescent="0.25">
      <c r="A13" s="22" t="s">
        <v>125</v>
      </c>
      <c r="B13" s="22" t="s">
        <v>126</v>
      </c>
      <c r="C13" s="22" t="s">
        <v>127</v>
      </c>
      <c r="D13">
        <f t="shared" si="0"/>
        <v>1350000</v>
      </c>
    </row>
    <row r="14" spans="1:4" x14ac:dyDescent="0.25">
      <c r="A14" s="23" t="s">
        <v>78</v>
      </c>
      <c r="B14" s="23" t="s">
        <v>79</v>
      </c>
      <c r="C14" s="25" t="s">
        <v>80</v>
      </c>
      <c r="D14">
        <f t="shared" si="0"/>
        <v>680000</v>
      </c>
    </row>
    <row r="15" spans="1:4" x14ac:dyDescent="0.25">
      <c r="A15" s="23" t="s">
        <v>84</v>
      </c>
      <c r="B15" s="23" t="s">
        <v>85</v>
      </c>
      <c r="C15" s="25" t="s">
        <v>85</v>
      </c>
      <c r="D15">
        <f t="shared" si="0"/>
        <v>120000</v>
      </c>
    </row>
    <row r="16" spans="1:4" x14ac:dyDescent="0.25">
      <c r="A16" s="23" t="s">
        <v>89</v>
      </c>
      <c r="B16" s="23" t="s">
        <v>90</v>
      </c>
      <c r="C16" s="25" t="s">
        <v>91</v>
      </c>
      <c r="D16">
        <f t="shared" si="0"/>
        <v>1330000</v>
      </c>
    </row>
    <row r="17" spans="1:4" x14ac:dyDescent="0.25">
      <c r="A17" s="23" t="s">
        <v>95</v>
      </c>
      <c r="B17" s="23" t="s">
        <v>96</v>
      </c>
      <c r="C17" s="25" t="s">
        <v>97</v>
      </c>
      <c r="D17">
        <f t="shared" si="0"/>
        <v>610000</v>
      </c>
    </row>
    <row r="18" spans="1:4" x14ac:dyDescent="0.25">
      <c r="A18" s="23" t="s">
        <v>100</v>
      </c>
      <c r="B18" s="23" t="s">
        <v>101</v>
      </c>
      <c r="C18" s="25" t="s">
        <v>101</v>
      </c>
      <c r="D18">
        <f t="shared" si="0"/>
        <v>260000</v>
      </c>
    </row>
    <row r="19" spans="1:4" x14ac:dyDescent="0.25">
      <c r="A19" s="23" t="s">
        <v>105</v>
      </c>
      <c r="B19" s="23" t="s">
        <v>106</v>
      </c>
      <c r="C19" s="25" t="s">
        <v>106</v>
      </c>
      <c r="D19">
        <f t="shared" si="0"/>
        <v>190000</v>
      </c>
    </row>
    <row r="20" spans="1:4" x14ac:dyDescent="0.25">
      <c r="A20" s="23" t="s">
        <v>110</v>
      </c>
      <c r="B20" s="23" t="s">
        <v>111</v>
      </c>
      <c r="C20" s="25" t="s">
        <v>111</v>
      </c>
      <c r="D20">
        <f t="shared" si="0"/>
        <v>1400000</v>
      </c>
    </row>
    <row r="21" spans="1:4" x14ac:dyDescent="0.25">
      <c r="A21" s="23" t="s">
        <v>115</v>
      </c>
      <c r="B21" s="23" t="s">
        <v>116</v>
      </c>
      <c r="C21" s="25" t="s">
        <v>116</v>
      </c>
      <c r="D21">
        <f t="shared" si="0"/>
        <v>30000</v>
      </c>
    </row>
    <row r="22" spans="1:4" x14ac:dyDescent="0.25">
      <c r="A22" s="23" t="s">
        <v>119</v>
      </c>
      <c r="B22" s="23" t="s">
        <v>109</v>
      </c>
      <c r="C22" s="25" t="s">
        <v>109</v>
      </c>
      <c r="D22">
        <f t="shared" si="0"/>
        <v>250000</v>
      </c>
    </row>
    <row r="23" spans="1:4" x14ac:dyDescent="0.25">
      <c r="A23" s="23" t="s">
        <v>123</v>
      </c>
      <c r="B23" s="23" t="s">
        <v>124</v>
      </c>
      <c r="C23" s="25" t="s">
        <v>96</v>
      </c>
      <c r="D23">
        <f>C23*1000000</f>
        <v>620000</v>
      </c>
    </row>
    <row r="24" spans="1:4" x14ac:dyDescent="0.25">
      <c r="A24" s="23" t="s">
        <v>128</v>
      </c>
      <c r="B24" s="23" t="s">
        <v>129</v>
      </c>
      <c r="C24" s="25" t="s">
        <v>130</v>
      </c>
      <c r="D24">
        <f t="shared" si="0"/>
        <v>1260000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7DCF-410C-4BA8-AEC3-323CE17776CB}">
  <dimension ref="A1:E11"/>
  <sheetViews>
    <sheetView workbookViewId="0">
      <selection activeCell="D20" sqref="D20"/>
    </sheetView>
  </sheetViews>
  <sheetFormatPr defaultRowHeight="15" x14ac:dyDescent="0.25"/>
  <cols>
    <col min="1" max="1" width="11.42578125" bestFit="1" customWidth="1"/>
    <col min="2" max="2" width="25.140625" bestFit="1" customWidth="1"/>
    <col min="3" max="3" width="11.42578125" bestFit="1" customWidth="1"/>
    <col min="4" max="4" width="27.2851562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/>
      <c r="B2" s="1" t="s">
        <v>42</v>
      </c>
      <c r="C2" s="1"/>
      <c r="D2" s="1" t="s">
        <v>43</v>
      </c>
      <c r="E2" s="1"/>
    </row>
    <row r="3" spans="1:5" x14ac:dyDescent="0.25">
      <c r="A3" s="1" t="s">
        <v>44</v>
      </c>
      <c r="B3" s="1" t="s">
        <v>45</v>
      </c>
      <c r="C3" s="1"/>
      <c r="D3" s="1" t="s">
        <v>46</v>
      </c>
      <c r="E3" s="1"/>
    </row>
    <row r="4" spans="1:5" x14ac:dyDescent="0.25">
      <c r="A4" s="1"/>
      <c r="B4" s="1" t="s">
        <v>47</v>
      </c>
      <c r="C4" s="1"/>
      <c r="D4" s="1" t="s">
        <v>47</v>
      </c>
      <c r="E4" s="1"/>
    </row>
    <row r="5" spans="1:5" x14ac:dyDescent="0.25">
      <c r="A5" s="1" t="s">
        <v>48</v>
      </c>
      <c r="B5" s="1" t="s">
        <v>29</v>
      </c>
      <c r="C5" s="1" t="s">
        <v>28</v>
      </c>
      <c r="D5" s="1" t="s">
        <v>29</v>
      </c>
      <c r="E5" s="1" t="s">
        <v>28</v>
      </c>
    </row>
    <row r="6" spans="1:5" x14ac:dyDescent="0.25">
      <c r="A6" s="1"/>
      <c r="B6" s="1" t="s">
        <v>5</v>
      </c>
      <c r="C6" s="1" t="s">
        <v>5</v>
      </c>
      <c r="D6" s="1" t="s">
        <v>5</v>
      </c>
      <c r="E6" s="1" t="s">
        <v>5</v>
      </c>
    </row>
    <row r="7" spans="1:5" x14ac:dyDescent="0.2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</row>
    <row r="8" spans="1:5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</row>
    <row r="9" spans="1:5" x14ac:dyDescent="0.25">
      <c r="A9" s="1" t="s">
        <v>59</v>
      </c>
      <c r="B9" s="1" t="s">
        <v>60</v>
      </c>
      <c r="C9" s="1" t="s">
        <v>56</v>
      </c>
      <c r="D9" s="1" t="s">
        <v>61</v>
      </c>
      <c r="E9" s="1" t="s">
        <v>62</v>
      </c>
    </row>
    <row r="10" spans="1:5" x14ac:dyDescent="0.25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</row>
    <row r="11" spans="1:5" x14ac:dyDescent="0.25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45CE-457C-44C1-AA34-B9FBCDA22828}">
  <dimension ref="A1:E8"/>
  <sheetViews>
    <sheetView workbookViewId="0"/>
  </sheetViews>
  <sheetFormatPr defaultRowHeight="15" x14ac:dyDescent="0.25"/>
  <cols>
    <col min="1" max="1" width="14.5703125" bestFit="1" customWidth="1"/>
    <col min="2" max="2" width="41.7109375" bestFit="1" customWidth="1"/>
    <col min="3" max="3" width="18.140625" bestFit="1" customWidth="1"/>
    <col min="4" max="4" width="49.7109375" bestFit="1" customWidth="1"/>
    <col min="5" max="5" width="1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/>
      <c r="B2" s="1" t="s">
        <v>357</v>
      </c>
      <c r="C2" s="1"/>
      <c r="D2" s="1" t="s">
        <v>358</v>
      </c>
      <c r="E2" s="1"/>
    </row>
    <row r="3" spans="1:5" x14ac:dyDescent="0.25">
      <c r="A3" s="1" t="s">
        <v>359</v>
      </c>
      <c r="B3" s="1" t="s">
        <v>360</v>
      </c>
      <c r="C3" s="1" t="s">
        <v>361</v>
      </c>
      <c r="D3" s="1" t="s">
        <v>360</v>
      </c>
      <c r="E3" s="1" t="s">
        <v>361</v>
      </c>
    </row>
    <row r="4" spans="1:5" x14ac:dyDescent="0.25">
      <c r="A4" s="1" t="s">
        <v>49</v>
      </c>
      <c r="B4" s="1" t="s">
        <v>362</v>
      </c>
      <c r="C4" s="1" t="s">
        <v>363</v>
      </c>
      <c r="D4" s="1" t="s">
        <v>364</v>
      </c>
      <c r="E4" s="1" t="s">
        <v>365</v>
      </c>
    </row>
    <row r="5" spans="1:5" x14ac:dyDescent="0.25">
      <c r="A5" s="1" t="s">
        <v>54</v>
      </c>
      <c r="B5" s="1" t="s">
        <v>366</v>
      </c>
      <c r="C5" s="1" t="s">
        <v>367</v>
      </c>
      <c r="D5" s="1" t="s">
        <v>368</v>
      </c>
      <c r="E5" s="1" t="s">
        <v>369</v>
      </c>
    </row>
    <row r="6" spans="1:5" x14ac:dyDescent="0.25">
      <c r="A6" s="1" t="s">
        <v>59</v>
      </c>
      <c r="B6" s="1" t="s">
        <v>370</v>
      </c>
      <c r="C6" s="1" t="s">
        <v>371</v>
      </c>
      <c r="D6" s="1" t="s">
        <v>372</v>
      </c>
      <c r="E6" s="1" t="s">
        <v>373</v>
      </c>
    </row>
    <row r="7" spans="1:5" x14ac:dyDescent="0.25">
      <c r="A7" s="1" t="s">
        <v>63</v>
      </c>
      <c r="B7" s="1" t="s">
        <v>374</v>
      </c>
      <c r="C7" s="1" t="s">
        <v>375</v>
      </c>
      <c r="D7" s="1" t="s">
        <v>376</v>
      </c>
      <c r="E7" s="1" t="s">
        <v>377</v>
      </c>
    </row>
    <row r="8" spans="1:5" x14ac:dyDescent="0.25">
      <c r="A8" s="1" t="s">
        <v>68</v>
      </c>
      <c r="B8" s="1" t="s">
        <v>378</v>
      </c>
      <c r="C8" s="1" t="s">
        <v>379</v>
      </c>
      <c r="D8" s="1" t="s">
        <v>380</v>
      </c>
      <c r="E8" s="1" t="s">
        <v>381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A24C-45CF-44E1-8E16-DFC844CCEEE5}">
  <dimension ref="A1:C6"/>
  <sheetViews>
    <sheetView workbookViewId="0">
      <selection activeCell="A7" sqref="A7:XFD7"/>
    </sheetView>
  </sheetViews>
  <sheetFormatPr defaultRowHeight="15" x14ac:dyDescent="0.25"/>
  <cols>
    <col min="1" max="1" width="7" bestFit="1" customWidth="1"/>
    <col min="2" max="2" width="87.7109375" bestFit="1" customWidth="1"/>
    <col min="3" max="3" width="29" bestFit="1" customWidth="1"/>
  </cols>
  <sheetData>
    <row r="1" spans="1:3" x14ac:dyDescent="0.25">
      <c r="A1" t="s">
        <v>346</v>
      </c>
      <c r="B1" t="s">
        <v>347</v>
      </c>
      <c r="C1" t="s">
        <v>348</v>
      </c>
    </row>
    <row r="2" spans="1:3" x14ac:dyDescent="0.25">
      <c r="A2">
        <v>1</v>
      </c>
      <c r="B2" s="1" t="s">
        <v>349</v>
      </c>
      <c r="C2">
        <v>496.92</v>
      </c>
    </row>
    <row r="3" spans="1:3" x14ac:dyDescent="0.25">
      <c r="A3">
        <v>2</v>
      </c>
      <c r="B3" s="1" t="s">
        <v>350</v>
      </c>
      <c r="C3">
        <v>304.20999999999998</v>
      </c>
    </row>
    <row r="4" spans="1:3" x14ac:dyDescent="0.25">
      <c r="A4">
        <v>3</v>
      </c>
      <c r="B4" s="1" t="s">
        <v>351</v>
      </c>
      <c r="C4">
        <v>127.74</v>
      </c>
    </row>
    <row r="5" spans="1:3" x14ac:dyDescent="0.25">
      <c r="A5">
        <v>4</v>
      </c>
      <c r="B5" s="1" t="s">
        <v>352</v>
      </c>
      <c r="C5">
        <v>29.4</v>
      </c>
    </row>
    <row r="6" spans="1:3" x14ac:dyDescent="0.25">
      <c r="A6">
        <v>5</v>
      </c>
      <c r="B6" s="1" t="s">
        <v>356</v>
      </c>
      <c r="C6">
        <v>0.12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A340-88D7-4631-A35D-838DE9A5A3E8}">
  <dimension ref="A1:C6"/>
  <sheetViews>
    <sheetView workbookViewId="0">
      <selection activeCell="B13" sqref="B13"/>
    </sheetView>
  </sheetViews>
  <sheetFormatPr defaultRowHeight="15" x14ac:dyDescent="0.25"/>
  <cols>
    <col min="1" max="1" width="7" bestFit="1" customWidth="1"/>
    <col min="2" max="2" width="66.7109375" bestFit="1" customWidth="1"/>
    <col min="3" max="3" width="29" bestFit="1" customWidth="1"/>
  </cols>
  <sheetData>
    <row r="1" spans="1:3" x14ac:dyDescent="0.25">
      <c r="A1" t="s">
        <v>346</v>
      </c>
      <c r="B1" t="s">
        <v>347</v>
      </c>
      <c r="C1" t="s">
        <v>348</v>
      </c>
    </row>
    <row r="2" spans="1:3" x14ac:dyDescent="0.25">
      <c r="A2">
        <v>1</v>
      </c>
      <c r="B2" s="1" t="s">
        <v>349</v>
      </c>
      <c r="C2">
        <v>510.52</v>
      </c>
    </row>
    <row r="3" spans="1:3" x14ac:dyDescent="0.25">
      <c r="A3">
        <v>2</v>
      </c>
      <c r="B3" s="1" t="s">
        <v>350</v>
      </c>
      <c r="C3">
        <v>314.26</v>
      </c>
    </row>
    <row r="4" spans="1:3" x14ac:dyDescent="0.25">
      <c r="A4">
        <v>3</v>
      </c>
      <c r="B4" s="1" t="s">
        <v>351</v>
      </c>
      <c r="C4">
        <v>127.75</v>
      </c>
    </row>
    <row r="5" spans="1:3" x14ac:dyDescent="0.25">
      <c r="A5">
        <v>4</v>
      </c>
      <c r="B5" s="1" t="s">
        <v>352</v>
      </c>
      <c r="C5">
        <v>33.85</v>
      </c>
    </row>
    <row r="6" spans="1:3" x14ac:dyDescent="0.25">
      <c r="A6">
        <v>5</v>
      </c>
      <c r="B6" s="1" t="s">
        <v>353</v>
      </c>
      <c r="C6">
        <v>2.35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DC14-6F5B-44A4-946E-C433D427582B}">
  <dimension ref="A1:C6"/>
  <sheetViews>
    <sheetView workbookViewId="0">
      <selection activeCell="A7" sqref="A7:XFD7"/>
    </sheetView>
  </sheetViews>
  <sheetFormatPr defaultRowHeight="15" x14ac:dyDescent="0.25"/>
  <cols>
    <col min="1" max="1" width="7" bestFit="1" customWidth="1"/>
    <col min="2" max="2" width="68.7109375" bestFit="1" customWidth="1"/>
    <col min="3" max="3" width="29" bestFit="1" customWidth="1"/>
  </cols>
  <sheetData>
    <row r="1" spans="1:3" x14ac:dyDescent="0.25">
      <c r="A1" t="s">
        <v>346</v>
      </c>
      <c r="B1" t="s">
        <v>347</v>
      </c>
      <c r="C1" t="s">
        <v>348</v>
      </c>
    </row>
    <row r="2" spans="1:3" x14ac:dyDescent="0.25">
      <c r="A2">
        <v>1</v>
      </c>
      <c r="B2" s="1" t="s">
        <v>349</v>
      </c>
      <c r="C2">
        <v>13.59</v>
      </c>
    </row>
    <row r="3" spans="1:3" x14ac:dyDescent="0.25">
      <c r="A3">
        <v>2</v>
      </c>
      <c r="B3" s="1" t="s">
        <v>350</v>
      </c>
      <c r="C3">
        <v>10.050000000000001</v>
      </c>
    </row>
    <row r="4" spans="1:3" x14ac:dyDescent="0.25">
      <c r="A4">
        <v>3</v>
      </c>
      <c r="B4" s="1" t="s">
        <v>354</v>
      </c>
      <c r="C4">
        <v>4.45</v>
      </c>
    </row>
    <row r="5" spans="1:3" x14ac:dyDescent="0.25">
      <c r="A5">
        <v>4</v>
      </c>
      <c r="B5" s="1" t="s">
        <v>353</v>
      </c>
      <c r="C5">
        <v>2.35</v>
      </c>
    </row>
    <row r="6" spans="1:3" x14ac:dyDescent="0.25">
      <c r="A6">
        <v>5</v>
      </c>
      <c r="B6" s="1" t="s">
        <v>355</v>
      </c>
      <c r="C6">
        <v>1.44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8384-3600-4E48-8C12-2BA5655432D8}">
  <dimension ref="A1:D16"/>
  <sheetViews>
    <sheetView workbookViewId="0">
      <selection sqref="A1:D16"/>
    </sheetView>
  </sheetViews>
  <sheetFormatPr defaultRowHeight="15" x14ac:dyDescent="0.25"/>
  <cols>
    <col min="1" max="1" width="36.7109375" bestFit="1" customWidth="1"/>
    <col min="2" max="2" width="12.28515625" bestFit="1" customWidth="1"/>
    <col min="3" max="3" width="11" bestFit="1" customWidth="1"/>
    <col min="4" max="4" width="28.140625" bestFit="1" customWidth="1"/>
  </cols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s="1" t="s">
        <v>31</v>
      </c>
      <c r="B2">
        <v>958.54</v>
      </c>
      <c r="C2">
        <v>45.11</v>
      </c>
      <c r="D2">
        <v>1003.65</v>
      </c>
    </row>
    <row r="3" spans="1:4" x14ac:dyDescent="0.25">
      <c r="A3" s="1" t="s">
        <v>32</v>
      </c>
      <c r="B3">
        <v>650.22</v>
      </c>
      <c r="C3">
        <v>41.94</v>
      </c>
      <c r="D3">
        <v>692.16</v>
      </c>
    </row>
    <row r="4" spans="1:4" x14ac:dyDescent="0.25">
      <c r="A4" s="1" t="s">
        <v>33</v>
      </c>
      <c r="B4">
        <v>2.39</v>
      </c>
      <c r="C4">
        <v>0.16</v>
      </c>
      <c r="D4">
        <v>2.5499999999999998</v>
      </c>
    </row>
    <row r="5" spans="1:4" x14ac:dyDescent="0.25">
      <c r="A5" s="1" t="s">
        <v>34</v>
      </c>
      <c r="B5">
        <v>3.7000000000000002E-3</v>
      </c>
      <c r="C5">
        <v>3.8E-3</v>
      </c>
      <c r="D5">
        <v>3.7000000000000002E-3</v>
      </c>
    </row>
    <row r="6" spans="1:4" x14ac:dyDescent="0.25">
      <c r="A6" s="1" t="s">
        <v>35</v>
      </c>
      <c r="B6">
        <v>537.26</v>
      </c>
      <c r="C6">
        <v>5.1100000000000003</v>
      </c>
      <c r="D6">
        <v>542.37</v>
      </c>
    </row>
    <row r="7" spans="1:4" x14ac:dyDescent="0.25">
      <c r="A7" s="1" t="s">
        <v>33</v>
      </c>
      <c r="B7">
        <v>0.47</v>
      </c>
      <c r="C7">
        <v>0.14000000000000001</v>
      </c>
      <c r="D7">
        <v>0.6</v>
      </c>
    </row>
    <row r="8" spans="1:4" x14ac:dyDescent="0.25">
      <c r="A8" s="1" t="s">
        <v>34</v>
      </c>
      <c r="B8">
        <v>8.9999999999999998E-4</v>
      </c>
      <c r="C8">
        <v>2.7199999999999998E-2</v>
      </c>
      <c r="D8">
        <v>1.1000000000000001E-3</v>
      </c>
    </row>
    <row r="9" spans="1:4" x14ac:dyDescent="0.25">
      <c r="A9" s="1" t="s">
        <v>36</v>
      </c>
      <c r="B9">
        <v>1187.48</v>
      </c>
      <c r="C9">
        <v>47.05</v>
      </c>
      <c r="D9">
        <v>1234.53</v>
      </c>
    </row>
    <row r="10" spans="1:4" x14ac:dyDescent="0.25">
      <c r="A10" s="1" t="s">
        <v>33</v>
      </c>
      <c r="B10">
        <v>2.86</v>
      </c>
      <c r="C10">
        <v>0.3</v>
      </c>
      <c r="D10">
        <v>3.16</v>
      </c>
    </row>
    <row r="11" spans="1:4" x14ac:dyDescent="0.25">
      <c r="A11" s="1" t="s">
        <v>34</v>
      </c>
      <c r="B11">
        <v>2.3999999999999998E-3</v>
      </c>
      <c r="C11">
        <v>6.3E-3</v>
      </c>
      <c r="D11">
        <v>2.5999999999999999E-3</v>
      </c>
    </row>
    <row r="12" spans="1:4" x14ac:dyDescent="0.25">
      <c r="A12" s="1" t="s">
        <v>37</v>
      </c>
      <c r="B12">
        <v>0.83460000000000001</v>
      </c>
      <c r="C12">
        <v>3.3099999999999997E-2</v>
      </c>
      <c r="D12">
        <v>0.86770000000000003</v>
      </c>
    </row>
    <row r="13" spans="1:4" x14ac:dyDescent="0.25">
      <c r="A13" s="1" t="s">
        <v>38</v>
      </c>
      <c r="B13">
        <v>1.2719</v>
      </c>
      <c r="C13">
        <v>8.2000000000000003E-2</v>
      </c>
      <c r="D13">
        <v>1.3539000000000001</v>
      </c>
    </row>
    <row r="14" spans="1:4" x14ac:dyDescent="0.25">
      <c r="A14" s="1" t="s">
        <v>39</v>
      </c>
      <c r="B14">
        <v>0.58940000000000003</v>
      </c>
      <c r="C14">
        <v>5.5999999999999999E-3</v>
      </c>
      <c r="D14">
        <v>0.59499999999999997</v>
      </c>
    </row>
    <row r="15" spans="1:4" x14ac:dyDescent="0.25">
      <c r="A15" s="1" t="s">
        <v>40</v>
      </c>
      <c r="B15">
        <v>0.54759999999999998</v>
      </c>
      <c r="C15">
        <v>0.89139999999999997</v>
      </c>
      <c r="D15">
        <v>0.56069999999999998</v>
      </c>
    </row>
    <row r="16" spans="1:4" x14ac:dyDescent="0.25">
      <c r="A16" s="1" t="s">
        <v>41</v>
      </c>
      <c r="B16">
        <v>0.45240000000000002</v>
      </c>
      <c r="C16">
        <v>0.1086</v>
      </c>
      <c r="D16">
        <v>0.43930000000000002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CBE0-DDCB-4F40-BA76-0325FE387E24}">
  <dimension ref="A1:E5"/>
  <sheetViews>
    <sheetView workbookViewId="0">
      <selection activeCell="C9" sqref="C9"/>
    </sheetView>
  </sheetViews>
  <sheetFormatPr defaultRowHeight="15" x14ac:dyDescent="0.25"/>
  <cols>
    <col min="1" max="1" width="20.140625" bestFit="1" customWidth="1"/>
    <col min="2" max="2" width="62.85546875" bestFit="1" customWidth="1"/>
    <col min="3" max="3" width="33.5703125" bestFit="1" customWidth="1"/>
    <col min="4" max="4" width="15.42578125" bestFit="1" customWidth="1"/>
    <col min="5" max="5" width="18.42578125" bestFit="1" customWidth="1"/>
  </cols>
  <sheetData>
    <row r="1" spans="1:5" ht="45" x14ac:dyDescent="0.25">
      <c r="A1" s="1" t="s">
        <v>5</v>
      </c>
      <c r="B1" s="21" t="s">
        <v>382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</row>
    <row r="3" spans="1:5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</row>
    <row r="4" spans="1:5" x14ac:dyDescent="0.25">
      <c r="A4" s="1"/>
      <c r="B4" s="1" t="s">
        <v>19</v>
      </c>
      <c r="C4" s="1" t="s">
        <v>20</v>
      </c>
      <c r="D4" s="1" t="s">
        <v>21</v>
      </c>
      <c r="E4" s="1" t="s">
        <v>22</v>
      </c>
    </row>
    <row r="5" spans="1:5" x14ac:dyDescent="0.25">
      <c r="A5" s="1"/>
      <c r="B5" s="1" t="s">
        <v>23</v>
      </c>
      <c r="C5" s="1" t="s">
        <v>24</v>
      </c>
      <c r="D5" s="1" t="s">
        <v>25</v>
      </c>
      <c r="E5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FFC06-2451-4FF3-9135-91BFBE6AE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Fixed Wireless urb</vt:lpstr>
      <vt:lpstr>Fixed Wireless 5g</vt:lpstr>
      <vt:lpstr>Port</vt:lpstr>
      <vt:lpstr>Table017 (Page 14)</vt:lpstr>
      <vt:lpstr>Table016 (Page 14)</vt:lpstr>
      <vt:lpstr>Top FIxed wireless &amp; mobile</vt:lpstr>
      <vt:lpstr>Top 5 Service provide Wireless </vt:lpstr>
      <vt:lpstr>Top 5 Service Provider broadban</vt:lpstr>
      <vt:lpstr>Subscriber</vt:lpstr>
      <vt:lpstr>Broadband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Zahid Choudhury</dc:creator>
  <cp:lastModifiedBy>Muhammad Zahid Choudhury</cp:lastModifiedBy>
  <dcterms:created xsi:type="dcterms:W3CDTF">2026-01-27T11:38:35Z</dcterms:created>
  <dcterms:modified xsi:type="dcterms:W3CDTF">2026-01-27T12:03:08Z</dcterms:modified>
</cp:coreProperties>
</file>